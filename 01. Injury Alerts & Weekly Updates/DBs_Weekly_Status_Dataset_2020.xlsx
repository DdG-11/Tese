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odinho\Desktop\Masters\Tese\01. Injury Alerts &amp; Weekly Updates\"/>
    </mc:Choice>
  </mc:AlternateContent>
  <xr:revisionPtr revIDLastSave="0" documentId="13_ncr:1_{3480D118-BC49-4975-8095-AFE71C59B7E1}" xr6:coauthVersionLast="47" xr6:coauthVersionMax="47" xr10:uidLastSave="{00000000-0000-0000-0000-000000000000}"/>
  <bookViews>
    <workbookView xWindow="-120" yWindow="-120" windowWidth="29040" windowHeight="15720" xr2:uid="{DD160A7C-22FB-44C2-A4C3-F7A35ECBE8B6}"/>
  </bookViews>
  <sheets>
    <sheet name="DBs Dataset 2020" sheetId="2" r:id="rId1"/>
  </sheets>
  <definedNames>
    <definedName name="_xlnm._FilterDatabase" localSheetId="0" hidden="1">'DBs Dataset 2020'!$AG$1:$AL$3509</definedName>
    <definedName name="ExternalData_1" localSheetId="0" hidden="1">'DBs Dataset 2020'!$A$1:$AE$3509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2" l="1"/>
  <c r="AK2" i="2" s="1"/>
  <c r="AF3" i="2"/>
  <c r="AK3" i="2" s="1"/>
  <c r="AF4" i="2"/>
  <c r="AK4" i="2" s="1"/>
  <c r="AF5" i="2"/>
  <c r="AK5" i="2" s="1"/>
  <c r="AF6" i="2"/>
  <c r="AK6" i="2" s="1"/>
  <c r="AF7" i="2"/>
  <c r="AK7" i="2" s="1"/>
  <c r="AF8" i="2"/>
  <c r="AK8" i="2" s="1"/>
  <c r="AF9" i="2"/>
  <c r="AK9" i="2" s="1"/>
  <c r="AF10" i="2"/>
  <c r="AK10" i="2" s="1"/>
  <c r="AF11" i="2"/>
  <c r="AK11" i="2" s="1"/>
  <c r="AF12" i="2"/>
  <c r="AK12" i="2" s="1"/>
  <c r="AF13" i="2"/>
  <c r="AK13" i="2" s="1"/>
  <c r="AF14" i="2"/>
  <c r="AK14" i="2" s="1"/>
  <c r="AF15" i="2"/>
  <c r="AK15" i="2" s="1"/>
  <c r="AF16" i="2"/>
  <c r="AK16" i="2" s="1"/>
  <c r="AF17" i="2"/>
  <c r="AK17" i="2" s="1"/>
  <c r="AF18" i="2"/>
  <c r="AK18" i="2" s="1"/>
  <c r="AF19" i="2"/>
  <c r="AK19" i="2" s="1"/>
  <c r="AF20" i="2"/>
  <c r="AK20" i="2" s="1"/>
  <c r="AF21" i="2"/>
  <c r="AK21" i="2" s="1"/>
  <c r="AF22" i="2"/>
  <c r="AK22" i="2" s="1"/>
  <c r="AF23" i="2"/>
  <c r="AK23" i="2" s="1"/>
  <c r="AF24" i="2"/>
  <c r="AK24" i="2" s="1"/>
  <c r="AF25" i="2"/>
  <c r="AK25" i="2" s="1"/>
  <c r="AF26" i="2"/>
  <c r="AK26" i="2" s="1"/>
  <c r="AF27" i="2"/>
  <c r="AK27" i="2" s="1"/>
  <c r="AF28" i="2"/>
  <c r="AK28" i="2" s="1"/>
  <c r="AF29" i="2"/>
  <c r="AK29" i="2" s="1"/>
  <c r="AF30" i="2"/>
  <c r="AK30" i="2" s="1"/>
  <c r="AF31" i="2"/>
  <c r="AK31" i="2" s="1"/>
  <c r="AF2210" i="2"/>
  <c r="AF32" i="2"/>
  <c r="AK32" i="2" s="1"/>
  <c r="AF33" i="2"/>
  <c r="AK33" i="2" s="1"/>
  <c r="AF34" i="2"/>
  <c r="AK34" i="2" s="1"/>
  <c r="AF36" i="2"/>
  <c r="AF37" i="2"/>
  <c r="AK36" i="2" s="1"/>
  <c r="AF38" i="2"/>
  <c r="AK37" i="2" s="1"/>
  <c r="AF39" i="2"/>
  <c r="AK38" i="2" s="1"/>
  <c r="AF40" i="2"/>
  <c r="AK39" i="2" s="1"/>
  <c r="AF41" i="2"/>
  <c r="AK40" i="2" s="1"/>
  <c r="AF42" i="2"/>
  <c r="AF43" i="2"/>
  <c r="AK42" i="2" s="1"/>
  <c r="AF44" i="2"/>
  <c r="AK43" i="2" s="1"/>
  <c r="AF45" i="2"/>
  <c r="AK44" i="2" s="1"/>
  <c r="AF46" i="2"/>
  <c r="AK45" i="2" s="1"/>
  <c r="AF47" i="2"/>
  <c r="AK46" i="2" s="1"/>
  <c r="AF48" i="2"/>
  <c r="AK47" i="2" s="1"/>
  <c r="AF49" i="2"/>
  <c r="AK48" i="2" s="1"/>
  <c r="AF50" i="2"/>
  <c r="AF51" i="2"/>
  <c r="AK50" i="2" s="1"/>
  <c r="AF52" i="2"/>
  <c r="AK51" i="2" s="1"/>
  <c r="AF53" i="2"/>
  <c r="AK52" i="2" s="1"/>
  <c r="AF54" i="2"/>
  <c r="AK53" i="2" s="1"/>
  <c r="AF55" i="2"/>
  <c r="AK54" i="2" s="1"/>
  <c r="AF56" i="2"/>
  <c r="AK55" i="2" s="1"/>
  <c r="AF57" i="2"/>
  <c r="AK56" i="2" s="1"/>
  <c r="AF58" i="2"/>
  <c r="AF59" i="2"/>
  <c r="AK58" i="2" s="1"/>
  <c r="AF60" i="2"/>
  <c r="AK59" i="2" s="1"/>
  <c r="AF61" i="2"/>
  <c r="AK60" i="2" s="1"/>
  <c r="AF62" i="2"/>
  <c r="AK61" i="2" s="1"/>
  <c r="AF63" i="2"/>
  <c r="AK62" i="2" s="1"/>
  <c r="AF64" i="2"/>
  <c r="AK63" i="2" s="1"/>
  <c r="AF65" i="2"/>
  <c r="AK64" i="2" s="1"/>
  <c r="AF66" i="2"/>
  <c r="AF67" i="2"/>
  <c r="AK66" i="2" s="1"/>
  <c r="AF68" i="2"/>
  <c r="AK67" i="2" s="1"/>
  <c r="AF69" i="2"/>
  <c r="AK68" i="2" s="1"/>
  <c r="AF70" i="2"/>
  <c r="AK69" i="2" s="1"/>
  <c r="AF71" i="2"/>
  <c r="AK70" i="2" s="1"/>
  <c r="AF72" i="2"/>
  <c r="AK71" i="2" s="1"/>
  <c r="AF73" i="2"/>
  <c r="AK72" i="2" s="1"/>
  <c r="AF74" i="2"/>
  <c r="AF75" i="2"/>
  <c r="AK74" i="2" s="1"/>
  <c r="AF76" i="2"/>
  <c r="AK75" i="2" s="1"/>
  <c r="AF77" i="2"/>
  <c r="AK76" i="2" s="1"/>
  <c r="AF78" i="2"/>
  <c r="AK77" i="2" s="1"/>
  <c r="AF35" i="2"/>
  <c r="AK78" i="2" s="1"/>
  <c r="AF80" i="2"/>
  <c r="AF81" i="2"/>
  <c r="AK80" i="2" s="1"/>
  <c r="AF82" i="2"/>
  <c r="AF83" i="2"/>
  <c r="AK82" i="2" s="1"/>
  <c r="AF84" i="2"/>
  <c r="AK83" i="2" s="1"/>
  <c r="AF85" i="2"/>
  <c r="AK84" i="2" s="1"/>
  <c r="AF86" i="2"/>
  <c r="AK85" i="2" s="1"/>
  <c r="AF87" i="2"/>
  <c r="AK86" i="2" s="1"/>
  <c r="AF88" i="2"/>
  <c r="AK87" i="2" s="1"/>
  <c r="AF89" i="2"/>
  <c r="AK88" i="2" s="1"/>
  <c r="AF90" i="2"/>
  <c r="AF91" i="2"/>
  <c r="AK90" i="2" s="1"/>
  <c r="AF92" i="2"/>
  <c r="AK91" i="2" s="1"/>
  <c r="AF93" i="2"/>
  <c r="AK92" i="2" s="1"/>
  <c r="AF94" i="2"/>
  <c r="AK93" i="2" s="1"/>
  <c r="AF95" i="2"/>
  <c r="AK94" i="2" s="1"/>
  <c r="AF96" i="2"/>
  <c r="AK95" i="2" s="1"/>
  <c r="AF97" i="2"/>
  <c r="AK96" i="2" s="1"/>
  <c r="AF98" i="2"/>
  <c r="AF99" i="2"/>
  <c r="AK98" i="2" s="1"/>
  <c r="AF100" i="2"/>
  <c r="AK99" i="2" s="1"/>
  <c r="AF101" i="2"/>
  <c r="AK100" i="2" s="1"/>
  <c r="AF102" i="2"/>
  <c r="AK101" i="2" s="1"/>
  <c r="AF103" i="2"/>
  <c r="AK102" i="2" s="1"/>
  <c r="AF104" i="2"/>
  <c r="AK103" i="2" s="1"/>
  <c r="AF105" i="2"/>
  <c r="AK104" i="2" s="1"/>
  <c r="AF106" i="2"/>
  <c r="AF107" i="2"/>
  <c r="AK106" i="2" s="1"/>
  <c r="AF108" i="2"/>
  <c r="AK107" i="2" s="1"/>
  <c r="AF109" i="2"/>
  <c r="AK108" i="2" s="1"/>
  <c r="AF110" i="2"/>
  <c r="AK109" i="2" s="1"/>
  <c r="AF111" i="2"/>
  <c r="AK110" i="2" s="1"/>
  <c r="AF112" i="2"/>
  <c r="AK111" i="2" s="1"/>
  <c r="AF113" i="2"/>
  <c r="AK112" i="2" s="1"/>
  <c r="AF114" i="2"/>
  <c r="AF115" i="2"/>
  <c r="AK114" i="2" s="1"/>
  <c r="AF116" i="2"/>
  <c r="AK115" i="2" s="1"/>
  <c r="AF117" i="2"/>
  <c r="AK116" i="2" s="1"/>
  <c r="AF118" i="2"/>
  <c r="AK117" i="2" s="1"/>
  <c r="AF119" i="2"/>
  <c r="AK118" i="2" s="1"/>
  <c r="AF120" i="2"/>
  <c r="AK119" i="2" s="1"/>
  <c r="AF121" i="2"/>
  <c r="AK120" i="2" s="1"/>
  <c r="AF122" i="2"/>
  <c r="AF123" i="2"/>
  <c r="AK122" i="2" s="1"/>
  <c r="AF124" i="2"/>
  <c r="AK123" i="2" s="1"/>
  <c r="AF125" i="2"/>
  <c r="AK124" i="2" s="1"/>
  <c r="AF126" i="2"/>
  <c r="AK125" i="2" s="1"/>
  <c r="AF127" i="2"/>
  <c r="AK126" i="2" s="1"/>
  <c r="AF128" i="2"/>
  <c r="AK127" i="2" s="1"/>
  <c r="AF129" i="2"/>
  <c r="AK128" i="2" s="1"/>
  <c r="AF130" i="2"/>
  <c r="AF79" i="2"/>
  <c r="AK130" i="2" s="1"/>
  <c r="AF131" i="2"/>
  <c r="AK131" i="2" s="1"/>
  <c r="AF133" i="2"/>
  <c r="AF134" i="2"/>
  <c r="AK133" i="2" s="1"/>
  <c r="AF135" i="2"/>
  <c r="AK134" i="2" s="1"/>
  <c r="AF136" i="2"/>
  <c r="AK135" i="2" s="1"/>
  <c r="AF137" i="2"/>
  <c r="AK136" i="2" s="1"/>
  <c r="AF138" i="2"/>
  <c r="AF139" i="2"/>
  <c r="AK138" i="2" s="1"/>
  <c r="AF140" i="2"/>
  <c r="AK139" i="2" s="1"/>
  <c r="AF141" i="2"/>
  <c r="AK140" i="2" s="1"/>
  <c r="AF142" i="2"/>
  <c r="AK141" i="2" s="1"/>
  <c r="AF143" i="2"/>
  <c r="AK142" i="2" s="1"/>
  <c r="AF144" i="2"/>
  <c r="AK143" i="2" s="1"/>
  <c r="AF145" i="2"/>
  <c r="AK144" i="2" s="1"/>
  <c r="AF146" i="2"/>
  <c r="AF147" i="2"/>
  <c r="AK146" i="2" s="1"/>
  <c r="AF148" i="2"/>
  <c r="AK147" i="2" s="1"/>
  <c r="AF149" i="2"/>
  <c r="AK148" i="2" s="1"/>
  <c r="AF150" i="2"/>
  <c r="AK149" i="2" s="1"/>
  <c r="AF151" i="2"/>
  <c r="AK150" i="2" s="1"/>
  <c r="AF152" i="2"/>
  <c r="AK151" i="2" s="1"/>
  <c r="AF153" i="2"/>
  <c r="AK152" i="2" s="1"/>
  <c r="AF154" i="2"/>
  <c r="AF155" i="2"/>
  <c r="AK154" i="2" s="1"/>
  <c r="AF156" i="2"/>
  <c r="AK155" i="2" s="1"/>
  <c r="AF157" i="2"/>
  <c r="AK156" i="2" s="1"/>
  <c r="AF158" i="2"/>
  <c r="AK157" i="2" s="1"/>
  <c r="AF159" i="2"/>
  <c r="AK158" i="2" s="1"/>
  <c r="AF160" i="2"/>
  <c r="AK159" i="2" s="1"/>
  <c r="AF161" i="2"/>
  <c r="AK160" i="2" s="1"/>
  <c r="AF162" i="2"/>
  <c r="AF163" i="2"/>
  <c r="AK162" i="2" s="1"/>
  <c r="AF164" i="2"/>
  <c r="AK163" i="2" s="1"/>
  <c r="AF165" i="2"/>
  <c r="AK164" i="2" s="1"/>
  <c r="AF166" i="2"/>
  <c r="AK165" i="2" s="1"/>
  <c r="AF167" i="2"/>
  <c r="AK166" i="2" s="1"/>
  <c r="AF168" i="2"/>
  <c r="AK167" i="2" s="1"/>
  <c r="AF169" i="2"/>
  <c r="AK168" i="2" s="1"/>
  <c r="AF170" i="2"/>
  <c r="AF171" i="2"/>
  <c r="AK170" i="2" s="1"/>
  <c r="AF172" i="2"/>
  <c r="AK171" i="2" s="1"/>
  <c r="AF173" i="2"/>
  <c r="AK172" i="2" s="1"/>
  <c r="AF174" i="2"/>
  <c r="AK173" i="2" s="1"/>
  <c r="AF175" i="2"/>
  <c r="AK174" i="2" s="1"/>
  <c r="AF176" i="2"/>
  <c r="AK175" i="2" s="1"/>
  <c r="AF177" i="2"/>
  <c r="AK176" i="2" s="1"/>
  <c r="AF178" i="2"/>
  <c r="AF179" i="2"/>
  <c r="AK178" i="2" s="1"/>
  <c r="AF180" i="2"/>
  <c r="AK179" i="2" s="1"/>
  <c r="AF181" i="2"/>
  <c r="AK180" i="2" s="1"/>
  <c r="AF182" i="2"/>
  <c r="AK181" i="2" s="1"/>
  <c r="AF183" i="2"/>
  <c r="AK182" i="2" s="1"/>
  <c r="AF184" i="2"/>
  <c r="AK183" i="2" s="1"/>
  <c r="AF185" i="2"/>
  <c r="AK184" i="2" s="1"/>
  <c r="AF186" i="2"/>
  <c r="AF187" i="2"/>
  <c r="AK186" i="2" s="1"/>
  <c r="AF188" i="2"/>
  <c r="AK187" i="2" s="1"/>
  <c r="AF189" i="2"/>
  <c r="AK188" i="2" s="1"/>
  <c r="AF190" i="2"/>
  <c r="AK189" i="2" s="1"/>
  <c r="AF191" i="2"/>
  <c r="AK190" i="2" s="1"/>
  <c r="AF192" i="2"/>
  <c r="AK191" i="2" s="1"/>
  <c r="AF193" i="2"/>
  <c r="AK192" i="2" s="1"/>
  <c r="AF194" i="2"/>
  <c r="AF195" i="2"/>
  <c r="AK194" i="2" s="1"/>
  <c r="AF196" i="2"/>
  <c r="AK195" i="2" s="1"/>
  <c r="AF197" i="2"/>
  <c r="AK196" i="2" s="1"/>
  <c r="AF198" i="2"/>
  <c r="AK197" i="2" s="1"/>
  <c r="AF199" i="2"/>
  <c r="AK198" i="2" s="1"/>
  <c r="AF200" i="2"/>
  <c r="AK199" i="2" s="1"/>
  <c r="AF201" i="2"/>
  <c r="AK200" i="2" s="1"/>
  <c r="AF202" i="2"/>
  <c r="AF203" i="2"/>
  <c r="AK202" i="2" s="1"/>
  <c r="AF204" i="2"/>
  <c r="AK203" i="2" s="1"/>
  <c r="AF205" i="2"/>
  <c r="AK204" i="2" s="1"/>
  <c r="AF206" i="2"/>
  <c r="AK205" i="2" s="1"/>
  <c r="AF207" i="2"/>
  <c r="AK206" i="2" s="1"/>
  <c r="AF208" i="2"/>
  <c r="AK207" i="2" s="1"/>
  <c r="AF209" i="2"/>
  <c r="AK208" i="2" s="1"/>
  <c r="AF210" i="2"/>
  <c r="AF211" i="2"/>
  <c r="AK210" i="2" s="1"/>
  <c r="AF212" i="2"/>
  <c r="AK211" i="2" s="1"/>
  <c r="AF213" i="2"/>
  <c r="AK212" i="2" s="1"/>
  <c r="AF214" i="2"/>
  <c r="AK213" i="2" s="1"/>
  <c r="AF215" i="2"/>
  <c r="AK214" i="2" s="1"/>
  <c r="AF216" i="2"/>
  <c r="AK215" i="2" s="1"/>
  <c r="AF217" i="2"/>
  <c r="AK216" i="2" s="1"/>
  <c r="AF218" i="2"/>
  <c r="AF132" i="2"/>
  <c r="AK218" i="2" s="1"/>
  <c r="AF219" i="2"/>
  <c r="AK219" i="2" s="1"/>
  <c r="AF220" i="2"/>
  <c r="AK220" i="2" s="1"/>
  <c r="AF221" i="2"/>
  <c r="AK221" i="2" s="1"/>
  <c r="AF222" i="2"/>
  <c r="AK222" i="2" s="1"/>
  <c r="AF223" i="2"/>
  <c r="AK223" i="2" s="1"/>
  <c r="AF224" i="2"/>
  <c r="AK224" i="2" s="1"/>
  <c r="AF225" i="2"/>
  <c r="AK225" i="2" s="1"/>
  <c r="AF227" i="2"/>
  <c r="AF228" i="2"/>
  <c r="AK227" i="2" s="1"/>
  <c r="AF229" i="2"/>
  <c r="AK228" i="2" s="1"/>
  <c r="AF230" i="2"/>
  <c r="AK229" i="2" s="1"/>
  <c r="AF231" i="2"/>
  <c r="AK230" i="2" s="1"/>
  <c r="AF232" i="2"/>
  <c r="AK231" i="2" s="1"/>
  <c r="AF233" i="2"/>
  <c r="AK232" i="2" s="1"/>
  <c r="AF234" i="2"/>
  <c r="AF235" i="2"/>
  <c r="AK234" i="2" s="1"/>
  <c r="AF236" i="2"/>
  <c r="AF237" i="2"/>
  <c r="AK236" i="2" s="1"/>
  <c r="AF238" i="2"/>
  <c r="AK237" i="2" s="1"/>
  <c r="AF239" i="2"/>
  <c r="AK238" i="2" s="1"/>
  <c r="AF240" i="2"/>
  <c r="AK239" i="2" s="1"/>
  <c r="AF241" i="2"/>
  <c r="AK240" i="2" s="1"/>
  <c r="AF242" i="2"/>
  <c r="AF243" i="2"/>
  <c r="AK242" i="2" s="1"/>
  <c r="AF244" i="2"/>
  <c r="AF245" i="2"/>
  <c r="AK244" i="2" s="1"/>
  <c r="AF246" i="2"/>
  <c r="AK245" i="2" s="1"/>
  <c r="AF247" i="2"/>
  <c r="AK246" i="2" s="1"/>
  <c r="AF248" i="2"/>
  <c r="AK247" i="2" s="1"/>
  <c r="AF249" i="2"/>
  <c r="AK248" i="2" s="1"/>
  <c r="AF250" i="2"/>
  <c r="AF251" i="2"/>
  <c r="AK250" i="2" s="1"/>
  <c r="AF252" i="2"/>
  <c r="AF253" i="2"/>
  <c r="AK252" i="2" s="1"/>
  <c r="AF254" i="2"/>
  <c r="AK253" i="2" s="1"/>
  <c r="AF255" i="2"/>
  <c r="AK254" i="2" s="1"/>
  <c r="AF256" i="2"/>
  <c r="AK255" i="2" s="1"/>
  <c r="AF257" i="2"/>
  <c r="AK256" i="2" s="1"/>
  <c r="AF258" i="2"/>
  <c r="AF259" i="2"/>
  <c r="AK258" i="2" s="1"/>
  <c r="AF260" i="2"/>
  <c r="AF261" i="2"/>
  <c r="AK260" i="2" s="1"/>
  <c r="AF262" i="2"/>
  <c r="AK261" i="2" s="1"/>
  <c r="AF263" i="2"/>
  <c r="AK262" i="2" s="1"/>
  <c r="AF264" i="2"/>
  <c r="AK263" i="2" s="1"/>
  <c r="AF265" i="2"/>
  <c r="AK264" i="2" s="1"/>
  <c r="AF266" i="2"/>
  <c r="AF267" i="2"/>
  <c r="AK266" i="2" s="1"/>
  <c r="AF268" i="2"/>
  <c r="AF269" i="2"/>
  <c r="AK268" i="2" s="1"/>
  <c r="AF270" i="2"/>
  <c r="AK269" i="2" s="1"/>
  <c r="AF271" i="2"/>
  <c r="AK270" i="2" s="1"/>
  <c r="AF272" i="2"/>
  <c r="AK271" i="2" s="1"/>
  <c r="AF273" i="2"/>
  <c r="AK272" i="2" s="1"/>
  <c r="AF274" i="2"/>
  <c r="AF275" i="2"/>
  <c r="AK274" i="2" s="1"/>
  <c r="AF276" i="2"/>
  <c r="AF277" i="2"/>
  <c r="AK276" i="2" s="1"/>
  <c r="AF278" i="2"/>
  <c r="AK277" i="2" s="1"/>
  <c r="AF279" i="2"/>
  <c r="AK278" i="2" s="1"/>
  <c r="AF280" i="2"/>
  <c r="AK279" i="2" s="1"/>
  <c r="AF281" i="2"/>
  <c r="AK280" i="2" s="1"/>
  <c r="AF282" i="2"/>
  <c r="AF283" i="2"/>
  <c r="AK282" i="2" s="1"/>
  <c r="AF284" i="2"/>
  <c r="AF285" i="2"/>
  <c r="AK284" i="2" s="1"/>
  <c r="AF286" i="2"/>
  <c r="AK285" i="2" s="1"/>
  <c r="AF287" i="2"/>
  <c r="AK286" i="2" s="1"/>
  <c r="AF288" i="2"/>
  <c r="AK287" i="2" s="1"/>
  <c r="AF289" i="2"/>
  <c r="AK288" i="2" s="1"/>
  <c r="AF290" i="2"/>
  <c r="AF291" i="2"/>
  <c r="AK290" i="2" s="1"/>
  <c r="AF292" i="2"/>
  <c r="AF293" i="2"/>
  <c r="AK292" i="2" s="1"/>
  <c r="AF294" i="2"/>
  <c r="AK293" i="2" s="1"/>
  <c r="AF295" i="2"/>
  <c r="AK294" i="2" s="1"/>
  <c r="AF296" i="2"/>
  <c r="AK295" i="2" s="1"/>
  <c r="AF297" i="2"/>
  <c r="AK296" i="2" s="1"/>
  <c r="AF298" i="2"/>
  <c r="AF299" i="2"/>
  <c r="AK298" i="2" s="1"/>
  <c r="AF300" i="2"/>
  <c r="AF301" i="2"/>
  <c r="AK300" i="2" s="1"/>
  <c r="AF302" i="2"/>
  <c r="AK301" i="2" s="1"/>
  <c r="AF303" i="2"/>
  <c r="AK302" i="2" s="1"/>
  <c r="AF304" i="2"/>
  <c r="AK303" i="2" s="1"/>
  <c r="AF305" i="2"/>
  <c r="AK304" i="2" s="1"/>
  <c r="AF306" i="2"/>
  <c r="AF307" i="2"/>
  <c r="AK306" i="2" s="1"/>
  <c r="AF308" i="2"/>
  <c r="AF309" i="2"/>
  <c r="AK308" i="2" s="1"/>
  <c r="AF310" i="2"/>
  <c r="AK309" i="2" s="1"/>
  <c r="AF311" i="2"/>
  <c r="AK310" i="2" s="1"/>
  <c r="AF312" i="2"/>
  <c r="AK311" i="2" s="1"/>
  <c r="AF313" i="2"/>
  <c r="AK312" i="2" s="1"/>
  <c r="AF314" i="2"/>
  <c r="AF315" i="2"/>
  <c r="AK314" i="2" s="1"/>
  <c r="AF316" i="2"/>
  <c r="AF317" i="2"/>
  <c r="AK316" i="2" s="1"/>
  <c r="AF318" i="2"/>
  <c r="AK317" i="2" s="1"/>
  <c r="AF319" i="2"/>
  <c r="AF320" i="2"/>
  <c r="AK319" i="2" s="1"/>
  <c r="AF321" i="2"/>
  <c r="AK320" i="2" s="1"/>
  <c r="AF322" i="2"/>
  <c r="AF226" i="2"/>
  <c r="AK322" i="2" s="1"/>
  <c r="AF323" i="2"/>
  <c r="AK323" i="2" s="1"/>
  <c r="AF324" i="2"/>
  <c r="AK324" i="2" s="1"/>
  <c r="AF325" i="2"/>
  <c r="AK325" i="2" s="1"/>
  <c r="AF327" i="2"/>
  <c r="AF328" i="2"/>
  <c r="AK327" i="2" s="1"/>
  <c r="AF329" i="2"/>
  <c r="AK328" i="2" s="1"/>
  <c r="AF330" i="2"/>
  <c r="AF331" i="2"/>
  <c r="AK330" i="2" s="1"/>
  <c r="AF332" i="2"/>
  <c r="AF333" i="2"/>
  <c r="AK332" i="2" s="1"/>
  <c r="AF334" i="2"/>
  <c r="AK333" i="2" s="1"/>
  <c r="AF335" i="2"/>
  <c r="AF336" i="2"/>
  <c r="AK335" i="2" s="1"/>
  <c r="AF337" i="2"/>
  <c r="AK336" i="2" s="1"/>
  <c r="AF338" i="2"/>
  <c r="AF339" i="2"/>
  <c r="AF340" i="2"/>
  <c r="AF341" i="2"/>
  <c r="AK340" i="2" s="1"/>
  <c r="AF342" i="2"/>
  <c r="AK341" i="2" s="1"/>
  <c r="AF343" i="2"/>
  <c r="AF344" i="2"/>
  <c r="AK343" i="2" s="1"/>
  <c r="AF345" i="2"/>
  <c r="AK344" i="2" s="1"/>
  <c r="AF346" i="2"/>
  <c r="AF347" i="2"/>
  <c r="AF348" i="2"/>
  <c r="AF349" i="2"/>
  <c r="AK348" i="2" s="1"/>
  <c r="AF350" i="2"/>
  <c r="AK349" i="2" s="1"/>
  <c r="AF351" i="2"/>
  <c r="AF352" i="2"/>
  <c r="AK351" i="2" s="1"/>
  <c r="AF353" i="2"/>
  <c r="AK352" i="2" s="1"/>
  <c r="AF354" i="2"/>
  <c r="AF355" i="2"/>
  <c r="AF356" i="2"/>
  <c r="AF357" i="2"/>
  <c r="AK356" i="2" s="1"/>
  <c r="AF358" i="2"/>
  <c r="AK357" i="2" s="1"/>
  <c r="AF359" i="2"/>
  <c r="AF360" i="2"/>
  <c r="AK359" i="2" s="1"/>
  <c r="AF361" i="2"/>
  <c r="AK360" i="2" s="1"/>
  <c r="AF362" i="2"/>
  <c r="AF363" i="2"/>
  <c r="AF364" i="2"/>
  <c r="AF365" i="2"/>
  <c r="AK364" i="2" s="1"/>
  <c r="AF366" i="2"/>
  <c r="AK365" i="2" s="1"/>
  <c r="AF367" i="2"/>
  <c r="AF368" i="2"/>
  <c r="AK367" i="2" s="1"/>
  <c r="AF369" i="2"/>
  <c r="AK368" i="2" s="1"/>
  <c r="AF370" i="2"/>
  <c r="AF371" i="2"/>
  <c r="AF372" i="2"/>
  <c r="AF373" i="2"/>
  <c r="AK372" i="2" s="1"/>
  <c r="AF374" i="2"/>
  <c r="AK373" i="2" s="1"/>
  <c r="AF375" i="2"/>
  <c r="AF376" i="2"/>
  <c r="AK375" i="2" s="1"/>
  <c r="AF377" i="2"/>
  <c r="AK376" i="2" s="1"/>
  <c r="AF378" i="2"/>
  <c r="AF379" i="2"/>
  <c r="AF380" i="2"/>
  <c r="AF381" i="2"/>
  <c r="AK380" i="2" s="1"/>
  <c r="AF382" i="2"/>
  <c r="AK381" i="2" s="1"/>
  <c r="AF383" i="2"/>
  <c r="AF384" i="2"/>
  <c r="AK383" i="2" s="1"/>
  <c r="AF385" i="2"/>
  <c r="AK384" i="2" s="1"/>
  <c r="AF386" i="2"/>
  <c r="AF387" i="2"/>
  <c r="AF388" i="2"/>
  <c r="AF389" i="2"/>
  <c r="AK388" i="2" s="1"/>
  <c r="AF390" i="2"/>
  <c r="AK389" i="2" s="1"/>
  <c r="AF391" i="2"/>
  <c r="AF392" i="2"/>
  <c r="AK391" i="2" s="1"/>
  <c r="AF393" i="2"/>
  <c r="AK392" i="2" s="1"/>
  <c r="AF394" i="2"/>
  <c r="AF395" i="2"/>
  <c r="AF396" i="2"/>
  <c r="AF397" i="2"/>
  <c r="AK396" i="2" s="1"/>
  <c r="AF398" i="2"/>
  <c r="AK397" i="2" s="1"/>
  <c r="AF399" i="2"/>
  <c r="AF400" i="2"/>
  <c r="AK399" i="2" s="1"/>
  <c r="AF401" i="2"/>
  <c r="AK400" i="2" s="1"/>
  <c r="AF402" i="2"/>
  <c r="AF403" i="2"/>
  <c r="AF404" i="2"/>
  <c r="AF405" i="2"/>
  <c r="AK404" i="2" s="1"/>
  <c r="AF406" i="2"/>
  <c r="AK405" i="2" s="1"/>
  <c r="AF407" i="2"/>
  <c r="AF408" i="2"/>
  <c r="AK407" i="2" s="1"/>
  <c r="AF409" i="2"/>
  <c r="AK408" i="2" s="1"/>
  <c r="AF410" i="2"/>
  <c r="AF326" i="2"/>
  <c r="AF411" i="2"/>
  <c r="AK411" i="2" s="1"/>
  <c r="AF412" i="2"/>
  <c r="AK412" i="2" s="1"/>
  <c r="AF413" i="2"/>
  <c r="AK413" i="2" s="1"/>
  <c r="AF414" i="2"/>
  <c r="AK414" i="2" s="1"/>
  <c r="AF415" i="2"/>
  <c r="AK415" i="2" s="1"/>
  <c r="AF416" i="2"/>
  <c r="AK416" i="2" s="1"/>
  <c r="AF417" i="2"/>
  <c r="AK417" i="2" s="1"/>
  <c r="AF419" i="2"/>
  <c r="AF420" i="2"/>
  <c r="AF418" i="2"/>
  <c r="AK420" i="2" s="1"/>
  <c r="AF422" i="2"/>
  <c r="AK421" i="2" s="1"/>
  <c r="AF423" i="2"/>
  <c r="AF424" i="2"/>
  <c r="AK423" i="2" s="1"/>
  <c r="AF425" i="2"/>
  <c r="AK424" i="2" s="1"/>
  <c r="AF421" i="2"/>
  <c r="AF426" i="2"/>
  <c r="AK426" i="2" s="1"/>
  <c r="AF427" i="2"/>
  <c r="AK427" i="2" s="1"/>
  <c r="AF428" i="2"/>
  <c r="AK428" i="2" s="1"/>
  <c r="AF429" i="2"/>
  <c r="AK429" i="2" s="1"/>
  <c r="AF430" i="2"/>
  <c r="AK430" i="2" s="1"/>
  <c r="AF431" i="2"/>
  <c r="AK431" i="2" s="1"/>
  <c r="AF433" i="2"/>
  <c r="AF434" i="2"/>
  <c r="AF435" i="2"/>
  <c r="AF436" i="2"/>
  <c r="AF437" i="2"/>
  <c r="AK436" i="2" s="1"/>
  <c r="AF438" i="2"/>
  <c r="AK437" i="2" s="1"/>
  <c r="AF439" i="2"/>
  <c r="AF440" i="2"/>
  <c r="AK439" i="2" s="1"/>
  <c r="AF441" i="2"/>
  <c r="AK440" i="2" s="1"/>
  <c r="AF442" i="2"/>
  <c r="AF443" i="2"/>
  <c r="AK442" i="2" s="1"/>
  <c r="AF444" i="2"/>
  <c r="AF445" i="2"/>
  <c r="AK444" i="2" s="1"/>
  <c r="AF446" i="2"/>
  <c r="AK445" i="2" s="1"/>
  <c r="AF447" i="2"/>
  <c r="AF448" i="2"/>
  <c r="AK447" i="2" s="1"/>
  <c r="AF449" i="2"/>
  <c r="AK448" i="2" s="1"/>
  <c r="AF450" i="2"/>
  <c r="AF451" i="2"/>
  <c r="AK450" i="2" s="1"/>
  <c r="AF452" i="2"/>
  <c r="AF453" i="2"/>
  <c r="AK452" i="2" s="1"/>
  <c r="AF454" i="2"/>
  <c r="AK453" i="2" s="1"/>
  <c r="AF455" i="2"/>
  <c r="AF456" i="2"/>
  <c r="AK455" i="2" s="1"/>
  <c r="AF457" i="2"/>
  <c r="AK456" i="2" s="1"/>
  <c r="AF458" i="2"/>
  <c r="AF459" i="2"/>
  <c r="AK458" i="2" s="1"/>
  <c r="AF460" i="2"/>
  <c r="AF461" i="2"/>
  <c r="AK460" i="2" s="1"/>
  <c r="AF462" i="2"/>
  <c r="AK461" i="2" s="1"/>
  <c r="AF463" i="2"/>
  <c r="AF464" i="2"/>
  <c r="AK463" i="2" s="1"/>
  <c r="AF465" i="2"/>
  <c r="AK464" i="2" s="1"/>
  <c r="AF466" i="2"/>
  <c r="AF467" i="2"/>
  <c r="AK466" i="2" s="1"/>
  <c r="AF468" i="2"/>
  <c r="AF469" i="2"/>
  <c r="AK468" i="2" s="1"/>
  <c r="AF470" i="2"/>
  <c r="AK469" i="2" s="1"/>
  <c r="AF471" i="2"/>
  <c r="AF472" i="2"/>
  <c r="AK471" i="2" s="1"/>
  <c r="AF473" i="2"/>
  <c r="AK472" i="2" s="1"/>
  <c r="AF474" i="2"/>
  <c r="AF475" i="2"/>
  <c r="AK474" i="2" s="1"/>
  <c r="AF476" i="2"/>
  <c r="AF477" i="2"/>
  <c r="AK476" i="2" s="1"/>
  <c r="AF478" i="2"/>
  <c r="AK477" i="2" s="1"/>
  <c r="AF479" i="2"/>
  <c r="AF480" i="2"/>
  <c r="AK479" i="2" s="1"/>
  <c r="AF481" i="2"/>
  <c r="AK480" i="2" s="1"/>
  <c r="AF482" i="2"/>
  <c r="AF483" i="2"/>
  <c r="AK482" i="2" s="1"/>
  <c r="AF484" i="2"/>
  <c r="AK483" i="2" s="1"/>
  <c r="AF485" i="2"/>
  <c r="AF486" i="2"/>
  <c r="AK485" i="2" s="1"/>
  <c r="AF487" i="2"/>
  <c r="AF488" i="2"/>
  <c r="AK487" i="2" s="1"/>
  <c r="AF489" i="2"/>
  <c r="AK488" i="2" s="1"/>
  <c r="AF490" i="2"/>
  <c r="AF491" i="2"/>
  <c r="AK490" i="2" s="1"/>
  <c r="AF492" i="2"/>
  <c r="AK491" i="2" s="1"/>
  <c r="AF493" i="2"/>
  <c r="AF494" i="2"/>
  <c r="AK493" i="2" s="1"/>
  <c r="AF495" i="2"/>
  <c r="AF496" i="2"/>
  <c r="AK495" i="2" s="1"/>
  <c r="AF497" i="2"/>
  <c r="AK496" i="2" s="1"/>
  <c r="AF498" i="2"/>
  <c r="AF499" i="2"/>
  <c r="AK498" i="2" s="1"/>
  <c r="AF500" i="2"/>
  <c r="AK499" i="2" s="1"/>
  <c r="AF501" i="2"/>
  <c r="AF502" i="2"/>
  <c r="AK501" i="2" s="1"/>
  <c r="AF503" i="2"/>
  <c r="AF504" i="2"/>
  <c r="AK503" i="2" s="1"/>
  <c r="AF505" i="2"/>
  <c r="AK504" i="2" s="1"/>
  <c r="AF506" i="2"/>
  <c r="AF507" i="2"/>
  <c r="AK506" i="2" s="1"/>
  <c r="AF508" i="2"/>
  <c r="AK507" i="2" s="1"/>
  <c r="AF509" i="2"/>
  <c r="AF510" i="2"/>
  <c r="AK509" i="2" s="1"/>
  <c r="AF511" i="2"/>
  <c r="AK510" i="2" s="1"/>
  <c r="AF512" i="2"/>
  <c r="AF513" i="2"/>
  <c r="AK512" i="2" s="1"/>
  <c r="AF514" i="2"/>
  <c r="AF515" i="2"/>
  <c r="AK514" i="2" s="1"/>
  <c r="AF516" i="2"/>
  <c r="AK515" i="2" s="1"/>
  <c r="AF517" i="2"/>
  <c r="AF518" i="2"/>
  <c r="AK517" i="2" s="1"/>
  <c r="AF519" i="2"/>
  <c r="AK518" i="2" s="1"/>
  <c r="AF520" i="2"/>
  <c r="AF521" i="2"/>
  <c r="AK520" i="2" s="1"/>
  <c r="AF522" i="2"/>
  <c r="AF523" i="2"/>
  <c r="AK522" i="2" s="1"/>
  <c r="AF524" i="2"/>
  <c r="AK523" i="2" s="1"/>
  <c r="AF525" i="2"/>
  <c r="AF526" i="2"/>
  <c r="AK525" i="2" s="1"/>
  <c r="AF527" i="2"/>
  <c r="AK526" i="2" s="1"/>
  <c r="AF528" i="2"/>
  <c r="AF432" i="2"/>
  <c r="AK528" i="2" s="1"/>
  <c r="AF529" i="2"/>
  <c r="AK529" i="2" s="1"/>
  <c r="AF531" i="2"/>
  <c r="AK530" i="2" s="1"/>
  <c r="AF532" i="2"/>
  <c r="AK531" i="2" s="1"/>
  <c r="AF533" i="2"/>
  <c r="AF534" i="2"/>
  <c r="AK533" i="2" s="1"/>
  <c r="AF535" i="2"/>
  <c r="AK534" i="2" s="1"/>
  <c r="AF530" i="2"/>
  <c r="AF536" i="2"/>
  <c r="AK536" i="2" s="1"/>
  <c r="AF537" i="2"/>
  <c r="AK537" i="2" s="1"/>
  <c r="AF539" i="2"/>
  <c r="AK538" i="2" s="1"/>
  <c r="AF540" i="2"/>
  <c r="AK539" i="2" s="1"/>
  <c r="AF541" i="2"/>
  <c r="AF542" i="2"/>
  <c r="AK541" i="2" s="1"/>
  <c r="AF543" i="2"/>
  <c r="AK542" i="2" s="1"/>
  <c r="AF544" i="2"/>
  <c r="AF545" i="2"/>
  <c r="AK544" i="2" s="1"/>
  <c r="AF546" i="2"/>
  <c r="AF547" i="2"/>
  <c r="AK546" i="2" s="1"/>
  <c r="AF548" i="2"/>
  <c r="AK547" i="2" s="1"/>
  <c r="AF549" i="2"/>
  <c r="AF550" i="2"/>
  <c r="AK549" i="2" s="1"/>
  <c r="AF551" i="2"/>
  <c r="AK550" i="2" s="1"/>
  <c r="AF552" i="2"/>
  <c r="AF553" i="2"/>
  <c r="AK552" i="2" s="1"/>
  <c r="AF554" i="2"/>
  <c r="AF555" i="2"/>
  <c r="AK554" i="2" s="1"/>
  <c r="AF556" i="2"/>
  <c r="AK555" i="2" s="1"/>
  <c r="AF557" i="2"/>
  <c r="AF558" i="2"/>
  <c r="AK557" i="2" s="1"/>
  <c r="AF559" i="2"/>
  <c r="AK558" i="2" s="1"/>
  <c r="AF560" i="2"/>
  <c r="AF561" i="2"/>
  <c r="AK560" i="2" s="1"/>
  <c r="AF562" i="2"/>
  <c r="AF563" i="2"/>
  <c r="AK562" i="2" s="1"/>
  <c r="AF564" i="2"/>
  <c r="AK563" i="2" s="1"/>
  <c r="AF565" i="2"/>
  <c r="AF566" i="2"/>
  <c r="AK565" i="2" s="1"/>
  <c r="AF567" i="2"/>
  <c r="AK566" i="2" s="1"/>
  <c r="AF568" i="2"/>
  <c r="AF569" i="2"/>
  <c r="AK568" i="2" s="1"/>
  <c r="AF570" i="2"/>
  <c r="AF571" i="2"/>
  <c r="AK570" i="2" s="1"/>
  <c r="AF572" i="2"/>
  <c r="AK571" i="2" s="1"/>
  <c r="AF538" i="2"/>
  <c r="AF573" i="2"/>
  <c r="AK573" i="2" s="1"/>
  <c r="AF574" i="2"/>
  <c r="AK574" i="2" s="1"/>
  <c r="AF575" i="2"/>
  <c r="AK575" i="2" s="1"/>
  <c r="AF576" i="2"/>
  <c r="AK576" i="2" s="1"/>
  <c r="AF577" i="2"/>
  <c r="AK577" i="2" s="1"/>
  <c r="AF578" i="2"/>
  <c r="AK578" i="2" s="1"/>
  <c r="AF579" i="2"/>
  <c r="AK579" i="2" s="1"/>
  <c r="AF580" i="2"/>
  <c r="AK580" i="2" s="1"/>
  <c r="AF581" i="2"/>
  <c r="AK581" i="2" s="1"/>
  <c r="AF582" i="2"/>
  <c r="AK582" i="2" s="1"/>
  <c r="AF583" i="2"/>
  <c r="AK583" i="2" s="1"/>
  <c r="AF584" i="2"/>
  <c r="AK584" i="2" s="1"/>
  <c r="AF585" i="2"/>
  <c r="AK585" i="2" s="1"/>
  <c r="AF586" i="2"/>
  <c r="AK586" i="2" s="1"/>
  <c r="AF587" i="2"/>
  <c r="AK587" i="2" s="1"/>
  <c r="AF588" i="2"/>
  <c r="AK588" i="2" s="1"/>
  <c r="AF589" i="2"/>
  <c r="AK589" i="2" s="1"/>
  <c r="AF590" i="2"/>
  <c r="AK590" i="2" s="1"/>
  <c r="AF591" i="2"/>
  <c r="AK591" i="2" s="1"/>
  <c r="AF592" i="2"/>
  <c r="AK592" i="2" s="1"/>
  <c r="AF593" i="2"/>
  <c r="AK593" i="2" s="1"/>
  <c r="AF595" i="2"/>
  <c r="AK594" i="2" s="1"/>
  <c r="AF596" i="2"/>
  <c r="AK595" i="2" s="1"/>
  <c r="AF597" i="2"/>
  <c r="AF598" i="2"/>
  <c r="AK597" i="2" s="1"/>
  <c r="AF599" i="2"/>
  <c r="AK598" i="2" s="1"/>
  <c r="AF600" i="2"/>
  <c r="AF601" i="2"/>
  <c r="AK600" i="2" s="1"/>
  <c r="AF602" i="2"/>
  <c r="AF603" i="2"/>
  <c r="AK602" i="2" s="1"/>
  <c r="AF604" i="2"/>
  <c r="AK603" i="2" s="1"/>
  <c r="AF605" i="2"/>
  <c r="AF606" i="2"/>
  <c r="AK605" i="2" s="1"/>
  <c r="AF607" i="2"/>
  <c r="AK606" i="2" s="1"/>
  <c r="AF608" i="2"/>
  <c r="AF609" i="2"/>
  <c r="AK608" i="2" s="1"/>
  <c r="AF610" i="2"/>
  <c r="AF611" i="2"/>
  <c r="AK610" i="2" s="1"/>
  <c r="AF612" i="2"/>
  <c r="AK611" i="2" s="1"/>
  <c r="AF594" i="2"/>
  <c r="AF613" i="2"/>
  <c r="AK613" i="2" s="1"/>
  <c r="AF614" i="2"/>
  <c r="AK614" i="2" s="1"/>
  <c r="AF615" i="2"/>
  <c r="AK615" i="2" s="1"/>
  <c r="AF616" i="2"/>
  <c r="AK616" i="2" s="1"/>
  <c r="AF617" i="2"/>
  <c r="AK617" i="2" s="1"/>
  <c r="AF618" i="2"/>
  <c r="AK618" i="2" s="1"/>
  <c r="AF619" i="2"/>
  <c r="AK619" i="2" s="1"/>
  <c r="AF621" i="2"/>
  <c r="AF622" i="2"/>
  <c r="AK621" i="2" s="1"/>
  <c r="AF623" i="2"/>
  <c r="AK622" i="2" s="1"/>
  <c r="AF624" i="2"/>
  <c r="AF620" i="2"/>
  <c r="AK624" i="2" s="1"/>
  <c r="AF625" i="2"/>
  <c r="AK625" i="2" s="1"/>
  <c r="AF627" i="2"/>
  <c r="AK626" i="2" s="1"/>
  <c r="AF628" i="2"/>
  <c r="AK627" i="2" s="1"/>
  <c r="AF629" i="2"/>
  <c r="AF630" i="2"/>
  <c r="AK629" i="2" s="1"/>
  <c r="AF631" i="2"/>
  <c r="AK630" i="2" s="1"/>
  <c r="AF632" i="2"/>
  <c r="AF633" i="2"/>
  <c r="AK632" i="2" s="1"/>
  <c r="AF634" i="2"/>
  <c r="AF635" i="2"/>
  <c r="AK634" i="2" s="1"/>
  <c r="AF636" i="2"/>
  <c r="AK635" i="2" s="1"/>
  <c r="AF637" i="2"/>
  <c r="AF638" i="2"/>
  <c r="AK637" i="2" s="1"/>
  <c r="AF639" i="2"/>
  <c r="AK638" i="2" s="1"/>
  <c r="AF640" i="2"/>
  <c r="AF641" i="2"/>
  <c r="AK640" i="2" s="1"/>
  <c r="AF642" i="2"/>
  <c r="AF643" i="2"/>
  <c r="AK642" i="2" s="1"/>
  <c r="AF644" i="2"/>
  <c r="AK643" i="2" s="1"/>
  <c r="AF645" i="2"/>
  <c r="AF646" i="2"/>
  <c r="AK645" i="2" s="1"/>
  <c r="AF647" i="2"/>
  <c r="AK646" i="2" s="1"/>
  <c r="AF626" i="2"/>
  <c r="AF648" i="2"/>
  <c r="AK648" i="2" s="1"/>
  <c r="AF650" i="2"/>
  <c r="AF651" i="2"/>
  <c r="AK650" i="2" s="1"/>
  <c r="AF652" i="2"/>
  <c r="AK651" i="2" s="1"/>
  <c r="AF653" i="2"/>
  <c r="AF654" i="2"/>
  <c r="AK653" i="2" s="1"/>
  <c r="AF655" i="2"/>
  <c r="AK654" i="2" s="1"/>
  <c r="AF656" i="2"/>
  <c r="AF657" i="2"/>
  <c r="AK656" i="2" s="1"/>
  <c r="AF658" i="2"/>
  <c r="AF659" i="2"/>
  <c r="AK658" i="2" s="1"/>
  <c r="AF660" i="2"/>
  <c r="AK659" i="2" s="1"/>
  <c r="AF661" i="2"/>
  <c r="AF662" i="2"/>
  <c r="AK661" i="2" s="1"/>
  <c r="AF663" i="2"/>
  <c r="AK662" i="2" s="1"/>
  <c r="AF664" i="2"/>
  <c r="AF665" i="2"/>
  <c r="AK664" i="2" s="1"/>
  <c r="AF666" i="2"/>
  <c r="AF667" i="2"/>
  <c r="AK666" i="2" s="1"/>
  <c r="AF668" i="2"/>
  <c r="AK667" i="2" s="1"/>
  <c r="AF669" i="2"/>
  <c r="AF670" i="2"/>
  <c r="AK669" i="2" s="1"/>
  <c r="AF671" i="2"/>
  <c r="AK670" i="2" s="1"/>
  <c r="AF672" i="2"/>
  <c r="AF673" i="2"/>
  <c r="AK672" i="2" s="1"/>
  <c r="AF674" i="2"/>
  <c r="AF675" i="2"/>
  <c r="AK674" i="2" s="1"/>
  <c r="AF676" i="2"/>
  <c r="AK675" i="2" s="1"/>
  <c r="AF677" i="2"/>
  <c r="AF678" i="2"/>
  <c r="AK677" i="2" s="1"/>
  <c r="AF679" i="2"/>
  <c r="AK678" i="2" s="1"/>
  <c r="AF680" i="2"/>
  <c r="AF681" i="2"/>
  <c r="AK680" i="2" s="1"/>
  <c r="AF682" i="2"/>
  <c r="AF683" i="2"/>
  <c r="AK682" i="2" s="1"/>
  <c r="AF684" i="2"/>
  <c r="AK683" i="2" s="1"/>
  <c r="AF685" i="2"/>
  <c r="AF686" i="2"/>
  <c r="AK685" i="2" s="1"/>
  <c r="AF687" i="2"/>
  <c r="AK686" i="2" s="1"/>
  <c r="AF688" i="2"/>
  <c r="AF689" i="2"/>
  <c r="AK688" i="2" s="1"/>
  <c r="AF690" i="2"/>
  <c r="AF691" i="2"/>
  <c r="AK690" i="2" s="1"/>
  <c r="AF692" i="2"/>
  <c r="AK691" i="2" s="1"/>
  <c r="AF693" i="2"/>
  <c r="AF694" i="2"/>
  <c r="AK693" i="2" s="1"/>
  <c r="AF695" i="2"/>
  <c r="AK694" i="2" s="1"/>
  <c r="AF696" i="2"/>
  <c r="AF697" i="2"/>
  <c r="AK696" i="2" s="1"/>
  <c r="AF698" i="2"/>
  <c r="AF699" i="2"/>
  <c r="AK698" i="2" s="1"/>
  <c r="AF700" i="2"/>
  <c r="AK699" i="2" s="1"/>
  <c r="AF701" i="2"/>
  <c r="AF702" i="2"/>
  <c r="AK701" i="2" s="1"/>
  <c r="AF703" i="2"/>
  <c r="AK702" i="2" s="1"/>
  <c r="AF704" i="2"/>
  <c r="AF705" i="2"/>
  <c r="AK704" i="2" s="1"/>
  <c r="AF706" i="2"/>
  <c r="AF707" i="2"/>
  <c r="AK706" i="2" s="1"/>
  <c r="AF708" i="2"/>
  <c r="AK707" i="2" s="1"/>
  <c r="AF709" i="2"/>
  <c r="AF710" i="2"/>
  <c r="AK709" i="2" s="1"/>
  <c r="AF711" i="2"/>
  <c r="AK710" i="2" s="1"/>
  <c r="AF712" i="2"/>
  <c r="AF713" i="2"/>
  <c r="AK712" i="2" s="1"/>
  <c r="AF714" i="2"/>
  <c r="AF715" i="2"/>
  <c r="AK714" i="2" s="1"/>
  <c r="AF716" i="2"/>
  <c r="AK715" i="2" s="1"/>
  <c r="AF717" i="2"/>
  <c r="AF718" i="2"/>
  <c r="AK717" i="2" s="1"/>
  <c r="AF719" i="2"/>
  <c r="AK718" i="2" s="1"/>
  <c r="AF720" i="2"/>
  <c r="AF721" i="2"/>
  <c r="AK720" i="2" s="1"/>
  <c r="AF722" i="2"/>
  <c r="AF723" i="2"/>
  <c r="AK722" i="2" s="1"/>
  <c r="AF724" i="2"/>
  <c r="AK723" i="2" s="1"/>
  <c r="AF725" i="2"/>
  <c r="AF726" i="2"/>
  <c r="AK725" i="2" s="1"/>
  <c r="AF727" i="2"/>
  <c r="AK726" i="2" s="1"/>
  <c r="AF728" i="2"/>
  <c r="AF729" i="2"/>
  <c r="AK728" i="2" s="1"/>
  <c r="AF730" i="2"/>
  <c r="AF731" i="2"/>
  <c r="AK730" i="2" s="1"/>
  <c r="AF732" i="2"/>
  <c r="AK731" i="2" s="1"/>
  <c r="AF733" i="2"/>
  <c r="AF734" i="2"/>
  <c r="AK733" i="2" s="1"/>
  <c r="AF735" i="2"/>
  <c r="AK734" i="2" s="1"/>
  <c r="AF736" i="2"/>
  <c r="AF737" i="2"/>
  <c r="AK736" i="2" s="1"/>
  <c r="AF738" i="2"/>
  <c r="AF739" i="2"/>
  <c r="AK738" i="2" s="1"/>
  <c r="AF740" i="2"/>
  <c r="AK739" i="2" s="1"/>
  <c r="AF741" i="2"/>
  <c r="AF742" i="2"/>
  <c r="AK741" i="2" s="1"/>
  <c r="AF743" i="2"/>
  <c r="AK742" i="2" s="1"/>
  <c r="AF744" i="2"/>
  <c r="AF745" i="2"/>
  <c r="AK744" i="2" s="1"/>
  <c r="AF746" i="2"/>
  <c r="AF747" i="2"/>
  <c r="AK746" i="2" s="1"/>
  <c r="AF748" i="2"/>
  <c r="AK747" i="2" s="1"/>
  <c r="AF749" i="2"/>
  <c r="AF750" i="2"/>
  <c r="AK749" i="2" s="1"/>
  <c r="AF751" i="2"/>
  <c r="AK750" i="2" s="1"/>
  <c r="AF752" i="2"/>
  <c r="AF753" i="2"/>
  <c r="AK752" i="2" s="1"/>
  <c r="AF754" i="2"/>
  <c r="AF755" i="2"/>
  <c r="AK754" i="2" s="1"/>
  <c r="AF756" i="2"/>
  <c r="AK755" i="2" s="1"/>
  <c r="AF757" i="2"/>
  <c r="AF758" i="2"/>
  <c r="AK757" i="2" s="1"/>
  <c r="AF759" i="2"/>
  <c r="AK758" i="2" s="1"/>
  <c r="AF760" i="2"/>
  <c r="AF761" i="2"/>
  <c r="AK760" i="2" s="1"/>
  <c r="AF762" i="2"/>
  <c r="AF763" i="2"/>
  <c r="AK762" i="2" s="1"/>
  <c r="AF764" i="2"/>
  <c r="AK763" i="2" s="1"/>
  <c r="AF765" i="2"/>
  <c r="AF766" i="2"/>
  <c r="AK765" i="2" s="1"/>
  <c r="AF767" i="2"/>
  <c r="AK766" i="2" s="1"/>
  <c r="AF768" i="2"/>
  <c r="AF769" i="2"/>
  <c r="AK768" i="2" s="1"/>
  <c r="AF770" i="2"/>
  <c r="AF771" i="2"/>
  <c r="AK770" i="2" s="1"/>
  <c r="AF772" i="2"/>
  <c r="AK771" i="2" s="1"/>
  <c r="AF773" i="2"/>
  <c r="AF774" i="2"/>
  <c r="AK773" i="2" s="1"/>
  <c r="AF775" i="2"/>
  <c r="AK774" i="2" s="1"/>
  <c r="AF776" i="2"/>
  <c r="AF777" i="2"/>
  <c r="AK776" i="2" s="1"/>
  <c r="AF778" i="2"/>
  <c r="AF779" i="2"/>
  <c r="AK778" i="2" s="1"/>
  <c r="AF780" i="2"/>
  <c r="AK779" i="2" s="1"/>
  <c r="AF781" i="2"/>
  <c r="AF782" i="2"/>
  <c r="AK781" i="2" s="1"/>
  <c r="AF783" i="2"/>
  <c r="AK782" i="2" s="1"/>
  <c r="AF784" i="2"/>
  <c r="AF785" i="2"/>
  <c r="AK784" i="2" s="1"/>
  <c r="AF786" i="2"/>
  <c r="AF787" i="2"/>
  <c r="AK786" i="2" s="1"/>
  <c r="AF788" i="2"/>
  <c r="AK787" i="2" s="1"/>
  <c r="AF789" i="2"/>
  <c r="AF790" i="2"/>
  <c r="AK789" i="2" s="1"/>
  <c r="AF791" i="2"/>
  <c r="AK790" i="2" s="1"/>
  <c r="AF792" i="2"/>
  <c r="AF793" i="2"/>
  <c r="AK792" i="2" s="1"/>
  <c r="AF794" i="2"/>
  <c r="AF795" i="2"/>
  <c r="AK794" i="2" s="1"/>
  <c r="AF796" i="2"/>
  <c r="AK795" i="2" s="1"/>
  <c r="AF797" i="2"/>
  <c r="AF798" i="2"/>
  <c r="AK797" i="2" s="1"/>
  <c r="AF799" i="2"/>
  <c r="AK798" i="2" s="1"/>
  <c r="AF800" i="2"/>
  <c r="AF801" i="2"/>
  <c r="AK800" i="2" s="1"/>
  <c r="AF802" i="2"/>
  <c r="AF803" i="2"/>
  <c r="AK802" i="2" s="1"/>
  <c r="AF804" i="2"/>
  <c r="AK803" i="2" s="1"/>
  <c r="AF805" i="2"/>
  <c r="AF806" i="2"/>
  <c r="AK805" i="2" s="1"/>
  <c r="AF807" i="2"/>
  <c r="AK806" i="2" s="1"/>
  <c r="AF808" i="2"/>
  <c r="AF809" i="2"/>
  <c r="AK808" i="2" s="1"/>
  <c r="AF810" i="2"/>
  <c r="AF811" i="2"/>
  <c r="AK810" i="2" s="1"/>
  <c r="AF812" i="2"/>
  <c r="AK811" i="2" s="1"/>
  <c r="AF813" i="2"/>
  <c r="AF814" i="2"/>
  <c r="AK813" i="2" s="1"/>
  <c r="AF815" i="2"/>
  <c r="AK814" i="2" s="1"/>
  <c r="AF816" i="2"/>
  <c r="AF817" i="2"/>
  <c r="AK816" i="2" s="1"/>
  <c r="AF818" i="2"/>
  <c r="AF819" i="2"/>
  <c r="AK818" i="2" s="1"/>
  <c r="AF649" i="2"/>
  <c r="AK819" i="2" s="1"/>
  <c r="AF820" i="2"/>
  <c r="AK820" i="2" s="1"/>
  <c r="AF822" i="2"/>
  <c r="AF823" i="2"/>
  <c r="AK822" i="2" s="1"/>
  <c r="AF824" i="2"/>
  <c r="AF825" i="2"/>
  <c r="AK824" i="2" s="1"/>
  <c r="AF826" i="2"/>
  <c r="AF827" i="2"/>
  <c r="AK826" i="2" s="1"/>
  <c r="AF828" i="2"/>
  <c r="AK827" i="2" s="1"/>
  <c r="AF829" i="2"/>
  <c r="AF830" i="2"/>
  <c r="AK829" i="2" s="1"/>
  <c r="AF831" i="2"/>
  <c r="AK830" i="2" s="1"/>
  <c r="AF832" i="2"/>
  <c r="AF833" i="2"/>
  <c r="AK832" i="2" s="1"/>
  <c r="AF834" i="2"/>
  <c r="AF835" i="2"/>
  <c r="AK834" i="2" s="1"/>
  <c r="AF836" i="2"/>
  <c r="AK835" i="2" s="1"/>
  <c r="AF837" i="2"/>
  <c r="AF838" i="2"/>
  <c r="AK837" i="2" s="1"/>
  <c r="AF839" i="2"/>
  <c r="AK838" i="2" s="1"/>
  <c r="AF840" i="2"/>
  <c r="AF841" i="2"/>
  <c r="AK840" i="2" s="1"/>
  <c r="AF842" i="2"/>
  <c r="AF843" i="2"/>
  <c r="AK842" i="2" s="1"/>
  <c r="AF844" i="2"/>
  <c r="AK843" i="2" s="1"/>
  <c r="AF845" i="2"/>
  <c r="AF846" i="2"/>
  <c r="AK845" i="2" s="1"/>
  <c r="AF847" i="2"/>
  <c r="AK846" i="2" s="1"/>
  <c r="AF848" i="2"/>
  <c r="AF849" i="2"/>
  <c r="AK848" i="2" s="1"/>
  <c r="AF850" i="2"/>
  <c r="AF851" i="2"/>
  <c r="AK850" i="2" s="1"/>
  <c r="AF852" i="2"/>
  <c r="AK851" i="2" s="1"/>
  <c r="AF853" i="2"/>
  <c r="AF854" i="2"/>
  <c r="AK853" i="2" s="1"/>
  <c r="AF855" i="2"/>
  <c r="AK854" i="2" s="1"/>
  <c r="AF856" i="2"/>
  <c r="AF857" i="2"/>
  <c r="AK856" i="2" s="1"/>
  <c r="AF858" i="2"/>
  <c r="AF859" i="2"/>
  <c r="AK858" i="2" s="1"/>
  <c r="AF860" i="2"/>
  <c r="AK859" i="2" s="1"/>
  <c r="AF861" i="2"/>
  <c r="AF862" i="2"/>
  <c r="AK861" i="2" s="1"/>
  <c r="AF863" i="2"/>
  <c r="AK862" i="2" s="1"/>
  <c r="AF864" i="2"/>
  <c r="AF865" i="2"/>
  <c r="AK864" i="2" s="1"/>
  <c r="AF866" i="2"/>
  <c r="AF867" i="2"/>
  <c r="AK866" i="2" s="1"/>
  <c r="AF868" i="2"/>
  <c r="AK867" i="2" s="1"/>
  <c r="AF869" i="2"/>
  <c r="AF821" i="2"/>
  <c r="AK869" i="2" s="1"/>
  <c r="AF871" i="2"/>
  <c r="AF872" i="2"/>
  <c r="AF873" i="2"/>
  <c r="AK872" i="2" s="1"/>
  <c r="AF874" i="2"/>
  <c r="AF875" i="2"/>
  <c r="AK874" i="2" s="1"/>
  <c r="AF876" i="2"/>
  <c r="AK875" i="2" s="1"/>
  <c r="AF877" i="2"/>
  <c r="AF878" i="2"/>
  <c r="AK877" i="2" s="1"/>
  <c r="AF879" i="2"/>
  <c r="AK878" i="2" s="1"/>
  <c r="AF880" i="2"/>
  <c r="AK879" i="2" s="1"/>
  <c r="AF881" i="2"/>
  <c r="AK880" i="2" s="1"/>
  <c r="AF882" i="2"/>
  <c r="AF883" i="2"/>
  <c r="AK882" i="2" s="1"/>
  <c r="AF884" i="2"/>
  <c r="AK883" i="2" s="1"/>
  <c r="AF885" i="2"/>
  <c r="AF886" i="2"/>
  <c r="AK885" i="2" s="1"/>
  <c r="AF887" i="2"/>
  <c r="AK886" i="2" s="1"/>
  <c r="AF888" i="2"/>
  <c r="AK887" i="2" s="1"/>
  <c r="AF889" i="2"/>
  <c r="AK888" i="2" s="1"/>
  <c r="AF890" i="2"/>
  <c r="AF891" i="2"/>
  <c r="AK890" i="2" s="1"/>
  <c r="AF892" i="2"/>
  <c r="AK891" i="2" s="1"/>
  <c r="AF893" i="2"/>
  <c r="AF894" i="2"/>
  <c r="AK893" i="2" s="1"/>
  <c r="AF895" i="2"/>
  <c r="AK894" i="2" s="1"/>
  <c r="AF896" i="2"/>
  <c r="AK895" i="2" s="1"/>
  <c r="AF897" i="2"/>
  <c r="AK896" i="2" s="1"/>
  <c r="AF898" i="2"/>
  <c r="AF899" i="2"/>
  <c r="AK898" i="2" s="1"/>
  <c r="AF900" i="2"/>
  <c r="AK899" i="2" s="1"/>
  <c r="AF901" i="2"/>
  <c r="AF902" i="2"/>
  <c r="AK901" i="2" s="1"/>
  <c r="AF870" i="2"/>
  <c r="AK902" i="2" s="1"/>
  <c r="AF903" i="2"/>
  <c r="AK903" i="2" s="1"/>
  <c r="AF904" i="2"/>
  <c r="AK904" i="2" s="1"/>
  <c r="AF905" i="2"/>
  <c r="AK905" i="2" s="1"/>
  <c r="AF906" i="2"/>
  <c r="AK906" i="2" s="1"/>
  <c r="AF907" i="2"/>
  <c r="AK907" i="2" s="1"/>
  <c r="AF908" i="2"/>
  <c r="AK908" i="2" s="1"/>
  <c r="AF909" i="2"/>
  <c r="AK909" i="2" s="1"/>
  <c r="AF910" i="2"/>
  <c r="AK910" i="2" s="1"/>
  <c r="AF911" i="2"/>
  <c r="AK911" i="2" s="1"/>
  <c r="AF912" i="2"/>
  <c r="AK912" i="2" s="1"/>
  <c r="AF913" i="2"/>
  <c r="AK913" i="2" s="1"/>
  <c r="AF914" i="2"/>
  <c r="AK914" i="2" s="1"/>
  <c r="AF915" i="2"/>
  <c r="AK915" i="2" s="1"/>
  <c r="AF916" i="2"/>
  <c r="AK916" i="2" s="1"/>
  <c r="AF918" i="2"/>
  <c r="AF919" i="2"/>
  <c r="AK918" i="2" s="1"/>
  <c r="AF920" i="2"/>
  <c r="AK919" i="2" s="1"/>
  <c r="AF921" i="2"/>
  <c r="AK920" i="2" s="1"/>
  <c r="AF922" i="2"/>
  <c r="AF923" i="2"/>
  <c r="AK922" i="2" s="1"/>
  <c r="AF917" i="2"/>
  <c r="AK923" i="2" s="1"/>
  <c r="AF924" i="2"/>
  <c r="AK924" i="2" s="1"/>
  <c r="AF925" i="2"/>
  <c r="AK925" i="2" s="1"/>
  <c r="AF926" i="2"/>
  <c r="AK926" i="2" s="1"/>
  <c r="AF927" i="2"/>
  <c r="AK927" i="2" s="1"/>
  <c r="AF928" i="2"/>
  <c r="AK928" i="2" s="1"/>
  <c r="AF930" i="2"/>
  <c r="AF931" i="2"/>
  <c r="AK930" i="2" s="1"/>
  <c r="AF932" i="2"/>
  <c r="AK931" i="2" s="1"/>
  <c r="AF933" i="2"/>
  <c r="AF934" i="2"/>
  <c r="AK933" i="2" s="1"/>
  <c r="AF935" i="2"/>
  <c r="AK934" i="2" s="1"/>
  <c r="AF936" i="2"/>
  <c r="AK935" i="2" s="1"/>
  <c r="AF937" i="2"/>
  <c r="AK936" i="2" s="1"/>
  <c r="AF938" i="2"/>
  <c r="AF939" i="2"/>
  <c r="AK938" i="2" s="1"/>
  <c r="AF940" i="2"/>
  <c r="AK939" i="2" s="1"/>
  <c r="AF941" i="2"/>
  <c r="AF942" i="2"/>
  <c r="AK941" i="2" s="1"/>
  <c r="AF943" i="2"/>
  <c r="AK942" i="2" s="1"/>
  <c r="AF944" i="2"/>
  <c r="AK943" i="2" s="1"/>
  <c r="AF945" i="2"/>
  <c r="AK944" i="2" s="1"/>
  <c r="AF946" i="2"/>
  <c r="AF947" i="2"/>
  <c r="AK946" i="2" s="1"/>
  <c r="AF948" i="2"/>
  <c r="AK947" i="2" s="1"/>
  <c r="AF949" i="2"/>
  <c r="AF950" i="2"/>
  <c r="AK949" i="2" s="1"/>
  <c r="AF951" i="2"/>
  <c r="AK950" i="2" s="1"/>
  <c r="AF952" i="2"/>
  <c r="AK951" i="2" s="1"/>
  <c r="AF953" i="2"/>
  <c r="AK952" i="2" s="1"/>
  <c r="AF954" i="2"/>
  <c r="AF955" i="2"/>
  <c r="AK954" i="2" s="1"/>
  <c r="AF956" i="2"/>
  <c r="AK955" i="2" s="1"/>
  <c r="AF957" i="2"/>
  <c r="AF958" i="2"/>
  <c r="AK957" i="2" s="1"/>
  <c r="AF959" i="2"/>
  <c r="AK958" i="2" s="1"/>
  <c r="AF960" i="2"/>
  <c r="AK959" i="2" s="1"/>
  <c r="AF961" i="2"/>
  <c r="AK960" i="2" s="1"/>
  <c r="AF962" i="2"/>
  <c r="AF963" i="2"/>
  <c r="AK962" i="2" s="1"/>
  <c r="AF964" i="2"/>
  <c r="AK963" i="2" s="1"/>
  <c r="AF965" i="2"/>
  <c r="AF966" i="2"/>
  <c r="AK965" i="2" s="1"/>
  <c r="AF967" i="2"/>
  <c r="AK966" i="2" s="1"/>
  <c r="AF968" i="2"/>
  <c r="AK967" i="2" s="1"/>
  <c r="AF969" i="2"/>
  <c r="AK968" i="2" s="1"/>
  <c r="AF970" i="2"/>
  <c r="AF971" i="2"/>
  <c r="AK970" i="2" s="1"/>
  <c r="AF972" i="2"/>
  <c r="AK971" i="2" s="1"/>
  <c r="AF973" i="2"/>
  <c r="AF974" i="2"/>
  <c r="AK973" i="2" s="1"/>
  <c r="AF975" i="2"/>
  <c r="AK974" i="2" s="1"/>
  <c r="AF976" i="2"/>
  <c r="AK975" i="2" s="1"/>
  <c r="AF977" i="2"/>
  <c r="AK976" i="2" s="1"/>
  <c r="AF978" i="2"/>
  <c r="AF979" i="2"/>
  <c r="AK978" i="2" s="1"/>
  <c r="AF980" i="2"/>
  <c r="AK979" i="2" s="1"/>
  <c r="AF981" i="2"/>
  <c r="AF982" i="2"/>
  <c r="AK981" i="2" s="1"/>
  <c r="AF983" i="2"/>
  <c r="AK982" i="2" s="1"/>
  <c r="AF984" i="2"/>
  <c r="AK983" i="2" s="1"/>
  <c r="AF985" i="2"/>
  <c r="AK984" i="2" s="1"/>
  <c r="AF986" i="2"/>
  <c r="AF987" i="2"/>
  <c r="AK986" i="2" s="1"/>
  <c r="AF988" i="2"/>
  <c r="AK987" i="2" s="1"/>
  <c r="AF989" i="2"/>
  <c r="AF990" i="2"/>
  <c r="AK989" i="2" s="1"/>
  <c r="AF991" i="2"/>
  <c r="AK990" i="2" s="1"/>
  <c r="AF992" i="2"/>
  <c r="AK991" i="2" s="1"/>
  <c r="AF993" i="2"/>
  <c r="AK992" i="2" s="1"/>
  <c r="AF994" i="2"/>
  <c r="AF995" i="2"/>
  <c r="AK994" i="2" s="1"/>
  <c r="AF996" i="2"/>
  <c r="AK995" i="2" s="1"/>
  <c r="AF997" i="2"/>
  <c r="AF998" i="2"/>
  <c r="AK997" i="2" s="1"/>
  <c r="AF999" i="2"/>
  <c r="AK998" i="2" s="1"/>
  <c r="AF1000" i="2"/>
  <c r="AK999" i="2" s="1"/>
  <c r="AF1001" i="2"/>
  <c r="AK1000" i="2" s="1"/>
  <c r="AF1002" i="2"/>
  <c r="AF1003" i="2"/>
  <c r="AK1002" i="2" s="1"/>
  <c r="AF1004" i="2"/>
  <c r="AK1003" i="2" s="1"/>
  <c r="AF1005" i="2"/>
  <c r="AF1006" i="2"/>
  <c r="AK1005" i="2" s="1"/>
  <c r="AF1007" i="2"/>
  <c r="AK1006" i="2" s="1"/>
  <c r="AF1008" i="2"/>
  <c r="AK1007" i="2" s="1"/>
  <c r="AF1009" i="2"/>
  <c r="AK1008" i="2" s="1"/>
  <c r="AF1010" i="2"/>
  <c r="AF1011" i="2"/>
  <c r="AK1010" i="2" s="1"/>
  <c r="AF1012" i="2"/>
  <c r="AK1011" i="2" s="1"/>
  <c r="AF1013" i="2"/>
  <c r="AF1014" i="2"/>
  <c r="AK1013" i="2" s="1"/>
  <c r="AF1015" i="2"/>
  <c r="AK1014" i="2" s="1"/>
  <c r="AF1016" i="2"/>
  <c r="AK1015" i="2" s="1"/>
  <c r="AF1017" i="2"/>
  <c r="AK1016" i="2" s="1"/>
  <c r="AF1018" i="2"/>
  <c r="AF1019" i="2"/>
  <c r="AK1018" i="2" s="1"/>
  <c r="AF1020" i="2"/>
  <c r="AK1019" i="2" s="1"/>
  <c r="AF1021" i="2"/>
  <c r="AF1022" i="2"/>
  <c r="AK1021" i="2" s="1"/>
  <c r="AF1023" i="2"/>
  <c r="AK1022" i="2" s="1"/>
  <c r="AF1024" i="2"/>
  <c r="AK1023" i="2" s="1"/>
  <c r="AF929" i="2"/>
  <c r="AK1024" i="2" s="1"/>
  <c r="AF1025" i="2"/>
  <c r="AK1025" i="2" s="1"/>
  <c r="AF1026" i="2"/>
  <c r="AK1026" i="2" s="1"/>
  <c r="AF1027" i="2"/>
  <c r="AK1027" i="2" s="1"/>
  <c r="AF1028" i="2"/>
  <c r="AK1028" i="2" s="1"/>
  <c r="AF1029" i="2"/>
  <c r="AK1029" i="2" s="1"/>
  <c r="AF1030" i="2"/>
  <c r="AK1030" i="2" s="1"/>
  <c r="AF1032" i="2"/>
  <c r="AK1031" i="2" s="1"/>
  <c r="AF1033" i="2"/>
  <c r="AK1032" i="2" s="1"/>
  <c r="AF1034" i="2"/>
  <c r="AF1035" i="2"/>
  <c r="AK1034" i="2" s="1"/>
  <c r="AF1036" i="2"/>
  <c r="AK1035" i="2" s="1"/>
  <c r="AF1037" i="2"/>
  <c r="AF1038" i="2"/>
  <c r="AK1037" i="2" s="1"/>
  <c r="AF1039" i="2"/>
  <c r="AK1038" i="2" s="1"/>
  <c r="AF1040" i="2"/>
  <c r="AK1039" i="2" s="1"/>
  <c r="AF1041" i="2"/>
  <c r="AK1040" i="2" s="1"/>
  <c r="AF1042" i="2"/>
  <c r="AF1043" i="2"/>
  <c r="AK1042" i="2" s="1"/>
  <c r="AF1044" i="2"/>
  <c r="AK1043" i="2" s="1"/>
  <c r="AF1045" i="2"/>
  <c r="AF1046" i="2"/>
  <c r="AK1045" i="2" s="1"/>
  <c r="AF1047" i="2"/>
  <c r="AK1046" i="2" s="1"/>
  <c r="AF1048" i="2"/>
  <c r="AK1047" i="2" s="1"/>
  <c r="AF1049" i="2"/>
  <c r="AK1048" i="2" s="1"/>
  <c r="AF1050" i="2"/>
  <c r="AF1051" i="2"/>
  <c r="AK1050" i="2" s="1"/>
  <c r="AF1052" i="2"/>
  <c r="AK1051" i="2" s="1"/>
  <c r="AF1053" i="2"/>
  <c r="AF1054" i="2"/>
  <c r="AK1053" i="2" s="1"/>
  <c r="AF1055" i="2"/>
  <c r="AK1054" i="2" s="1"/>
  <c r="AF1056" i="2"/>
  <c r="AK1055" i="2" s="1"/>
  <c r="AF1057" i="2"/>
  <c r="AK1056" i="2" s="1"/>
  <c r="AF1058" i="2"/>
  <c r="AF1059" i="2"/>
  <c r="AK1058" i="2" s="1"/>
  <c r="AF1060" i="2"/>
  <c r="AK1059" i="2" s="1"/>
  <c r="AF1061" i="2"/>
  <c r="AF1062" i="2"/>
  <c r="AK1061" i="2" s="1"/>
  <c r="AF1063" i="2"/>
  <c r="AK1062" i="2" s="1"/>
  <c r="AF1064" i="2"/>
  <c r="AK1063" i="2" s="1"/>
  <c r="AF1065" i="2"/>
  <c r="AK1064" i="2" s="1"/>
  <c r="AF1066" i="2"/>
  <c r="AF1067" i="2"/>
  <c r="AK1066" i="2" s="1"/>
  <c r="AF1068" i="2"/>
  <c r="AK1067" i="2" s="1"/>
  <c r="AF1069" i="2"/>
  <c r="AF1070" i="2"/>
  <c r="AK1069" i="2" s="1"/>
  <c r="AF1071" i="2"/>
  <c r="AK1070" i="2" s="1"/>
  <c r="AF1072" i="2"/>
  <c r="AK1071" i="2" s="1"/>
  <c r="AF1073" i="2"/>
  <c r="AK1072" i="2" s="1"/>
  <c r="AF1074" i="2"/>
  <c r="AF1075" i="2"/>
  <c r="AK1074" i="2" s="1"/>
  <c r="AF1076" i="2"/>
  <c r="AK1075" i="2" s="1"/>
  <c r="AF1077" i="2"/>
  <c r="AF1078" i="2"/>
  <c r="AK1077" i="2" s="1"/>
  <c r="AF1079" i="2"/>
  <c r="AK1078" i="2" s="1"/>
  <c r="AF1080" i="2"/>
  <c r="AK1079" i="2" s="1"/>
  <c r="AF1081" i="2"/>
  <c r="AK1080" i="2" s="1"/>
  <c r="AF1082" i="2"/>
  <c r="AF1083" i="2"/>
  <c r="AK1082" i="2" s="1"/>
  <c r="AF1084" i="2"/>
  <c r="AK1083" i="2" s="1"/>
  <c r="AF1085" i="2"/>
  <c r="AF1086" i="2"/>
  <c r="AK1085" i="2" s="1"/>
  <c r="AF1087" i="2"/>
  <c r="AK1086" i="2" s="1"/>
  <c r="AF1088" i="2"/>
  <c r="AK1087" i="2" s="1"/>
  <c r="AF1089" i="2"/>
  <c r="AK1088" i="2" s="1"/>
  <c r="AF1090" i="2"/>
  <c r="AF1091" i="2"/>
  <c r="AK1090" i="2" s="1"/>
  <c r="AF1092" i="2"/>
  <c r="AK1091" i="2" s="1"/>
  <c r="AF1093" i="2"/>
  <c r="AF1094" i="2"/>
  <c r="AK1093" i="2" s="1"/>
  <c r="AF1095" i="2"/>
  <c r="AK1094" i="2" s="1"/>
  <c r="AF1096" i="2"/>
  <c r="AK1095" i="2" s="1"/>
  <c r="AF1097" i="2"/>
  <c r="AK1096" i="2" s="1"/>
  <c r="AF1098" i="2"/>
  <c r="AF1099" i="2"/>
  <c r="AK1098" i="2" s="1"/>
  <c r="AF1100" i="2"/>
  <c r="AK1099" i="2" s="1"/>
  <c r="AF1101" i="2"/>
  <c r="AF1102" i="2"/>
  <c r="AK1101" i="2" s="1"/>
  <c r="AF1103" i="2"/>
  <c r="AK1102" i="2" s="1"/>
  <c r="AF1104" i="2"/>
  <c r="AK1103" i="2" s="1"/>
  <c r="AF1105" i="2"/>
  <c r="AK1104" i="2" s="1"/>
  <c r="AF1106" i="2"/>
  <c r="AF1107" i="2"/>
  <c r="AK1106" i="2" s="1"/>
  <c r="AF1108" i="2"/>
  <c r="AK1107" i="2" s="1"/>
  <c r="AF1109" i="2"/>
  <c r="AF1110" i="2"/>
  <c r="AK1109" i="2" s="1"/>
  <c r="AF1111" i="2"/>
  <c r="AK1110" i="2" s="1"/>
  <c r="AF1112" i="2"/>
  <c r="AK1111" i="2" s="1"/>
  <c r="AF1113" i="2"/>
  <c r="AK1112" i="2" s="1"/>
  <c r="AF1114" i="2"/>
  <c r="AF1115" i="2"/>
  <c r="AK1114" i="2" s="1"/>
  <c r="AF1116" i="2"/>
  <c r="AK1115" i="2" s="1"/>
  <c r="AF1117" i="2"/>
  <c r="AF1118" i="2"/>
  <c r="AK1117" i="2" s="1"/>
  <c r="AF1119" i="2"/>
  <c r="AK1118" i="2" s="1"/>
  <c r="AF1120" i="2"/>
  <c r="AK1119" i="2" s="1"/>
  <c r="AF1121" i="2"/>
  <c r="AK1120" i="2" s="1"/>
  <c r="AF1122" i="2"/>
  <c r="AF1123" i="2"/>
  <c r="AK1122" i="2" s="1"/>
  <c r="AF1124" i="2"/>
  <c r="AK1123" i="2" s="1"/>
  <c r="AF1125" i="2"/>
  <c r="AF1126" i="2"/>
  <c r="AK1125" i="2" s="1"/>
  <c r="AF1127" i="2"/>
  <c r="AK1126" i="2" s="1"/>
  <c r="AF1128" i="2"/>
  <c r="AK1127" i="2" s="1"/>
  <c r="AF1129" i="2"/>
  <c r="AK1128" i="2" s="1"/>
  <c r="AF1130" i="2"/>
  <c r="AF1131" i="2"/>
  <c r="AK1130" i="2" s="1"/>
  <c r="AF1132" i="2"/>
  <c r="AK1131" i="2" s="1"/>
  <c r="AF1133" i="2"/>
  <c r="AF1134" i="2"/>
  <c r="AK1133" i="2" s="1"/>
  <c r="AF1135" i="2"/>
  <c r="AK1134" i="2" s="1"/>
  <c r="AF1136" i="2"/>
  <c r="AK1135" i="2" s="1"/>
  <c r="AF1137" i="2"/>
  <c r="AK1136" i="2" s="1"/>
  <c r="AF1138" i="2"/>
  <c r="AF1139" i="2"/>
  <c r="AK1138" i="2" s="1"/>
  <c r="AF1140" i="2"/>
  <c r="AK1139" i="2" s="1"/>
  <c r="AF1141" i="2"/>
  <c r="AF1142" i="2"/>
  <c r="AK1141" i="2" s="1"/>
  <c r="AF1143" i="2"/>
  <c r="AK1142" i="2" s="1"/>
  <c r="AF1144" i="2"/>
  <c r="AK1143" i="2" s="1"/>
  <c r="AF1145" i="2"/>
  <c r="AK1144" i="2" s="1"/>
  <c r="AF1146" i="2"/>
  <c r="AF1147" i="2"/>
  <c r="AK1146" i="2" s="1"/>
  <c r="AF1148" i="2"/>
  <c r="AK1147" i="2" s="1"/>
  <c r="AF1149" i="2"/>
  <c r="AF1150" i="2"/>
  <c r="AK1149" i="2" s="1"/>
  <c r="AF1151" i="2"/>
  <c r="AK1150" i="2" s="1"/>
  <c r="AF1152" i="2"/>
  <c r="AK1151" i="2" s="1"/>
  <c r="AF1153" i="2"/>
  <c r="AK1152" i="2" s="1"/>
  <c r="AF1154" i="2"/>
  <c r="AF1155" i="2"/>
  <c r="AK1154" i="2" s="1"/>
  <c r="AF1031" i="2"/>
  <c r="AK1155" i="2" s="1"/>
  <c r="AF1156" i="2"/>
  <c r="AK1156" i="2" s="1"/>
  <c r="AF1157" i="2"/>
  <c r="AK1157" i="2" s="1"/>
  <c r="AF1159" i="2"/>
  <c r="AF1160" i="2"/>
  <c r="AK1159" i="2" s="1"/>
  <c r="AF1161" i="2"/>
  <c r="AK1160" i="2" s="1"/>
  <c r="AF1162" i="2"/>
  <c r="AF1163" i="2"/>
  <c r="AK1162" i="2" s="1"/>
  <c r="AF1164" i="2"/>
  <c r="AK1163" i="2" s="1"/>
  <c r="AF1165" i="2"/>
  <c r="AF1166" i="2"/>
  <c r="AK1165" i="2" s="1"/>
  <c r="AF1167" i="2"/>
  <c r="AK1166" i="2" s="1"/>
  <c r="AF1168" i="2"/>
  <c r="AK1167" i="2" s="1"/>
  <c r="AF1169" i="2"/>
  <c r="AK1168" i="2" s="1"/>
  <c r="AF1170" i="2"/>
  <c r="AF1171" i="2"/>
  <c r="AK1170" i="2" s="1"/>
  <c r="AF1172" i="2"/>
  <c r="AK1171" i="2" s="1"/>
  <c r="AF1173" i="2"/>
  <c r="AF1174" i="2"/>
  <c r="AK1173" i="2" s="1"/>
  <c r="AF1175" i="2"/>
  <c r="AK1174" i="2" s="1"/>
  <c r="AF1176" i="2"/>
  <c r="AK1175" i="2" s="1"/>
  <c r="AF1177" i="2"/>
  <c r="AK1176" i="2" s="1"/>
  <c r="AF1178" i="2"/>
  <c r="AF1179" i="2"/>
  <c r="AK1178" i="2" s="1"/>
  <c r="AF1180" i="2"/>
  <c r="AK1179" i="2" s="1"/>
  <c r="AF1181" i="2"/>
  <c r="AF1182" i="2"/>
  <c r="AK1181" i="2" s="1"/>
  <c r="AF1183" i="2"/>
  <c r="AK1182" i="2" s="1"/>
  <c r="AF1184" i="2"/>
  <c r="AK1183" i="2" s="1"/>
  <c r="AF1185" i="2"/>
  <c r="AK1184" i="2" s="1"/>
  <c r="AF1186" i="2"/>
  <c r="AF1187" i="2"/>
  <c r="AK1186" i="2" s="1"/>
  <c r="AF1188" i="2"/>
  <c r="AK1187" i="2" s="1"/>
  <c r="AF1189" i="2"/>
  <c r="AF1190" i="2"/>
  <c r="AK1189" i="2" s="1"/>
  <c r="AF1191" i="2"/>
  <c r="AK1190" i="2" s="1"/>
  <c r="AF1192" i="2"/>
  <c r="AK1191" i="2" s="1"/>
  <c r="AF1193" i="2"/>
  <c r="AK1192" i="2" s="1"/>
  <c r="AF1194" i="2"/>
  <c r="AF1195" i="2"/>
  <c r="AK1194" i="2" s="1"/>
  <c r="AF1196" i="2"/>
  <c r="AK1195" i="2" s="1"/>
  <c r="AF1197" i="2"/>
  <c r="AF1198" i="2"/>
  <c r="AK1197" i="2" s="1"/>
  <c r="AF1199" i="2"/>
  <c r="AK1198" i="2" s="1"/>
  <c r="AF1200" i="2"/>
  <c r="AK1199" i="2" s="1"/>
  <c r="AF1201" i="2"/>
  <c r="AK1200" i="2" s="1"/>
  <c r="AF1202" i="2"/>
  <c r="AF1203" i="2"/>
  <c r="AK1202" i="2" s="1"/>
  <c r="AF1204" i="2"/>
  <c r="AK1203" i="2" s="1"/>
  <c r="AF1205" i="2"/>
  <c r="AF1206" i="2"/>
  <c r="AK1205" i="2" s="1"/>
  <c r="AF1207" i="2"/>
  <c r="AK1206" i="2" s="1"/>
  <c r="AF1208" i="2"/>
  <c r="AK1207" i="2" s="1"/>
  <c r="AF1209" i="2"/>
  <c r="AK1208" i="2" s="1"/>
  <c r="AF1210" i="2"/>
  <c r="AF1211" i="2"/>
  <c r="AK1210" i="2" s="1"/>
  <c r="AF1212" i="2"/>
  <c r="AK1211" i="2" s="1"/>
  <c r="AF1213" i="2"/>
  <c r="AF1214" i="2"/>
  <c r="AK1213" i="2" s="1"/>
  <c r="AF1215" i="2"/>
  <c r="AK1214" i="2" s="1"/>
  <c r="AF1216" i="2"/>
  <c r="AK1215" i="2" s="1"/>
  <c r="AF1217" i="2"/>
  <c r="AK1216" i="2" s="1"/>
  <c r="AF1218" i="2"/>
  <c r="AF1219" i="2"/>
  <c r="AK1218" i="2" s="1"/>
  <c r="AF1220" i="2"/>
  <c r="AK1219" i="2" s="1"/>
  <c r="AF1221" i="2"/>
  <c r="AF1222" i="2"/>
  <c r="AK1221" i="2" s="1"/>
  <c r="AF1223" i="2"/>
  <c r="AK1222" i="2" s="1"/>
  <c r="AF1224" i="2"/>
  <c r="AK1223" i="2" s="1"/>
  <c r="AF1225" i="2"/>
  <c r="AK1224" i="2" s="1"/>
  <c r="AF1226" i="2"/>
  <c r="AF1227" i="2"/>
  <c r="AK1226" i="2" s="1"/>
  <c r="AF1228" i="2"/>
  <c r="AK1227" i="2" s="1"/>
  <c r="AF1229" i="2"/>
  <c r="AF1230" i="2"/>
  <c r="AK1229" i="2" s="1"/>
  <c r="AF1231" i="2"/>
  <c r="AK1230" i="2" s="1"/>
  <c r="AF1232" i="2"/>
  <c r="AK1231" i="2" s="1"/>
  <c r="AF1233" i="2"/>
  <c r="AK1232" i="2" s="1"/>
  <c r="AF1234" i="2"/>
  <c r="AF1235" i="2"/>
  <c r="AK1234" i="2" s="1"/>
  <c r="AF1236" i="2"/>
  <c r="AK1235" i="2" s="1"/>
  <c r="AF1237" i="2"/>
  <c r="AF1238" i="2"/>
  <c r="AK1237" i="2" s="1"/>
  <c r="AF1239" i="2"/>
  <c r="AK1238" i="2" s="1"/>
  <c r="AF1240" i="2"/>
  <c r="AK1239" i="2" s="1"/>
  <c r="AF1241" i="2"/>
  <c r="AK1240" i="2" s="1"/>
  <c r="AF1242" i="2"/>
  <c r="AF1243" i="2"/>
  <c r="AK1242" i="2" s="1"/>
  <c r="AF1244" i="2"/>
  <c r="AK1243" i="2" s="1"/>
  <c r="AF1245" i="2"/>
  <c r="AF1246" i="2"/>
  <c r="AK1245" i="2" s="1"/>
  <c r="AF1247" i="2"/>
  <c r="AK1246" i="2" s="1"/>
  <c r="AF1248" i="2"/>
  <c r="AK1247" i="2" s="1"/>
  <c r="AF1249" i="2"/>
  <c r="AK1248" i="2" s="1"/>
  <c r="AF1250" i="2"/>
  <c r="AF1251" i="2"/>
  <c r="AK1250" i="2" s="1"/>
  <c r="AF1252" i="2"/>
  <c r="AK1251" i="2" s="1"/>
  <c r="AF1253" i="2"/>
  <c r="AF1254" i="2"/>
  <c r="AK1253" i="2" s="1"/>
  <c r="AF1255" i="2"/>
  <c r="AK1254" i="2" s="1"/>
  <c r="AF1256" i="2"/>
  <c r="AK1255" i="2" s="1"/>
  <c r="AF1257" i="2"/>
  <c r="AK1256" i="2" s="1"/>
  <c r="AF1258" i="2"/>
  <c r="AF1259" i="2"/>
  <c r="AK1258" i="2" s="1"/>
  <c r="AF1260" i="2"/>
  <c r="AK1259" i="2" s="1"/>
  <c r="AF1261" i="2"/>
  <c r="AF1262" i="2"/>
  <c r="AK1261" i="2" s="1"/>
  <c r="AF1263" i="2"/>
  <c r="AK1262" i="2" s="1"/>
  <c r="AF1264" i="2"/>
  <c r="AK1263" i="2" s="1"/>
  <c r="AF1265" i="2"/>
  <c r="AK1264" i="2" s="1"/>
  <c r="AF1266" i="2"/>
  <c r="AF1267" i="2"/>
  <c r="AK1266" i="2" s="1"/>
  <c r="AF1268" i="2"/>
  <c r="AK1267" i="2" s="1"/>
  <c r="AF1269" i="2"/>
  <c r="AF1270" i="2"/>
  <c r="AK1269" i="2" s="1"/>
  <c r="AF1271" i="2"/>
  <c r="AK1270" i="2" s="1"/>
  <c r="AF1272" i="2"/>
  <c r="AK1271" i="2" s="1"/>
  <c r="AF1273" i="2"/>
  <c r="AK1272" i="2" s="1"/>
  <c r="AF1274" i="2"/>
  <c r="AF1275" i="2"/>
  <c r="AK1274" i="2" s="1"/>
  <c r="AF1276" i="2"/>
  <c r="AK1275" i="2" s="1"/>
  <c r="AF1277" i="2"/>
  <c r="AF1278" i="2"/>
  <c r="AK1277" i="2" s="1"/>
  <c r="AF1279" i="2"/>
  <c r="AK1278" i="2" s="1"/>
  <c r="AF1280" i="2"/>
  <c r="AK1279" i="2" s="1"/>
  <c r="AF1281" i="2"/>
  <c r="AK1280" i="2" s="1"/>
  <c r="AF1282" i="2"/>
  <c r="AF1283" i="2"/>
  <c r="AK1282" i="2" s="1"/>
  <c r="AF1284" i="2"/>
  <c r="AK1283" i="2" s="1"/>
  <c r="AF1285" i="2"/>
  <c r="AF1286" i="2"/>
  <c r="AK1285" i="2" s="1"/>
  <c r="AF1287" i="2"/>
  <c r="AK1286" i="2" s="1"/>
  <c r="AF1158" i="2"/>
  <c r="AK1287" i="2" s="1"/>
  <c r="AF1289" i="2"/>
  <c r="AK1288" i="2" s="1"/>
  <c r="AF1290" i="2"/>
  <c r="AF1291" i="2"/>
  <c r="AK1290" i="2" s="1"/>
  <c r="AF1292" i="2"/>
  <c r="AK1291" i="2" s="1"/>
  <c r="AF1293" i="2"/>
  <c r="AF1294" i="2"/>
  <c r="AK1293" i="2" s="1"/>
  <c r="AF1295" i="2"/>
  <c r="AK1294" i="2" s="1"/>
  <c r="AF1296" i="2"/>
  <c r="AK1295" i="2" s="1"/>
  <c r="AF1297" i="2"/>
  <c r="AK1296" i="2" s="1"/>
  <c r="AF1298" i="2"/>
  <c r="AF1299" i="2"/>
  <c r="AK1298" i="2" s="1"/>
  <c r="AF1300" i="2"/>
  <c r="AK1299" i="2" s="1"/>
  <c r="AF1301" i="2"/>
  <c r="AF1302" i="2"/>
  <c r="AK1301" i="2" s="1"/>
  <c r="AF1303" i="2"/>
  <c r="AK1302" i="2" s="1"/>
  <c r="AF1304" i="2"/>
  <c r="AK1303" i="2" s="1"/>
  <c r="AF1305" i="2"/>
  <c r="AK1304" i="2" s="1"/>
  <c r="AF1306" i="2"/>
  <c r="AF1307" i="2"/>
  <c r="AK1306" i="2" s="1"/>
  <c r="AF1308" i="2"/>
  <c r="AK1307" i="2" s="1"/>
  <c r="AF1309" i="2"/>
  <c r="AF1310" i="2"/>
  <c r="AK1309" i="2" s="1"/>
  <c r="AF1311" i="2"/>
  <c r="AK1310" i="2" s="1"/>
  <c r="AF1312" i="2"/>
  <c r="AK1311" i="2" s="1"/>
  <c r="AF1313" i="2"/>
  <c r="AK1312" i="2" s="1"/>
  <c r="AF1314" i="2"/>
  <c r="AF1315" i="2"/>
  <c r="AK1314" i="2" s="1"/>
  <c r="AF1316" i="2"/>
  <c r="AK1315" i="2" s="1"/>
  <c r="AF1317" i="2"/>
  <c r="AF1318" i="2"/>
  <c r="AK1317" i="2" s="1"/>
  <c r="AF1319" i="2"/>
  <c r="AK1318" i="2" s="1"/>
  <c r="AF1320" i="2"/>
  <c r="AK1319" i="2" s="1"/>
  <c r="AF1321" i="2"/>
  <c r="AK1320" i="2" s="1"/>
  <c r="AF1322" i="2"/>
  <c r="AF1323" i="2"/>
  <c r="AK1322" i="2" s="1"/>
  <c r="AF1324" i="2"/>
  <c r="AK1323" i="2" s="1"/>
  <c r="AF1325" i="2"/>
  <c r="AF1326" i="2"/>
  <c r="AK1325" i="2" s="1"/>
  <c r="AF1327" i="2"/>
  <c r="AK1326" i="2" s="1"/>
  <c r="AF1328" i="2"/>
  <c r="AK1327" i="2" s="1"/>
  <c r="AF1329" i="2"/>
  <c r="AK1328" i="2" s="1"/>
  <c r="AF1330" i="2"/>
  <c r="AF1331" i="2"/>
  <c r="AK1330" i="2" s="1"/>
  <c r="AF1332" i="2"/>
  <c r="AK1331" i="2" s="1"/>
  <c r="AF1333" i="2"/>
  <c r="AF1334" i="2"/>
  <c r="AK1333" i="2" s="1"/>
  <c r="AF1335" i="2"/>
  <c r="AK1334" i="2" s="1"/>
  <c r="AF1336" i="2"/>
  <c r="AK1335" i="2" s="1"/>
  <c r="AF1337" i="2"/>
  <c r="AK1336" i="2" s="1"/>
  <c r="AF1338" i="2"/>
  <c r="AF1339" i="2"/>
  <c r="AK1338" i="2" s="1"/>
  <c r="AF1340" i="2"/>
  <c r="AK1339" i="2" s="1"/>
  <c r="AF1341" i="2"/>
  <c r="AF1342" i="2"/>
  <c r="AK1341" i="2" s="1"/>
  <c r="AF1343" i="2"/>
  <c r="AK1342" i="2" s="1"/>
  <c r="AF1344" i="2"/>
  <c r="AK1343" i="2" s="1"/>
  <c r="AF1345" i="2"/>
  <c r="AK1344" i="2" s="1"/>
  <c r="AF1346" i="2"/>
  <c r="AF1347" i="2"/>
  <c r="AK1346" i="2" s="1"/>
  <c r="AF1348" i="2"/>
  <c r="AK1347" i="2" s="1"/>
  <c r="AF1349" i="2"/>
  <c r="AF1350" i="2"/>
  <c r="AK1349" i="2" s="1"/>
  <c r="AF1351" i="2"/>
  <c r="AK1350" i="2" s="1"/>
  <c r="AF1352" i="2"/>
  <c r="AK1351" i="2" s="1"/>
  <c r="AF1353" i="2"/>
  <c r="AK1352" i="2" s="1"/>
  <c r="AF1354" i="2"/>
  <c r="AF1355" i="2"/>
  <c r="AK1354" i="2" s="1"/>
  <c r="AF1356" i="2"/>
  <c r="AK1355" i="2" s="1"/>
  <c r="AF1357" i="2"/>
  <c r="AF1358" i="2"/>
  <c r="AK1357" i="2" s="1"/>
  <c r="AF1359" i="2"/>
  <c r="AK1358" i="2" s="1"/>
  <c r="AF1360" i="2"/>
  <c r="AK1359" i="2" s="1"/>
  <c r="AF1361" i="2"/>
  <c r="AK1360" i="2" s="1"/>
  <c r="AF1362" i="2"/>
  <c r="AF1363" i="2"/>
  <c r="AK1362" i="2" s="1"/>
  <c r="AF1364" i="2"/>
  <c r="AK1363" i="2" s="1"/>
  <c r="AF1365" i="2"/>
  <c r="AF1366" i="2"/>
  <c r="AK1365" i="2" s="1"/>
  <c r="AF1367" i="2"/>
  <c r="AK1366" i="2" s="1"/>
  <c r="AF1368" i="2"/>
  <c r="AK1367" i="2" s="1"/>
  <c r="AF1369" i="2"/>
  <c r="AK1368" i="2" s="1"/>
  <c r="AF1370" i="2"/>
  <c r="AF1371" i="2"/>
  <c r="AK1370" i="2" s="1"/>
  <c r="AF1372" i="2"/>
  <c r="AK1371" i="2" s="1"/>
  <c r="AF1373" i="2"/>
  <c r="AF1374" i="2"/>
  <c r="AK1373" i="2" s="1"/>
  <c r="AF1375" i="2"/>
  <c r="AK1374" i="2" s="1"/>
  <c r="AF1376" i="2"/>
  <c r="AK1375" i="2" s="1"/>
  <c r="AF1377" i="2"/>
  <c r="AK1376" i="2" s="1"/>
  <c r="AF1378" i="2"/>
  <c r="AF1379" i="2"/>
  <c r="AK1378" i="2" s="1"/>
  <c r="AF1380" i="2"/>
  <c r="AK1379" i="2" s="1"/>
  <c r="AF1381" i="2"/>
  <c r="AF1382" i="2"/>
  <c r="AK1381" i="2" s="1"/>
  <c r="AF1383" i="2"/>
  <c r="AK1382" i="2" s="1"/>
  <c r="AF1384" i="2"/>
  <c r="AK1383" i="2" s="1"/>
  <c r="AF1385" i="2"/>
  <c r="AK1384" i="2" s="1"/>
  <c r="AF1386" i="2"/>
  <c r="AF1387" i="2"/>
  <c r="AK1386" i="2" s="1"/>
  <c r="AF1388" i="2"/>
  <c r="AK1387" i="2" s="1"/>
  <c r="AF1389" i="2"/>
  <c r="AF1390" i="2"/>
  <c r="AK1389" i="2" s="1"/>
  <c r="AF1391" i="2"/>
  <c r="AK1390" i="2" s="1"/>
  <c r="AF1392" i="2"/>
  <c r="AK1391" i="2" s="1"/>
  <c r="AF1393" i="2"/>
  <c r="AK1392" i="2" s="1"/>
  <c r="AF1394" i="2"/>
  <c r="AF1395" i="2"/>
  <c r="AK1394" i="2" s="1"/>
  <c r="AF1396" i="2"/>
  <c r="AK1395" i="2" s="1"/>
  <c r="AF1397" i="2"/>
  <c r="AF1398" i="2"/>
  <c r="AK1397" i="2" s="1"/>
  <c r="AF1399" i="2"/>
  <c r="AK1398" i="2" s="1"/>
  <c r="AF1400" i="2"/>
  <c r="AK1399" i="2" s="1"/>
  <c r="AF1401" i="2"/>
  <c r="AK1400" i="2" s="1"/>
  <c r="AF1402" i="2"/>
  <c r="AF1403" i="2"/>
  <c r="AK1402" i="2" s="1"/>
  <c r="AF1404" i="2"/>
  <c r="AK1403" i="2" s="1"/>
  <c r="AF1405" i="2"/>
  <c r="AF1406" i="2"/>
  <c r="AK1405" i="2" s="1"/>
  <c r="AF1407" i="2"/>
  <c r="AK1406" i="2" s="1"/>
  <c r="AF1408" i="2"/>
  <c r="AK1407" i="2" s="1"/>
  <c r="AF1409" i="2"/>
  <c r="AK1408" i="2" s="1"/>
  <c r="AF1410" i="2"/>
  <c r="AF1411" i="2"/>
  <c r="AK1410" i="2" s="1"/>
  <c r="AF1412" i="2"/>
  <c r="AK1411" i="2" s="1"/>
  <c r="AF1413" i="2"/>
  <c r="AF1414" i="2"/>
  <c r="AK1413" i="2" s="1"/>
  <c r="AF1415" i="2"/>
  <c r="AK1414" i="2" s="1"/>
  <c r="AF1416" i="2"/>
  <c r="AK1415" i="2" s="1"/>
  <c r="AF1417" i="2"/>
  <c r="AK1416" i="2" s="1"/>
  <c r="AF1418" i="2"/>
  <c r="AF1419" i="2"/>
  <c r="AK1418" i="2" s="1"/>
  <c r="AF1420" i="2"/>
  <c r="AK1419" i="2" s="1"/>
  <c r="AF1421" i="2"/>
  <c r="AF1422" i="2"/>
  <c r="AK1421" i="2" s="1"/>
  <c r="AF1423" i="2"/>
  <c r="AK1422" i="2" s="1"/>
  <c r="AF1424" i="2"/>
  <c r="AK1423" i="2" s="1"/>
  <c r="AF1425" i="2"/>
  <c r="AK1424" i="2" s="1"/>
  <c r="AF1426" i="2"/>
  <c r="AF1288" i="2"/>
  <c r="AK1426" i="2" s="1"/>
  <c r="AF1427" i="2"/>
  <c r="AK1427" i="2" s="1"/>
  <c r="AF1428" i="2"/>
  <c r="AK1428" i="2" s="1"/>
  <c r="AF1429" i="2"/>
  <c r="AK1429" i="2" s="1"/>
  <c r="AF1430" i="2"/>
  <c r="AK1430" i="2" s="1"/>
  <c r="AF1431" i="2"/>
  <c r="AK1431" i="2" s="1"/>
  <c r="AF1432" i="2"/>
  <c r="AK1432" i="2" s="1"/>
  <c r="AF1433" i="2"/>
  <c r="AK1433" i="2" s="1"/>
  <c r="AF1434" i="2"/>
  <c r="AK1434" i="2" s="1"/>
  <c r="AF1435" i="2"/>
  <c r="AK1435" i="2" s="1"/>
  <c r="AF1436" i="2"/>
  <c r="AK1436" i="2" s="1"/>
  <c r="AF1438" i="2"/>
  <c r="AF1439" i="2"/>
  <c r="AK1438" i="2" s="1"/>
  <c r="AF1440" i="2"/>
  <c r="AK1439" i="2" s="1"/>
  <c r="AF1441" i="2"/>
  <c r="AK1440" i="2" s="1"/>
  <c r="AF1442" i="2"/>
  <c r="AF1443" i="2"/>
  <c r="AK1442" i="2" s="1"/>
  <c r="AF1444" i="2"/>
  <c r="AK1443" i="2" s="1"/>
  <c r="AF1445" i="2"/>
  <c r="AF1446" i="2"/>
  <c r="AK1445" i="2" s="1"/>
  <c r="AF1447" i="2"/>
  <c r="AK1446" i="2" s="1"/>
  <c r="AF1448" i="2"/>
  <c r="AK1447" i="2" s="1"/>
  <c r="AF1449" i="2"/>
  <c r="AK1448" i="2" s="1"/>
  <c r="AF1450" i="2"/>
  <c r="AF1451" i="2"/>
  <c r="AK1450" i="2" s="1"/>
  <c r="AF1452" i="2"/>
  <c r="AK1451" i="2" s="1"/>
  <c r="AF1453" i="2"/>
  <c r="AF1454" i="2"/>
  <c r="AK1453" i="2" s="1"/>
  <c r="AF1455" i="2"/>
  <c r="AK1454" i="2" s="1"/>
  <c r="AF1456" i="2"/>
  <c r="AK1455" i="2" s="1"/>
  <c r="AF1457" i="2"/>
  <c r="AK1456" i="2" s="1"/>
  <c r="AF1458" i="2"/>
  <c r="AF1459" i="2"/>
  <c r="AK1458" i="2" s="1"/>
  <c r="AF1460" i="2"/>
  <c r="AK1459" i="2" s="1"/>
  <c r="AF1461" i="2"/>
  <c r="AF1462" i="2"/>
  <c r="AK1461" i="2" s="1"/>
  <c r="AF1463" i="2"/>
  <c r="AK1462" i="2" s="1"/>
  <c r="AF1464" i="2"/>
  <c r="AK1463" i="2" s="1"/>
  <c r="AF1465" i="2"/>
  <c r="AK1464" i="2" s="1"/>
  <c r="AF1466" i="2"/>
  <c r="AF1467" i="2"/>
  <c r="AK1466" i="2" s="1"/>
  <c r="AF1468" i="2"/>
  <c r="AK1467" i="2" s="1"/>
  <c r="AF1469" i="2"/>
  <c r="AF1470" i="2"/>
  <c r="AK1469" i="2" s="1"/>
  <c r="AF1471" i="2"/>
  <c r="AK1470" i="2" s="1"/>
  <c r="AF1472" i="2"/>
  <c r="AK1471" i="2" s="1"/>
  <c r="AF1473" i="2"/>
  <c r="AK1472" i="2" s="1"/>
  <c r="AF1474" i="2"/>
  <c r="AF1475" i="2"/>
  <c r="AK1474" i="2" s="1"/>
  <c r="AF1476" i="2"/>
  <c r="AK1475" i="2" s="1"/>
  <c r="AF1477" i="2"/>
  <c r="AF1478" i="2"/>
  <c r="AK1477" i="2" s="1"/>
  <c r="AF1479" i="2"/>
  <c r="AK1478" i="2" s="1"/>
  <c r="AF1480" i="2"/>
  <c r="AK1479" i="2" s="1"/>
  <c r="AF1481" i="2"/>
  <c r="AK1480" i="2" s="1"/>
  <c r="AF1482" i="2"/>
  <c r="AF1483" i="2"/>
  <c r="AK1482" i="2" s="1"/>
  <c r="AF1484" i="2"/>
  <c r="AK1483" i="2" s="1"/>
  <c r="AF1485" i="2"/>
  <c r="AF1486" i="2"/>
  <c r="AK1485" i="2" s="1"/>
  <c r="AF1487" i="2"/>
  <c r="AK1486" i="2" s="1"/>
  <c r="AF1488" i="2"/>
  <c r="AK1487" i="2" s="1"/>
  <c r="AF1489" i="2"/>
  <c r="AK1488" i="2" s="1"/>
  <c r="AF1490" i="2"/>
  <c r="AF1491" i="2"/>
  <c r="AK1490" i="2" s="1"/>
  <c r="AF1492" i="2"/>
  <c r="AK1491" i="2" s="1"/>
  <c r="AF1493" i="2"/>
  <c r="AF1494" i="2"/>
  <c r="AK1493" i="2" s="1"/>
  <c r="AF1495" i="2"/>
  <c r="AK1494" i="2" s="1"/>
  <c r="AF1496" i="2"/>
  <c r="AK1495" i="2" s="1"/>
  <c r="AF1497" i="2"/>
  <c r="AK1496" i="2" s="1"/>
  <c r="AF1498" i="2"/>
  <c r="AF1499" i="2"/>
  <c r="AK1498" i="2" s="1"/>
  <c r="AF1500" i="2"/>
  <c r="AK1499" i="2" s="1"/>
  <c r="AF1501" i="2"/>
  <c r="AF1502" i="2"/>
  <c r="AK1501" i="2" s="1"/>
  <c r="AF1503" i="2"/>
  <c r="AK1502" i="2" s="1"/>
  <c r="AF1504" i="2"/>
  <c r="AK1503" i="2" s="1"/>
  <c r="AF1505" i="2"/>
  <c r="AK1504" i="2" s="1"/>
  <c r="AF1506" i="2"/>
  <c r="AF1507" i="2"/>
  <c r="AK1506" i="2" s="1"/>
  <c r="AF1508" i="2"/>
  <c r="AK1507" i="2" s="1"/>
  <c r="AF1509" i="2"/>
  <c r="AF1510" i="2"/>
  <c r="AK1509" i="2" s="1"/>
  <c r="AF1511" i="2"/>
  <c r="AK1510" i="2" s="1"/>
  <c r="AF1512" i="2"/>
  <c r="AK1511" i="2" s="1"/>
  <c r="AF1513" i="2"/>
  <c r="AK1512" i="2" s="1"/>
  <c r="AF1514" i="2"/>
  <c r="AF1515" i="2"/>
  <c r="AK1514" i="2" s="1"/>
  <c r="AF1516" i="2"/>
  <c r="AK1515" i="2" s="1"/>
  <c r="AF1517" i="2"/>
  <c r="AF1518" i="2"/>
  <c r="AK1517" i="2" s="1"/>
  <c r="AF1519" i="2"/>
  <c r="AK1518" i="2" s="1"/>
  <c r="AF1520" i="2"/>
  <c r="AK1519" i="2" s="1"/>
  <c r="AF1521" i="2"/>
  <c r="AK1520" i="2" s="1"/>
  <c r="AF1522" i="2"/>
  <c r="AF1523" i="2"/>
  <c r="AK1522" i="2" s="1"/>
  <c r="AF1524" i="2"/>
  <c r="AK1523" i="2" s="1"/>
  <c r="AF1525" i="2"/>
  <c r="AF1526" i="2"/>
  <c r="AK1525" i="2" s="1"/>
  <c r="AF1527" i="2"/>
  <c r="AK1526" i="2" s="1"/>
  <c r="AF1528" i="2"/>
  <c r="AK1527" i="2" s="1"/>
  <c r="AF1529" i="2"/>
  <c r="AK1528" i="2" s="1"/>
  <c r="AF1530" i="2"/>
  <c r="AF1531" i="2"/>
  <c r="AK1530" i="2" s="1"/>
  <c r="AF1532" i="2"/>
  <c r="AK1531" i="2" s="1"/>
  <c r="AF1533" i="2"/>
  <c r="AF1534" i="2"/>
  <c r="AK1533" i="2" s="1"/>
  <c r="AF1535" i="2"/>
  <c r="AK1534" i="2" s="1"/>
  <c r="AF1536" i="2"/>
  <c r="AK1535" i="2" s="1"/>
  <c r="AF1537" i="2"/>
  <c r="AK1536" i="2" s="1"/>
  <c r="AF1538" i="2"/>
  <c r="AF1539" i="2"/>
  <c r="AK1538" i="2" s="1"/>
  <c r="AF1540" i="2"/>
  <c r="AK1539" i="2" s="1"/>
  <c r="AF1541" i="2"/>
  <c r="AF1542" i="2"/>
  <c r="AK1541" i="2" s="1"/>
  <c r="AF1543" i="2"/>
  <c r="AK1542" i="2" s="1"/>
  <c r="AF1544" i="2"/>
  <c r="AK1543" i="2" s="1"/>
  <c r="AF1545" i="2"/>
  <c r="AK1544" i="2" s="1"/>
  <c r="AF1546" i="2"/>
  <c r="AF1547" i="2"/>
  <c r="AK1546" i="2" s="1"/>
  <c r="AF1548" i="2"/>
  <c r="AK1547" i="2" s="1"/>
  <c r="AF1549" i="2"/>
  <c r="AF1550" i="2"/>
  <c r="AK1549" i="2" s="1"/>
  <c r="AF1551" i="2"/>
  <c r="AK1550" i="2" s="1"/>
  <c r="AF1552" i="2"/>
  <c r="AK1551" i="2" s="1"/>
  <c r="AF1553" i="2"/>
  <c r="AK1552" i="2" s="1"/>
  <c r="AF1554" i="2"/>
  <c r="AF1555" i="2"/>
  <c r="AK1554" i="2" s="1"/>
  <c r="AF1556" i="2"/>
  <c r="AK1555" i="2" s="1"/>
  <c r="AF1557" i="2"/>
  <c r="AF1558" i="2"/>
  <c r="AK1557" i="2" s="1"/>
  <c r="AF1559" i="2"/>
  <c r="AK1558" i="2" s="1"/>
  <c r="AF1560" i="2"/>
  <c r="AK1559" i="2" s="1"/>
  <c r="AF1561" i="2"/>
  <c r="AK1560" i="2" s="1"/>
  <c r="AF1562" i="2"/>
  <c r="AF1563" i="2"/>
  <c r="AK1562" i="2" s="1"/>
  <c r="AF1564" i="2"/>
  <c r="AF1565" i="2"/>
  <c r="AF1566" i="2"/>
  <c r="AK1565" i="2" s="1"/>
  <c r="AF1567" i="2"/>
  <c r="AK1566" i="2" s="1"/>
  <c r="AF1568" i="2"/>
  <c r="AK1567" i="2" s="1"/>
  <c r="AF1569" i="2"/>
  <c r="AK1568" i="2" s="1"/>
  <c r="AF1570" i="2"/>
  <c r="AF1571" i="2"/>
  <c r="AK1570" i="2" s="1"/>
  <c r="AF1572" i="2"/>
  <c r="AF1573" i="2"/>
  <c r="AF1574" i="2"/>
  <c r="AK1573" i="2" s="1"/>
  <c r="AF1575" i="2"/>
  <c r="AK1574" i="2" s="1"/>
  <c r="AF1576" i="2"/>
  <c r="AK1575" i="2" s="1"/>
  <c r="AF1577" i="2"/>
  <c r="AK1576" i="2" s="1"/>
  <c r="AF1578" i="2"/>
  <c r="AF1579" i="2"/>
  <c r="AK1578" i="2" s="1"/>
  <c r="AF1580" i="2"/>
  <c r="AF1581" i="2"/>
  <c r="AF1582" i="2"/>
  <c r="AK1581" i="2" s="1"/>
  <c r="AF1583" i="2"/>
  <c r="AK1582" i="2" s="1"/>
  <c r="AF1584" i="2"/>
  <c r="AK1583" i="2" s="1"/>
  <c r="AF1585" i="2"/>
  <c r="AK1584" i="2" s="1"/>
  <c r="AF1586" i="2"/>
  <c r="AF1587" i="2"/>
  <c r="AK1586" i="2" s="1"/>
  <c r="AF1588" i="2"/>
  <c r="AF1589" i="2"/>
  <c r="AF1590" i="2"/>
  <c r="AK1589" i="2" s="1"/>
  <c r="AF1591" i="2"/>
  <c r="AK1590" i="2" s="1"/>
  <c r="AF1592" i="2"/>
  <c r="AK1591" i="2" s="1"/>
  <c r="AF1593" i="2"/>
  <c r="AK1592" i="2" s="1"/>
  <c r="AF1594" i="2"/>
  <c r="AF1595" i="2"/>
  <c r="AK1594" i="2" s="1"/>
  <c r="AF1596" i="2"/>
  <c r="AF1597" i="2"/>
  <c r="AF1598" i="2"/>
  <c r="AK1597" i="2" s="1"/>
  <c r="AF1599" i="2"/>
  <c r="AK1598" i="2" s="1"/>
  <c r="AF1600" i="2"/>
  <c r="AK1599" i="2" s="1"/>
  <c r="AF1601" i="2"/>
  <c r="AK1600" i="2" s="1"/>
  <c r="AF1602" i="2"/>
  <c r="AF1603" i="2"/>
  <c r="AK1602" i="2" s="1"/>
  <c r="AF1604" i="2"/>
  <c r="AF1605" i="2"/>
  <c r="AF1606" i="2"/>
  <c r="AK1605" i="2" s="1"/>
  <c r="AF1607" i="2"/>
  <c r="AK1606" i="2" s="1"/>
  <c r="AF1608" i="2"/>
  <c r="AK1607" i="2" s="1"/>
  <c r="AF1609" i="2"/>
  <c r="AK1608" i="2" s="1"/>
  <c r="AF1610" i="2"/>
  <c r="AF1611" i="2"/>
  <c r="AK1610" i="2" s="1"/>
  <c r="AF1612" i="2"/>
  <c r="AF1613" i="2"/>
  <c r="AF1614" i="2"/>
  <c r="AK1613" i="2" s="1"/>
  <c r="AF1615" i="2"/>
  <c r="AK1614" i="2" s="1"/>
  <c r="AF1616" i="2"/>
  <c r="AK1615" i="2" s="1"/>
  <c r="AF1617" i="2"/>
  <c r="AK1616" i="2" s="1"/>
  <c r="AF1618" i="2"/>
  <c r="AF1619" i="2"/>
  <c r="AK1618" i="2" s="1"/>
  <c r="AF1620" i="2"/>
  <c r="AF1621" i="2"/>
  <c r="AF1622" i="2"/>
  <c r="AK1621" i="2" s="1"/>
  <c r="AF1623" i="2"/>
  <c r="AK1622" i="2" s="1"/>
  <c r="AF1624" i="2"/>
  <c r="AK1623" i="2" s="1"/>
  <c r="AF1625" i="2"/>
  <c r="AK1624" i="2" s="1"/>
  <c r="AF1626" i="2"/>
  <c r="AF1627" i="2"/>
  <c r="AK1626" i="2" s="1"/>
  <c r="AF1628" i="2"/>
  <c r="AF1629" i="2"/>
  <c r="AF1630" i="2"/>
  <c r="AK1629" i="2" s="1"/>
  <c r="AF1631" i="2"/>
  <c r="AK1630" i="2" s="1"/>
  <c r="AF1632" i="2"/>
  <c r="AK1631" i="2" s="1"/>
  <c r="AF1633" i="2"/>
  <c r="AK1632" i="2" s="1"/>
  <c r="AF1634" i="2"/>
  <c r="AF1437" i="2"/>
  <c r="AK1634" i="2" s="1"/>
  <c r="AF1635" i="2"/>
  <c r="AK1635" i="2" s="1"/>
  <c r="AF1636" i="2"/>
  <c r="AK1636" i="2" s="1"/>
  <c r="AF1637" i="2"/>
  <c r="AK1637" i="2" s="1"/>
  <c r="AF1639" i="2"/>
  <c r="AF1640" i="2"/>
  <c r="AK1639" i="2" s="1"/>
  <c r="AF1641" i="2"/>
  <c r="AK1640" i="2" s="1"/>
  <c r="AF1642" i="2"/>
  <c r="AF1643" i="2"/>
  <c r="AK1642" i="2" s="1"/>
  <c r="AF1644" i="2"/>
  <c r="AF1645" i="2"/>
  <c r="AF1646" i="2"/>
  <c r="AK1645" i="2" s="1"/>
  <c r="AF1647" i="2"/>
  <c r="AK1646" i="2" s="1"/>
  <c r="AF1648" i="2"/>
  <c r="AK1647" i="2" s="1"/>
  <c r="AF1649" i="2"/>
  <c r="AK1648" i="2" s="1"/>
  <c r="AF1650" i="2"/>
  <c r="AF1651" i="2"/>
  <c r="AK1650" i="2" s="1"/>
  <c r="AF1652" i="2"/>
  <c r="AF1653" i="2"/>
  <c r="AF1654" i="2"/>
  <c r="AK1653" i="2" s="1"/>
  <c r="AF1655" i="2"/>
  <c r="AK1654" i="2" s="1"/>
  <c r="AF1656" i="2"/>
  <c r="AK1655" i="2" s="1"/>
  <c r="AF1657" i="2"/>
  <c r="AK1656" i="2" s="1"/>
  <c r="AF1658" i="2"/>
  <c r="AF1659" i="2"/>
  <c r="AK1658" i="2" s="1"/>
  <c r="AF1660" i="2"/>
  <c r="AF1661" i="2"/>
  <c r="AF1662" i="2"/>
  <c r="AK1661" i="2" s="1"/>
  <c r="AF1663" i="2"/>
  <c r="AK1662" i="2" s="1"/>
  <c r="AF1664" i="2"/>
  <c r="AK1663" i="2" s="1"/>
  <c r="AF1665" i="2"/>
  <c r="AK1664" i="2" s="1"/>
  <c r="AF1666" i="2"/>
  <c r="AF1667" i="2"/>
  <c r="AK1666" i="2" s="1"/>
  <c r="AF1668" i="2"/>
  <c r="AF1669" i="2"/>
  <c r="AF1670" i="2"/>
  <c r="AK1669" i="2" s="1"/>
  <c r="AF1671" i="2"/>
  <c r="AK1670" i="2" s="1"/>
  <c r="AF1672" i="2"/>
  <c r="AK1671" i="2" s="1"/>
  <c r="AF1673" i="2"/>
  <c r="AK1672" i="2" s="1"/>
  <c r="AF1674" i="2"/>
  <c r="AF1675" i="2"/>
  <c r="AK1674" i="2" s="1"/>
  <c r="AF1676" i="2"/>
  <c r="AF1677" i="2"/>
  <c r="AF1678" i="2"/>
  <c r="AK1677" i="2" s="1"/>
  <c r="AF1679" i="2"/>
  <c r="AK1678" i="2" s="1"/>
  <c r="AF1680" i="2"/>
  <c r="AK1679" i="2" s="1"/>
  <c r="AF1681" i="2"/>
  <c r="AK1680" i="2" s="1"/>
  <c r="AF1682" i="2"/>
  <c r="AF1683" i="2"/>
  <c r="AK1682" i="2" s="1"/>
  <c r="AF1684" i="2"/>
  <c r="AF1685" i="2"/>
  <c r="AF1686" i="2"/>
  <c r="AK1685" i="2" s="1"/>
  <c r="AF1687" i="2"/>
  <c r="AK1686" i="2" s="1"/>
  <c r="AF1688" i="2"/>
  <c r="AK1687" i="2" s="1"/>
  <c r="AF1689" i="2"/>
  <c r="AK1688" i="2" s="1"/>
  <c r="AF1690" i="2"/>
  <c r="AF1691" i="2"/>
  <c r="AK1690" i="2" s="1"/>
  <c r="AF1692" i="2"/>
  <c r="AF1693" i="2"/>
  <c r="AF1694" i="2"/>
  <c r="AK1693" i="2" s="1"/>
  <c r="AF1695" i="2"/>
  <c r="AK1694" i="2" s="1"/>
  <c r="AF1696" i="2"/>
  <c r="AK1695" i="2" s="1"/>
  <c r="AF1697" i="2"/>
  <c r="AK1696" i="2" s="1"/>
  <c r="AF1698" i="2"/>
  <c r="AF1699" i="2"/>
  <c r="AK1698" i="2" s="1"/>
  <c r="AF1700" i="2"/>
  <c r="AF1701" i="2"/>
  <c r="AF1702" i="2"/>
  <c r="AK1701" i="2" s="1"/>
  <c r="AF1703" i="2"/>
  <c r="AK1702" i="2" s="1"/>
  <c r="AF1704" i="2"/>
  <c r="AK1703" i="2" s="1"/>
  <c r="AF1705" i="2"/>
  <c r="AK1704" i="2" s="1"/>
  <c r="AF1706" i="2"/>
  <c r="AF1707" i="2"/>
  <c r="AK1706" i="2" s="1"/>
  <c r="AF1708" i="2"/>
  <c r="AF1709" i="2"/>
  <c r="AF1710" i="2"/>
  <c r="AK1709" i="2" s="1"/>
  <c r="AF1711" i="2"/>
  <c r="AK1710" i="2" s="1"/>
  <c r="AF1712" i="2"/>
  <c r="AK1711" i="2" s="1"/>
  <c r="AF1713" i="2"/>
  <c r="AK1712" i="2" s="1"/>
  <c r="AF1714" i="2"/>
  <c r="AF1715" i="2"/>
  <c r="AK1714" i="2" s="1"/>
  <c r="AF1716" i="2"/>
  <c r="AF1717" i="2"/>
  <c r="AF1718" i="2"/>
  <c r="AK1717" i="2" s="1"/>
  <c r="AF1719" i="2"/>
  <c r="AK1718" i="2" s="1"/>
  <c r="AF1720" i="2"/>
  <c r="AK1719" i="2" s="1"/>
  <c r="AF1721" i="2"/>
  <c r="AK1720" i="2" s="1"/>
  <c r="AF1722" i="2"/>
  <c r="AF1723" i="2"/>
  <c r="AK1722" i="2" s="1"/>
  <c r="AF1724" i="2"/>
  <c r="AF1725" i="2"/>
  <c r="AF1726" i="2"/>
  <c r="AK1725" i="2" s="1"/>
  <c r="AF1727" i="2"/>
  <c r="AK1726" i="2" s="1"/>
  <c r="AF1728" i="2"/>
  <c r="AK1727" i="2" s="1"/>
  <c r="AF1729" i="2"/>
  <c r="AK1728" i="2" s="1"/>
  <c r="AF1730" i="2"/>
  <c r="AF1731" i="2"/>
  <c r="AK1730" i="2" s="1"/>
  <c r="AF1732" i="2"/>
  <c r="AF1733" i="2"/>
  <c r="AF1734" i="2"/>
  <c r="AK1733" i="2" s="1"/>
  <c r="AF1735" i="2"/>
  <c r="AK1734" i="2" s="1"/>
  <c r="AF1736" i="2"/>
  <c r="AK1735" i="2" s="1"/>
  <c r="AF1737" i="2"/>
  <c r="AK1736" i="2" s="1"/>
  <c r="AF1738" i="2"/>
  <c r="AF1739" i="2"/>
  <c r="AK1738" i="2" s="1"/>
  <c r="AF1740" i="2"/>
  <c r="AF1741" i="2"/>
  <c r="AF1742" i="2"/>
  <c r="AK1741" i="2" s="1"/>
  <c r="AF1743" i="2"/>
  <c r="AK1742" i="2" s="1"/>
  <c r="AF1744" i="2"/>
  <c r="AK1743" i="2" s="1"/>
  <c r="AF1745" i="2"/>
  <c r="AK1744" i="2" s="1"/>
  <c r="AF1746" i="2"/>
  <c r="AF1747" i="2"/>
  <c r="AK1746" i="2" s="1"/>
  <c r="AF1748" i="2"/>
  <c r="AF1749" i="2"/>
  <c r="AF1750" i="2"/>
  <c r="AK1749" i="2" s="1"/>
  <c r="AF1751" i="2"/>
  <c r="AK1750" i="2" s="1"/>
  <c r="AF1752" i="2"/>
  <c r="AK1751" i="2" s="1"/>
  <c r="AF1753" i="2"/>
  <c r="AK1752" i="2" s="1"/>
  <c r="AF1754" i="2"/>
  <c r="AF1755" i="2"/>
  <c r="AK1754" i="2" s="1"/>
  <c r="AF1756" i="2"/>
  <c r="AF1757" i="2"/>
  <c r="AF1758" i="2"/>
  <c r="AK1757" i="2" s="1"/>
  <c r="AF1759" i="2"/>
  <c r="AK1758" i="2" s="1"/>
  <c r="AF1760" i="2"/>
  <c r="AK1759" i="2" s="1"/>
  <c r="AF1761" i="2"/>
  <c r="AK1760" i="2" s="1"/>
  <c r="AF1762" i="2"/>
  <c r="AF1763" i="2"/>
  <c r="AK1762" i="2" s="1"/>
  <c r="AF1764" i="2"/>
  <c r="AF1765" i="2"/>
  <c r="AF1766" i="2"/>
  <c r="AK1765" i="2" s="1"/>
  <c r="AF1767" i="2"/>
  <c r="AK1766" i="2" s="1"/>
  <c r="AF1768" i="2"/>
  <c r="AK1767" i="2" s="1"/>
  <c r="AF1769" i="2"/>
  <c r="AK1768" i="2" s="1"/>
  <c r="AF1770" i="2"/>
  <c r="AF1771" i="2"/>
  <c r="AK1770" i="2" s="1"/>
  <c r="AF1772" i="2"/>
  <c r="AF1773" i="2"/>
  <c r="AF1774" i="2"/>
  <c r="AK1773" i="2" s="1"/>
  <c r="AF1775" i="2"/>
  <c r="AK1774" i="2" s="1"/>
  <c r="AF1776" i="2"/>
  <c r="AK1775" i="2" s="1"/>
  <c r="AF1777" i="2"/>
  <c r="AK1776" i="2" s="1"/>
  <c r="AF1778" i="2"/>
  <c r="AF1779" i="2"/>
  <c r="AK1778" i="2" s="1"/>
  <c r="AF1780" i="2"/>
  <c r="AF1781" i="2"/>
  <c r="AF1782" i="2"/>
  <c r="AK1781" i="2" s="1"/>
  <c r="AF1783" i="2"/>
  <c r="AK1782" i="2" s="1"/>
  <c r="AF1784" i="2"/>
  <c r="AK1783" i="2" s="1"/>
  <c r="AF1785" i="2"/>
  <c r="AK1784" i="2" s="1"/>
  <c r="AF1786" i="2"/>
  <c r="AF1787" i="2"/>
  <c r="AK1786" i="2" s="1"/>
  <c r="AF1788" i="2"/>
  <c r="AF1789" i="2"/>
  <c r="AF1790" i="2"/>
  <c r="AK1789" i="2" s="1"/>
  <c r="AF1791" i="2"/>
  <c r="AK1790" i="2" s="1"/>
  <c r="AF1792" i="2"/>
  <c r="AK1791" i="2" s="1"/>
  <c r="AF1793" i="2"/>
  <c r="AK1792" i="2" s="1"/>
  <c r="AF1794" i="2"/>
  <c r="AF1795" i="2"/>
  <c r="AK1794" i="2" s="1"/>
  <c r="AF1796" i="2"/>
  <c r="AF1797" i="2"/>
  <c r="AF1798" i="2"/>
  <c r="AK1797" i="2" s="1"/>
  <c r="AF1799" i="2"/>
  <c r="AK1798" i="2" s="1"/>
  <c r="AF1800" i="2"/>
  <c r="AK1799" i="2" s="1"/>
  <c r="AF1801" i="2"/>
  <c r="AK1800" i="2" s="1"/>
  <c r="AF1802" i="2"/>
  <c r="AF1803" i="2"/>
  <c r="AK1802" i="2" s="1"/>
  <c r="AF1804" i="2"/>
  <c r="AF1805" i="2"/>
  <c r="AF1806" i="2"/>
  <c r="AK1805" i="2" s="1"/>
  <c r="AF1807" i="2"/>
  <c r="AK1806" i="2" s="1"/>
  <c r="AF1808" i="2"/>
  <c r="AK1807" i="2" s="1"/>
  <c r="AF1809" i="2"/>
  <c r="AK1808" i="2" s="1"/>
  <c r="AF1810" i="2"/>
  <c r="AF1811" i="2"/>
  <c r="AK1810" i="2" s="1"/>
  <c r="AF1812" i="2"/>
  <c r="AF1813" i="2"/>
  <c r="AF1814" i="2"/>
  <c r="AK1813" i="2" s="1"/>
  <c r="AF1815" i="2"/>
  <c r="AK1814" i="2" s="1"/>
  <c r="AF1816" i="2"/>
  <c r="AK1815" i="2" s="1"/>
  <c r="AF1817" i="2"/>
  <c r="AK1816" i="2" s="1"/>
  <c r="AF1818" i="2"/>
  <c r="AF1819" i="2"/>
  <c r="AK1818" i="2" s="1"/>
  <c r="AF1820" i="2"/>
  <c r="AF1821" i="2"/>
  <c r="AF1822" i="2"/>
  <c r="AK1821" i="2" s="1"/>
  <c r="AF1823" i="2"/>
  <c r="AK1822" i="2" s="1"/>
  <c r="AF1824" i="2"/>
  <c r="AK1823" i="2" s="1"/>
  <c r="AF1825" i="2"/>
  <c r="AK1824" i="2" s="1"/>
  <c r="AF1826" i="2"/>
  <c r="AF1827" i="2"/>
  <c r="AK1826" i="2" s="1"/>
  <c r="AF1828" i="2"/>
  <c r="AF1829" i="2"/>
  <c r="AF1830" i="2"/>
  <c r="AK1829" i="2" s="1"/>
  <c r="AF1831" i="2"/>
  <c r="AK1830" i="2" s="1"/>
  <c r="AF1832" i="2"/>
  <c r="AK1831" i="2" s="1"/>
  <c r="AF1833" i="2"/>
  <c r="AK1832" i="2" s="1"/>
  <c r="AF1834" i="2"/>
  <c r="AF1835" i="2"/>
  <c r="AK1834" i="2" s="1"/>
  <c r="AF1836" i="2"/>
  <c r="AF1837" i="2"/>
  <c r="AF1838" i="2"/>
  <c r="AK1837" i="2" s="1"/>
  <c r="AF1839" i="2"/>
  <c r="AK1838" i="2" s="1"/>
  <c r="AF1840" i="2"/>
  <c r="AK1839" i="2" s="1"/>
  <c r="AF1841" i="2"/>
  <c r="AK1840" i="2" s="1"/>
  <c r="AF1842" i="2"/>
  <c r="AF1843" i="2"/>
  <c r="AK1842" i="2" s="1"/>
  <c r="AF1844" i="2"/>
  <c r="AF1845" i="2"/>
  <c r="AF1846" i="2"/>
  <c r="AK1845" i="2" s="1"/>
  <c r="AF1847" i="2"/>
  <c r="AK1846" i="2" s="1"/>
  <c r="AF1848" i="2"/>
  <c r="AK1847" i="2" s="1"/>
  <c r="AF1849" i="2"/>
  <c r="AK1848" i="2" s="1"/>
  <c r="AF1850" i="2"/>
  <c r="AF1851" i="2"/>
  <c r="AK1850" i="2" s="1"/>
  <c r="AF1852" i="2"/>
  <c r="AF1853" i="2"/>
  <c r="AF1854" i="2"/>
  <c r="AK1853" i="2" s="1"/>
  <c r="AF1855" i="2"/>
  <c r="AK1854" i="2" s="1"/>
  <c r="AF1856" i="2"/>
  <c r="AK1855" i="2" s="1"/>
  <c r="AF1857" i="2"/>
  <c r="AK1856" i="2" s="1"/>
  <c r="AF1858" i="2"/>
  <c r="AF1859" i="2"/>
  <c r="AK1858" i="2" s="1"/>
  <c r="AF1860" i="2"/>
  <c r="AF1861" i="2"/>
  <c r="AF1862" i="2"/>
  <c r="AK1861" i="2" s="1"/>
  <c r="AF1863" i="2"/>
  <c r="AK1862" i="2" s="1"/>
  <c r="AF1864" i="2"/>
  <c r="AK1863" i="2" s="1"/>
  <c r="AF1865" i="2"/>
  <c r="AK1864" i="2" s="1"/>
  <c r="AF1866" i="2"/>
  <c r="AF1867" i="2"/>
  <c r="AK1866" i="2" s="1"/>
  <c r="AF1868" i="2"/>
  <c r="AF1869" i="2"/>
  <c r="AF1870" i="2"/>
  <c r="AK1869" i="2" s="1"/>
  <c r="AF1871" i="2"/>
  <c r="AK1870" i="2" s="1"/>
  <c r="AF1872" i="2"/>
  <c r="AK1871" i="2" s="1"/>
  <c r="AF1873" i="2"/>
  <c r="AK1872" i="2" s="1"/>
  <c r="AF1874" i="2"/>
  <c r="AF1875" i="2"/>
  <c r="AK1874" i="2" s="1"/>
  <c r="AF1876" i="2"/>
  <c r="AF1877" i="2"/>
  <c r="AF1878" i="2"/>
  <c r="AK1877" i="2" s="1"/>
  <c r="AF1879" i="2"/>
  <c r="AK1878" i="2" s="1"/>
  <c r="AF1880" i="2"/>
  <c r="AK1879" i="2" s="1"/>
  <c r="AF1881" i="2"/>
  <c r="AK1880" i="2" s="1"/>
  <c r="AF1882" i="2"/>
  <c r="AF1883" i="2"/>
  <c r="AK1882" i="2" s="1"/>
  <c r="AF1884" i="2"/>
  <c r="AF1885" i="2"/>
  <c r="AF1886" i="2"/>
  <c r="AK1885" i="2" s="1"/>
  <c r="AF1887" i="2"/>
  <c r="AK1886" i="2" s="1"/>
  <c r="AF1888" i="2"/>
  <c r="AK1887" i="2" s="1"/>
  <c r="AF1889" i="2"/>
  <c r="AK1888" i="2" s="1"/>
  <c r="AF1890" i="2"/>
  <c r="AF1891" i="2"/>
  <c r="AK1890" i="2" s="1"/>
  <c r="AF1892" i="2"/>
  <c r="AF1893" i="2"/>
  <c r="AF1894" i="2"/>
  <c r="AK1893" i="2" s="1"/>
  <c r="AF1895" i="2"/>
  <c r="AK1894" i="2" s="1"/>
  <c r="AF1896" i="2"/>
  <c r="AK1895" i="2" s="1"/>
  <c r="AF1897" i="2"/>
  <c r="AK1896" i="2" s="1"/>
  <c r="AF1898" i="2"/>
  <c r="AF1899" i="2"/>
  <c r="AK1898" i="2" s="1"/>
  <c r="AF1900" i="2"/>
  <c r="AF1901" i="2"/>
  <c r="AF1902" i="2"/>
  <c r="AK1901" i="2" s="1"/>
  <c r="AF1903" i="2"/>
  <c r="AK1902" i="2" s="1"/>
  <c r="AF1904" i="2"/>
  <c r="AK1903" i="2" s="1"/>
  <c r="AF1905" i="2"/>
  <c r="AK1904" i="2" s="1"/>
  <c r="AF1906" i="2"/>
  <c r="AF1907" i="2"/>
  <c r="AK1906" i="2" s="1"/>
  <c r="AF1908" i="2"/>
  <c r="AF1909" i="2"/>
  <c r="AF1910" i="2"/>
  <c r="AK1909" i="2" s="1"/>
  <c r="AF1911" i="2"/>
  <c r="AK1910" i="2" s="1"/>
  <c r="AF1912" i="2"/>
  <c r="AK1911" i="2" s="1"/>
  <c r="AF1913" i="2"/>
  <c r="AK1912" i="2" s="1"/>
  <c r="AF1914" i="2"/>
  <c r="AF1915" i="2"/>
  <c r="AK1914" i="2" s="1"/>
  <c r="AF1916" i="2"/>
  <c r="AF1917" i="2"/>
  <c r="AF1918" i="2"/>
  <c r="AK1917" i="2" s="1"/>
  <c r="AF1919" i="2"/>
  <c r="AK1918" i="2" s="1"/>
  <c r="AF1920" i="2"/>
  <c r="AK1919" i="2" s="1"/>
  <c r="AF1921" i="2"/>
  <c r="AK1920" i="2" s="1"/>
  <c r="AF1922" i="2"/>
  <c r="AF1923" i="2"/>
  <c r="AK1922" i="2" s="1"/>
  <c r="AF1924" i="2"/>
  <c r="AF1925" i="2"/>
  <c r="AF1926" i="2"/>
  <c r="AK1925" i="2" s="1"/>
  <c r="AF1927" i="2"/>
  <c r="AK1926" i="2" s="1"/>
  <c r="AF1928" i="2"/>
  <c r="AK1927" i="2" s="1"/>
  <c r="AF1929" i="2"/>
  <c r="AK1928" i="2" s="1"/>
  <c r="AF1930" i="2"/>
  <c r="AF1931" i="2"/>
  <c r="AK1930" i="2" s="1"/>
  <c r="AF1932" i="2"/>
  <c r="AF1933" i="2"/>
  <c r="AF1934" i="2"/>
  <c r="AK1933" i="2" s="1"/>
  <c r="AF1935" i="2"/>
  <c r="AK1934" i="2" s="1"/>
  <c r="AF1936" i="2"/>
  <c r="AK1935" i="2" s="1"/>
  <c r="AF1937" i="2"/>
  <c r="AK1936" i="2" s="1"/>
  <c r="AF1938" i="2"/>
  <c r="AF1939" i="2"/>
  <c r="AK1938" i="2" s="1"/>
  <c r="AF1940" i="2"/>
  <c r="AF1941" i="2"/>
  <c r="AF1942" i="2"/>
  <c r="AK1941" i="2" s="1"/>
  <c r="AF1943" i="2"/>
  <c r="AK1942" i="2" s="1"/>
  <c r="AF1944" i="2"/>
  <c r="AK1943" i="2" s="1"/>
  <c r="AF1945" i="2"/>
  <c r="AK1944" i="2" s="1"/>
  <c r="AF1946" i="2"/>
  <c r="AF1947" i="2"/>
  <c r="AK1946" i="2" s="1"/>
  <c r="AF1948" i="2"/>
  <c r="AF1949" i="2"/>
  <c r="AF1950" i="2"/>
  <c r="AK1949" i="2" s="1"/>
  <c r="AF1951" i="2"/>
  <c r="AK1950" i="2" s="1"/>
  <c r="AF1952" i="2"/>
  <c r="AK1951" i="2" s="1"/>
  <c r="AF1953" i="2"/>
  <c r="AK1952" i="2" s="1"/>
  <c r="AF1954" i="2"/>
  <c r="AF1955" i="2"/>
  <c r="AK1954" i="2" s="1"/>
  <c r="AF1638" i="2"/>
  <c r="AF1956" i="2"/>
  <c r="AK1956" i="2" s="1"/>
  <c r="AF1957" i="2"/>
  <c r="AK1957" i="2" s="1"/>
  <c r="AF1959" i="2"/>
  <c r="AF1960" i="2"/>
  <c r="AK1959" i="2" s="1"/>
  <c r="AF1961" i="2"/>
  <c r="AK1960" i="2" s="1"/>
  <c r="AF1962" i="2"/>
  <c r="AF1963" i="2"/>
  <c r="AK1962" i="2" s="1"/>
  <c r="AF1964" i="2"/>
  <c r="AF1965" i="2"/>
  <c r="AF1966" i="2"/>
  <c r="AK1965" i="2" s="1"/>
  <c r="AF1967" i="2"/>
  <c r="AK1966" i="2" s="1"/>
  <c r="AF1968" i="2"/>
  <c r="AK1967" i="2" s="1"/>
  <c r="AF1969" i="2"/>
  <c r="AK1968" i="2" s="1"/>
  <c r="AF1970" i="2"/>
  <c r="AF1971" i="2"/>
  <c r="AK1970" i="2" s="1"/>
  <c r="AF1972" i="2"/>
  <c r="AF1973" i="2"/>
  <c r="AF1974" i="2"/>
  <c r="AK1973" i="2" s="1"/>
  <c r="AF1975" i="2"/>
  <c r="AK1974" i="2" s="1"/>
  <c r="AF1976" i="2"/>
  <c r="AK1975" i="2" s="1"/>
  <c r="AF1977" i="2"/>
  <c r="AK1976" i="2" s="1"/>
  <c r="AF1978" i="2"/>
  <c r="AF1979" i="2"/>
  <c r="AK1978" i="2" s="1"/>
  <c r="AF1980" i="2"/>
  <c r="AF1981" i="2"/>
  <c r="AF1982" i="2"/>
  <c r="AK1981" i="2" s="1"/>
  <c r="AF1983" i="2"/>
  <c r="AK1982" i="2" s="1"/>
  <c r="AF1984" i="2"/>
  <c r="AK1983" i="2" s="1"/>
  <c r="AF1985" i="2"/>
  <c r="AK1984" i="2" s="1"/>
  <c r="AF1986" i="2"/>
  <c r="AF1987" i="2"/>
  <c r="AK1986" i="2" s="1"/>
  <c r="AF1988" i="2"/>
  <c r="AF1989" i="2"/>
  <c r="AF1990" i="2"/>
  <c r="AK1989" i="2" s="1"/>
  <c r="AF1991" i="2"/>
  <c r="AK1990" i="2" s="1"/>
  <c r="AF1992" i="2"/>
  <c r="AK1991" i="2" s="1"/>
  <c r="AF1993" i="2"/>
  <c r="AK1992" i="2" s="1"/>
  <c r="AF1994" i="2"/>
  <c r="AF1995" i="2"/>
  <c r="AK1994" i="2" s="1"/>
  <c r="AF1996" i="2"/>
  <c r="AF1997" i="2"/>
  <c r="AF1998" i="2"/>
  <c r="AK1997" i="2" s="1"/>
  <c r="AF1999" i="2"/>
  <c r="AK1998" i="2" s="1"/>
  <c r="AF2000" i="2"/>
  <c r="AK1999" i="2" s="1"/>
  <c r="AF2001" i="2"/>
  <c r="AK2000" i="2" s="1"/>
  <c r="AF2002" i="2"/>
  <c r="AF2003" i="2"/>
  <c r="AK2002" i="2" s="1"/>
  <c r="AF2004" i="2"/>
  <c r="AF2005" i="2"/>
  <c r="AF2006" i="2"/>
  <c r="AK2005" i="2" s="1"/>
  <c r="AF2007" i="2"/>
  <c r="AK2006" i="2" s="1"/>
  <c r="AF2008" i="2"/>
  <c r="AK2007" i="2" s="1"/>
  <c r="AF2009" i="2"/>
  <c r="AK2008" i="2" s="1"/>
  <c r="AF2010" i="2"/>
  <c r="AF2011" i="2"/>
  <c r="AK2010" i="2" s="1"/>
  <c r="AF2012" i="2"/>
  <c r="AF2013" i="2"/>
  <c r="AF2014" i="2"/>
  <c r="AK2013" i="2" s="1"/>
  <c r="AF2015" i="2"/>
  <c r="AK2014" i="2" s="1"/>
  <c r="AF2016" i="2"/>
  <c r="AK2015" i="2" s="1"/>
  <c r="AF2017" i="2"/>
  <c r="AK2016" i="2" s="1"/>
  <c r="AF2018" i="2"/>
  <c r="AF2019" i="2"/>
  <c r="AK2018" i="2" s="1"/>
  <c r="AF2020" i="2"/>
  <c r="AF2021" i="2"/>
  <c r="AF2022" i="2"/>
  <c r="AK2021" i="2" s="1"/>
  <c r="AF2023" i="2"/>
  <c r="AK2022" i="2" s="1"/>
  <c r="AF2024" i="2"/>
  <c r="AK2023" i="2" s="1"/>
  <c r="AF2025" i="2"/>
  <c r="AK2024" i="2" s="1"/>
  <c r="AF2026" i="2"/>
  <c r="AF2027" i="2"/>
  <c r="AK2026" i="2" s="1"/>
  <c r="AF2028" i="2"/>
  <c r="AF2029" i="2"/>
  <c r="AF2030" i="2"/>
  <c r="AK2029" i="2" s="1"/>
  <c r="AF2031" i="2"/>
  <c r="AK2030" i="2" s="1"/>
  <c r="AF2032" i="2"/>
  <c r="AK2031" i="2" s="1"/>
  <c r="AF2033" i="2"/>
  <c r="AK2032" i="2" s="1"/>
  <c r="AF2034" i="2"/>
  <c r="AF2035" i="2"/>
  <c r="AK2034" i="2" s="1"/>
  <c r="AF2036" i="2"/>
  <c r="AF2037" i="2"/>
  <c r="AF2038" i="2"/>
  <c r="AK2037" i="2" s="1"/>
  <c r="AF2039" i="2"/>
  <c r="AK2038" i="2" s="1"/>
  <c r="AF2040" i="2"/>
  <c r="AK2039" i="2" s="1"/>
  <c r="AF2041" i="2"/>
  <c r="AK2040" i="2" s="1"/>
  <c r="AF2042" i="2"/>
  <c r="AF2043" i="2"/>
  <c r="AK2042" i="2" s="1"/>
  <c r="AF2044" i="2"/>
  <c r="AF2045" i="2"/>
  <c r="AF2046" i="2"/>
  <c r="AK2045" i="2" s="1"/>
  <c r="AF2047" i="2"/>
  <c r="AK2046" i="2" s="1"/>
  <c r="AF2048" i="2"/>
  <c r="AK2047" i="2" s="1"/>
  <c r="AF2049" i="2"/>
  <c r="AK2048" i="2" s="1"/>
  <c r="AF2050" i="2"/>
  <c r="AF2051" i="2"/>
  <c r="AK2050" i="2" s="1"/>
  <c r="AF2052" i="2"/>
  <c r="AF2053" i="2"/>
  <c r="AF2054" i="2"/>
  <c r="AK2053" i="2" s="1"/>
  <c r="AF2055" i="2"/>
  <c r="AK2054" i="2" s="1"/>
  <c r="AF2056" i="2"/>
  <c r="AK2055" i="2" s="1"/>
  <c r="AF2057" i="2"/>
  <c r="AK2056" i="2" s="1"/>
  <c r="AF2058" i="2"/>
  <c r="AF2059" i="2"/>
  <c r="AK2058" i="2" s="1"/>
  <c r="AF2060" i="2"/>
  <c r="AF2061" i="2"/>
  <c r="AF2062" i="2"/>
  <c r="AK2061" i="2" s="1"/>
  <c r="AF2063" i="2"/>
  <c r="AK2062" i="2" s="1"/>
  <c r="AF2064" i="2"/>
  <c r="AK2063" i="2" s="1"/>
  <c r="AF2065" i="2"/>
  <c r="AK2064" i="2" s="1"/>
  <c r="AF2066" i="2"/>
  <c r="AF2067" i="2"/>
  <c r="AK2066" i="2" s="1"/>
  <c r="AF2068" i="2"/>
  <c r="AF2069" i="2"/>
  <c r="AF2070" i="2"/>
  <c r="AK2069" i="2" s="1"/>
  <c r="AF2071" i="2"/>
  <c r="AK2070" i="2" s="1"/>
  <c r="AF2072" i="2"/>
  <c r="AK2071" i="2" s="1"/>
  <c r="AF2073" i="2"/>
  <c r="AK2072" i="2" s="1"/>
  <c r="AF2074" i="2"/>
  <c r="AF2075" i="2"/>
  <c r="AK2074" i="2" s="1"/>
  <c r="AF2076" i="2"/>
  <c r="AF2077" i="2"/>
  <c r="AF2078" i="2"/>
  <c r="AK2077" i="2" s="1"/>
  <c r="AF2079" i="2"/>
  <c r="AK2078" i="2" s="1"/>
  <c r="AF2080" i="2"/>
  <c r="AK2079" i="2" s="1"/>
  <c r="AF2081" i="2"/>
  <c r="AK2080" i="2" s="1"/>
  <c r="AF2082" i="2"/>
  <c r="AF2083" i="2"/>
  <c r="AK2082" i="2" s="1"/>
  <c r="AF2084" i="2"/>
  <c r="AF2085" i="2"/>
  <c r="AF2086" i="2"/>
  <c r="AK2085" i="2" s="1"/>
  <c r="AF2087" i="2"/>
  <c r="AK2086" i="2" s="1"/>
  <c r="AF2088" i="2"/>
  <c r="AK2087" i="2" s="1"/>
  <c r="AF2089" i="2"/>
  <c r="AK2088" i="2" s="1"/>
  <c r="AF1958" i="2"/>
  <c r="AF2091" i="2"/>
  <c r="AK2090" i="2" s="1"/>
  <c r="AF2092" i="2"/>
  <c r="AF2093" i="2"/>
  <c r="AF2094" i="2"/>
  <c r="AK2093" i="2" s="1"/>
  <c r="AF2095" i="2"/>
  <c r="AK2094" i="2" s="1"/>
  <c r="AF2096" i="2"/>
  <c r="AK2095" i="2" s="1"/>
  <c r="AF2097" i="2"/>
  <c r="AK2096" i="2" s="1"/>
  <c r="AF2098" i="2"/>
  <c r="AF2099" i="2"/>
  <c r="AK2098" i="2" s="1"/>
  <c r="AF2100" i="2"/>
  <c r="AF2101" i="2"/>
  <c r="AF2102" i="2"/>
  <c r="AK2101" i="2" s="1"/>
  <c r="AF2103" i="2"/>
  <c r="AK2102" i="2" s="1"/>
  <c r="AF2104" i="2"/>
  <c r="AK2103" i="2" s="1"/>
  <c r="AF2105" i="2"/>
  <c r="AK2104" i="2" s="1"/>
  <c r="AF2106" i="2"/>
  <c r="AF2107" i="2"/>
  <c r="AK2106" i="2" s="1"/>
  <c r="AF2108" i="2"/>
  <c r="AF2109" i="2"/>
  <c r="AF2110" i="2"/>
  <c r="AK2109" i="2" s="1"/>
  <c r="AF2111" i="2"/>
  <c r="AK2110" i="2" s="1"/>
  <c r="AF2112" i="2"/>
  <c r="AK2111" i="2" s="1"/>
  <c r="AF2113" i="2"/>
  <c r="AK2112" i="2" s="1"/>
  <c r="AF2114" i="2"/>
  <c r="AF2115" i="2"/>
  <c r="AK2114" i="2" s="1"/>
  <c r="AF2116" i="2"/>
  <c r="AF2117" i="2"/>
  <c r="AF2118" i="2"/>
  <c r="AK2117" i="2" s="1"/>
  <c r="AF2119" i="2"/>
  <c r="AK2118" i="2" s="1"/>
  <c r="AF2120" i="2"/>
  <c r="AK2119" i="2" s="1"/>
  <c r="AF2121" i="2"/>
  <c r="AK2120" i="2" s="1"/>
  <c r="AF2122" i="2"/>
  <c r="AF2123" i="2"/>
  <c r="AK2122" i="2" s="1"/>
  <c r="AF2124" i="2"/>
  <c r="AF2125" i="2"/>
  <c r="AF2126" i="2"/>
  <c r="AK2125" i="2" s="1"/>
  <c r="AF2127" i="2"/>
  <c r="AK2126" i="2" s="1"/>
  <c r="AF2128" i="2"/>
  <c r="AK2127" i="2" s="1"/>
  <c r="AF2129" i="2"/>
  <c r="AK2128" i="2" s="1"/>
  <c r="AF2130" i="2"/>
  <c r="AF2131" i="2"/>
  <c r="AK2130" i="2" s="1"/>
  <c r="AF2132" i="2"/>
  <c r="AF2133" i="2"/>
  <c r="AF2134" i="2"/>
  <c r="AK2133" i="2" s="1"/>
  <c r="AF2135" i="2"/>
  <c r="AK2134" i="2" s="1"/>
  <c r="AF2136" i="2"/>
  <c r="AK2135" i="2" s="1"/>
  <c r="AF2137" i="2"/>
  <c r="AK2136" i="2" s="1"/>
  <c r="AF2138" i="2"/>
  <c r="AF2139" i="2"/>
  <c r="AK2138" i="2" s="1"/>
  <c r="AF2140" i="2"/>
  <c r="AF2141" i="2"/>
  <c r="AF2142" i="2"/>
  <c r="AK2141" i="2" s="1"/>
  <c r="AF2143" i="2"/>
  <c r="AK2142" i="2" s="1"/>
  <c r="AF2144" i="2"/>
  <c r="AK2143" i="2" s="1"/>
  <c r="AF2145" i="2"/>
  <c r="AK2144" i="2" s="1"/>
  <c r="AF2146" i="2"/>
  <c r="AF2147" i="2"/>
  <c r="AK2146" i="2" s="1"/>
  <c r="AF2148" i="2"/>
  <c r="AF2149" i="2"/>
  <c r="AF2150" i="2"/>
  <c r="AK2149" i="2" s="1"/>
  <c r="AF2151" i="2"/>
  <c r="AK2150" i="2" s="1"/>
  <c r="AF2152" i="2"/>
  <c r="AK2151" i="2" s="1"/>
  <c r="AF2153" i="2"/>
  <c r="AK2152" i="2" s="1"/>
  <c r="AF2154" i="2"/>
  <c r="AF2155" i="2"/>
  <c r="AK2154" i="2" s="1"/>
  <c r="AF2156" i="2"/>
  <c r="AF2157" i="2"/>
  <c r="AF2158" i="2"/>
  <c r="AK2157" i="2" s="1"/>
  <c r="AF2159" i="2"/>
  <c r="AK2158" i="2" s="1"/>
  <c r="AF2160" i="2"/>
  <c r="AK2159" i="2" s="1"/>
  <c r="AF2161" i="2"/>
  <c r="AK2160" i="2" s="1"/>
  <c r="AF2162" i="2"/>
  <c r="AF2163" i="2"/>
  <c r="AK2162" i="2" s="1"/>
  <c r="AF2164" i="2"/>
  <c r="AF2165" i="2"/>
  <c r="AF2166" i="2"/>
  <c r="AK2165" i="2" s="1"/>
  <c r="AF2167" i="2"/>
  <c r="AK2166" i="2" s="1"/>
  <c r="AF2168" i="2"/>
  <c r="AK2167" i="2" s="1"/>
  <c r="AF2169" i="2"/>
  <c r="AK2168" i="2" s="1"/>
  <c r="AF2170" i="2"/>
  <c r="AF2171" i="2"/>
  <c r="AK2170" i="2" s="1"/>
  <c r="AF2172" i="2"/>
  <c r="AF2173" i="2"/>
  <c r="AF2174" i="2"/>
  <c r="AK2173" i="2" s="1"/>
  <c r="AF2175" i="2"/>
  <c r="AK2174" i="2" s="1"/>
  <c r="AF2176" i="2"/>
  <c r="AK2175" i="2" s="1"/>
  <c r="AF2177" i="2"/>
  <c r="AK2176" i="2" s="1"/>
  <c r="AF2178" i="2"/>
  <c r="AF2179" i="2"/>
  <c r="AK2178" i="2" s="1"/>
  <c r="AF2180" i="2"/>
  <c r="AF2181" i="2"/>
  <c r="AF2182" i="2"/>
  <c r="AK2181" i="2" s="1"/>
  <c r="AF2183" i="2"/>
  <c r="AK2182" i="2" s="1"/>
  <c r="AF2184" i="2"/>
  <c r="AK2183" i="2" s="1"/>
  <c r="AF2185" i="2"/>
  <c r="AK2184" i="2" s="1"/>
  <c r="AF2186" i="2"/>
  <c r="AF2187" i="2"/>
  <c r="AK2186" i="2" s="1"/>
  <c r="AF2188" i="2"/>
  <c r="AF2189" i="2"/>
  <c r="AF2190" i="2"/>
  <c r="AK2189" i="2" s="1"/>
  <c r="AF2191" i="2"/>
  <c r="AK2190" i="2" s="1"/>
  <c r="AF2192" i="2"/>
  <c r="AK2191" i="2" s="1"/>
  <c r="AF2193" i="2"/>
  <c r="AK2192" i="2" s="1"/>
  <c r="AF2194" i="2"/>
  <c r="AF2195" i="2"/>
  <c r="AK2194" i="2" s="1"/>
  <c r="AF2196" i="2"/>
  <c r="AF2197" i="2"/>
  <c r="AF2198" i="2"/>
  <c r="AK2197" i="2" s="1"/>
  <c r="AF2199" i="2"/>
  <c r="AK2198" i="2" s="1"/>
  <c r="AF2200" i="2"/>
  <c r="AK2199" i="2" s="1"/>
  <c r="AF2201" i="2"/>
  <c r="AK2200" i="2" s="1"/>
  <c r="AF2202" i="2"/>
  <c r="AF2203" i="2"/>
  <c r="AK2202" i="2" s="1"/>
  <c r="AF2204" i="2"/>
  <c r="AF2205" i="2"/>
  <c r="AF2206" i="2"/>
  <c r="AK2205" i="2" s="1"/>
  <c r="AF2207" i="2"/>
  <c r="AK2206" i="2" s="1"/>
  <c r="AF2208" i="2"/>
  <c r="AK2207" i="2" s="1"/>
  <c r="AF2209" i="2"/>
  <c r="AK2208" i="2" s="1"/>
  <c r="AF2090" i="2"/>
  <c r="AK2210" i="2" s="1"/>
  <c r="AF2211" i="2"/>
  <c r="AK2211" i="2" s="1"/>
  <c r="AF2212" i="2"/>
  <c r="AK2212" i="2" s="1"/>
  <c r="AF2213" i="2"/>
  <c r="AK2213" i="2" s="1"/>
  <c r="AF2214" i="2"/>
  <c r="AK2214" i="2" s="1"/>
  <c r="AF2215" i="2"/>
  <c r="AK2215" i="2" s="1"/>
  <c r="AF2216" i="2"/>
  <c r="AK2216" i="2" s="1"/>
  <c r="AF2217" i="2"/>
  <c r="AK2217" i="2" s="1"/>
  <c r="AF2218" i="2"/>
  <c r="AK2218" i="2" s="1"/>
  <c r="AF2219" i="2"/>
  <c r="AK2219" i="2" s="1"/>
  <c r="AF2220" i="2"/>
  <c r="AK2220" i="2" s="1"/>
  <c r="AF2221" i="2"/>
  <c r="AK2221" i="2" s="1"/>
  <c r="AF2222" i="2"/>
  <c r="AK2222" i="2" s="1"/>
  <c r="AF2223" i="2"/>
  <c r="AK2223" i="2" s="1"/>
  <c r="AF2224" i="2"/>
  <c r="AK2224" i="2" s="1"/>
  <c r="AF2225" i="2"/>
  <c r="AK2225" i="2" s="1"/>
  <c r="AF2226" i="2"/>
  <c r="AK2226" i="2" s="1"/>
  <c r="AF2227" i="2"/>
  <c r="AK2227" i="2" s="1"/>
  <c r="AF2228" i="2"/>
  <c r="AK2228" i="2" s="1"/>
  <c r="AF2229" i="2"/>
  <c r="AK2229" i="2" s="1"/>
  <c r="AF2230" i="2"/>
  <c r="AK2230" i="2" s="1"/>
  <c r="AF2231" i="2"/>
  <c r="AK2231" i="2" s="1"/>
  <c r="AF2232" i="2"/>
  <c r="AK2232" i="2" s="1"/>
  <c r="AF2233" i="2"/>
  <c r="AK2233" i="2" s="1"/>
  <c r="AF2234" i="2"/>
  <c r="AK2234" i="2" s="1"/>
  <c r="AF2235" i="2"/>
  <c r="AK2235" i="2" s="1"/>
  <c r="AF2236" i="2"/>
  <c r="AK2236" i="2" s="1"/>
  <c r="AF2237" i="2"/>
  <c r="AK2237" i="2" s="1"/>
  <c r="AF2238" i="2"/>
  <c r="AK2238" i="2" s="1"/>
  <c r="AF2239" i="2"/>
  <c r="AK2239" i="2" s="1"/>
  <c r="AF2240" i="2"/>
  <c r="AK2240" i="2" s="1"/>
  <c r="AF2241" i="2"/>
  <c r="AK2241" i="2" s="1"/>
  <c r="AF2242" i="2"/>
  <c r="AK2242" i="2" s="1"/>
  <c r="AF2243" i="2"/>
  <c r="AK2243" i="2" s="1"/>
  <c r="AF2244" i="2"/>
  <c r="AK2244" i="2" s="1"/>
  <c r="AF2245" i="2"/>
  <c r="AK2245" i="2" s="1"/>
  <c r="AF2246" i="2"/>
  <c r="AK2246" i="2" s="1"/>
  <c r="AF2247" i="2"/>
  <c r="AK2247" i="2" s="1"/>
  <c r="AF2248" i="2"/>
  <c r="AK2248" i="2" s="1"/>
  <c r="AF2249" i="2"/>
  <c r="AK2249" i="2" s="1"/>
  <c r="AF2250" i="2"/>
  <c r="AK2250" i="2" s="1"/>
  <c r="AF2251" i="2"/>
  <c r="AK2251" i="2" s="1"/>
  <c r="AF2252" i="2"/>
  <c r="AK2252" i="2" s="1"/>
  <c r="AF2253" i="2"/>
  <c r="AK2253" i="2" s="1"/>
  <c r="AF2254" i="2"/>
  <c r="AK2254" i="2" s="1"/>
  <c r="AF2255" i="2"/>
  <c r="AK2255" i="2" s="1"/>
  <c r="AF2256" i="2"/>
  <c r="AK2256" i="2" s="1"/>
  <c r="AF2257" i="2"/>
  <c r="AK2257" i="2" s="1"/>
  <c r="AF2258" i="2"/>
  <c r="AK2258" i="2" s="1"/>
  <c r="AF2259" i="2"/>
  <c r="AK2259" i="2" s="1"/>
  <c r="AF2260" i="2"/>
  <c r="AK2260" i="2" s="1"/>
  <c r="AF2261" i="2"/>
  <c r="AK2261" i="2" s="1"/>
  <c r="AF2262" i="2"/>
  <c r="AK2262" i="2" s="1"/>
  <c r="AF2263" i="2"/>
  <c r="AK2263" i="2" s="1"/>
  <c r="AF2264" i="2"/>
  <c r="AK2264" i="2" s="1"/>
  <c r="AF2265" i="2"/>
  <c r="AK2265" i="2" s="1"/>
  <c r="AF2266" i="2"/>
  <c r="AK2266" i="2" s="1"/>
  <c r="AF2267" i="2"/>
  <c r="AK2267" i="2" s="1"/>
  <c r="AF2268" i="2"/>
  <c r="AK2268" i="2" s="1"/>
  <c r="AF2269" i="2"/>
  <c r="AK2269" i="2" s="1"/>
  <c r="AF2270" i="2"/>
  <c r="AK2270" i="2" s="1"/>
  <c r="AF2271" i="2"/>
  <c r="AK2271" i="2" s="1"/>
  <c r="AF2272" i="2"/>
  <c r="AK2272" i="2" s="1"/>
  <c r="AF2273" i="2"/>
  <c r="AK2273" i="2" s="1"/>
  <c r="AF2274" i="2"/>
  <c r="AK2274" i="2" s="1"/>
  <c r="AF2275" i="2"/>
  <c r="AK2275" i="2" s="1"/>
  <c r="AF2276" i="2"/>
  <c r="AK2276" i="2" s="1"/>
  <c r="AF2277" i="2"/>
  <c r="AK2277" i="2" s="1"/>
  <c r="AF2278" i="2"/>
  <c r="AK2278" i="2" s="1"/>
  <c r="AF2279" i="2"/>
  <c r="AK2279" i="2" s="1"/>
  <c r="AF2280" i="2"/>
  <c r="AK2280" i="2" s="1"/>
  <c r="AF2281" i="2"/>
  <c r="AK2281" i="2" s="1"/>
  <c r="AF2282" i="2"/>
  <c r="AK2282" i="2" s="1"/>
  <c r="AF2283" i="2"/>
  <c r="AK2283" i="2" s="1"/>
  <c r="AF2284" i="2"/>
  <c r="AK2284" i="2" s="1"/>
  <c r="AF2285" i="2"/>
  <c r="AK2285" i="2" s="1"/>
  <c r="AF2286" i="2"/>
  <c r="AK2286" i="2" s="1"/>
  <c r="AF2287" i="2"/>
  <c r="AK2287" i="2" s="1"/>
  <c r="AF2288" i="2"/>
  <c r="AK2288" i="2" s="1"/>
  <c r="AF2289" i="2"/>
  <c r="AK2289" i="2" s="1"/>
  <c r="AF2290" i="2"/>
  <c r="AK2290" i="2" s="1"/>
  <c r="AF2291" i="2"/>
  <c r="AK2291" i="2" s="1"/>
  <c r="AF2292" i="2"/>
  <c r="AK2292" i="2" s="1"/>
  <c r="AF2293" i="2"/>
  <c r="AK2293" i="2" s="1"/>
  <c r="AF2294" i="2"/>
  <c r="AK2294" i="2" s="1"/>
  <c r="AF2295" i="2"/>
  <c r="AK2295" i="2" s="1"/>
  <c r="AF2296" i="2"/>
  <c r="AK2296" i="2" s="1"/>
  <c r="AF2297" i="2"/>
  <c r="AK2297" i="2" s="1"/>
  <c r="AF2298" i="2"/>
  <c r="AK2298" i="2" s="1"/>
  <c r="AF2299" i="2"/>
  <c r="AK2299" i="2" s="1"/>
  <c r="AF2300" i="2"/>
  <c r="AK2300" i="2" s="1"/>
  <c r="AF2301" i="2"/>
  <c r="AK2301" i="2" s="1"/>
  <c r="AF2302" i="2"/>
  <c r="AK2302" i="2" s="1"/>
  <c r="AF2303" i="2"/>
  <c r="AK2303" i="2" s="1"/>
  <c r="AF2304" i="2"/>
  <c r="AK2304" i="2" s="1"/>
  <c r="AF2305" i="2"/>
  <c r="AK2305" i="2" s="1"/>
  <c r="AF2306" i="2"/>
  <c r="AK2306" i="2" s="1"/>
  <c r="AF2307" i="2"/>
  <c r="AK2307" i="2" s="1"/>
  <c r="AF2308" i="2"/>
  <c r="AK2308" i="2" s="1"/>
  <c r="AF2309" i="2"/>
  <c r="AK2309" i="2" s="1"/>
  <c r="AF2310" i="2"/>
  <c r="AK2310" i="2" s="1"/>
  <c r="AF2311" i="2"/>
  <c r="AK2311" i="2" s="1"/>
  <c r="AF2312" i="2"/>
  <c r="AK2312" i="2" s="1"/>
  <c r="AF2313" i="2"/>
  <c r="AK2313" i="2" s="1"/>
  <c r="AF2314" i="2"/>
  <c r="AK2314" i="2" s="1"/>
  <c r="AF2315" i="2"/>
  <c r="AK2315" i="2" s="1"/>
  <c r="AF2316" i="2"/>
  <c r="AK2316" i="2" s="1"/>
  <c r="AF2317" i="2"/>
  <c r="AK2317" i="2" s="1"/>
  <c r="AF2318" i="2"/>
  <c r="AK2318" i="2" s="1"/>
  <c r="AF2319" i="2"/>
  <c r="AK2319" i="2" s="1"/>
  <c r="AF2320" i="2"/>
  <c r="AK2320" i="2" s="1"/>
  <c r="AF2321" i="2"/>
  <c r="AK2321" i="2" s="1"/>
  <c r="AF2322" i="2"/>
  <c r="AK2322" i="2" s="1"/>
  <c r="AF2323" i="2"/>
  <c r="AK2323" i="2" s="1"/>
  <c r="AF2324" i="2"/>
  <c r="AK2324" i="2" s="1"/>
  <c r="AF2325" i="2"/>
  <c r="AK2325" i="2" s="1"/>
  <c r="AF2326" i="2"/>
  <c r="AK2326" i="2" s="1"/>
  <c r="AF2327" i="2"/>
  <c r="AK2327" i="2" s="1"/>
  <c r="AF2328" i="2"/>
  <c r="AK2328" i="2" s="1"/>
  <c r="AF2329" i="2"/>
  <c r="AK2329" i="2" s="1"/>
  <c r="AF2330" i="2"/>
  <c r="AK2330" i="2" s="1"/>
  <c r="AF2331" i="2"/>
  <c r="AK2331" i="2" s="1"/>
  <c r="AF2332" i="2"/>
  <c r="AK2332" i="2" s="1"/>
  <c r="AF2333" i="2"/>
  <c r="AK2333" i="2" s="1"/>
  <c r="AF2334" i="2"/>
  <c r="AK2334" i="2" s="1"/>
  <c r="AF2335" i="2"/>
  <c r="AK2335" i="2" s="1"/>
  <c r="AF2336" i="2"/>
  <c r="AK2336" i="2" s="1"/>
  <c r="AF2337" i="2"/>
  <c r="AK2337" i="2" s="1"/>
  <c r="AF2338" i="2"/>
  <c r="AK2338" i="2" s="1"/>
  <c r="AF2339" i="2"/>
  <c r="AK2339" i="2" s="1"/>
  <c r="AF2340" i="2"/>
  <c r="AK2340" i="2" s="1"/>
  <c r="AF2341" i="2"/>
  <c r="AK2341" i="2" s="1"/>
  <c r="AF2342" i="2"/>
  <c r="AK2342" i="2" s="1"/>
  <c r="AF2343" i="2"/>
  <c r="AK2343" i="2" s="1"/>
  <c r="AF2344" i="2"/>
  <c r="AK2344" i="2" s="1"/>
  <c r="AF2345" i="2"/>
  <c r="AK2345" i="2" s="1"/>
  <c r="AF2346" i="2"/>
  <c r="AK2346" i="2" s="1"/>
  <c r="AF2347" i="2"/>
  <c r="AK2347" i="2" s="1"/>
  <c r="AF2348" i="2"/>
  <c r="AK2348" i="2" s="1"/>
  <c r="AF2349" i="2"/>
  <c r="AK2349" i="2" s="1"/>
  <c r="AF2350" i="2"/>
  <c r="AK2350" i="2" s="1"/>
  <c r="AF2351" i="2"/>
  <c r="AK2351" i="2" s="1"/>
  <c r="AF2352" i="2"/>
  <c r="AK2352" i="2" s="1"/>
  <c r="AF2353" i="2"/>
  <c r="AK2353" i="2" s="1"/>
  <c r="AF2354" i="2"/>
  <c r="AK2354" i="2" s="1"/>
  <c r="AF2355" i="2"/>
  <c r="AK2355" i="2" s="1"/>
  <c r="AF2356" i="2"/>
  <c r="AK2356" i="2" s="1"/>
  <c r="AF2357" i="2"/>
  <c r="AK2357" i="2" s="1"/>
  <c r="AF2358" i="2"/>
  <c r="AK2358" i="2" s="1"/>
  <c r="AF2359" i="2"/>
  <c r="AK2359" i="2" s="1"/>
  <c r="AF2360" i="2"/>
  <c r="AK2360" i="2" s="1"/>
  <c r="AF2361" i="2"/>
  <c r="AK2361" i="2" s="1"/>
  <c r="AF2362" i="2"/>
  <c r="AK2362" i="2" s="1"/>
  <c r="AF2363" i="2"/>
  <c r="AK2363" i="2" s="1"/>
  <c r="AF2364" i="2"/>
  <c r="AK2364" i="2" s="1"/>
  <c r="AF2365" i="2"/>
  <c r="AK2365" i="2" s="1"/>
  <c r="AF2366" i="2"/>
  <c r="AK2366" i="2" s="1"/>
  <c r="AF2367" i="2"/>
  <c r="AK2367" i="2" s="1"/>
  <c r="AF2368" i="2"/>
  <c r="AK2368" i="2" s="1"/>
  <c r="AF2369" i="2"/>
  <c r="AK2369" i="2" s="1"/>
  <c r="AF2370" i="2"/>
  <c r="AK2370" i="2" s="1"/>
  <c r="AF2371" i="2"/>
  <c r="AK2371" i="2" s="1"/>
  <c r="AF2372" i="2"/>
  <c r="AK2372" i="2" s="1"/>
  <c r="AF2373" i="2"/>
  <c r="AK2373" i="2" s="1"/>
  <c r="AF2374" i="2"/>
  <c r="AK2374" i="2" s="1"/>
  <c r="AF2375" i="2"/>
  <c r="AK2375" i="2" s="1"/>
  <c r="AF2376" i="2"/>
  <c r="AK2376" i="2" s="1"/>
  <c r="AF2377" i="2"/>
  <c r="AK2377" i="2" s="1"/>
  <c r="AF2378" i="2"/>
  <c r="AK2378" i="2" s="1"/>
  <c r="AF2379" i="2"/>
  <c r="AK2379" i="2" s="1"/>
  <c r="AF2380" i="2"/>
  <c r="AK2380" i="2" s="1"/>
  <c r="AF2381" i="2"/>
  <c r="AK2381" i="2" s="1"/>
  <c r="AF2382" i="2"/>
  <c r="AK2382" i="2" s="1"/>
  <c r="AF2383" i="2"/>
  <c r="AK2383" i="2" s="1"/>
  <c r="AF2384" i="2"/>
  <c r="AK2384" i="2" s="1"/>
  <c r="AF2385" i="2"/>
  <c r="AK2385" i="2" s="1"/>
  <c r="AF2386" i="2"/>
  <c r="AK2386" i="2" s="1"/>
  <c r="AF2387" i="2"/>
  <c r="AK2387" i="2" s="1"/>
  <c r="AF2388" i="2"/>
  <c r="AK2388" i="2" s="1"/>
  <c r="AF2389" i="2"/>
  <c r="AK2389" i="2" s="1"/>
  <c r="AF2390" i="2"/>
  <c r="AK2390" i="2" s="1"/>
  <c r="AF2391" i="2"/>
  <c r="AK2391" i="2" s="1"/>
  <c r="AF2392" i="2"/>
  <c r="AK2392" i="2" s="1"/>
  <c r="AF2393" i="2"/>
  <c r="AK2393" i="2" s="1"/>
  <c r="AF2394" i="2"/>
  <c r="AK2394" i="2" s="1"/>
  <c r="AF2395" i="2"/>
  <c r="AK2395" i="2" s="1"/>
  <c r="AF2396" i="2"/>
  <c r="AK2396" i="2" s="1"/>
  <c r="AF2397" i="2"/>
  <c r="AK2397" i="2" s="1"/>
  <c r="AF2398" i="2"/>
  <c r="AK2398" i="2" s="1"/>
  <c r="AF2399" i="2"/>
  <c r="AK2399" i="2" s="1"/>
  <c r="AF2400" i="2"/>
  <c r="AK2400" i="2" s="1"/>
  <c r="AF2401" i="2"/>
  <c r="AK2401" i="2" s="1"/>
  <c r="AF2402" i="2"/>
  <c r="AK2402" i="2" s="1"/>
  <c r="AF2403" i="2"/>
  <c r="AK2403" i="2" s="1"/>
  <c r="AF2404" i="2"/>
  <c r="AK2404" i="2" s="1"/>
  <c r="AF2405" i="2"/>
  <c r="AK2405" i="2" s="1"/>
  <c r="AF2406" i="2"/>
  <c r="AK2406" i="2" s="1"/>
  <c r="AF2407" i="2"/>
  <c r="AK2407" i="2" s="1"/>
  <c r="AF2408" i="2"/>
  <c r="AK2408" i="2" s="1"/>
  <c r="AF2409" i="2"/>
  <c r="AK2409" i="2" s="1"/>
  <c r="AF2410" i="2"/>
  <c r="AK2410" i="2" s="1"/>
  <c r="AF2411" i="2"/>
  <c r="AK2411" i="2" s="1"/>
  <c r="AF2412" i="2"/>
  <c r="AK2412" i="2" s="1"/>
  <c r="AF2413" i="2"/>
  <c r="AK2413" i="2" s="1"/>
  <c r="AF2414" i="2"/>
  <c r="AK2414" i="2" s="1"/>
  <c r="AF2415" i="2"/>
  <c r="AK2415" i="2" s="1"/>
  <c r="AF2416" i="2"/>
  <c r="AK2416" i="2" s="1"/>
  <c r="AF2417" i="2"/>
  <c r="AK2417" i="2" s="1"/>
  <c r="AF2418" i="2"/>
  <c r="AK2418" i="2" s="1"/>
  <c r="AF2419" i="2"/>
  <c r="AK2419" i="2" s="1"/>
  <c r="AF2420" i="2"/>
  <c r="AK2420" i="2" s="1"/>
  <c r="AF2421" i="2"/>
  <c r="AK2421" i="2" s="1"/>
  <c r="AF2422" i="2"/>
  <c r="AK2422" i="2" s="1"/>
  <c r="AF2423" i="2"/>
  <c r="AK2423" i="2" s="1"/>
  <c r="AF2424" i="2"/>
  <c r="AK2424" i="2" s="1"/>
  <c r="AF2425" i="2"/>
  <c r="AK2425" i="2" s="1"/>
  <c r="AF2426" i="2"/>
  <c r="AK2426" i="2" s="1"/>
  <c r="AF2427" i="2"/>
  <c r="AK2427" i="2" s="1"/>
  <c r="AF2428" i="2"/>
  <c r="AK2428" i="2" s="1"/>
  <c r="AF2429" i="2"/>
  <c r="AK2429" i="2" s="1"/>
  <c r="AF2430" i="2"/>
  <c r="AK2430" i="2" s="1"/>
  <c r="AF2431" i="2"/>
  <c r="AK2431" i="2" s="1"/>
  <c r="AF2432" i="2"/>
  <c r="AK2432" i="2" s="1"/>
  <c r="AF2433" i="2"/>
  <c r="AK2433" i="2" s="1"/>
  <c r="AF2434" i="2"/>
  <c r="AK2434" i="2" s="1"/>
  <c r="AF2435" i="2"/>
  <c r="AK2435" i="2" s="1"/>
  <c r="AF2436" i="2"/>
  <c r="AK2436" i="2" s="1"/>
  <c r="AF2437" i="2"/>
  <c r="AK2437" i="2" s="1"/>
  <c r="AF2438" i="2"/>
  <c r="AK2438" i="2" s="1"/>
  <c r="AF2439" i="2"/>
  <c r="AK2439" i="2" s="1"/>
  <c r="AF2440" i="2"/>
  <c r="AK2440" i="2" s="1"/>
  <c r="AF2441" i="2"/>
  <c r="AK2441" i="2" s="1"/>
  <c r="AF2442" i="2"/>
  <c r="AK2442" i="2" s="1"/>
  <c r="AF2443" i="2"/>
  <c r="AK2443" i="2" s="1"/>
  <c r="AF2444" i="2"/>
  <c r="AK2444" i="2" s="1"/>
  <c r="AF2445" i="2"/>
  <c r="AK2445" i="2" s="1"/>
  <c r="AF2446" i="2"/>
  <c r="AK2446" i="2" s="1"/>
  <c r="AF2447" i="2"/>
  <c r="AK2447" i="2" s="1"/>
  <c r="AF2448" i="2"/>
  <c r="AK2448" i="2" s="1"/>
  <c r="AF2449" i="2"/>
  <c r="AK2449" i="2" s="1"/>
  <c r="AF2450" i="2"/>
  <c r="AK2450" i="2" s="1"/>
  <c r="AF2451" i="2"/>
  <c r="AK2451" i="2" s="1"/>
  <c r="AF2452" i="2"/>
  <c r="AK2452" i="2" s="1"/>
  <c r="AF2453" i="2"/>
  <c r="AK2453" i="2" s="1"/>
  <c r="AF2454" i="2"/>
  <c r="AK2454" i="2" s="1"/>
  <c r="AF2455" i="2"/>
  <c r="AK2455" i="2" s="1"/>
  <c r="AF2456" i="2"/>
  <c r="AK2456" i="2" s="1"/>
  <c r="AF2457" i="2"/>
  <c r="AK2457" i="2" s="1"/>
  <c r="AF2458" i="2"/>
  <c r="AK2458" i="2" s="1"/>
  <c r="AF2459" i="2"/>
  <c r="AK2459" i="2" s="1"/>
  <c r="AF2460" i="2"/>
  <c r="AK2460" i="2" s="1"/>
  <c r="AF2461" i="2"/>
  <c r="AK2461" i="2" s="1"/>
  <c r="AF2462" i="2"/>
  <c r="AK2462" i="2" s="1"/>
  <c r="AF2463" i="2"/>
  <c r="AK2463" i="2" s="1"/>
  <c r="AF2464" i="2"/>
  <c r="AK2464" i="2" s="1"/>
  <c r="AF2465" i="2"/>
  <c r="AK2465" i="2" s="1"/>
  <c r="AF2466" i="2"/>
  <c r="AK2466" i="2" s="1"/>
  <c r="AF2467" i="2"/>
  <c r="AK2467" i="2" s="1"/>
  <c r="AF2468" i="2"/>
  <c r="AK2468" i="2" s="1"/>
  <c r="AF2469" i="2"/>
  <c r="AK2469" i="2" s="1"/>
  <c r="AF2470" i="2"/>
  <c r="AK2470" i="2" s="1"/>
  <c r="AF2471" i="2"/>
  <c r="AK2471" i="2" s="1"/>
  <c r="AF2472" i="2"/>
  <c r="AK2472" i="2" s="1"/>
  <c r="AF2473" i="2"/>
  <c r="AK2473" i="2" s="1"/>
  <c r="AF2474" i="2"/>
  <c r="AK2474" i="2" s="1"/>
  <c r="AF2475" i="2"/>
  <c r="AK2475" i="2" s="1"/>
  <c r="AF2476" i="2"/>
  <c r="AK2476" i="2" s="1"/>
  <c r="AF2477" i="2"/>
  <c r="AK2477" i="2" s="1"/>
  <c r="AF2478" i="2"/>
  <c r="AK2478" i="2" s="1"/>
  <c r="AF2479" i="2"/>
  <c r="AK2479" i="2" s="1"/>
  <c r="AF2480" i="2"/>
  <c r="AK2480" i="2" s="1"/>
  <c r="AF2481" i="2"/>
  <c r="AK2481" i="2" s="1"/>
  <c r="AF2482" i="2"/>
  <c r="AK2482" i="2" s="1"/>
  <c r="AF2483" i="2"/>
  <c r="AK2483" i="2" s="1"/>
  <c r="AF2484" i="2"/>
  <c r="AK2484" i="2" s="1"/>
  <c r="AF2485" i="2"/>
  <c r="AK2485" i="2" s="1"/>
  <c r="AF2486" i="2"/>
  <c r="AK2486" i="2" s="1"/>
  <c r="AF2487" i="2"/>
  <c r="AK2487" i="2" s="1"/>
  <c r="AF2488" i="2"/>
  <c r="AK2488" i="2" s="1"/>
  <c r="AF2489" i="2"/>
  <c r="AK2489" i="2" s="1"/>
  <c r="AF2490" i="2"/>
  <c r="AK2490" i="2" s="1"/>
  <c r="AF2491" i="2"/>
  <c r="AK2491" i="2" s="1"/>
  <c r="AF2492" i="2"/>
  <c r="AK2492" i="2" s="1"/>
  <c r="AF2493" i="2"/>
  <c r="AK2493" i="2" s="1"/>
  <c r="AF2494" i="2"/>
  <c r="AK2494" i="2" s="1"/>
  <c r="AF2495" i="2"/>
  <c r="AK2495" i="2" s="1"/>
  <c r="AF2496" i="2"/>
  <c r="AK2496" i="2" s="1"/>
  <c r="AF2497" i="2"/>
  <c r="AK2497" i="2" s="1"/>
  <c r="AF2498" i="2"/>
  <c r="AK2498" i="2" s="1"/>
  <c r="AF2499" i="2"/>
  <c r="AK2499" i="2" s="1"/>
  <c r="AF2500" i="2"/>
  <c r="AK2500" i="2" s="1"/>
  <c r="AF2501" i="2"/>
  <c r="AK2501" i="2" s="1"/>
  <c r="AF2502" i="2"/>
  <c r="AK2502" i="2" s="1"/>
  <c r="AF2503" i="2"/>
  <c r="AK2503" i="2" s="1"/>
  <c r="AF2504" i="2"/>
  <c r="AK2504" i="2" s="1"/>
  <c r="AF2505" i="2"/>
  <c r="AK2505" i="2" s="1"/>
  <c r="AF2506" i="2"/>
  <c r="AK2506" i="2" s="1"/>
  <c r="AF2507" i="2"/>
  <c r="AK2507" i="2" s="1"/>
  <c r="AF2508" i="2"/>
  <c r="AK2508" i="2" s="1"/>
  <c r="AF2509" i="2"/>
  <c r="AK2509" i="2" s="1"/>
  <c r="AF2510" i="2"/>
  <c r="AK2510" i="2" s="1"/>
  <c r="AF2511" i="2"/>
  <c r="AK2511" i="2" s="1"/>
  <c r="AF2512" i="2"/>
  <c r="AK2512" i="2" s="1"/>
  <c r="AF2513" i="2"/>
  <c r="AK2513" i="2" s="1"/>
  <c r="AF2514" i="2"/>
  <c r="AK2514" i="2" s="1"/>
  <c r="AF2515" i="2"/>
  <c r="AK2515" i="2" s="1"/>
  <c r="AF2516" i="2"/>
  <c r="AK2516" i="2" s="1"/>
  <c r="AF2517" i="2"/>
  <c r="AK2517" i="2" s="1"/>
  <c r="AF2518" i="2"/>
  <c r="AK2518" i="2" s="1"/>
  <c r="AF2519" i="2"/>
  <c r="AK2519" i="2" s="1"/>
  <c r="AF2520" i="2"/>
  <c r="AK2520" i="2" s="1"/>
  <c r="AF2521" i="2"/>
  <c r="AK2521" i="2" s="1"/>
  <c r="AF2522" i="2"/>
  <c r="AK2522" i="2" s="1"/>
  <c r="AF2523" i="2"/>
  <c r="AK2523" i="2" s="1"/>
  <c r="AF2524" i="2"/>
  <c r="AK2524" i="2" s="1"/>
  <c r="AF2525" i="2"/>
  <c r="AK2525" i="2" s="1"/>
  <c r="AF2526" i="2"/>
  <c r="AK2526" i="2" s="1"/>
  <c r="AF2527" i="2"/>
  <c r="AK2527" i="2" s="1"/>
  <c r="AF2528" i="2"/>
  <c r="AK2528" i="2" s="1"/>
  <c r="AF2529" i="2"/>
  <c r="AK2529" i="2" s="1"/>
  <c r="AF2530" i="2"/>
  <c r="AK2530" i="2" s="1"/>
  <c r="AF2531" i="2"/>
  <c r="AK2531" i="2" s="1"/>
  <c r="AF2532" i="2"/>
  <c r="AK2532" i="2" s="1"/>
  <c r="AF2533" i="2"/>
  <c r="AK2533" i="2" s="1"/>
  <c r="AF2534" i="2"/>
  <c r="AK2534" i="2" s="1"/>
  <c r="AF2535" i="2"/>
  <c r="AK2535" i="2" s="1"/>
  <c r="AF2536" i="2"/>
  <c r="AK2536" i="2" s="1"/>
  <c r="AF2537" i="2"/>
  <c r="AK2537" i="2" s="1"/>
  <c r="AF2538" i="2"/>
  <c r="AK2538" i="2" s="1"/>
  <c r="AF2539" i="2"/>
  <c r="AK2539" i="2" s="1"/>
  <c r="AF2540" i="2"/>
  <c r="AK2540" i="2" s="1"/>
  <c r="AF2541" i="2"/>
  <c r="AK2541" i="2" s="1"/>
  <c r="AF2542" i="2"/>
  <c r="AK2542" i="2" s="1"/>
  <c r="AF2543" i="2"/>
  <c r="AK2543" i="2" s="1"/>
  <c r="AF2544" i="2"/>
  <c r="AK2544" i="2" s="1"/>
  <c r="AF2545" i="2"/>
  <c r="AK2545" i="2" s="1"/>
  <c r="AF2546" i="2"/>
  <c r="AK2546" i="2" s="1"/>
  <c r="AF2547" i="2"/>
  <c r="AK2547" i="2" s="1"/>
  <c r="AF2548" i="2"/>
  <c r="AK2548" i="2" s="1"/>
  <c r="AF2549" i="2"/>
  <c r="AK2549" i="2" s="1"/>
  <c r="AF2550" i="2"/>
  <c r="AK2550" i="2" s="1"/>
  <c r="AF2551" i="2"/>
  <c r="AK2551" i="2" s="1"/>
  <c r="AF2552" i="2"/>
  <c r="AK2552" i="2" s="1"/>
  <c r="AF2553" i="2"/>
  <c r="AK2553" i="2" s="1"/>
  <c r="AF2554" i="2"/>
  <c r="AK2554" i="2" s="1"/>
  <c r="AF2555" i="2"/>
  <c r="AK2555" i="2" s="1"/>
  <c r="AF2556" i="2"/>
  <c r="AK2556" i="2" s="1"/>
  <c r="AF2557" i="2"/>
  <c r="AK2557" i="2" s="1"/>
  <c r="AF2558" i="2"/>
  <c r="AK2558" i="2" s="1"/>
  <c r="AF2559" i="2"/>
  <c r="AK2559" i="2" s="1"/>
  <c r="AF2560" i="2"/>
  <c r="AK2560" i="2" s="1"/>
  <c r="AF2561" i="2"/>
  <c r="AK2561" i="2" s="1"/>
  <c r="AF2562" i="2"/>
  <c r="AK2562" i="2" s="1"/>
  <c r="AF2563" i="2"/>
  <c r="AK2563" i="2" s="1"/>
  <c r="AF2564" i="2"/>
  <c r="AK2564" i="2" s="1"/>
  <c r="AF2565" i="2"/>
  <c r="AK2565" i="2" s="1"/>
  <c r="AF2566" i="2"/>
  <c r="AK2566" i="2" s="1"/>
  <c r="AF2567" i="2"/>
  <c r="AK2567" i="2" s="1"/>
  <c r="AF2568" i="2"/>
  <c r="AK2568" i="2" s="1"/>
  <c r="AF2569" i="2"/>
  <c r="AK2569" i="2" s="1"/>
  <c r="AF2570" i="2"/>
  <c r="AK2570" i="2" s="1"/>
  <c r="AF2571" i="2"/>
  <c r="AK2571" i="2" s="1"/>
  <c r="AF2572" i="2"/>
  <c r="AK2572" i="2" s="1"/>
  <c r="AF2573" i="2"/>
  <c r="AK2573" i="2" s="1"/>
  <c r="AF2574" i="2"/>
  <c r="AK2574" i="2" s="1"/>
  <c r="AF2575" i="2"/>
  <c r="AK2575" i="2" s="1"/>
  <c r="AF2576" i="2"/>
  <c r="AK2576" i="2" s="1"/>
  <c r="AF2577" i="2"/>
  <c r="AK2577" i="2" s="1"/>
  <c r="AF2578" i="2"/>
  <c r="AK2578" i="2" s="1"/>
  <c r="AF2579" i="2"/>
  <c r="AK2579" i="2" s="1"/>
  <c r="AF2580" i="2"/>
  <c r="AK2580" i="2" s="1"/>
  <c r="AF2581" i="2"/>
  <c r="AK2581" i="2" s="1"/>
  <c r="AF2582" i="2"/>
  <c r="AK2582" i="2" s="1"/>
  <c r="AF2583" i="2"/>
  <c r="AK2583" i="2" s="1"/>
  <c r="AF2584" i="2"/>
  <c r="AK2584" i="2" s="1"/>
  <c r="AF2585" i="2"/>
  <c r="AK2585" i="2" s="1"/>
  <c r="AF2586" i="2"/>
  <c r="AK2586" i="2" s="1"/>
  <c r="AF2587" i="2"/>
  <c r="AK2587" i="2" s="1"/>
  <c r="AF2588" i="2"/>
  <c r="AK2588" i="2" s="1"/>
  <c r="AF2589" i="2"/>
  <c r="AK2589" i="2" s="1"/>
  <c r="AF2590" i="2"/>
  <c r="AK2590" i="2" s="1"/>
  <c r="AF2591" i="2"/>
  <c r="AK2591" i="2" s="1"/>
  <c r="AF2592" i="2"/>
  <c r="AK2592" i="2" s="1"/>
  <c r="AF2593" i="2"/>
  <c r="AK2593" i="2" s="1"/>
  <c r="AF2594" i="2"/>
  <c r="AK2594" i="2" s="1"/>
  <c r="AF2595" i="2"/>
  <c r="AK2595" i="2" s="1"/>
  <c r="AF2596" i="2"/>
  <c r="AK2596" i="2" s="1"/>
  <c r="AF2597" i="2"/>
  <c r="AK2597" i="2" s="1"/>
  <c r="AF2598" i="2"/>
  <c r="AK2598" i="2" s="1"/>
  <c r="AF2599" i="2"/>
  <c r="AK2599" i="2" s="1"/>
  <c r="AF2600" i="2"/>
  <c r="AK2600" i="2" s="1"/>
  <c r="AF2601" i="2"/>
  <c r="AK2601" i="2" s="1"/>
  <c r="AF2602" i="2"/>
  <c r="AK2602" i="2" s="1"/>
  <c r="AF2603" i="2"/>
  <c r="AK2603" i="2" s="1"/>
  <c r="AF2604" i="2"/>
  <c r="AK2604" i="2" s="1"/>
  <c r="AF2605" i="2"/>
  <c r="AK2605" i="2" s="1"/>
  <c r="AF2606" i="2"/>
  <c r="AK2606" i="2" s="1"/>
  <c r="AF2607" i="2"/>
  <c r="AK2607" i="2" s="1"/>
  <c r="AF2608" i="2"/>
  <c r="AK2608" i="2" s="1"/>
  <c r="AF2609" i="2"/>
  <c r="AK2609" i="2" s="1"/>
  <c r="AF2610" i="2"/>
  <c r="AK2610" i="2" s="1"/>
  <c r="AF2611" i="2"/>
  <c r="AK2611" i="2" s="1"/>
  <c r="AF2612" i="2"/>
  <c r="AK2612" i="2" s="1"/>
  <c r="AF2613" i="2"/>
  <c r="AK2613" i="2" s="1"/>
  <c r="AF2614" i="2"/>
  <c r="AK2614" i="2" s="1"/>
  <c r="AF2615" i="2"/>
  <c r="AK2615" i="2" s="1"/>
  <c r="AF2616" i="2"/>
  <c r="AK2616" i="2" s="1"/>
  <c r="AF2617" i="2"/>
  <c r="AK2617" i="2" s="1"/>
  <c r="AF2618" i="2"/>
  <c r="AK2618" i="2" s="1"/>
  <c r="AF2619" i="2"/>
  <c r="AK2619" i="2" s="1"/>
  <c r="AF2620" i="2"/>
  <c r="AK2620" i="2" s="1"/>
  <c r="AF2621" i="2"/>
  <c r="AK2621" i="2" s="1"/>
  <c r="AF2622" i="2"/>
  <c r="AK2622" i="2" s="1"/>
  <c r="AF2623" i="2"/>
  <c r="AK2623" i="2" s="1"/>
  <c r="AF2624" i="2"/>
  <c r="AK2624" i="2" s="1"/>
  <c r="AF2625" i="2"/>
  <c r="AK2625" i="2" s="1"/>
  <c r="AF2626" i="2"/>
  <c r="AK2626" i="2" s="1"/>
  <c r="AF2627" i="2"/>
  <c r="AK2627" i="2" s="1"/>
  <c r="AF2628" i="2"/>
  <c r="AK2628" i="2" s="1"/>
  <c r="AF2629" i="2"/>
  <c r="AK2629" i="2" s="1"/>
  <c r="AF2630" i="2"/>
  <c r="AK2630" i="2" s="1"/>
  <c r="AF2631" i="2"/>
  <c r="AK2631" i="2" s="1"/>
  <c r="AF2632" i="2"/>
  <c r="AK2632" i="2" s="1"/>
  <c r="AF2633" i="2"/>
  <c r="AK2633" i="2" s="1"/>
  <c r="AF2634" i="2"/>
  <c r="AK2634" i="2" s="1"/>
  <c r="AF2635" i="2"/>
  <c r="AK2635" i="2" s="1"/>
  <c r="AF2636" i="2"/>
  <c r="AK2636" i="2" s="1"/>
  <c r="AF2637" i="2"/>
  <c r="AK2637" i="2" s="1"/>
  <c r="AF2638" i="2"/>
  <c r="AK2638" i="2" s="1"/>
  <c r="AF2639" i="2"/>
  <c r="AK2639" i="2" s="1"/>
  <c r="AF2640" i="2"/>
  <c r="AK2640" i="2" s="1"/>
  <c r="AF2641" i="2"/>
  <c r="AK2641" i="2" s="1"/>
  <c r="AF2642" i="2"/>
  <c r="AK2642" i="2" s="1"/>
  <c r="AF2643" i="2"/>
  <c r="AK2643" i="2" s="1"/>
  <c r="AF2644" i="2"/>
  <c r="AK2644" i="2" s="1"/>
  <c r="AF2645" i="2"/>
  <c r="AK2645" i="2" s="1"/>
  <c r="AF2646" i="2"/>
  <c r="AK2646" i="2" s="1"/>
  <c r="AF2647" i="2"/>
  <c r="AK2647" i="2" s="1"/>
  <c r="AF2648" i="2"/>
  <c r="AK2648" i="2" s="1"/>
  <c r="AF2649" i="2"/>
  <c r="AK2649" i="2" s="1"/>
  <c r="AF2650" i="2"/>
  <c r="AK2650" i="2" s="1"/>
  <c r="AF2651" i="2"/>
  <c r="AK2651" i="2" s="1"/>
  <c r="AF2652" i="2"/>
  <c r="AK2652" i="2" s="1"/>
  <c r="AF2653" i="2"/>
  <c r="AK2653" i="2" s="1"/>
  <c r="AF2654" i="2"/>
  <c r="AK2654" i="2" s="1"/>
  <c r="AF2655" i="2"/>
  <c r="AK2655" i="2" s="1"/>
  <c r="AF2656" i="2"/>
  <c r="AK2656" i="2" s="1"/>
  <c r="AF2657" i="2"/>
  <c r="AK2657" i="2" s="1"/>
  <c r="AF2658" i="2"/>
  <c r="AK2658" i="2" s="1"/>
  <c r="AF2659" i="2"/>
  <c r="AK2659" i="2" s="1"/>
  <c r="AF2660" i="2"/>
  <c r="AK2660" i="2" s="1"/>
  <c r="AF2661" i="2"/>
  <c r="AK2661" i="2" s="1"/>
  <c r="AF2662" i="2"/>
  <c r="AK2662" i="2" s="1"/>
  <c r="AF2663" i="2"/>
  <c r="AK2663" i="2" s="1"/>
  <c r="AF2664" i="2"/>
  <c r="AK2664" i="2" s="1"/>
  <c r="AF2665" i="2"/>
  <c r="AK2665" i="2" s="1"/>
  <c r="AF2666" i="2"/>
  <c r="AK2666" i="2" s="1"/>
  <c r="AF2667" i="2"/>
  <c r="AK2667" i="2" s="1"/>
  <c r="AF2668" i="2"/>
  <c r="AK2668" i="2" s="1"/>
  <c r="AF2669" i="2"/>
  <c r="AK2669" i="2" s="1"/>
  <c r="AF2670" i="2"/>
  <c r="AK2670" i="2" s="1"/>
  <c r="AF2671" i="2"/>
  <c r="AK2671" i="2" s="1"/>
  <c r="AF2672" i="2"/>
  <c r="AK2672" i="2" s="1"/>
  <c r="AF2673" i="2"/>
  <c r="AK2673" i="2" s="1"/>
  <c r="AF2674" i="2"/>
  <c r="AK2674" i="2" s="1"/>
  <c r="AF2675" i="2"/>
  <c r="AK2675" i="2" s="1"/>
  <c r="AF2676" i="2"/>
  <c r="AK2676" i="2" s="1"/>
  <c r="AF2677" i="2"/>
  <c r="AK2677" i="2" s="1"/>
  <c r="AF2678" i="2"/>
  <c r="AK2678" i="2" s="1"/>
  <c r="AF2679" i="2"/>
  <c r="AK2679" i="2" s="1"/>
  <c r="AF2680" i="2"/>
  <c r="AK2680" i="2" s="1"/>
  <c r="AF2681" i="2"/>
  <c r="AK2681" i="2" s="1"/>
  <c r="AF2682" i="2"/>
  <c r="AK2682" i="2" s="1"/>
  <c r="AF2683" i="2"/>
  <c r="AK2683" i="2" s="1"/>
  <c r="AF2684" i="2"/>
  <c r="AK2684" i="2" s="1"/>
  <c r="AF2685" i="2"/>
  <c r="AK2685" i="2" s="1"/>
  <c r="AF2686" i="2"/>
  <c r="AK2686" i="2" s="1"/>
  <c r="AF2687" i="2"/>
  <c r="AK2687" i="2" s="1"/>
  <c r="AF2688" i="2"/>
  <c r="AK2688" i="2" s="1"/>
  <c r="AF2689" i="2"/>
  <c r="AK2689" i="2" s="1"/>
  <c r="AF2690" i="2"/>
  <c r="AK2690" i="2" s="1"/>
  <c r="AF2691" i="2"/>
  <c r="AK2691" i="2" s="1"/>
  <c r="AF2692" i="2"/>
  <c r="AK2692" i="2" s="1"/>
  <c r="AF2693" i="2"/>
  <c r="AK2693" i="2" s="1"/>
  <c r="AF2694" i="2"/>
  <c r="AK2694" i="2" s="1"/>
  <c r="AF2695" i="2"/>
  <c r="AK2695" i="2" s="1"/>
  <c r="AF2696" i="2"/>
  <c r="AK2696" i="2" s="1"/>
  <c r="AF2697" i="2"/>
  <c r="AK2697" i="2" s="1"/>
  <c r="AF2698" i="2"/>
  <c r="AK2698" i="2" s="1"/>
  <c r="AF2699" i="2"/>
  <c r="AK2699" i="2" s="1"/>
  <c r="AF2700" i="2"/>
  <c r="AK2700" i="2" s="1"/>
  <c r="AF2701" i="2"/>
  <c r="AK2701" i="2" s="1"/>
  <c r="AF2702" i="2"/>
  <c r="AK2702" i="2" s="1"/>
  <c r="AF2703" i="2"/>
  <c r="AK2703" i="2" s="1"/>
  <c r="AF2704" i="2"/>
  <c r="AK2704" i="2" s="1"/>
  <c r="AF2705" i="2"/>
  <c r="AK2705" i="2" s="1"/>
  <c r="AF2706" i="2"/>
  <c r="AK2706" i="2" s="1"/>
  <c r="AF2707" i="2"/>
  <c r="AK2707" i="2" s="1"/>
  <c r="AF2708" i="2"/>
  <c r="AK2708" i="2" s="1"/>
  <c r="AF2709" i="2"/>
  <c r="AK2709" i="2" s="1"/>
  <c r="AF2710" i="2"/>
  <c r="AK2710" i="2" s="1"/>
  <c r="AF2711" i="2"/>
  <c r="AK2711" i="2" s="1"/>
  <c r="AF2712" i="2"/>
  <c r="AK2712" i="2" s="1"/>
  <c r="AF2713" i="2"/>
  <c r="AK2713" i="2" s="1"/>
  <c r="AF2714" i="2"/>
  <c r="AK2714" i="2" s="1"/>
  <c r="AF2715" i="2"/>
  <c r="AK2715" i="2" s="1"/>
  <c r="AF2716" i="2"/>
  <c r="AK2716" i="2" s="1"/>
  <c r="AF2717" i="2"/>
  <c r="AK2717" i="2" s="1"/>
  <c r="AF2718" i="2"/>
  <c r="AK2718" i="2" s="1"/>
  <c r="AF2719" i="2"/>
  <c r="AK2719" i="2" s="1"/>
  <c r="AF2720" i="2"/>
  <c r="AK2720" i="2" s="1"/>
  <c r="AF2721" i="2"/>
  <c r="AK2721" i="2" s="1"/>
  <c r="AF2722" i="2"/>
  <c r="AK2722" i="2" s="1"/>
  <c r="AF2723" i="2"/>
  <c r="AK2723" i="2" s="1"/>
  <c r="AF2724" i="2"/>
  <c r="AK2724" i="2" s="1"/>
  <c r="AF2725" i="2"/>
  <c r="AK2725" i="2" s="1"/>
  <c r="AF2726" i="2"/>
  <c r="AK2726" i="2" s="1"/>
  <c r="AF2727" i="2"/>
  <c r="AK2727" i="2" s="1"/>
  <c r="AF2728" i="2"/>
  <c r="AK2728" i="2" s="1"/>
  <c r="AF2729" i="2"/>
  <c r="AK2729" i="2" s="1"/>
  <c r="AF2730" i="2"/>
  <c r="AK2730" i="2" s="1"/>
  <c r="AF2731" i="2"/>
  <c r="AK2731" i="2" s="1"/>
  <c r="AF2732" i="2"/>
  <c r="AK2732" i="2" s="1"/>
  <c r="AF2733" i="2"/>
  <c r="AK2733" i="2" s="1"/>
  <c r="AF2734" i="2"/>
  <c r="AK2734" i="2" s="1"/>
  <c r="AF2735" i="2"/>
  <c r="AK2735" i="2" s="1"/>
  <c r="AF2736" i="2"/>
  <c r="AK2736" i="2" s="1"/>
  <c r="AF2737" i="2"/>
  <c r="AK2737" i="2" s="1"/>
  <c r="AF2738" i="2"/>
  <c r="AK2738" i="2" s="1"/>
  <c r="AF2739" i="2"/>
  <c r="AK2739" i="2" s="1"/>
  <c r="AF2740" i="2"/>
  <c r="AK2740" i="2" s="1"/>
  <c r="AF2741" i="2"/>
  <c r="AK2741" i="2" s="1"/>
  <c r="AF2742" i="2"/>
  <c r="AK2742" i="2" s="1"/>
  <c r="AF2743" i="2"/>
  <c r="AK2743" i="2" s="1"/>
  <c r="AF2744" i="2"/>
  <c r="AK2744" i="2" s="1"/>
  <c r="AF2745" i="2"/>
  <c r="AK2745" i="2" s="1"/>
  <c r="AF2746" i="2"/>
  <c r="AK2746" i="2" s="1"/>
  <c r="AF2747" i="2"/>
  <c r="AK2747" i="2" s="1"/>
  <c r="AF2748" i="2"/>
  <c r="AK2748" i="2" s="1"/>
  <c r="AF2749" i="2"/>
  <c r="AK2749" i="2" s="1"/>
  <c r="AF2750" i="2"/>
  <c r="AK2750" i="2" s="1"/>
  <c r="AF2751" i="2"/>
  <c r="AK2751" i="2" s="1"/>
  <c r="AF2752" i="2"/>
  <c r="AK2752" i="2" s="1"/>
  <c r="AF2753" i="2"/>
  <c r="AK2753" i="2" s="1"/>
  <c r="AF2754" i="2"/>
  <c r="AK2754" i="2" s="1"/>
  <c r="AF2755" i="2"/>
  <c r="AK2755" i="2" s="1"/>
  <c r="AF2756" i="2"/>
  <c r="AK2756" i="2" s="1"/>
  <c r="AF2757" i="2"/>
  <c r="AK2757" i="2" s="1"/>
  <c r="AF2758" i="2"/>
  <c r="AK2758" i="2" s="1"/>
  <c r="AF2759" i="2"/>
  <c r="AK2759" i="2" s="1"/>
  <c r="AF2760" i="2"/>
  <c r="AK2760" i="2" s="1"/>
  <c r="AF2761" i="2"/>
  <c r="AK2761" i="2" s="1"/>
  <c r="AF2762" i="2"/>
  <c r="AK2762" i="2" s="1"/>
  <c r="AF2763" i="2"/>
  <c r="AK2763" i="2" s="1"/>
  <c r="AF2764" i="2"/>
  <c r="AK2764" i="2" s="1"/>
  <c r="AF2765" i="2"/>
  <c r="AK2765" i="2" s="1"/>
  <c r="AF2766" i="2"/>
  <c r="AK2766" i="2" s="1"/>
  <c r="AF2767" i="2"/>
  <c r="AK2767" i="2" s="1"/>
  <c r="AF2768" i="2"/>
  <c r="AK2768" i="2" s="1"/>
  <c r="AF2769" i="2"/>
  <c r="AK2769" i="2" s="1"/>
  <c r="AF2770" i="2"/>
  <c r="AK2770" i="2" s="1"/>
  <c r="AF2771" i="2"/>
  <c r="AK2771" i="2" s="1"/>
  <c r="AF2772" i="2"/>
  <c r="AK2772" i="2" s="1"/>
  <c r="AF2773" i="2"/>
  <c r="AK2773" i="2" s="1"/>
  <c r="AF2774" i="2"/>
  <c r="AK2774" i="2" s="1"/>
  <c r="AF2775" i="2"/>
  <c r="AK2775" i="2" s="1"/>
  <c r="AF2776" i="2"/>
  <c r="AK2776" i="2" s="1"/>
  <c r="AF2777" i="2"/>
  <c r="AK2777" i="2" s="1"/>
  <c r="AF2778" i="2"/>
  <c r="AK2778" i="2" s="1"/>
  <c r="AF2779" i="2"/>
  <c r="AK2779" i="2" s="1"/>
  <c r="AF2780" i="2"/>
  <c r="AK2780" i="2" s="1"/>
  <c r="AF2781" i="2"/>
  <c r="AK2781" i="2" s="1"/>
  <c r="AF2782" i="2"/>
  <c r="AK2782" i="2" s="1"/>
  <c r="AF2783" i="2"/>
  <c r="AK2783" i="2" s="1"/>
  <c r="AF2784" i="2"/>
  <c r="AK2784" i="2" s="1"/>
  <c r="AF2785" i="2"/>
  <c r="AK2785" i="2" s="1"/>
  <c r="AF2786" i="2"/>
  <c r="AK2786" i="2" s="1"/>
  <c r="AF2787" i="2"/>
  <c r="AK2787" i="2" s="1"/>
  <c r="AF2788" i="2"/>
  <c r="AK2788" i="2" s="1"/>
  <c r="AF2789" i="2"/>
  <c r="AK2789" i="2" s="1"/>
  <c r="AF2790" i="2"/>
  <c r="AK2790" i="2" s="1"/>
  <c r="AF2791" i="2"/>
  <c r="AK2791" i="2" s="1"/>
  <c r="AF2792" i="2"/>
  <c r="AK2792" i="2" s="1"/>
  <c r="AF2793" i="2"/>
  <c r="AK2793" i="2" s="1"/>
  <c r="AF2794" i="2"/>
  <c r="AK2794" i="2" s="1"/>
  <c r="AF2795" i="2"/>
  <c r="AK2795" i="2" s="1"/>
  <c r="AF2796" i="2"/>
  <c r="AK2796" i="2" s="1"/>
  <c r="AF2797" i="2"/>
  <c r="AK2797" i="2" s="1"/>
  <c r="AF2798" i="2"/>
  <c r="AK2798" i="2" s="1"/>
  <c r="AF2799" i="2"/>
  <c r="AK2799" i="2" s="1"/>
  <c r="AF2800" i="2"/>
  <c r="AK2800" i="2" s="1"/>
  <c r="AF2801" i="2"/>
  <c r="AK2801" i="2" s="1"/>
  <c r="AF2802" i="2"/>
  <c r="AK2802" i="2" s="1"/>
  <c r="AF2803" i="2"/>
  <c r="AK2803" i="2" s="1"/>
  <c r="AF2804" i="2"/>
  <c r="AK2804" i="2" s="1"/>
  <c r="AF2805" i="2"/>
  <c r="AK2805" i="2" s="1"/>
  <c r="AF2806" i="2"/>
  <c r="AK2806" i="2" s="1"/>
  <c r="AF2807" i="2"/>
  <c r="AK2807" i="2" s="1"/>
  <c r="AF2808" i="2"/>
  <c r="AK2808" i="2" s="1"/>
  <c r="AF2809" i="2"/>
  <c r="AK2809" i="2" s="1"/>
  <c r="AF2810" i="2"/>
  <c r="AK2810" i="2" s="1"/>
  <c r="AF2811" i="2"/>
  <c r="AK2811" i="2" s="1"/>
  <c r="AF2812" i="2"/>
  <c r="AK2812" i="2" s="1"/>
  <c r="AF2813" i="2"/>
  <c r="AK2813" i="2" s="1"/>
  <c r="AF2814" i="2"/>
  <c r="AK2814" i="2" s="1"/>
  <c r="AF2815" i="2"/>
  <c r="AK2815" i="2" s="1"/>
  <c r="AF2816" i="2"/>
  <c r="AK2816" i="2" s="1"/>
  <c r="AF2817" i="2"/>
  <c r="AK2817" i="2" s="1"/>
  <c r="AF2818" i="2"/>
  <c r="AK2818" i="2" s="1"/>
  <c r="AF2819" i="2"/>
  <c r="AK2819" i="2" s="1"/>
  <c r="AF2820" i="2"/>
  <c r="AK2820" i="2" s="1"/>
  <c r="AF2821" i="2"/>
  <c r="AK2821" i="2" s="1"/>
  <c r="AF2822" i="2"/>
  <c r="AK2822" i="2" s="1"/>
  <c r="AF2823" i="2"/>
  <c r="AK2823" i="2" s="1"/>
  <c r="AF2824" i="2"/>
  <c r="AK2824" i="2" s="1"/>
  <c r="AF2825" i="2"/>
  <c r="AK2825" i="2" s="1"/>
  <c r="AF2826" i="2"/>
  <c r="AK2826" i="2" s="1"/>
  <c r="AF2827" i="2"/>
  <c r="AK2827" i="2" s="1"/>
  <c r="AF2828" i="2"/>
  <c r="AK2828" i="2" s="1"/>
  <c r="AF2829" i="2"/>
  <c r="AK2829" i="2" s="1"/>
  <c r="AF2830" i="2"/>
  <c r="AK2830" i="2" s="1"/>
  <c r="AF2831" i="2"/>
  <c r="AK2831" i="2" s="1"/>
  <c r="AF2832" i="2"/>
  <c r="AK2832" i="2" s="1"/>
  <c r="AF2833" i="2"/>
  <c r="AK2833" i="2" s="1"/>
  <c r="AF2834" i="2"/>
  <c r="AK2834" i="2" s="1"/>
  <c r="AF2835" i="2"/>
  <c r="AK2835" i="2" s="1"/>
  <c r="AF2836" i="2"/>
  <c r="AK2836" i="2" s="1"/>
  <c r="AF2837" i="2"/>
  <c r="AK2837" i="2" s="1"/>
  <c r="AF2838" i="2"/>
  <c r="AK2838" i="2" s="1"/>
  <c r="AF2839" i="2"/>
  <c r="AK2839" i="2" s="1"/>
  <c r="AF2840" i="2"/>
  <c r="AK2840" i="2" s="1"/>
  <c r="AF2841" i="2"/>
  <c r="AK2841" i="2" s="1"/>
  <c r="AF2842" i="2"/>
  <c r="AK2842" i="2" s="1"/>
  <c r="AF2843" i="2"/>
  <c r="AK2843" i="2" s="1"/>
  <c r="AF2844" i="2"/>
  <c r="AK2844" i="2" s="1"/>
  <c r="AF2845" i="2"/>
  <c r="AK2845" i="2" s="1"/>
  <c r="AF2846" i="2"/>
  <c r="AK2846" i="2" s="1"/>
  <c r="AF2847" i="2"/>
  <c r="AK2847" i="2" s="1"/>
  <c r="AF2848" i="2"/>
  <c r="AK2848" i="2" s="1"/>
  <c r="AF2849" i="2"/>
  <c r="AK2849" i="2" s="1"/>
  <c r="AF2850" i="2"/>
  <c r="AK2850" i="2" s="1"/>
  <c r="AF2851" i="2"/>
  <c r="AK2851" i="2" s="1"/>
  <c r="AF2852" i="2"/>
  <c r="AK2852" i="2" s="1"/>
  <c r="AF2853" i="2"/>
  <c r="AK2853" i="2" s="1"/>
  <c r="AF2854" i="2"/>
  <c r="AK2854" i="2" s="1"/>
  <c r="AF2855" i="2"/>
  <c r="AK2855" i="2" s="1"/>
  <c r="AF2856" i="2"/>
  <c r="AK2856" i="2" s="1"/>
  <c r="AF2857" i="2"/>
  <c r="AK2857" i="2" s="1"/>
  <c r="AF2858" i="2"/>
  <c r="AK2858" i="2" s="1"/>
  <c r="AF2859" i="2"/>
  <c r="AK2859" i="2" s="1"/>
  <c r="AF2860" i="2"/>
  <c r="AK2860" i="2" s="1"/>
  <c r="AF2861" i="2"/>
  <c r="AK2861" i="2" s="1"/>
  <c r="AF2862" i="2"/>
  <c r="AK2862" i="2" s="1"/>
  <c r="AF2863" i="2"/>
  <c r="AK2863" i="2" s="1"/>
  <c r="AF2864" i="2"/>
  <c r="AK2864" i="2" s="1"/>
  <c r="AF2865" i="2"/>
  <c r="AK2865" i="2" s="1"/>
  <c r="AF2866" i="2"/>
  <c r="AK2866" i="2" s="1"/>
  <c r="AF2867" i="2"/>
  <c r="AK2867" i="2" s="1"/>
  <c r="AF2868" i="2"/>
  <c r="AK2868" i="2" s="1"/>
  <c r="AF2869" i="2"/>
  <c r="AK2869" i="2" s="1"/>
  <c r="AF2870" i="2"/>
  <c r="AK2870" i="2" s="1"/>
  <c r="AF2871" i="2"/>
  <c r="AK2871" i="2" s="1"/>
  <c r="AF2872" i="2"/>
  <c r="AK2872" i="2" s="1"/>
  <c r="AF2873" i="2"/>
  <c r="AK2873" i="2" s="1"/>
  <c r="AF2874" i="2"/>
  <c r="AK2874" i="2" s="1"/>
  <c r="AF2875" i="2"/>
  <c r="AK2875" i="2" s="1"/>
  <c r="AF2876" i="2"/>
  <c r="AK2876" i="2" s="1"/>
  <c r="AF2877" i="2"/>
  <c r="AK2877" i="2" s="1"/>
  <c r="AF2878" i="2"/>
  <c r="AK2878" i="2" s="1"/>
  <c r="AF2879" i="2"/>
  <c r="AK2879" i="2" s="1"/>
  <c r="AF2880" i="2"/>
  <c r="AK2880" i="2" s="1"/>
  <c r="AF2881" i="2"/>
  <c r="AK2881" i="2" s="1"/>
  <c r="AF2882" i="2"/>
  <c r="AK2882" i="2" s="1"/>
  <c r="AF2883" i="2"/>
  <c r="AK2883" i="2" s="1"/>
  <c r="AF2884" i="2"/>
  <c r="AK2884" i="2" s="1"/>
  <c r="AF2885" i="2"/>
  <c r="AK2885" i="2" s="1"/>
  <c r="AF2886" i="2"/>
  <c r="AK2886" i="2" s="1"/>
  <c r="AF2887" i="2"/>
  <c r="AK2887" i="2" s="1"/>
  <c r="AF2888" i="2"/>
  <c r="AK2888" i="2" s="1"/>
  <c r="AF2889" i="2"/>
  <c r="AK2889" i="2" s="1"/>
  <c r="AF2890" i="2"/>
  <c r="AK2890" i="2" s="1"/>
  <c r="AF2891" i="2"/>
  <c r="AK2891" i="2" s="1"/>
  <c r="AF2892" i="2"/>
  <c r="AK2892" i="2" s="1"/>
  <c r="AF2893" i="2"/>
  <c r="AK2893" i="2" s="1"/>
  <c r="AF2894" i="2"/>
  <c r="AK2894" i="2" s="1"/>
  <c r="AF2895" i="2"/>
  <c r="AK2895" i="2" s="1"/>
  <c r="AF2896" i="2"/>
  <c r="AK2896" i="2" s="1"/>
  <c r="AF2897" i="2"/>
  <c r="AK2897" i="2" s="1"/>
  <c r="AF2898" i="2"/>
  <c r="AK2898" i="2" s="1"/>
  <c r="AF2899" i="2"/>
  <c r="AK2899" i="2" s="1"/>
  <c r="AF2900" i="2"/>
  <c r="AK2900" i="2" s="1"/>
  <c r="AF2901" i="2"/>
  <c r="AK2901" i="2" s="1"/>
  <c r="AF2902" i="2"/>
  <c r="AK2902" i="2" s="1"/>
  <c r="AF2903" i="2"/>
  <c r="AK2903" i="2" s="1"/>
  <c r="AF2904" i="2"/>
  <c r="AK2904" i="2" s="1"/>
  <c r="AF2905" i="2"/>
  <c r="AK2905" i="2" s="1"/>
  <c r="AF2906" i="2"/>
  <c r="AK2906" i="2" s="1"/>
  <c r="AF2907" i="2"/>
  <c r="AK2907" i="2" s="1"/>
  <c r="AF2908" i="2"/>
  <c r="AK2908" i="2" s="1"/>
  <c r="AF2909" i="2"/>
  <c r="AK2909" i="2" s="1"/>
  <c r="AF2910" i="2"/>
  <c r="AK2910" i="2" s="1"/>
  <c r="AF2911" i="2"/>
  <c r="AK2911" i="2" s="1"/>
  <c r="AF2912" i="2"/>
  <c r="AK2912" i="2" s="1"/>
  <c r="AF2913" i="2"/>
  <c r="AK2913" i="2" s="1"/>
  <c r="AF2914" i="2"/>
  <c r="AK2914" i="2" s="1"/>
  <c r="AF2915" i="2"/>
  <c r="AK2915" i="2" s="1"/>
  <c r="AF2916" i="2"/>
  <c r="AK2916" i="2" s="1"/>
  <c r="AF2917" i="2"/>
  <c r="AK2917" i="2" s="1"/>
  <c r="AF2918" i="2"/>
  <c r="AK2918" i="2" s="1"/>
  <c r="AF2919" i="2"/>
  <c r="AK2919" i="2" s="1"/>
  <c r="AF2920" i="2"/>
  <c r="AK2920" i="2" s="1"/>
  <c r="AF2921" i="2"/>
  <c r="AK2921" i="2" s="1"/>
  <c r="AF2922" i="2"/>
  <c r="AK2922" i="2" s="1"/>
  <c r="AF2923" i="2"/>
  <c r="AK2923" i="2" s="1"/>
  <c r="AF2924" i="2"/>
  <c r="AK2924" i="2" s="1"/>
  <c r="AF2925" i="2"/>
  <c r="AK2925" i="2" s="1"/>
  <c r="AF2926" i="2"/>
  <c r="AK2926" i="2" s="1"/>
  <c r="AF2927" i="2"/>
  <c r="AK2927" i="2" s="1"/>
  <c r="AF2928" i="2"/>
  <c r="AK2928" i="2" s="1"/>
  <c r="AF2929" i="2"/>
  <c r="AK2929" i="2" s="1"/>
  <c r="AF2930" i="2"/>
  <c r="AK2930" i="2" s="1"/>
  <c r="AF2931" i="2"/>
  <c r="AK2931" i="2" s="1"/>
  <c r="AF2932" i="2"/>
  <c r="AK2932" i="2" s="1"/>
  <c r="AF2933" i="2"/>
  <c r="AK2933" i="2" s="1"/>
  <c r="AF2934" i="2"/>
  <c r="AK2934" i="2" s="1"/>
  <c r="AF2935" i="2"/>
  <c r="AK2935" i="2" s="1"/>
  <c r="AF2936" i="2"/>
  <c r="AK2936" i="2" s="1"/>
  <c r="AF2937" i="2"/>
  <c r="AK2937" i="2" s="1"/>
  <c r="AF2938" i="2"/>
  <c r="AK2938" i="2" s="1"/>
  <c r="AF2939" i="2"/>
  <c r="AK2939" i="2" s="1"/>
  <c r="AF2940" i="2"/>
  <c r="AK2940" i="2" s="1"/>
  <c r="AF2941" i="2"/>
  <c r="AK2941" i="2" s="1"/>
  <c r="AF2942" i="2"/>
  <c r="AK2942" i="2" s="1"/>
  <c r="AF2943" i="2"/>
  <c r="AK2943" i="2" s="1"/>
  <c r="AF2944" i="2"/>
  <c r="AK2944" i="2" s="1"/>
  <c r="AF2945" i="2"/>
  <c r="AK2945" i="2" s="1"/>
  <c r="AF2946" i="2"/>
  <c r="AK2946" i="2" s="1"/>
  <c r="AF2947" i="2"/>
  <c r="AK2947" i="2" s="1"/>
  <c r="AF2948" i="2"/>
  <c r="AK2948" i="2" s="1"/>
  <c r="AF2949" i="2"/>
  <c r="AK2949" i="2" s="1"/>
  <c r="AF2950" i="2"/>
  <c r="AK2950" i="2" s="1"/>
  <c r="AF2951" i="2"/>
  <c r="AK2951" i="2" s="1"/>
  <c r="AF2952" i="2"/>
  <c r="AK2952" i="2" s="1"/>
  <c r="AF2953" i="2"/>
  <c r="AK2953" i="2" s="1"/>
  <c r="AF2954" i="2"/>
  <c r="AK2954" i="2" s="1"/>
  <c r="AF2955" i="2"/>
  <c r="AK2955" i="2" s="1"/>
  <c r="AF2956" i="2"/>
  <c r="AK2956" i="2" s="1"/>
  <c r="AF2957" i="2"/>
  <c r="AK2957" i="2" s="1"/>
  <c r="AF2958" i="2"/>
  <c r="AK2958" i="2" s="1"/>
  <c r="AF2959" i="2"/>
  <c r="AK2959" i="2" s="1"/>
  <c r="AF2960" i="2"/>
  <c r="AK2960" i="2" s="1"/>
  <c r="AF2961" i="2"/>
  <c r="AK2961" i="2" s="1"/>
  <c r="AF2962" i="2"/>
  <c r="AK2962" i="2" s="1"/>
  <c r="AF2963" i="2"/>
  <c r="AK2963" i="2" s="1"/>
  <c r="AF2964" i="2"/>
  <c r="AK2964" i="2" s="1"/>
  <c r="AF2965" i="2"/>
  <c r="AK2965" i="2" s="1"/>
  <c r="AF2966" i="2"/>
  <c r="AK2966" i="2" s="1"/>
  <c r="AF2967" i="2"/>
  <c r="AK2967" i="2" s="1"/>
  <c r="AF2968" i="2"/>
  <c r="AK2968" i="2" s="1"/>
  <c r="AF2969" i="2"/>
  <c r="AK2969" i="2" s="1"/>
  <c r="AF2970" i="2"/>
  <c r="AK2970" i="2" s="1"/>
  <c r="AF2971" i="2"/>
  <c r="AK2971" i="2" s="1"/>
  <c r="AF2972" i="2"/>
  <c r="AK2972" i="2" s="1"/>
  <c r="AF2973" i="2"/>
  <c r="AK2973" i="2" s="1"/>
  <c r="AF2974" i="2"/>
  <c r="AK2974" i="2" s="1"/>
  <c r="AF2975" i="2"/>
  <c r="AK2975" i="2" s="1"/>
  <c r="AF2976" i="2"/>
  <c r="AK2976" i="2" s="1"/>
  <c r="AF2977" i="2"/>
  <c r="AK2977" i="2" s="1"/>
  <c r="AF2978" i="2"/>
  <c r="AK2978" i="2" s="1"/>
  <c r="AF2979" i="2"/>
  <c r="AK2979" i="2" s="1"/>
  <c r="AF2980" i="2"/>
  <c r="AK2980" i="2" s="1"/>
  <c r="AF2981" i="2"/>
  <c r="AK2981" i="2" s="1"/>
  <c r="AF2982" i="2"/>
  <c r="AK2982" i="2" s="1"/>
  <c r="AF2983" i="2"/>
  <c r="AK2983" i="2" s="1"/>
  <c r="AF2984" i="2"/>
  <c r="AK2984" i="2" s="1"/>
  <c r="AF2985" i="2"/>
  <c r="AK2985" i="2" s="1"/>
  <c r="AF2986" i="2"/>
  <c r="AK2986" i="2" s="1"/>
  <c r="AF2987" i="2"/>
  <c r="AK2987" i="2" s="1"/>
  <c r="AF2988" i="2"/>
  <c r="AK2988" i="2" s="1"/>
  <c r="AF2989" i="2"/>
  <c r="AK2989" i="2" s="1"/>
  <c r="AF2990" i="2"/>
  <c r="AK2990" i="2" s="1"/>
  <c r="AF2991" i="2"/>
  <c r="AK2991" i="2" s="1"/>
  <c r="AF2992" i="2"/>
  <c r="AK2992" i="2" s="1"/>
  <c r="AF2993" i="2"/>
  <c r="AK2993" i="2" s="1"/>
  <c r="AF2994" i="2"/>
  <c r="AK2994" i="2" s="1"/>
  <c r="AF2995" i="2"/>
  <c r="AK2995" i="2" s="1"/>
  <c r="AF2996" i="2"/>
  <c r="AK2996" i="2" s="1"/>
  <c r="AF2997" i="2"/>
  <c r="AK2997" i="2" s="1"/>
  <c r="AF2998" i="2"/>
  <c r="AK2998" i="2" s="1"/>
  <c r="AF2999" i="2"/>
  <c r="AK2999" i="2" s="1"/>
  <c r="AF3000" i="2"/>
  <c r="AK3000" i="2" s="1"/>
  <c r="AF3001" i="2"/>
  <c r="AK3001" i="2" s="1"/>
  <c r="AF3002" i="2"/>
  <c r="AK3002" i="2" s="1"/>
  <c r="AF3003" i="2"/>
  <c r="AK3003" i="2" s="1"/>
  <c r="AF3004" i="2"/>
  <c r="AK3004" i="2" s="1"/>
  <c r="AF3005" i="2"/>
  <c r="AK3005" i="2" s="1"/>
  <c r="AF3006" i="2"/>
  <c r="AK3006" i="2" s="1"/>
  <c r="AF3007" i="2"/>
  <c r="AK3007" i="2" s="1"/>
  <c r="AF3008" i="2"/>
  <c r="AK3008" i="2" s="1"/>
  <c r="AF3009" i="2"/>
  <c r="AK3009" i="2" s="1"/>
  <c r="AF3010" i="2"/>
  <c r="AK3010" i="2" s="1"/>
  <c r="AF3011" i="2"/>
  <c r="AK3011" i="2" s="1"/>
  <c r="AF3012" i="2"/>
  <c r="AK3012" i="2" s="1"/>
  <c r="AF3013" i="2"/>
  <c r="AK3013" i="2" s="1"/>
  <c r="AF3014" i="2"/>
  <c r="AK3014" i="2" s="1"/>
  <c r="AF3015" i="2"/>
  <c r="AK3015" i="2" s="1"/>
  <c r="AF3016" i="2"/>
  <c r="AK3016" i="2" s="1"/>
  <c r="AF3017" i="2"/>
  <c r="AK3017" i="2" s="1"/>
  <c r="AF3018" i="2"/>
  <c r="AK3018" i="2" s="1"/>
  <c r="AF3019" i="2"/>
  <c r="AK3019" i="2" s="1"/>
  <c r="AF3020" i="2"/>
  <c r="AK3020" i="2" s="1"/>
  <c r="AF3021" i="2"/>
  <c r="AK3021" i="2" s="1"/>
  <c r="AF3022" i="2"/>
  <c r="AK3022" i="2" s="1"/>
  <c r="AF3023" i="2"/>
  <c r="AK3023" i="2" s="1"/>
  <c r="AF3024" i="2"/>
  <c r="AK3024" i="2" s="1"/>
  <c r="AF3025" i="2"/>
  <c r="AK3025" i="2" s="1"/>
  <c r="AF3026" i="2"/>
  <c r="AK3026" i="2" s="1"/>
  <c r="AF3027" i="2"/>
  <c r="AK3027" i="2" s="1"/>
  <c r="AF3028" i="2"/>
  <c r="AK3028" i="2" s="1"/>
  <c r="AF3029" i="2"/>
  <c r="AK3029" i="2" s="1"/>
  <c r="AF3030" i="2"/>
  <c r="AK3030" i="2" s="1"/>
  <c r="AF3031" i="2"/>
  <c r="AK3031" i="2" s="1"/>
  <c r="AF3032" i="2"/>
  <c r="AK3032" i="2" s="1"/>
  <c r="AF3033" i="2"/>
  <c r="AK3033" i="2" s="1"/>
  <c r="AF3034" i="2"/>
  <c r="AK3034" i="2" s="1"/>
  <c r="AF3035" i="2"/>
  <c r="AK3035" i="2" s="1"/>
  <c r="AF3036" i="2"/>
  <c r="AK3036" i="2" s="1"/>
  <c r="AF3037" i="2"/>
  <c r="AK3037" i="2" s="1"/>
  <c r="AF3038" i="2"/>
  <c r="AK3038" i="2" s="1"/>
  <c r="AF3039" i="2"/>
  <c r="AK3039" i="2" s="1"/>
  <c r="AF3040" i="2"/>
  <c r="AK3040" i="2" s="1"/>
  <c r="AF3041" i="2"/>
  <c r="AK3041" i="2" s="1"/>
  <c r="AF3042" i="2"/>
  <c r="AK3042" i="2" s="1"/>
  <c r="AF3043" i="2"/>
  <c r="AK3043" i="2" s="1"/>
  <c r="AF3044" i="2"/>
  <c r="AK3044" i="2" s="1"/>
  <c r="AF3045" i="2"/>
  <c r="AK3045" i="2" s="1"/>
  <c r="AF3046" i="2"/>
  <c r="AK3046" i="2" s="1"/>
  <c r="AF3047" i="2"/>
  <c r="AK3047" i="2" s="1"/>
  <c r="AF3048" i="2"/>
  <c r="AK3048" i="2" s="1"/>
  <c r="AF3049" i="2"/>
  <c r="AK3049" i="2" s="1"/>
  <c r="AF3050" i="2"/>
  <c r="AK3050" i="2" s="1"/>
  <c r="AF3051" i="2"/>
  <c r="AK3051" i="2" s="1"/>
  <c r="AF3052" i="2"/>
  <c r="AK3052" i="2" s="1"/>
  <c r="AF3053" i="2"/>
  <c r="AK3053" i="2" s="1"/>
  <c r="AF3054" i="2"/>
  <c r="AK3054" i="2" s="1"/>
  <c r="AF3055" i="2"/>
  <c r="AK3055" i="2" s="1"/>
  <c r="AF3056" i="2"/>
  <c r="AK3056" i="2" s="1"/>
  <c r="AF3057" i="2"/>
  <c r="AK3057" i="2" s="1"/>
  <c r="AF3058" i="2"/>
  <c r="AK3058" i="2" s="1"/>
  <c r="AF3059" i="2"/>
  <c r="AK3059" i="2" s="1"/>
  <c r="AF3060" i="2"/>
  <c r="AK3060" i="2" s="1"/>
  <c r="AF3061" i="2"/>
  <c r="AK3061" i="2" s="1"/>
  <c r="AF3062" i="2"/>
  <c r="AK3062" i="2" s="1"/>
  <c r="AF3063" i="2"/>
  <c r="AK3063" i="2" s="1"/>
  <c r="AF3064" i="2"/>
  <c r="AK3064" i="2" s="1"/>
  <c r="AF3065" i="2"/>
  <c r="AK3065" i="2" s="1"/>
  <c r="AF3066" i="2"/>
  <c r="AK3066" i="2" s="1"/>
  <c r="AF3067" i="2"/>
  <c r="AK3067" i="2" s="1"/>
  <c r="AF3068" i="2"/>
  <c r="AK3068" i="2" s="1"/>
  <c r="AF3069" i="2"/>
  <c r="AK3069" i="2" s="1"/>
  <c r="AF3070" i="2"/>
  <c r="AK3070" i="2" s="1"/>
  <c r="AF3071" i="2"/>
  <c r="AK3071" i="2" s="1"/>
  <c r="AF3072" i="2"/>
  <c r="AK3072" i="2" s="1"/>
  <c r="AF3073" i="2"/>
  <c r="AK3073" i="2" s="1"/>
  <c r="AF3074" i="2"/>
  <c r="AK3074" i="2" s="1"/>
  <c r="AF3075" i="2"/>
  <c r="AK3075" i="2" s="1"/>
  <c r="AF3076" i="2"/>
  <c r="AK3076" i="2" s="1"/>
  <c r="AF3077" i="2"/>
  <c r="AK3077" i="2" s="1"/>
  <c r="AF3078" i="2"/>
  <c r="AK3078" i="2" s="1"/>
  <c r="AF3079" i="2"/>
  <c r="AK3079" i="2" s="1"/>
  <c r="AF3080" i="2"/>
  <c r="AK3080" i="2" s="1"/>
  <c r="AF3081" i="2"/>
  <c r="AK3081" i="2" s="1"/>
  <c r="AF3082" i="2"/>
  <c r="AK3082" i="2" s="1"/>
  <c r="AF3083" i="2"/>
  <c r="AK3083" i="2" s="1"/>
  <c r="AF3084" i="2"/>
  <c r="AK3084" i="2" s="1"/>
  <c r="AF3085" i="2"/>
  <c r="AK3085" i="2" s="1"/>
  <c r="AF3086" i="2"/>
  <c r="AK3086" i="2" s="1"/>
  <c r="AF3087" i="2"/>
  <c r="AK3087" i="2" s="1"/>
  <c r="AF3088" i="2"/>
  <c r="AK3088" i="2" s="1"/>
  <c r="AF3089" i="2"/>
  <c r="AK3089" i="2" s="1"/>
  <c r="AF3090" i="2"/>
  <c r="AK3090" i="2" s="1"/>
  <c r="AF3091" i="2"/>
  <c r="AK3091" i="2" s="1"/>
  <c r="AF3092" i="2"/>
  <c r="AK3092" i="2" s="1"/>
  <c r="AF3093" i="2"/>
  <c r="AK3093" i="2" s="1"/>
  <c r="AF3094" i="2"/>
  <c r="AK3094" i="2" s="1"/>
  <c r="AF3095" i="2"/>
  <c r="AK3095" i="2" s="1"/>
  <c r="AF3096" i="2"/>
  <c r="AK3096" i="2" s="1"/>
  <c r="AF3097" i="2"/>
  <c r="AK3097" i="2" s="1"/>
  <c r="AF3098" i="2"/>
  <c r="AK3098" i="2" s="1"/>
  <c r="AF3099" i="2"/>
  <c r="AK3099" i="2" s="1"/>
  <c r="AF3100" i="2"/>
  <c r="AK3100" i="2" s="1"/>
  <c r="AF3101" i="2"/>
  <c r="AK3101" i="2" s="1"/>
  <c r="AF3102" i="2"/>
  <c r="AK3102" i="2" s="1"/>
  <c r="AF3103" i="2"/>
  <c r="AK3103" i="2" s="1"/>
  <c r="AF3104" i="2"/>
  <c r="AK3104" i="2" s="1"/>
  <c r="AF3105" i="2"/>
  <c r="AK3105" i="2" s="1"/>
  <c r="AF3106" i="2"/>
  <c r="AK3106" i="2" s="1"/>
  <c r="AF3107" i="2"/>
  <c r="AK3107" i="2" s="1"/>
  <c r="AF3108" i="2"/>
  <c r="AK3108" i="2" s="1"/>
  <c r="AF3109" i="2"/>
  <c r="AK3109" i="2" s="1"/>
  <c r="AF3110" i="2"/>
  <c r="AK3110" i="2" s="1"/>
  <c r="AF3111" i="2"/>
  <c r="AK3111" i="2" s="1"/>
  <c r="AF3112" i="2"/>
  <c r="AK3112" i="2" s="1"/>
  <c r="AF3113" i="2"/>
  <c r="AK3113" i="2" s="1"/>
  <c r="AF3114" i="2"/>
  <c r="AK3114" i="2" s="1"/>
  <c r="AF3115" i="2"/>
  <c r="AK3115" i="2" s="1"/>
  <c r="AF3116" i="2"/>
  <c r="AK3116" i="2" s="1"/>
  <c r="AF3117" i="2"/>
  <c r="AK3117" i="2" s="1"/>
  <c r="AF3118" i="2"/>
  <c r="AK3118" i="2" s="1"/>
  <c r="AF3119" i="2"/>
  <c r="AK3119" i="2" s="1"/>
  <c r="AF3120" i="2"/>
  <c r="AK3120" i="2" s="1"/>
  <c r="AF3121" i="2"/>
  <c r="AK3121" i="2" s="1"/>
  <c r="AF3122" i="2"/>
  <c r="AK3122" i="2" s="1"/>
  <c r="AF3123" i="2"/>
  <c r="AK3123" i="2" s="1"/>
  <c r="AF3124" i="2"/>
  <c r="AK3124" i="2" s="1"/>
  <c r="AF3125" i="2"/>
  <c r="AK3125" i="2" s="1"/>
  <c r="AF3126" i="2"/>
  <c r="AK3126" i="2" s="1"/>
  <c r="AF3127" i="2"/>
  <c r="AK3127" i="2" s="1"/>
  <c r="AF3128" i="2"/>
  <c r="AK3128" i="2" s="1"/>
  <c r="AF3129" i="2"/>
  <c r="AK3129" i="2" s="1"/>
  <c r="AF3130" i="2"/>
  <c r="AK3130" i="2" s="1"/>
  <c r="AF3131" i="2"/>
  <c r="AK3131" i="2" s="1"/>
  <c r="AF3132" i="2"/>
  <c r="AK3132" i="2" s="1"/>
  <c r="AF3133" i="2"/>
  <c r="AK3133" i="2" s="1"/>
  <c r="AF3134" i="2"/>
  <c r="AK3134" i="2" s="1"/>
  <c r="AF3135" i="2"/>
  <c r="AK3135" i="2" s="1"/>
  <c r="AF3136" i="2"/>
  <c r="AK3136" i="2" s="1"/>
  <c r="AF3137" i="2"/>
  <c r="AK3137" i="2" s="1"/>
  <c r="AF3138" i="2"/>
  <c r="AK3138" i="2" s="1"/>
  <c r="AF3139" i="2"/>
  <c r="AK3139" i="2" s="1"/>
  <c r="AF3140" i="2"/>
  <c r="AK3140" i="2" s="1"/>
  <c r="AF3141" i="2"/>
  <c r="AK3141" i="2" s="1"/>
  <c r="AF3142" i="2"/>
  <c r="AK3142" i="2" s="1"/>
  <c r="AF3143" i="2"/>
  <c r="AK3143" i="2" s="1"/>
  <c r="AF3144" i="2"/>
  <c r="AK3144" i="2" s="1"/>
  <c r="AF3145" i="2"/>
  <c r="AK3145" i="2" s="1"/>
  <c r="AF3146" i="2"/>
  <c r="AK3146" i="2" s="1"/>
  <c r="AF3147" i="2"/>
  <c r="AK3147" i="2" s="1"/>
  <c r="AF3148" i="2"/>
  <c r="AK3148" i="2" s="1"/>
  <c r="AF3149" i="2"/>
  <c r="AK3149" i="2" s="1"/>
  <c r="AF3150" i="2"/>
  <c r="AK3150" i="2" s="1"/>
  <c r="AF3151" i="2"/>
  <c r="AK3151" i="2" s="1"/>
  <c r="AF3152" i="2"/>
  <c r="AK3152" i="2" s="1"/>
  <c r="AF3153" i="2"/>
  <c r="AK3153" i="2" s="1"/>
  <c r="AF3154" i="2"/>
  <c r="AK3154" i="2" s="1"/>
  <c r="AF3155" i="2"/>
  <c r="AK3155" i="2" s="1"/>
  <c r="AF3156" i="2"/>
  <c r="AK3156" i="2" s="1"/>
  <c r="AF3157" i="2"/>
  <c r="AK3157" i="2" s="1"/>
  <c r="AF3158" i="2"/>
  <c r="AK3158" i="2" s="1"/>
  <c r="AF3159" i="2"/>
  <c r="AK3159" i="2" s="1"/>
  <c r="AF3160" i="2"/>
  <c r="AK3160" i="2" s="1"/>
  <c r="AF3161" i="2"/>
  <c r="AK3161" i="2" s="1"/>
  <c r="AF3162" i="2"/>
  <c r="AK3162" i="2" s="1"/>
  <c r="AF3163" i="2"/>
  <c r="AK3163" i="2" s="1"/>
  <c r="AF3164" i="2"/>
  <c r="AK3164" i="2" s="1"/>
  <c r="AF3165" i="2"/>
  <c r="AK3165" i="2" s="1"/>
  <c r="AF3166" i="2"/>
  <c r="AK3166" i="2" s="1"/>
  <c r="AF3167" i="2"/>
  <c r="AK3167" i="2" s="1"/>
  <c r="AF3168" i="2"/>
  <c r="AK3168" i="2" s="1"/>
  <c r="AF3169" i="2"/>
  <c r="AK3169" i="2" s="1"/>
  <c r="AF3170" i="2"/>
  <c r="AK3170" i="2" s="1"/>
  <c r="AF3171" i="2"/>
  <c r="AK3171" i="2" s="1"/>
  <c r="AF3172" i="2"/>
  <c r="AK3172" i="2" s="1"/>
  <c r="AF3173" i="2"/>
  <c r="AK3173" i="2" s="1"/>
  <c r="AF3174" i="2"/>
  <c r="AK3174" i="2" s="1"/>
  <c r="AF3175" i="2"/>
  <c r="AK3175" i="2" s="1"/>
  <c r="AF3176" i="2"/>
  <c r="AK3176" i="2" s="1"/>
  <c r="AF3177" i="2"/>
  <c r="AK3177" i="2" s="1"/>
  <c r="AF3178" i="2"/>
  <c r="AK3178" i="2" s="1"/>
  <c r="AF3179" i="2"/>
  <c r="AK3179" i="2" s="1"/>
  <c r="AF3180" i="2"/>
  <c r="AK3180" i="2" s="1"/>
  <c r="AF3181" i="2"/>
  <c r="AK3181" i="2" s="1"/>
  <c r="AF3182" i="2"/>
  <c r="AK3182" i="2" s="1"/>
  <c r="AF3183" i="2"/>
  <c r="AK3183" i="2" s="1"/>
  <c r="AF3184" i="2"/>
  <c r="AK3184" i="2" s="1"/>
  <c r="AF3185" i="2"/>
  <c r="AK3185" i="2" s="1"/>
  <c r="AF3186" i="2"/>
  <c r="AK3186" i="2" s="1"/>
  <c r="AF3187" i="2"/>
  <c r="AK3187" i="2" s="1"/>
  <c r="AF3188" i="2"/>
  <c r="AK3188" i="2" s="1"/>
  <c r="AF3189" i="2"/>
  <c r="AK3189" i="2" s="1"/>
  <c r="AF3190" i="2"/>
  <c r="AK3190" i="2" s="1"/>
  <c r="AF3191" i="2"/>
  <c r="AK3191" i="2" s="1"/>
  <c r="AF3192" i="2"/>
  <c r="AK3192" i="2" s="1"/>
  <c r="AF3193" i="2"/>
  <c r="AK3193" i="2" s="1"/>
  <c r="AF3194" i="2"/>
  <c r="AK3194" i="2" s="1"/>
  <c r="AF3195" i="2"/>
  <c r="AK3195" i="2" s="1"/>
  <c r="AF3196" i="2"/>
  <c r="AK3196" i="2" s="1"/>
  <c r="AF3197" i="2"/>
  <c r="AK3197" i="2" s="1"/>
  <c r="AF3198" i="2"/>
  <c r="AK3198" i="2" s="1"/>
  <c r="AF3199" i="2"/>
  <c r="AK3199" i="2" s="1"/>
  <c r="AF3200" i="2"/>
  <c r="AK3200" i="2" s="1"/>
  <c r="AF3201" i="2"/>
  <c r="AK3201" i="2" s="1"/>
  <c r="AF3202" i="2"/>
  <c r="AK3202" i="2" s="1"/>
  <c r="AF3203" i="2"/>
  <c r="AK3203" i="2" s="1"/>
  <c r="AF3204" i="2"/>
  <c r="AK3204" i="2" s="1"/>
  <c r="AF3205" i="2"/>
  <c r="AK3205" i="2" s="1"/>
  <c r="AF3206" i="2"/>
  <c r="AK3206" i="2" s="1"/>
  <c r="AF3207" i="2"/>
  <c r="AK3207" i="2" s="1"/>
  <c r="AF3208" i="2"/>
  <c r="AK3208" i="2" s="1"/>
  <c r="AF3209" i="2"/>
  <c r="AK3209" i="2" s="1"/>
  <c r="AF3210" i="2"/>
  <c r="AK3210" i="2" s="1"/>
  <c r="AF3211" i="2"/>
  <c r="AK3211" i="2" s="1"/>
  <c r="AF3212" i="2"/>
  <c r="AK3212" i="2" s="1"/>
  <c r="AF3213" i="2"/>
  <c r="AK3213" i="2" s="1"/>
  <c r="AF3214" i="2"/>
  <c r="AK3214" i="2" s="1"/>
  <c r="AF3215" i="2"/>
  <c r="AK3215" i="2" s="1"/>
  <c r="AF3216" i="2"/>
  <c r="AK3216" i="2" s="1"/>
  <c r="AF3217" i="2"/>
  <c r="AK3217" i="2" s="1"/>
  <c r="AF3218" i="2"/>
  <c r="AK3218" i="2" s="1"/>
  <c r="AF3219" i="2"/>
  <c r="AK3219" i="2" s="1"/>
  <c r="AF3220" i="2"/>
  <c r="AK3220" i="2" s="1"/>
  <c r="AF3221" i="2"/>
  <c r="AK3221" i="2" s="1"/>
  <c r="AF3222" i="2"/>
  <c r="AK3222" i="2" s="1"/>
  <c r="AF3223" i="2"/>
  <c r="AK3223" i="2" s="1"/>
  <c r="AF3224" i="2"/>
  <c r="AK3224" i="2" s="1"/>
  <c r="AF3225" i="2"/>
  <c r="AK3225" i="2" s="1"/>
  <c r="AF3226" i="2"/>
  <c r="AK3226" i="2" s="1"/>
  <c r="AF3227" i="2"/>
  <c r="AK3227" i="2" s="1"/>
  <c r="AF3228" i="2"/>
  <c r="AK3228" i="2" s="1"/>
  <c r="AF3229" i="2"/>
  <c r="AK3229" i="2" s="1"/>
  <c r="AF3230" i="2"/>
  <c r="AK3230" i="2" s="1"/>
  <c r="AF3231" i="2"/>
  <c r="AK3231" i="2" s="1"/>
  <c r="AF3232" i="2"/>
  <c r="AK3232" i="2" s="1"/>
  <c r="AF3233" i="2"/>
  <c r="AK3233" i="2" s="1"/>
  <c r="AF3234" i="2"/>
  <c r="AK3234" i="2" s="1"/>
  <c r="AF3235" i="2"/>
  <c r="AK3235" i="2" s="1"/>
  <c r="AF3236" i="2"/>
  <c r="AK3236" i="2" s="1"/>
  <c r="AF3237" i="2"/>
  <c r="AK3237" i="2" s="1"/>
  <c r="AF3238" i="2"/>
  <c r="AK3238" i="2" s="1"/>
  <c r="AF3239" i="2"/>
  <c r="AK3239" i="2" s="1"/>
  <c r="AF3240" i="2"/>
  <c r="AK3240" i="2" s="1"/>
  <c r="AF3241" i="2"/>
  <c r="AK3241" i="2" s="1"/>
  <c r="AF3242" i="2"/>
  <c r="AK3242" i="2" s="1"/>
  <c r="AF3243" i="2"/>
  <c r="AK3243" i="2" s="1"/>
  <c r="AF3244" i="2"/>
  <c r="AK3244" i="2" s="1"/>
  <c r="AF3245" i="2"/>
  <c r="AK3245" i="2" s="1"/>
  <c r="AF3246" i="2"/>
  <c r="AK3246" i="2" s="1"/>
  <c r="AF3247" i="2"/>
  <c r="AK3247" i="2" s="1"/>
  <c r="AF3248" i="2"/>
  <c r="AK3248" i="2" s="1"/>
  <c r="AF3249" i="2"/>
  <c r="AK3249" i="2" s="1"/>
  <c r="AF3250" i="2"/>
  <c r="AK3250" i="2" s="1"/>
  <c r="AF3251" i="2"/>
  <c r="AK3251" i="2" s="1"/>
  <c r="AF3252" i="2"/>
  <c r="AK3252" i="2" s="1"/>
  <c r="AF3253" i="2"/>
  <c r="AK3253" i="2" s="1"/>
  <c r="AF3254" i="2"/>
  <c r="AK3254" i="2" s="1"/>
  <c r="AF3255" i="2"/>
  <c r="AK3255" i="2" s="1"/>
  <c r="AF3256" i="2"/>
  <c r="AK3256" i="2" s="1"/>
  <c r="AF3257" i="2"/>
  <c r="AK3257" i="2" s="1"/>
  <c r="AF3258" i="2"/>
  <c r="AK3258" i="2" s="1"/>
  <c r="AF3259" i="2"/>
  <c r="AK3259" i="2" s="1"/>
  <c r="AF3260" i="2"/>
  <c r="AK3260" i="2" s="1"/>
  <c r="AF3261" i="2"/>
  <c r="AK3261" i="2" s="1"/>
  <c r="AF3262" i="2"/>
  <c r="AK3262" i="2" s="1"/>
  <c r="AF3263" i="2"/>
  <c r="AK3263" i="2" s="1"/>
  <c r="AF3264" i="2"/>
  <c r="AK3264" i="2" s="1"/>
  <c r="AF3265" i="2"/>
  <c r="AK3265" i="2" s="1"/>
  <c r="AF3266" i="2"/>
  <c r="AK3266" i="2" s="1"/>
  <c r="AF3267" i="2"/>
  <c r="AK3267" i="2" s="1"/>
  <c r="AF3268" i="2"/>
  <c r="AK3268" i="2" s="1"/>
  <c r="AF3269" i="2"/>
  <c r="AK3269" i="2" s="1"/>
  <c r="AF3270" i="2"/>
  <c r="AK3270" i="2" s="1"/>
  <c r="AF3271" i="2"/>
  <c r="AK3271" i="2" s="1"/>
  <c r="AF3272" i="2"/>
  <c r="AK3272" i="2" s="1"/>
  <c r="AF3273" i="2"/>
  <c r="AK3273" i="2" s="1"/>
  <c r="AF3274" i="2"/>
  <c r="AK3274" i="2" s="1"/>
  <c r="AF3275" i="2"/>
  <c r="AK3275" i="2" s="1"/>
  <c r="AF3276" i="2"/>
  <c r="AK3276" i="2" s="1"/>
  <c r="AF3277" i="2"/>
  <c r="AK3277" i="2" s="1"/>
  <c r="AF3278" i="2"/>
  <c r="AK3278" i="2" s="1"/>
  <c r="AF3279" i="2"/>
  <c r="AK3279" i="2" s="1"/>
  <c r="AF3280" i="2"/>
  <c r="AK3280" i="2" s="1"/>
  <c r="AF3281" i="2"/>
  <c r="AK3281" i="2" s="1"/>
  <c r="AF3282" i="2"/>
  <c r="AK3282" i="2" s="1"/>
  <c r="AF3283" i="2"/>
  <c r="AK3283" i="2" s="1"/>
  <c r="AF3284" i="2"/>
  <c r="AK3284" i="2" s="1"/>
  <c r="AF3285" i="2"/>
  <c r="AK3285" i="2" s="1"/>
  <c r="AF3286" i="2"/>
  <c r="AK3286" i="2" s="1"/>
  <c r="AF3287" i="2"/>
  <c r="AK3287" i="2" s="1"/>
  <c r="AF3288" i="2"/>
  <c r="AK3288" i="2" s="1"/>
  <c r="AF3289" i="2"/>
  <c r="AK3289" i="2" s="1"/>
  <c r="AF3290" i="2"/>
  <c r="AK3290" i="2" s="1"/>
  <c r="AF3291" i="2"/>
  <c r="AK3291" i="2" s="1"/>
  <c r="AF3292" i="2"/>
  <c r="AK3292" i="2" s="1"/>
  <c r="AF3293" i="2"/>
  <c r="AK3293" i="2" s="1"/>
  <c r="AF3294" i="2"/>
  <c r="AK3294" i="2" s="1"/>
  <c r="AF3295" i="2"/>
  <c r="AK3295" i="2" s="1"/>
  <c r="AF3296" i="2"/>
  <c r="AK3296" i="2" s="1"/>
  <c r="AF3297" i="2"/>
  <c r="AK3297" i="2" s="1"/>
  <c r="AF3298" i="2"/>
  <c r="AK3298" i="2" s="1"/>
  <c r="AF3299" i="2"/>
  <c r="AK3299" i="2" s="1"/>
  <c r="AF3300" i="2"/>
  <c r="AK3300" i="2" s="1"/>
  <c r="AF3301" i="2"/>
  <c r="AK3301" i="2" s="1"/>
  <c r="AF3302" i="2"/>
  <c r="AK3302" i="2" s="1"/>
  <c r="AF3303" i="2"/>
  <c r="AK3303" i="2" s="1"/>
  <c r="AF3304" i="2"/>
  <c r="AK3304" i="2" s="1"/>
  <c r="AF3305" i="2"/>
  <c r="AK3305" i="2" s="1"/>
  <c r="AF3306" i="2"/>
  <c r="AK3306" i="2" s="1"/>
  <c r="AF3307" i="2"/>
  <c r="AK3307" i="2" s="1"/>
  <c r="AF3308" i="2"/>
  <c r="AK3308" i="2" s="1"/>
  <c r="AF3309" i="2"/>
  <c r="AK3309" i="2" s="1"/>
  <c r="AF3310" i="2"/>
  <c r="AK3310" i="2" s="1"/>
  <c r="AF3311" i="2"/>
  <c r="AK3311" i="2" s="1"/>
  <c r="AF3312" i="2"/>
  <c r="AK3312" i="2" s="1"/>
  <c r="AF3313" i="2"/>
  <c r="AK3313" i="2" s="1"/>
  <c r="AF3314" i="2"/>
  <c r="AK3314" i="2" s="1"/>
  <c r="AF3315" i="2"/>
  <c r="AK3315" i="2" s="1"/>
  <c r="AF3316" i="2"/>
  <c r="AK3316" i="2" s="1"/>
  <c r="AF3317" i="2"/>
  <c r="AK3317" i="2" s="1"/>
  <c r="AF3318" i="2"/>
  <c r="AK3318" i="2" s="1"/>
  <c r="AF3319" i="2"/>
  <c r="AK3319" i="2" s="1"/>
  <c r="AF3320" i="2"/>
  <c r="AK3320" i="2" s="1"/>
  <c r="AF3321" i="2"/>
  <c r="AK3321" i="2" s="1"/>
  <c r="AF3322" i="2"/>
  <c r="AK3322" i="2" s="1"/>
  <c r="AF3323" i="2"/>
  <c r="AK3323" i="2" s="1"/>
  <c r="AF3324" i="2"/>
  <c r="AK3324" i="2" s="1"/>
  <c r="AF3325" i="2"/>
  <c r="AK3325" i="2" s="1"/>
  <c r="AF3326" i="2"/>
  <c r="AK3326" i="2" s="1"/>
  <c r="AF3327" i="2"/>
  <c r="AK3327" i="2" s="1"/>
  <c r="AF3328" i="2"/>
  <c r="AK3328" i="2" s="1"/>
  <c r="AF3329" i="2"/>
  <c r="AK3329" i="2" s="1"/>
  <c r="AF3330" i="2"/>
  <c r="AK3330" i="2" s="1"/>
  <c r="AF3331" i="2"/>
  <c r="AK3331" i="2" s="1"/>
  <c r="AF3332" i="2"/>
  <c r="AK3332" i="2" s="1"/>
  <c r="AF3333" i="2"/>
  <c r="AK3333" i="2" s="1"/>
  <c r="AF3334" i="2"/>
  <c r="AK3334" i="2" s="1"/>
  <c r="AF3335" i="2"/>
  <c r="AK3335" i="2" s="1"/>
  <c r="AF3336" i="2"/>
  <c r="AK3336" i="2" s="1"/>
  <c r="AF3337" i="2"/>
  <c r="AK3337" i="2" s="1"/>
  <c r="AF3338" i="2"/>
  <c r="AK3338" i="2" s="1"/>
  <c r="AF3339" i="2"/>
  <c r="AK3339" i="2" s="1"/>
  <c r="AF3340" i="2"/>
  <c r="AK3340" i="2" s="1"/>
  <c r="AF3341" i="2"/>
  <c r="AK3341" i="2" s="1"/>
  <c r="AF3342" i="2"/>
  <c r="AK3342" i="2" s="1"/>
  <c r="AF3343" i="2"/>
  <c r="AK3343" i="2" s="1"/>
  <c r="AF3344" i="2"/>
  <c r="AK3344" i="2" s="1"/>
  <c r="AF3345" i="2"/>
  <c r="AK3345" i="2" s="1"/>
  <c r="AF3346" i="2"/>
  <c r="AK3346" i="2" s="1"/>
  <c r="AF3347" i="2"/>
  <c r="AK3347" i="2" s="1"/>
  <c r="AF3348" i="2"/>
  <c r="AK3348" i="2" s="1"/>
  <c r="AF3349" i="2"/>
  <c r="AK3349" i="2" s="1"/>
  <c r="AF3350" i="2"/>
  <c r="AK3350" i="2" s="1"/>
  <c r="AF3351" i="2"/>
  <c r="AK3351" i="2" s="1"/>
  <c r="AF3352" i="2"/>
  <c r="AK3352" i="2" s="1"/>
  <c r="AF3353" i="2"/>
  <c r="AK3353" i="2" s="1"/>
  <c r="AF3354" i="2"/>
  <c r="AK3354" i="2" s="1"/>
  <c r="AF3355" i="2"/>
  <c r="AK3355" i="2" s="1"/>
  <c r="AF3356" i="2"/>
  <c r="AK3356" i="2" s="1"/>
  <c r="AF3357" i="2"/>
  <c r="AK3357" i="2" s="1"/>
  <c r="AF3358" i="2"/>
  <c r="AK3358" i="2" s="1"/>
  <c r="AF3359" i="2"/>
  <c r="AK3359" i="2" s="1"/>
  <c r="AF3360" i="2"/>
  <c r="AK3360" i="2" s="1"/>
  <c r="AF3361" i="2"/>
  <c r="AK3361" i="2" s="1"/>
  <c r="AF3362" i="2"/>
  <c r="AK3362" i="2" s="1"/>
  <c r="AF3363" i="2"/>
  <c r="AK3363" i="2" s="1"/>
  <c r="AF3364" i="2"/>
  <c r="AK3364" i="2" s="1"/>
  <c r="AF3365" i="2"/>
  <c r="AK3365" i="2" s="1"/>
  <c r="AF3366" i="2"/>
  <c r="AK3366" i="2" s="1"/>
  <c r="AF3367" i="2"/>
  <c r="AK3367" i="2" s="1"/>
  <c r="AF3368" i="2"/>
  <c r="AK3368" i="2" s="1"/>
  <c r="AF3369" i="2"/>
  <c r="AK3369" i="2" s="1"/>
  <c r="AF3370" i="2"/>
  <c r="AK3370" i="2" s="1"/>
  <c r="AF3371" i="2"/>
  <c r="AK3371" i="2" s="1"/>
  <c r="AF3372" i="2"/>
  <c r="AK3372" i="2" s="1"/>
  <c r="AF3373" i="2"/>
  <c r="AK3373" i="2" s="1"/>
  <c r="AF3374" i="2"/>
  <c r="AK3374" i="2" s="1"/>
  <c r="AF3375" i="2"/>
  <c r="AK3375" i="2" s="1"/>
  <c r="AF3376" i="2"/>
  <c r="AK3376" i="2" s="1"/>
  <c r="AF3377" i="2"/>
  <c r="AK3377" i="2" s="1"/>
  <c r="AF3378" i="2"/>
  <c r="AK3378" i="2" s="1"/>
  <c r="AF3379" i="2"/>
  <c r="AK3379" i="2" s="1"/>
  <c r="AF3380" i="2"/>
  <c r="AK3380" i="2" s="1"/>
  <c r="AF3381" i="2"/>
  <c r="AK3381" i="2" s="1"/>
  <c r="AF3382" i="2"/>
  <c r="AK3382" i="2" s="1"/>
  <c r="AF3383" i="2"/>
  <c r="AK3383" i="2" s="1"/>
  <c r="AF3384" i="2"/>
  <c r="AK3384" i="2" s="1"/>
  <c r="AF3385" i="2"/>
  <c r="AK3385" i="2" s="1"/>
  <c r="AF3386" i="2"/>
  <c r="AK3386" i="2" s="1"/>
  <c r="AF3387" i="2"/>
  <c r="AK3387" i="2" s="1"/>
  <c r="AF3388" i="2"/>
  <c r="AK3388" i="2" s="1"/>
  <c r="AF3389" i="2"/>
  <c r="AK3389" i="2" s="1"/>
  <c r="AF3390" i="2"/>
  <c r="AK3390" i="2" s="1"/>
  <c r="AF3391" i="2"/>
  <c r="AK3391" i="2" s="1"/>
  <c r="AF3392" i="2"/>
  <c r="AK3392" i="2" s="1"/>
  <c r="AF3393" i="2"/>
  <c r="AK3393" i="2" s="1"/>
  <c r="AF3394" i="2"/>
  <c r="AK3394" i="2" s="1"/>
  <c r="AF3395" i="2"/>
  <c r="AK3395" i="2" s="1"/>
  <c r="AF3396" i="2"/>
  <c r="AK3396" i="2" s="1"/>
  <c r="AF3397" i="2"/>
  <c r="AK3397" i="2" s="1"/>
  <c r="AF3398" i="2"/>
  <c r="AK3398" i="2" s="1"/>
  <c r="AF3399" i="2"/>
  <c r="AK3399" i="2" s="1"/>
  <c r="AF3400" i="2"/>
  <c r="AK3400" i="2" s="1"/>
  <c r="AF3401" i="2"/>
  <c r="AK3401" i="2" s="1"/>
  <c r="AF3402" i="2"/>
  <c r="AK3402" i="2" s="1"/>
  <c r="AF3403" i="2"/>
  <c r="AK3403" i="2" s="1"/>
  <c r="AF3404" i="2"/>
  <c r="AK3404" i="2" s="1"/>
  <c r="AF3405" i="2"/>
  <c r="AK3405" i="2" s="1"/>
  <c r="AF3406" i="2"/>
  <c r="AK3406" i="2" s="1"/>
  <c r="AF3407" i="2"/>
  <c r="AK3407" i="2" s="1"/>
  <c r="AF3408" i="2"/>
  <c r="AK3408" i="2" s="1"/>
  <c r="AF3409" i="2"/>
  <c r="AK3409" i="2" s="1"/>
  <c r="AF3410" i="2"/>
  <c r="AK3410" i="2" s="1"/>
  <c r="AF3411" i="2"/>
  <c r="AK3411" i="2" s="1"/>
  <c r="AF3412" i="2"/>
  <c r="AK3412" i="2" s="1"/>
  <c r="AF3413" i="2"/>
  <c r="AK3413" i="2" s="1"/>
  <c r="AF3414" i="2"/>
  <c r="AK3414" i="2" s="1"/>
  <c r="AF3415" i="2"/>
  <c r="AK3415" i="2" s="1"/>
  <c r="AF3416" i="2"/>
  <c r="AK3416" i="2" s="1"/>
  <c r="AF3417" i="2"/>
  <c r="AK3417" i="2" s="1"/>
  <c r="AF3418" i="2"/>
  <c r="AK3418" i="2" s="1"/>
  <c r="AF3419" i="2"/>
  <c r="AK3419" i="2" s="1"/>
  <c r="AF3420" i="2"/>
  <c r="AK3420" i="2" s="1"/>
  <c r="AF3421" i="2"/>
  <c r="AK3421" i="2" s="1"/>
  <c r="AF3422" i="2"/>
  <c r="AK3422" i="2" s="1"/>
  <c r="AF3423" i="2"/>
  <c r="AK3423" i="2" s="1"/>
  <c r="AF3424" i="2"/>
  <c r="AK3424" i="2" s="1"/>
  <c r="AF3425" i="2"/>
  <c r="AK3425" i="2" s="1"/>
  <c r="AF3426" i="2"/>
  <c r="AK3426" i="2" s="1"/>
  <c r="AF3427" i="2"/>
  <c r="AK3427" i="2" s="1"/>
  <c r="AF3428" i="2"/>
  <c r="AK3428" i="2" s="1"/>
  <c r="AF3429" i="2"/>
  <c r="AK3429" i="2" s="1"/>
  <c r="AF3430" i="2"/>
  <c r="AK3430" i="2" s="1"/>
  <c r="AF3431" i="2"/>
  <c r="AK3431" i="2" s="1"/>
  <c r="AF3432" i="2"/>
  <c r="AK3432" i="2" s="1"/>
  <c r="AF3433" i="2"/>
  <c r="AK3433" i="2" s="1"/>
  <c r="AF3434" i="2"/>
  <c r="AK3434" i="2" s="1"/>
  <c r="AF3435" i="2"/>
  <c r="AK3435" i="2" s="1"/>
  <c r="AF3436" i="2"/>
  <c r="AK3436" i="2" s="1"/>
  <c r="AF3437" i="2"/>
  <c r="AK3437" i="2" s="1"/>
  <c r="AF3438" i="2"/>
  <c r="AK3438" i="2" s="1"/>
  <c r="AF3439" i="2"/>
  <c r="AK3439" i="2" s="1"/>
  <c r="AF3440" i="2"/>
  <c r="AK3440" i="2" s="1"/>
  <c r="AF3441" i="2"/>
  <c r="AK3441" i="2" s="1"/>
  <c r="AF3442" i="2"/>
  <c r="AK3442" i="2" s="1"/>
  <c r="AF3443" i="2"/>
  <c r="AK3443" i="2" s="1"/>
  <c r="AF3444" i="2"/>
  <c r="AK3444" i="2" s="1"/>
  <c r="AF3445" i="2"/>
  <c r="AK3445" i="2" s="1"/>
  <c r="AF3446" i="2"/>
  <c r="AK3446" i="2" s="1"/>
  <c r="AF3447" i="2"/>
  <c r="AK3447" i="2" s="1"/>
  <c r="AF3448" i="2"/>
  <c r="AK3448" i="2" s="1"/>
  <c r="AF3449" i="2"/>
  <c r="AK3449" i="2" s="1"/>
  <c r="AF3450" i="2"/>
  <c r="AK3450" i="2" s="1"/>
  <c r="AF3451" i="2"/>
  <c r="AK3451" i="2" s="1"/>
  <c r="AF3452" i="2"/>
  <c r="AK3452" i="2" s="1"/>
  <c r="AF3453" i="2"/>
  <c r="AK3453" i="2" s="1"/>
  <c r="AF3454" i="2"/>
  <c r="AK3454" i="2" s="1"/>
  <c r="AF3455" i="2"/>
  <c r="AK3455" i="2" s="1"/>
  <c r="AF3456" i="2"/>
  <c r="AK3456" i="2" s="1"/>
  <c r="AF3457" i="2"/>
  <c r="AK3457" i="2" s="1"/>
  <c r="AF3458" i="2"/>
  <c r="AK3458" i="2" s="1"/>
  <c r="AF3459" i="2"/>
  <c r="AK3459" i="2" s="1"/>
  <c r="AF3460" i="2"/>
  <c r="AK3460" i="2" s="1"/>
  <c r="AF3461" i="2"/>
  <c r="AK3461" i="2" s="1"/>
  <c r="AF3462" i="2"/>
  <c r="AK3462" i="2" s="1"/>
  <c r="AF3463" i="2"/>
  <c r="AK3463" i="2" s="1"/>
  <c r="AF3464" i="2"/>
  <c r="AK3464" i="2" s="1"/>
  <c r="AF3465" i="2"/>
  <c r="AK3465" i="2" s="1"/>
  <c r="AF3466" i="2"/>
  <c r="AK3466" i="2" s="1"/>
  <c r="AF3467" i="2"/>
  <c r="AK3467" i="2" s="1"/>
  <c r="AF3468" i="2"/>
  <c r="AK3468" i="2" s="1"/>
  <c r="AF3469" i="2"/>
  <c r="AK3469" i="2" s="1"/>
  <c r="AF3470" i="2"/>
  <c r="AK3470" i="2" s="1"/>
  <c r="AF3471" i="2"/>
  <c r="AK3471" i="2" s="1"/>
  <c r="AF3472" i="2"/>
  <c r="AK3472" i="2" s="1"/>
  <c r="AF3473" i="2"/>
  <c r="AK3473" i="2" s="1"/>
  <c r="AF3474" i="2"/>
  <c r="AK3474" i="2" s="1"/>
  <c r="AF3475" i="2"/>
  <c r="AK3475" i="2" s="1"/>
  <c r="AF3476" i="2"/>
  <c r="AK3476" i="2" s="1"/>
  <c r="AF3477" i="2"/>
  <c r="AK3477" i="2" s="1"/>
  <c r="AF3478" i="2"/>
  <c r="AK3478" i="2" s="1"/>
  <c r="AF3479" i="2"/>
  <c r="AK3479" i="2" s="1"/>
  <c r="AF3480" i="2"/>
  <c r="AK3480" i="2" s="1"/>
  <c r="AF3481" i="2"/>
  <c r="AK3481" i="2" s="1"/>
  <c r="AF3482" i="2"/>
  <c r="AK3482" i="2" s="1"/>
  <c r="AF3483" i="2"/>
  <c r="AK3483" i="2" s="1"/>
  <c r="AF3484" i="2"/>
  <c r="AK3484" i="2" s="1"/>
  <c r="AF3485" i="2"/>
  <c r="AK3485" i="2" s="1"/>
  <c r="AF3486" i="2"/>
  <c r="AK3486" i="2" s="1"/>
  <c r="AF3487" i="2"/>
  <c r="AK3487" i="2" s="1"/>
  <c r="AF3488" i="2"/>
  <c r="AK3488" i="2" s="1"/>
  <c r="AF3489" i="2"/>
  <c r="AK3489" i="2" s="1"/>
  <c r="AF3490" i="2"/>
  <c r="AK3490" i="2" s="1"/>
  <c r="AF3491" i="2"/>
  <c r="AK3491" i="2" s="1"/>
  <c r="AF3492" i="2"/>
  <c r="AK3492" i="2" s="1"/>
  <c r="AF3493" i="2"/>
  <c r="AK3493" i="2" s="1"/>
  <c r="AF3494" i="2"/>
  <c r="AK3494" i="2" s="1"/>
  <c r="AF3495" i="2"/>
  <c r="AK3495" i="2" s="1"/>
  <c r="AF3496" i="2"/>
  <c r="AK3496" i="2" s="1"/>
  <c r="AF3497" i="2"/>
  <c r="AK3497" i="2" s="1"/>
  <c r="AF3498" i="2"/>
  <c r="AK3498" i="2" s="1"/>
  <c r="AF3499" i="2"/>
  <c r="AK3499" i="2" s="1"/>
  <c r="AF3500" i="2"/>
  <c r="AK3500" i="2" s="1"/>
  <c r="AF3501" i="2"/>
  <c r="AK3501" i="2" s="1"/>
  <c r="AF3502" i="2"/>
  <c r="AK3502" i="2" s="1"/>
  <c r="AF3503" i="2"/>
  <c r="AK3503" i="2" s="1"/>
  <c r="AF3504" i="2"/>
  <c r="AK3504" i="2" s="1"/>
  <c r="AF3505" i="2"/>
  <c r="AK3505" i="2" s="1"/>
  <c r="AF3506" i="2"/>
  <c r="AK3506" i="2" s="1"/>
  <c r="AF3507" i="2"/>
  <c r="AK3507" i="2" s="1"/>
  <c r="AF3508" i="2"/>
  <c r="AK3508" i="2" s="1"/>
  <c r="AF3509" i="2"/>
  <c r="AK3509" i="2" s="1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2210" i="2"/>
  <c r="U32" i="2"/>
  <c r="U33" i="2"/>
  <c r="U34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35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79" i="2"/>
  <c r="U131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132" i="2"/>
  <c r="U219" i="2"/>
  <c r="U220" i="2"/>
  <c r="U221" i="2"/>
  <c r="U222" i="2"/>
  <c r="U223" i="2"/>
  <c r="U224" i="2"/>
  <c r="U225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226" i="2"/>
  <c r="U323" i="2"/>
  <c r="U324" i="2"/>
  <c r="U325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326" i="2"/>
  <c r="U411" i="2"/>
  <c r="U412" i="2"/>
  <c r="U413" i="2"/>
  <c r="U414" i="2"/>
  <c r="U415" i="2"/>
  <c r="U416" i="2"/>
  <c r="U417" i="2"/>
  <c r="U419" i="2"/>
  <c r="U420" i="2"/>
  <c r="U418" i="2"/>
  <c r="U422" i="2"/>
  <c r="U423" i="2"/>
  <c r="U424" i="2"/>
  <c r="U425" i="2"/>
  <c r="U421" i="2"/>
  <c r="U426" i="2"/>
  <c r="U427" i="2"/>
  <c r="U428" i="2"/>
  <c r="U429" i="2"/>
  <c r="U430" i="2"/>
  <c r="U431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432" i="2"/>
  <c r="U529" i="2"/>
  <c r="U531" i="2"/>
  <c r="U532" i="2"/>
  <c r="U533" i="2"/>
  <c r="U534" i="2"/>
  <c r="U535" i="2"/>
  <c r="U530" i="2"/>
  <c r="U536" i="2"/>
  <c r="U537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38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594" i="2"/>
  <c r="U613" i="2"/>
  <c r="U614" i="2"/>
  <c r="U615" i="2"/>
  <c r="U616" i="2"/>
  <c r="U617" i="2"/>
  <c r="U618" i="2"/>
  <c r="U619" i="2"/>
  <c r="U621" i="2"/>
  <c r="U622" i="2"/>
  <c r="U623" i="2"/>
  <c r="U624" i="2"/>
  <c r="U620" i="2"/>
  <c r="U625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26" i="2"/>
  <c r="U648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649" i="2"/>
  <c r="U820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21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870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8" i="2"/>
  <c r="U919" i="2"/>
  <c r="U920" i="2"/>
  <c r="U921" i="2"/>
  <c r="U922" i="2"/>
  <c r="U923" i="2"/>
  <c r="U917" i="2"/>
  <c r="U924" i="2"/>
  <c r="U925" i="2"/>
  <c r="U926" i="2"/>
  <c r="U927" i="2"/>
  <c r="U928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929" i="2"/>
  <c r="U1025" i="2"/>
  <c r="U1026" i="2"/>
  <c r="U1027" i="2"/>
  <c r="U1028" i="2"/>
  <c r="U1029" i="2"/>
  <c r="U1030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031" i="2"/>
  <c r="U1156" i="2"/>
  <c r="U1157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15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288" i="2"/>
  <c r="U1427" i="2"/>
  <c r="U1428" i="2"/>
  <c r="U1429" i="2"/>
  <c r="U1430" i="2"/>
  <c r="U1431" i="2"/>
  <c r="U1432" i="2"/>
  <c r="U1433" i="2"/>
  <c r="U1434" i="2"/>
  <c r="U1435" i="2"/>
  <c r="U1436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437" i="2"/>
  <c r="U1635" i="2"/>
  <c r="U1636" i="2"/>
  <c r="U1637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638" i="2"/>
  <c r="U1956" i="2"/>
  <c r="U1957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1958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09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AK1958" i="2" l="1"/>
  <c r="AK1638" i="2"/>
  <c r="AK432" i="2"/>
  <c r="AK2204" i="2"/>
  <c r="AK2196" i="2"/>
  <c r="AK2188" i="2"/>
  <c r="AK2180" i="2"/>
  <c r="AK2172" i="2"/>
  <c r="AK2164" i="2"/>
  <c r="AK2156" i="2"/>
  <c r="AK2148" i="2"/>
  <c r="AK2140" i="2"/>
  <c r="AK2132" i="2"/>
  <c r="AK2124" i="2"/>
  <c r="AK2116" i="2"/>
  <c r="AK2108" i="2"/>
  <c r="AK2100" i="2"/>
  <c r="AK2092" i="2"/>
  <c r="AK2084" i="2"/>
  <c r="AK2076" i="2"/>
  <c r="AK2068" i="2"/>
  <c r="AK2060" i="2"/>
  <c r="AK2052" i="2"/>
  <c r="AK2044" i="2"/>
  <c r="AK2036" i="2"/>
  <c r="AK2028" i="2"/>
  <c r="AK2020" i="2"/>
  <c r="AK2012" i="2"/>
  <c r="AK2004" i="2"/>
  <c r="AK1996" i="2"/>
  <c r="AK1988" i="2"/>
  <c r="AK1980" i="2"/>
  <c r="AK1972" i="2"/>
  <c r="AK1964" i="2"/>
  <c r="AK1948" i="2"/>
  <c r="AK1940" i="2"/>
  <c r="AK1932" i="2"/>
  <c r="AK1924" i="2"/>
  <c r="AK1916" i="2"/>
  <c r="AK1908" i="2"/>
  <c r="AK1900" i="2"/>
  <c r="AK1892" i="2"/>
  <c r="AK1884" i="2"/>
  <c r="AK1876" i="2"/>
  <c r="AK1868" i="2"/>
  <c r="AK1860" i="2"/>
  <c r="AK1852" i="2"/>
  <c r="AK1844" i="2"/>
  <c r="AK1836" i="2"/>
  <c r="AK1828" i="2"/>
  <c r="AK1820" i="2"/>
  <c r="AK1812" i="2"/>
  <c r="AK1804" i="2"/>
  <c r="AK1796" i="2"/>
  <c r="AK1788" i="2"/>
  <c r="AK1780" i="2"/>
  <c r="AK1772" i="2"/>
  <c r="AK1764" i="2"/>
  <c r="AK1756" i="2"/>
  <c r="AK1748" i="2"/>
  <c r="AK1740" i="2"/>
  <c r="AK1732" i="2"/>
  <c r="AK1724" i="2"/>
  <c r="AK1716" i="2"/>
  <c r="AK1708" i="2"/>
  <c r="AK1700" i="2"/>
  <c r="AK1692" i="2"/>
  <c r="AK1684" i="2"/>
  <c r="AK1676" i="2"/>
  <c r="AK1668" i="2"/>
  <c r="AK1660" i="2"/>
  <c r="AK1652" i="2"/>
  <c r="AK1644" i="2"/>
  <c r="AK1628" i="2"/>
  <c r="AK1620" i="2"/>
  <c r="AK1612" i="2"/>
  <c r="AK1604" i="2"/>
  <c r="AK1596" i="2"/>
  <c r="AK1588" i="2"/>
  <c r="AK1580" i="2"/>
  <c r="AK2203" i="2"/>
  <c r="AK2195" i="2"/>
  <c r="AK2187" i="2"/>
  <c r="AK2179" i="2"/>
  <c r="AK2171" i="2"/>
  <c r="AK2163" i="2"/>
  <c r="AK2155" i="2"/>
  <c r="AK2147" i="2"/>
  <c r="AK2139" i="2"/>
  <c r="AK2131" i="2"/>
  <c r="AK2123" i="2"/>
  <c r="AK2115" i="2"/>
  <c r="AK2107" i="2"/>
  <c r="AK2099" i="2"/>
  <c r="AK2091" i="2"/>
  <c r="AK2083" i="2"/>
  <c r="AK2075" i="2"/>
  <c r="AK2067" i="2"/>
  <c r="AK2059" i="2"/>
  <c r="AK2051" i="2"/>
  <c r="AK2043" i="2"/>
  <c r="AK2035" i="2"/>
  <c r="AK2027" i="2"/>
  <c r="AK2019" i="2"/>
  <c r="AK2011" i="2"/>
  <c r="AK2003" i="2"/>
  <c r="AK1995" i="2"/>
  <c r="AK1987" i="2"/>
  <c r="AK1979" i="2"/>
  <c r="AK1971" i="2"/>
  <c r="AK1963" i="2"/>
  <c r="AK1955" i="2"/>
  <c r="AK1947" i="2"/>
  <c r="AK1939" i="2"/>
  <c r="AK1931" i="2"/>
  <c r="AK1923" i="2"/>
  <c r="AK1915" i="2"/>
  <c r="AK1907" i="2"/>
  <c r="AK1899" i="2"/>
  <c r="AK1891" i="2"/>
  <c r="AK1883" i="2"/>
  <c r="AK1875" i="2"/>
  <c r="AK1867" i="2"/>
  <c r="AK1859" i="2"/>
  <c r="AK1851" i="2"/>
  <c r="AK1843" i="2"/>
  <c r="AK1835" i="2"/>
  <c r="AK1827" i="2"/>
  <c r="AK1819" i="2"/>
  <c r="AK1811" i="2"/>
  <c r="AK1803" i="2"/>
  <c r="AK1795" i="2"/>
  <c r="AK1787" i="2"/>
  <c r="AK1779" i="2"/>
  <c r="AK1771" i="2"/>
  <c r="AK1763" i="2"/>
  <c r="AK1755" i="2"/>
  <c r="AK1747" i="2"/>
  <c r="AK1739" i="2"/>
  <c r="AK1731" i="2"/>
  <c r="AK1723" i="2"/>
  <c r="AK1715" i="2"/>
  <c r="AK1707" i="2"/>
  <c r="AK1699" i="2"/>
  <c r="AK1691" i="2"/>
  <c r="AK1683" i="2"/>
  <c r="AK1675" i="2"/>
  <c r="AK1667" i="2"/>
  <c r="AK1659" i="2"/>
  <c r="AK1651" i="2"/>
  <c r="AK1643" i="2"/>
  <c r="AK1627" i="2"/>
  <c r="AK1619" i="2"/>
  <c r="AK1611" i="2"/>
  <c r="AK1603" i="2"/>
  <c r="AK1595" i="2"/>
  <c r="AK1587" i="2"/>
  <c r="AK1579" i="2"/>
  <c r="AK1571" i="2"/>
  <c r="AK1563" i="2"/>
  <c r="AK2201" i="2"/>
  <c r="AK2193" i="2"/>
  <c r="AK2185" i="2"/>
  <c r="AK2177" i="2"/>
  <c r="AK2169" i="2"/>
  <c r="AK2161" i="2"/>
  <c r="AK2153" i="2"/>
  <c r="AK2145" i="2"/>
  <c r="AK2137" i="2"/>
  <c r="AK2129" i="2"/>
  <c r="AK2121" i="2"/>
  <c r="AK2113" i="2"/>
  <c r="AK2105" i="2"/>
  <c r="AK2097" i="2"/>
  <c r="AK2089" i="2"/>
  <c r="AK2081" i="2"/>
  <c r="AK2073" i="2"/>
  <c r="AK2065" i="2"/>
  <c r="AK2057" i="2"/>
  <c r="AK2049" i="2"/>
  <c r="AK2041" i="2"/>
  <c r="AK2033" i="2"/>
  <c r="AK2025" i="2"/>
  <c r="AK2017" i="2"/>
  <c r="AK2009" i="2"/>
  <c r="AK2001" i="2"/>
  <c r="AK1993" i="2"/>
  <c r="AK1985" i="2"/>
  <c r="AK1977" i="2"/>
  <c r="AK1969" i="2"/>
  <c r="AK1961" i="2"/>
  <c r="AK1953" i="2"/>
  <c r="AK1945" i="2"/>
  <c r="AK1937" i="2"/>
  <c r="AK1929" i="2"/>
  <c r="AK1921" i="2"/>
  <c r="AK1913" i="2"/>
  <c r="AK1905" i="2"/>
  <c r="AK1897" i="2"/>
  <c r="AK1889" i="2"/>
  <c r="AK1881" i="2"/>
  <c r="AK1873" i="2"/>
  <c r="AK1865" i="2"/>
  <c r="AK1857" i="2"/>
  <c r="AK1849" i="2"/>
  <c r="AK1841" i="2"/>
  <c r="AK1833" i="2"/>
  <c r="AK1825" i="2"/>
  <c r="AK1817" i="2"/>
  <c r="AK1809" i="2"/>
  <c r="AK1801" i="2"/>
  <c r="AK1793" i="2"/>
  <c r="AK1785" i="2"/>
  <c r="AK1777" i="2"/>
  <c r="AK1769" i="2"/>
  <c r="AK1761" i="2"/>
  <c r="AK1753" i="2"/>
  <c r="AK1745" i="2"/>
  <c r="AK1737" i="2"/>
  <c r="AK1729" i="2"/>
  <c r="AK1721" i="2"/>
  <c r="AK1713" i="2"/>
  <c r="AK1705" i="2"/>
  <c r="AK1697" i="2"/>
  <c r="AK1689" i="2"/>
  <c r="AK1681" i="2"/>
  <c r="AK1673" i="2"/>
  <c r="AK1665" i="2"/>
  <c r="AK1657" i="2"/>
  <c r="AK1649" i="2"/>
  <c r="AK1641" i="2"/>
  <c r="AK1633" i="2"/>
  <c r="AK1625" i="2"/>
  <c r="AK1617" i="2"/>
  <c r="AK1609" i="2"/>
  <c r="AK1601" i="2"/>
  <c r="AK1593" i="2"/>
  <c r="AK1585" i="2"/>
  <c r="AK1577" i="2"/>
  <c r="AK1158" i="2"/>
  <c r="AK870" i="2"/>
  <c r="AK1437" i="2"/>
  <c r="AK917" i="2"/>
  <c r="AK821" i="2"/>
  <c r="AK1572" i="2"/>
  <c r="AK1564" i="2"/>
  <c r="AK1556" i="2"/>
  <c r="AK1548" i="2"/>
  <c r="AK1540" i="2"/>
  <c r="AK1532" i="2"/>
  <c r="AK1524" i="2"/>
  <c r="AK1516" i="2"/>
  <c r="AK1508" i="2"/>
  <c r="AK1500" i="2"/>
  <c r="AK1492" i="2"/>
  <c r="AK1484" i="2"/>
  <c r="AK1476" i="2"/>
  <c r="AK1468" i="2"/>
  <c r="AK1460" i="2"/>
  <c r="AK1452" i="2"/>
  <c r="AK1444" i="2"/>
  <c r="AK1420" i="2"/>
  <c r="AK1412" i="2"/>
  <c r="AK1404" i="2"/>
  <c r="AK1396" i="2"/>
  <c r="AK1388" i="2"/>
  <c r="AK1380" i="2"/>
  <c r="AK1372" i="2"/>
  <c r="AK1364" i="2"/>
  <c r="AK1356" i="2"/>
  <c r="AK1348" i="2"/>
  <c r="AK1340" i="2"/>
  <c r="AK1332" i="2"/>
  <c r="AK1324" i="2"/>
  <c r="AK1316" i="2"/>
  <c r="AK1308" i="2"/>
  <c r="AK1300" i="2"/>
  <c r="AK1292" i="2"/>
  <c r="AK1284" i="2"/>
  <c r="AK1276" i="2"/>
  <c r="AK1268" i="2"/>
  <c r="AK1260" i="2"/>
  <c r="AK1252" i="2"/>
  <c r="AK1244" i="2"/>
  <c r="AK1236" i="2"/>
  <c r="AK1228" i="2"/>
  <c r="AK1220" i="2"/>
  <c r="AK1212" i="2"/>
  <c r="AK1204" i="2"/>
  <c r="AK1196" i="2"/>
  <c r="AK1188" i="2"/>
  <c r="AK1180" i="2"/>
  <c r="AK1172" i="2"/>
  <c r="AK1164" i="2"/>
  <c r="AK1148" i="2"/>
  <c r="AK1140" i="2"/>
  <c r="AK1132" i="2"/>
  <c r="AK1124" i="2"/>
  <c r="AK1116" i="2"/>
  <c r="AK1108" i="2"/>
  <c r="AK1100" i="2"/>
  <c r="AK1092" i="2"/>
  <c r="AK1084" i="2"/>
  <c r="AK1076" i="2"/>
  <c r="AK1068" i="2"/>
  <c r="AK1060" i="2"/>
  <c r="AK1052" i="2"/>
  <c r="AK1044" i="2"/>
  <c r="AK1036" i="2"/>
  <c r="AK1020" i="2"/>
  <c r="AK1012" i="2"/>
  <c r="AK1004" i="2"/>
  <c r="AK996" i="2"/>
  <c r="AK988" i="2"/>
  <c r="AK980" i="2"/>
  <c r="AK972" i="2"/>
  <c r="AK964" i="2"/>
  <c r="AK956" i="2"/>
  <c r="AK948" i="2"/>
  <c r="AK940" i="2"/>
  <c r="AK932" i="2"/>
  <c r="AK900" i="2"/>
  <c r="AK892" i="2"/>
  <c r="AK884" i="2"/>
  <c r="AK876" i="2"/>
  <c r="AK868" i="2"/>
  <c r="AK860" i="2"/>
  <c r="AK852" i="2"/>
  <c r="AK844" i="2"/>
  <c r="AK1569" i="2"/>
  <c r="AK1561" i="2"/>
  <c r="AK1553" i="2"/>
  <c r="AK1545" i="2"/>
  <c r="AK1537" i="2"/>
  <c r="AK1529" i="2"/>
  <c r="AK1521" i="2"/>
  <c r="AK1513" i="2"/>
  <c r="AK1505" i="2"/>
  <c r="AK1497" i="2"/>
  <c r="AK1489" i="2"/>
  <c r="AK1481" i="2"/>
  <c r="AK1473" i="2"/>
  <c r="AK1465" i="2"/>
  <c r="AK1457" i="2"/>
  <c r="AK1449" i="2"/>
  <c r="AK1441" i="2"/>
  <c r="AK1425" i="2"/>
  <c r="AK1417" i="2"/>
  <c r="AK1409" i="2"/>
  <c r="AK1401" i="2"/>
  <c r="AK1393" i="2"/>
  <c r="AK1385" i="2"/>
  <c r="AK1377" i="2"/>
  <c r="AK1369" i="2"/>
  <c r="AK1361" i="2"/>
  <c r="AK1353" i="2"/>
  <c r="AK1345" i="2"/>
  <c r="AK1337" i="2"/>
  <c r="AK1329" i="2"/>
  <c r="AK1321" i="2"/>
  <c r="AK1313" i="2"/>
  <c r="AK1305" i="2"/>
  <c r="AK1297" i="2"/>
  <c r="AK1289" i="2"/>
  <c r="AK1281" i="2"/>
  <c r="AK1273" i="2"/>
  <c r="AK1265" i="2"/>
  <c r="AK1257" i="2"/>
  <c r="AK1249" i="2"/>
  <c r="AK1241" i="2"/>
  <c r="AK1233" i="2"/>
  <c r="AK1225" i="2"/>
  <c r="AK1217" i="2"/>
  <c r="AK1209" i="2"/>
  <c r="AK1201" i="2"/>
  <c r="AK1193" i="2"/>
  <c r="AK1185" i="2"/>
  <c r="AK1177" i="2"/>
  <c r="AK1169" i="2"/>
  <c r="AK1161" i="2"/>
  <c r="AK1153" i="2"/>
  <c r="AK1145" i="2"/>
  <c r="AK1137" i="2"/>
  <c r="AK1129" i="2"/>
  <c r="AK1121" i="2"/>
  <c r="AK1113" i="2"/>
  <c r="AK1105" i="2"/>
  <c r="AK1097" i="2"/>
  <c r="AK1089" i="2"/>
  <c r="AK1081" i="2"/>
  <c r="AK1073" i="2"/>
  <c r="AK1065" i="2"/>
  <c r="AK1057" i="2"/>
  <c r="AK1049" i="2"/>
  <c r="AK1041" i="2"/>
  <c r="AK1033" i="2"/>
  <c r="AK1017" i="2"/>
  <c r="AK1009" i="2"/>
  <c r="AK1001" i="2"/>
  <c r="AK993" i="2"/>
  <c r="AK985" i="2"/>
  <c r="AK977" i="2"/>
  <c r="AK969" i="2"/>
  <c r="AK961" i="2"/>
  <c r="AK953" i="2"/>
  <c r="AK945" i="2"/>
  <c r="AK937" i="2"/>
  <c r="AK929" i="2"/>
  <c r="AK921" i="2"/>
  <c r="AK897" i="2"/>
  <c r="AK889" i="2"/>
  <c r="AK881" i="2"/>
  <c r="AK873" i="2"/>
  <c r="AK865" i="2"/>
  <c r="AK857" i="2"/>
  <c r="AK849" i="2"/>
  <c r="AK841" i="2"/>
  <c r="AK833" i="2"/>
  <c r="AK825" i="2"/>
  <c r="AK817" i="2"/>
  <c r="AK809" i="2"/>
  <c r="AK801" i="2"/>
  <c r="AK793" i="2"/>
  <c r="AK871" i="2"/>
  <c r="AK863" i="2"/>
  <c r="AK855" i="2"/>
  <c r="AK847" i="2"/>
  <c r="AK839" i="2"/>
  <c r="AK831" i="2"/>
  <c r="AK823" i="2"/>
  <c r="AK815" i="2"/>
  <c r="AK807" i="2"/>
  <c r="AK799" i="2"/>
  <c r="AK791" i="2"/>
  <c r="AK783" i="2"/>
  <c r="AK775" i="2"/>
  <c r="AK767" i="2"/>
  <c r="AK759" i="2"/>
  <c r="AK751" i="2"/>
  <c r="AK743" i="2"/>
  <c r="AK735" i="2"/>
  <c r="AK727" i="2"/>
  <c r="AK719" i="2"/>
  <c r="AK711" i="2"/>
  <c r="AK703" i="2"/>
  <c r="AK695" i="2"/>
  <c r="AK687" i="2"/>
  <c r="AK679" i="2"/>
  <c r="AK671" i="2"/>
  <c r="AK663" i="2"/>
  <c r="AK655" i="2"/>
  <c r="AK647" i="2"/>
  <c r="AK639" i="2"/>
  <c r="AK631" i="2"/>
  <c r="AK623" i="2"/>
  <c r="AK607" i="2"/>
  <c r="AK599" i="2"/>
  <c r="AK567" i="2"/>
  <c r="AK559" i="2"/>
  <c r="AK551" i="2"/>
  <c r="AK543" i="2"/>
  <c r="AK535" i="2"/>
  <c r="AK527" i="2"/>
  <c r="AK519" i="2"/>
  <c r="AK511" i="2"/>
  <c r="AK79" i="2"/>
  <c r="AK2209" i="2"/>
  <c r="AK502" i="2"/>
  <c r="AK494" i="2"/>
  <c r="AK486" i="2"/>
  <c r="AK478" i="2"/>
  <c r="AK470" i="2"/>
  <c r="AK462" i="2"/>
  <c r="AK454" i="2"/>
  <c r="AK446" i="2"/>
  <c r="AK438" i="2"/>
  <c r="AK422" i="2"/>
  <c r="AK406" i="2"/>
  <c r="AK398" i="2"/>
  <c r="AK390" i="2"/>
  <c r="AK382" i="2"/>
  <c r="AK374" i="2"/>
  <c r="AK366" i="2"/>
  <c r="AK358" i="2"/>
  <c r="AK350" i="2"/>
  <c r="AK342" i="2"/>
  <c r="AK334" i="2"/>
  <c r="AK326" i="2"/>
  <c r="AK318" i="2"/>
  <c r="AK836" i="2"/>
  <c r="AK828" i="2"/>
  <c r="AK812" i="2"/>
  <c r="AK804" i="2"/>
  <c r="AK796" i="2"/>
  <c r="AK788" i="2"/>
  <c r="AK780" i="2"/>
  <c r="AK772" i="2"/>
  <c r="AK764" i="2"/>
  <c r="AK756" i="2"/>
  <c r="AK748" i="2"/>
  <c r="AK740" i="2"/>
  <c r="AK732" i="2"/>
  <c r="AK724" i="2"/>
  <c r="AK716" i="2"/>
  <c r="AK708" i="2"/>
  <c r="AK700" i="2"/>
  <c r="AK692" i="2"/>
  <c r="AK684" i="2"/>
  <c r="AK676" i="2"/>
  <c r="AK668" i="2"/>
  <c r="AK660" i="2"/>
  <c r="AK652" i="2"/>
  <c r="AK644" i="2"/>
  <c r="AK636" i="2"/>
  <c r="AK628" i="2"/>
  <c r="AK620" i="2"/>
  <c r="AK612" i="2"/>
  <c r="AK604" i="2"/>
  <c r="AK596" i="2"/>
  <c r="AK572" i="2"/>
  <c r="AK564" i="2"/>
  <c r="AK556" i="2"/>
  <c r="AK548" i="2"/>
  <c r="AK540" i="2"/>
  <c r="AK532" i="2"/>
  <c r="AK524" i="2"/>
  <c r="AK516" i="2"/>
  <c r="AK508" i="2"/>
  <c r="AK500" i="2"/>
  <c r="AK492" i="2"/>
  <c r="AK484" i="2"/>
  <c r="AK132" i="2"/>
  <c r="AK475" i="2"/>
  <c r="AK467" i="2"/>
  <c r="AK459" i="2"/>
  <c r="AK451" i="2"/>
  <c r="AK443" i="2"/>
  <c r="AK435" i="2"/>
  <c r="AK419" i="2"/>
  <c r="AK403" i="2"/>
  <c r="AK395" i="2"/>
  <c r="AK387" i="2"/>
  <c r="AK379" i="2"/>
  <c r="AK371" i="2"/>
  <c r="AK363" i="2"/>
  <c r="AK355" i="2"/>
  <c r="AK347" i="2"/>
  <c r="AK339" i="2"/>
  <c r="AK331" i="2"/>
  <c r="AK315" i="2"/>
  <c r="AK307" i="2"/>
  <c r="AK299" i="2"/>
  <c r="AK291" i="2"/>
  <c r="AK283" i="2"/>
  <c r="AK275" i="2"/>
  <c r="AK267" i="2"/>
  <c r="AK259" i="2"/>
  <c r="AK251" i="2"/>
  <c r="AK243" i="2"/>
  <c r="AK235" i="2"/>
  <c r="AK35" i="2"/>
  <c r="AK434" i="2"/>
  <c r="AK418" i="2"/>
  <c r="AK410" i="2"/>
  <c r="AK402" i="2"/>
  <c r="AK394" i="2"/>
  <c r="AK386" i="2"/>
  <c r="AK378" i="2"/>
  <c r="AK370" i="2"/>
  <c r="AK362" i="2"/>
  <c r="AK354" i="2"/>
  <c r="AK346" i="2"/>
  <c r="AK338" i="2"/>
  <c r="AK226" i="2"/>
  <c r="AK785" i="2"/>
  <c r="AK777" i="2"/>
  <c r="AK769" i="2"/>
  <c r="AK761" i="2"/>
  <c r="AK753" i="2"/>
  <c r="AK745" i="2"/>
  <c r="AK737" i="2"/>
  <c r="AK729" i="2"/>
  <c r="AK721" i="2"/>
  <c r="AK713" i="2"/>
  <c r="AK705" i="2"/>
  <c r="AK697" i="2"/>
  <c r="AK689" i="2"/>
  <c r="AK681" i="2"/>
  <c r="AK673" i="2"/>
  <c r="AK665" i="2"/>
  <c r="AK657" i="2"/>
  <c r="AK649" i="2"/>
  <c r="AK641" i="2"/>
  <c r="AK633" i="2"/>
  <c r="AK609" i="2"/>
  <c r="AK601" i="2"/>
  <c r="AK569" i="2"/>
  <c r="AK561" i="2"/>
  <c r="AK553" i="2"/>
  <c r="AK545" i="2"/>
  <c r="AK521" i="2"/>
  <c r="AK513" i="2"/>
  <c r="AK505" i="2"/>
  <c r="AK497" i="2"/>
  <c r="AK489" i="2"/>
  <c r="AK481" i="2"/>
  <c r="AK473" i="2"/>
  <c r="AK465" i="2"/>
  <c r="AK457" i="2"/>
  <c r="AK449" i="2"/>
  <c r="AK441" i="2"/>
  <c r="AK433" i="2"/>
  <c r="AK425" i="2"/>
  <c r="AK409" i="2"/>
  <c r="AK401" i="2"/>
  <c r="AK393" i="2"/>
  <c r="AK385" i="2"/>
  <c r="AK377" i="2"/>
  <c r="AK369" i="2"/>
  <c r="AK361" i="2"/>
  <c r="AK353" i="2"/>
  <c r="AK345" i="2"/>
  <c r="AK337" i="2"/>
  <c r="AK329" i="2"/>
  <c r="AK321" i="2"/>
  <c r="AK313" i="2"/>
  <c r="AK305" i="2"/>
  <c r="AK297" i="2"/>
  <c r="AK289" i="2"/>
  <c r="AK281" i="2"/>
  <c r="AK273" i="2"/>
  <c r="AK265" i="2"/>
  <c r="AK257" i="2"/>
  <c r="AK249" i="2"/>
  <c r="AK241" i="2"/>
  <c r="AK233" i="2"/>
  <c r="AK217" i="2"/>
  <c r="AK209" i="2"/>
  <c r="AK201" i="2"/>
  <c r="AK193" i="2"/>
  <c r="AK185" i="2"/>
  <c r="AK177" i="2"/>
  <c r="AK169" i="2"/>
  <c r="AK161" i="2"/>
  <c r="AK153" i="2"/>
  <c r="AK145" i="2"/>
  <c r="AK137" i="2"/>
  <c r="AK129" i="2"/>
  <c r="AK121" i="2"/>
  <c r="AK113" i="2"/>
  <c r="AK105" i="2"/>
  <c r="AK97" i="2"/>
  <c r="AK89" i="2"/>
  <c r="AK81" i="2"/>
  <c r="AK73" i="2"/>
  <c r="AK65" i="2"/>
  <c r="AK57" i="2"/>
  <c r="AK49" i="2"/>
  <c r="AK4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5C3C8F-90F5-494A-97A0-0D28F861D373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A5F58A76-D3EA-4527-A162-90B64F68D394}" keepAlive="1" name="Query - PFR_2020_Injuries" description="Connection to the 'PFR_2020_Injuries' query in the workbook." type="5" refreshedVersion="0" background="1">
    <dbPr connection="Provider=Microsoft.Mashup.OleDb.1;Data Source=$Workbook$;Location=PFR_2020_Injuries;Extended Properties=&quot;&quot;" command="SELECT * FROM [PFR_2020_Injuries]"/>
  </connection>
  <connection id="3" xr16:uid="{3F41C581-B6DE-44CD-B9E5-B25995B8CF55}" keepAlive="1" name="Query - weekly_player_stats_defense_2020" description="Connection to the 'weekly_player_stats_defense_2020' query in the workbook." type="5" refreshedVersion="0" background="1">
    <dbPr connection="Provider=Microsoft.Mashup.OleDb.1;Data Source=$Workbook$;Location=weekly_player_stats_defense_2020;Extended Properties=&quot;&quot;" command="SELECT * FROM [weekly_player_stats_defense_2020]"/>
  </connection>
</connections>
</file>

<file path=xl/sharedStrings.xml><?xml version="1.0" encoding="utf-8"?>
<sst xmlns="http://schemas.openxmlformats.org/spreadsheetml/2006/main" count="45411" uniqueCount="944">
  <si>
    <t>player_id</t>
  </si>
  <si>
    <t>player_name</t>
  </si>
  <si>
    <t>position</t>
  </si>
  <si>
    <t>height</t>
  </si>
  <si>
    <t>weight</t>
  </si>
  <si>
    <t>team</t>
  </si>
  <si>
    <t>season</t>
  </si>
  <si>
    <t>season_type</t>
  </si>
  <si>
    <t>week</t>
  </si>
  <si>
    <t>solo_tackle</t>
  </si>
  <si>
    <t>assist_tackle</t>
  </si>
  <si>
    <t>tackle_with_assist</t>
  </si>
  <si>
    <t>sack</t>
  </si>
  <si>
    <t>qb_hit</t>
  </si>
  <si>
    <t>interception</t>
  </si>
  <si>
    <t>fumble_forced</t>
  </si>
  <si>
    <t>defense_snaps</t>
  </si>
  <si>
    <t>team_defense_snaps</t>
  </si>
  <si>
    <t>age</t>
  </si>
  <si>
    <t>seasons_played</t>
  </si>
  <si>
    <t>00-0032637</t>
  </si>
  <si>
    <t>Andrew Adams</t>
  </si>
  <si>
    <t>S</t>
  </si>
  <si>
    <t>TB</t>
  </si>
  <si>
    <t>POST</t>
  </si>
  <si>
    <t>Active</t>
  </si>
  <si>
    <t>Healthy</t>
  </si>
  <si>
    <t>None</t>
  </si>
  <si>
    <t>NO</t>
  </si>
  <si>
    <t>0</t>
  </si>
  <si>
    <t>00-0027539</t>
  </si>
  <si>
    <t>Anthony Levine</t>
  </si>
  <si>
    <t>BAL</t>
  </si>
  <si>
    <t>REG</t>
  </si>
  <si>
    <t>0.05</t>
  </si>
  <si>
    <t>0.11</t>
  </si>
  <si>
    <t>Questionable</t>
  </si>
  <si>
    <t>Abdomen</t>
  </si>
  <si>
    <t>0.1</t>
  </si>
  <si>
    <t>00-0031584</t>
  </si>
  <si>
    <t>Adrian Amos</t>
  </si>
  <si>
    <t>GB</t>
  </si>
  <si>
    <t>YES</t>
  </si>
  <si>
    <t>0.81</t>
  </si>
  <si>
    <t>0.92</t>
  </si>
  <si>
    <t>00-0027914</t>
  </si>
  <si>
    <t>Andrew Sendejo</t>
  </si>
  <si>
    <t>CLE</t>
  </si>
  <si>
    <t>0.84</t>
  </si>
  <si>
    <t>0.79</t>
  </si>
  <si>
    <t>Groin</t>
  </si>
  <si>
    <t>0.87</t>
  </si>
  <si>
    <t>0.52</t>
  </si>
  <si>
    <t>0.53</t>
  </si>
  <si>
    <t>00-0034265</t>
  </si>
  <si>
    <t>Anthony Averett</t>
  </si>
  <si>
    <t>CB</t>
  </si>
  <si>
    <t>0.39</t>
  </si>
  <si>
    <t>0.2</t>
  </si>
  <si>
    <t>0.19</t>
  </si>
  <si>
    <t>0.37</t>
  </si>
  <si>
    <t>0.7</t>
  </si>
  <si>
    <t>Injured Reserve</t>
  </si>
  <si>
    <t>Ankle</t>
  </si>
  <si>
    <t>0.93</t>
  </si>
  <si>
    <t>00-0030228</t>
  </si>
  <si>
    <t>A.J. Bouye</t>
  </si>
  <si>
    <t>DEN</t>
  </si>
  <si>
    <t>0.8</t>
  </si>
  <si>
    <t>Inactive</t>
  </si>
  <si>
    <t>0.35</t>
  </si>
  <si>
    <t>0.97</t>
  </si>
  <si>
    <t>00-0036346</t>
  </si>
  <si>
    <t>Antoine Brooks</t>
  </si>
  <si>
    <t>PIT</t>
  </si>
  <si>
    <t>0.43</t>
  </si>
  <si>
    <t>00-0033047</t>
  </si>
  <si>
    <t>Anthony Brown</t>
  </si>
  <si>
    <t>DAL</t>
  </si>
  <si>
    <t>0.49</t>
  </si>
  <si>
    <t>0.64</t>
  </si>
  <si>
    <t>0.75</t>
  </si>
  <si>
    <t>0.66</t>
  </si>
  <si>
    <t>0.67</t>
  </si>
  <si>
    <t>00-0031052</t>
  </si>
  <si>
    <t>Bashaud Breeland</t>
  </si>
  <si>
    <t>KC</t>
  </si>
  <si>
    <t>0.73</t>
  </si>
  <si>
    <t>0.9</t>
  </si>
  <si>
    <t>0.96</t>
  </si>
  <si>
    <t>0.86</t>
  </si>
  <si>
    <t>Concussion</t>
  </si>
  <si>
    <t>00-0033302</t>
  </si>
  <si>
    <t>Adrian Colbert</t>
  </si>
  <si>
    <t>NYG</t>
  </si>
  <si>
    <t>0.76</t>
  </si>
  <si>
    <t>Neck</t>
  </si>
  <si>
    <t>00-0031404</t>
  </si>
  <si>
    <t>Adrian Phillips</t>
  </si>
  <si>
    <t>NE</t>
  </si>
  <si>
    <t>0.69</t>
  </si>
  <si>
    <t>0.78</t>
  </si>
  <si>
    <t>0.59</t>
  </si>
  <si>
    <t>0.83</t>
  </si>
  <si>
    <t>0.89</t>
  </si>
  <si>
    <t>00-0036329</t>
  </si>
  <si>
    <t>Ashtyn Davis</t>
  </si>
  <si>
    <t>NYJ</t>
  </si>
  <si>
    <t>0.32</t>
  </si>
  <si>
    <t>0.88</t>
  </si>
  <si>
    <t>0.74</t>
  </si>
  <si>
    <t>0.56</t>
  </si>
  <si>
    <t>0.54</t>
  </si>
  <si>
    <t>0.29</t>
  </si>
  <si>
    <t>0.06</t>
  </si>
  <si>
    <t>00-0031799</t>
  </si>
  <si>
    <t>Anthony Harris</t>
  </si>
  <si>
    <t>MIN</t>
  </si>
  <si>
    <t>00-0036380</t>
  </si>
  <si>
    <t>Alohi Gilman</t>
  </si>
  <si>
    <t>LAC</t>
  </si>
  <si>
    <t>00-0032933</t>
  </si>
  <si>
    <t>Antonio Hamilton</t>
  </si>
  <si>
    <t>0.33</t>
  </si>
  <si>
    <t>0.17</t>
  </si>
  <si>
    <t>0.61</t>
  </si>
  <si>
    <t>00-0034948</t>
  </si>
  <si>
    <t>Alijah Holder</t>
  </si>
  <si>
    <t>00-0035632</t>
  </si>
  <si>
    <t>Amani Hooker</t>
  </si>
  <si>
    <t>TEN</t>
  </si>
  <si>
    <t>0.42</t>
  </si>
  <si>
    <t>0.23</t>
  </si>
  <si>
    <t>0.24</t>
  </si>
  <si>
    <t>0.36</t>
  </si>
  <si>
    <t>0.25</t>
  </si>
  <si>
    <t>0.27</t>
  </si>
  <si>
    <t>0.26</t>
  </si>
  <si>
    <t>0.3</t>
  </si>
  <si>
    <t>0.22</t>
  </si>
  <si>
    <t>00-0033435</t>
  </si>
  <si>
    <t>Breon Borders</t>
  </si>
  <si>
    <t>00-0033467</t>
  </si>
  <si>
    <t>Brian Allen</t>
  </si>
  <si>
    <t>SF</t>
  </si>
  <si>
    <t>00-0033783</t>
  </si>
  <si>
    <t>Ahkello Witherspoon</t>
  </si>
  <si>
    <t>Hamstring</t>
  </si>
  <si>
    <t>00-0034377</t>
  </si>
  <si>
    <t>Avonte Maddox</t>
  </si>
  <si>
    <t>PHI</t>
  </si>
  <si>
    <t>00-0033890</t>
  </si>
  <si>
    <t>Budda Baker</t>
  </si>
  <si>
    <t>ARI</t>
  </si>
  <si>
    <t>0.91</t>
  </si>
  <si>
    <t>00-0034594</t>
  </si>
  <si>
    <t>A.J. Moore</t>
  </si>
  <si>
    <t>HOU</t>
  </si>
  <si>
    <t>0.38</t>
  </si>
  <si>
    <t>0.16</t>
  </si>
  <si>
    <t>00-0035270</t>
  </si>
  <si>
    <t>Amani Oruwariye</t>
  </si>
  <si>
    <t>DET</t>
  </si>
  <si>
    <t>Back</t>
  </si>
  <si>
    <t>00-0036375</t>
  </si>
  <si>
    <t>Amik Robertson</t>
  </si>
  <si>
    <t>LV</t>
  </si>
  <si>
    <t>0.08</t>
  </si>
  <si>
    <t>0.15</t>
  </si>
  <si>
    <t>00-0034680</t>
  </si>
  <si>
    <t>Armani Watts</t>
  </si>
  <si>
    <t>00-0036285</t>
  </si>
  <si>
    <t>A.J. Terrell</t>
  </si>
  <si>
    <t>ATL</t>
  </si>
  <si>
    <t>00-0035294</t>
  </si>
  <si>
    <t>Blessuan Austin</t>
  </si>
  <si>
    <t>0.68</t>
  </si>
  <si>
    <t>Calf</t>
  </si>
  <si>
    <t>00-0035378</t>
  </si>
  <si>
    <t>Andrew Wingard</t>
  </si>
  <si>
    <t>JAX</t>
  </si>
  <si>
    <t>0.18</t>
  </si>
  <si>
    <t>0.55</t>
  </si>
  <si>
    <t>0.72</t>
  </si>
  <si>
    <t>00-0036411</t>
  </si>
  <si>
    <t>Antoine Winfield</t>
  </si>
  <si>
    <t>00-0031904</t>
  </si>
  <si>
    <t>Bryce Callahan</t>
  </si>
  <si>
    <t>Illness</t>
  </si>
  <si>
    <t>0.58</t>
  </si>
  <si>
    <t>Foot</t>
  </si>
  <si>
    <t>00-0026280</t>
  </si>
  <si>
    <t>Brandon Carr</t>
  </si>
  <si>
    <t>0.04</t>
  </si>
  <si>
    <t>00-0032793</t>
  </si>
  <si>
    <t>Blake Countess</t>
  </si>
  <si>
    <t>00-0034545</t>
  </si>
  <si>
    <t>Brandon Facyson</t>
  </si>
  <si>
    <t>00-0036241</t>
  </si>
  <si>
    <t>Bryce Hall</t>
  </si>
  <si>
    <t>0.48</t>
  </si>
  <si>
    <t>00-0032239</t>
  </si>
  <si>
    <t>Byron Jones</t>
  </si>
  <si>
    <t>MIA</t>
  </si>
  <si>
    <t>NA</t>
  </si>
  <si>
    <t>00-0036221</t>
  </si>
  <si>
    <t>Brandon Jones</t>
  </si>
  <si>
    <t>Out</t>
  </si>
  <si>
    <t>0.07</t>
  </si>
  <si>
    <t>0.13</t>
  </si>
  <si>
    <t>0.41</t>
  </si>
  <si>
    <t>Doubtful</t>
  </si>
  <si>
    <t>0.14</t>
  </si>
  <si>
    <t>00-0031587</t>
  </si>
  <si>
    <t>Bobby McCain</t>
  </si>
  <si>
    <t>0.63</t>
  </si>
  <si>
    <t>00-0030161</t>
  </si>
  <si>
    <t>Bradley McDougald</t>
  </si>
  <si>
    <t>0.77</t>
  </si>
  <si>
    <t>00-0035236</t>
  </si>
  <si>
    <t>Byron Murphy</t>
  </si>
  <si>
    <t>0.4</t>
  </si>
  <si>
    <t>00-0032596</t>
  </si>
  <si>
    <t>Brian Poole</t>
  </si>
  <si>
    <t>00-0031372</t>
  </si>
  <si>
    <t>Bradley Roby</t>
  </si>
  <si>
    <t>00-0028075</t>
  </si>
  <si>
    <t>Buster Skrine</t>
  </si>
  <si>
    <t>CHI</t>
  </si>
  <si>
    <t>Finger</t>
  </si>
  <si>
    <t>0.71</t>
  </si>
  <si>
    <t>0.47</t>
  </si>
  <si>
    <t>0.57</t>
  </si>
  <si>
    <t>00-0033791</t>
  </si>
  <si>
    <t>Brandon Wilson</t>
  </si>
  <si>
    <t>CIN</t>
  </si>
  <si>
    <t>00-0030541</t>
  </si>
  <si>
    <t>Blidi Wreh-Wilson</t>
  </si>
  <si>
    <t>0.45</t>
  </si>
  <si>
    <t>00-0033548</t>
  </si>
  <si>
    <t>Chidobe Awuzie</t>
  </si>
  <si>
    <t>00-0029747</t>
  </si>
  <si>
    <t>Chris Banjo</t>
  </si>
  <si>
    <t>0.44</t>
  </si>
  <si>
    <t>0.82</t>
  </si>
  <si>
    <t>00-0033294</t>
  </si>
  <si>
    <t>Chuck Clark</t>
  </si>
  <si>
    <t>Knee</t>
  </si>
  <si>
    <t>00-0036316</t>
  </si>
  <si>
    <t>Chris Claybrooks</t>
  </si>
  <si>
    <t>0.09</t>
  </si>
  <si>
    <t>0.12</t>
  </si>
  <si>
    <t>00-0036330</t>
  </si>
  <si>
    <t>Cameron Dantzler</t>
  </si>
  <si>
    <t>00-0034778</t>
  </si>
  <si>
    <t>Carlton Davis</t>
  </si>
  <si>
    <t>0.62</t>
  </si>
  <si>
    <t>00-0033289</t>
  </si>
  <si>
    <t>Corn Elder</t>
  </si>
  <si>
    <t>CAR</t>
  </si>
  <si>
    <t>0.46</t>
  </si>
  <si>
    <t>0.28</t>
  </si>
  <si>
    <t>00-0032807</t>
  </si>
  <si>
    <t>Clayton Fejedelem</t>
  </si>
  <si>
    <t>00-0035253</t>
  </si>
  <si>
    <t>Chauncey Gardner-Johnson</t>
  </si>
  <si>
    <t>00-0031357</t>
  </si>
  <si>
    <t>C.J. Goodwin</t>
  </si>
  <si>
    <t>00-0028224</t>
  </si>
  <si>
    <t>Chris Harris</t>
  </si>
  <si>
    <t>00-0029261</t>
  </si>
  <si>
    <t>Casey Hayward</t>
  </si>
  <si>
    <t>Not Injury Related</t>
  </si>
  <si>
    <t>00-0036240</t>
  </si>
  <si>
    <t>Chris Jackson</t>
  </si>
  <si>
    <t>0.5</t>
  </si>
  <si>
    <t>0.6</t>
  </si>
  <si>
    <t>00-0034310</t>
  </si>
  <si>
    <t>Craig James</t>
  </si>
  <si>
    <t>00-0034641</t>
  </si>
  <si>
    <t>Chris Jones</t>
  </si>
  <si>
    <t>0.65</t>
  </si>
  <si>
    <t>00-0032581</t>
  </si>
  <si>
    <t>Cre'von LeBlanc</t>
  </si>
  <si>
    <t>00-0033410</t>
  </si>
  <si>
    <t>Cole Luke</t>
  </si>
  <si>
    <t>WAS</t>
  </si>
  <si>
    <t>00-0035327</t>
  </si>
  <si>
    <t>C.J. Moore</t>
  </si>
  <si>
    <t>00-0034468</t>
  </si>
  <si>
    <t>Chandon Sullivan</t>
  </si>
  <si>
    <t>00-0033930</t>
  </si>
  <si>
    <t>Cameron Sutton</t>
  </si>
  <si>
    <t>0.21</t>
  </si>
  <si>
    <t>00-0033462</t>
  </si>
  <si>
    <t>Cordrea Tankersley</t>
  </si>
  <si>
    <t>00-0034573</t>
  </si>
  <si>
    <t>Charvarius Ward</t>
  </si>
  <si>
    <t>Hand</t>
  </si>
  <si>
    <t>00-0032560</t>
  </si>
  <si>
    <t>Charles Washington</t>
  </si>
  <si>
    <t>00-0036359</t>
  </si>
  <si>
    <t>Damon Arnette</t>
  </si>
  <si>
    <t>0.03</t>
  </si>
  <si>
    <t>00-0035684</t>
  </si>
  <si>
    <t>Deandre Baker</t>
  </si>
  <si>
    <t>00-0033222</t>
  </si>
  <si>
    <t>Deante Burton</t>
  </si>
  <si>
    <t>00-0032774</t>
  </si>
  <si>
    <t>Deon Bush</t>
  </si>
  <si>
    <t>00-0034389</t>
  </si>
  <si>
    <t>Dane Cruikshank</t>
  </si>
  <si>
    <t>00-0034744</t>
  </si>
  <si>
    <t>Duke Dawson</t>
  </si>
  <si>
    <t>0.31</t>
  </si>
  <si>
    <t>00-0031380</t>
  </si>
  <si>
    <t>Darqueze Dennard</t>
  </si>
  <si>
    <t>00-0034277</t>
  </si>
  <si>
    <t>DeShon Elliott</t>
  </si>
  <si>
    <t>00-0031844</t>
  </si>
  <si>
    <t>Deshazor Everett</t>
  </si>
  <si>
    <t>00-0030383</t>
  </si>
  <si>
    <t>Duron Harmon</t>
  </si>
  <si>
    <t>00-0034388</t>
  </si>
  <si>
    <t>Davontae Harris</t>
  </si>
  <si>
    <t>Thigh</t>
  </si>
  <si>
    <t>00-0030572</t>
  </si>
  <si>
    <t>D.J. Hayden</t>
  </si>
  <si>
    <t>00-0033931</t>
  </si>
  <si>
    <t>Delano Hill</t>
  </si>
  <si>
    <t>SEA</t>
  </si>
  <si>
    <t>0.85</t>
  </si>
  <si>
    <t>00-0036394</t>
  </si>
  <si>
    <t>Darnay Holmes</t>
  </si>
  <si>
    <t>0.34</t>
  </si>
  <si>
    <t>00-0032790</t>
  </si>
  <si>
    <t>DeAndre Houston-Carson</t>
  </si>
  <si>
    <t>00-0036166</t>
  </si>
  <si>
    <t>Dane Jackson</t>
  </si>
  <si>
    <t>BUF</t>
  </si>
  <si>
    <t>00-0034356</t>
  </si>
  <si>
    <t>Donte Jackson</t>
  </si>
  <si>
    <t>Toe</t>
  </si>
  <si>
    <t>00-0031061</t>
  </si>
  <si>
    <t>Dontae Johnson</t>
  </si>
  <si>
    <t>00-0033512</t>
  </si>
  <si>
    <t>Damontae Kazee</t>
  </si>
  <si>
    <t>00-0033566</t>
  </si>
  <si>
    <t>Desmond King</t>
  </si>
  <si>
    <t>00-0029560</t>
  </si>
  <si>
    <t>Dre Kirkpatrick</t>
  </si>
  <si>
    <t>00-0034726</t>
  </si>
  <si>
    <t>Dallin Leavitt</t>
  </si>
  <si>
    <t>00-0035665</t>
  </si>
  <si>
    <t>David Long</t>
  </si>
  <si>
    <t>LA</t>
  </si>
  <si>
    <t>00-0035130</t>
  </si>
  <si>
    <t>Dylan Mabin</t>
  </si>
  <si>
    <t>00-0031870</t>
  </si>
  <si>
    <t>Dean Marlowe</t>
  </si>
  <si>
    <t>00-0027647</t>
  </si>
  <si>
    <t>Devin McCourty</t>
  </si>
  <si>
    <t>Shoulder</t>
  </si>
  <si>
    <t>00-0034683</t>
  </si>
  <si>
    <t>Darius Phillips</t>
  </si>
  <si>
    <t>00-0032251</t>
  </si>
  <si>
    <t>Damarious Randall</t>
  </si>
  <si>
    <t>00-0034384</t>
  </si>
  <si>
    <t>D.J. Reed</t>
  </si>
  <si>
    <t>00-0031628</t>
  </si>
  <si>
    <t>Darryl Roberts</t>
  </si>
  <si>
    <t>Hip</t>
  </si>
  <si>
    <t>00-0034968</t>
  </si>
  <si>
    <t>Darnell Savage</t>
  </si>
  <si>
    <t>00-0035696</t>
  </si>
  <si>
    <t>Duke Shelley</t>
  </si>
  <si>
    <t>00-0030062</t>
  </si>
  <si>
    <t>Darius Slay</t>
  </si>
  <si>
    <t>00-0030665</t>
  </si>
  <si>
    <t>Daniel Sorensen</t>
  </si>
  <si>
    <t>00-0030566</t>
  </si>
  <si>
    <t>D.J. Swearinger</t>
  </si>
  <si>
    <t>00-0036306</t>
  </si>
  <si>
    <t>Daniel Thomas</t>
  </si>
  <si>
    <t>00-0035532</t>
  </si>
  <si>
    <t>Deionte Thompson</t>
  </si>
  <si>
    <t>00-0033083</t>
  </si>
  <si>
    <t>Darian Thompson</t>
  </si>
  <si>
    <t>00-0030562</t>
  </si>
  <si>
    <t>Desmond Trufant</t>
  </si>
  <si>
    <t>00-0034856</t>
  </si>
  <si>
    <t>Denzel Ward</t>
  </si>
  <si>
    <t>00-0034203</t>
  </si>
  <si>
    <t>Darious Williams</t>
  </si>
  <si>
    <t>00-0035301</t>
  </si>
  <si>
    <t>Donovan Wilson</t>
  </si>
  <si>
    <t>00-0032891</t>
  </si>
  <si>
    <t>Daryl Worley</t>
  </si>
  <si>
    <t>00-0032379</t>
  </si>
  <si>
    <t>Eli Apple</t>
  </si>
  <si>
    <t>00-0035862</t>
  </si>
  <si>
    <t>Essang Bassey</t>
  </si>
  <si>
    <t>00-0032320</t>
  </si>
  <si>
    <t>Erik Harris</t>
  </si>
  <si>
    <t>00-0033784</t>
  </si>
  <si>
    <t>Eddie Jackson</t>
  </si>
  <si>
    <t>00-0034096</t>
  </si>
  <si>
    <t>Emmanuel Moseley</t>
  </si>
  <si>
    <t>00-0033038</t>
  </si>
  <si>
    <t>Eric Murray</t>
  </si>
  <si>
    <t>00-0031555</t>
  </si>
  <si>
    <t>Eric Rowe</t>
  </si>
  <si>
    <t>00-0033918</t>
  </si>
  <si>
    <t>Fabian Moreau</t>
  </si>
  <si>
    <t>00-0035995</t>
  </si>
  <si>
    <t>Grayland Arnold</t>
  </si>
  <si>
    <t>00-0034502</t>
  </si>
  <si>
    <t>Grant Haley</t>
  </si>
  <si>
    <t>00-0029215</t>
  </si>
  <si>
    <t>George Iloka</t>
  </si>
  <si>
    <t>00-0033430</t>
  </si>
  <si>
    <t>Greg Mabin</t>
  </si>
  <si>
    <t>00-0034091</t>
  </si>
  <si>
    <t>George Odum</t>
  </si>
  <si>
    <t>IND</t>
  </si>
  <si>
    <t>00-0035962</t>
  </si>
  <si>
    <t>Henry Black</t>
  </si>
  <si>
    <t>00-0036344</t>
  </si>
  <si>
    <t>Harrison Hand</t>
  </si>
  <si>
    <t>00-0034213</t>
  </si>
  <si>
    <t>Holton Hill</t>
  </si>
  <si>
    <t>00-0035210</t>
  </si>
  <si>
    <t>Herb Miller</t>
  </si>
  <si>
    <t>00-0029606</t>
  </si>
  <si>
    <t>Harrison Smith</t>
  </si>
  <si>
    <t>00-0034980</t>
  </si>
  <si>
    <t>Isaiah Johnson</t>
  </si>
  <si>
    <t>00-0034357</t>
  </si>
  <si>
    <t>Isaiah Oliver</t>
  </si>
  <si>
    <t>00-0036222</t>
  </si>
  <si>
    <t>Isaiah Rodgers</t>
  </si>
  <si>
    <t>00-0034780</t>
  </si>
  <si>
    <t>Isaac Yiadom</t>
  </si>
  <si>
    <t>00-0035693</t>
  </si>
  <si>
    <t>Johnathan Abram</t>
  </si>
  <si>
    <t>00-0033872</t>
  </si>
  <si>
    <t>Jamal Adams</t>
  </si>
  <si>
    <t>00-0030312</t>
  </si>
  <si>
    <t>Jahleel Addae</t>
  </si>
  <si>
    <t>00-0034728</t>
  </si>
  <si>
    <t>Jaire Alexander</t>
  </si>
  <si>
    <t>00-0034675</t>
  </si>
  <si>
    <t>Jessie Bates</t>
  </si>
  <si>
    <t>00-0036253</t>
  </si>
  <si>
    <t>Julian Blackmon</t>
  </si>
  <si>
    <t>00-0032890</t>
  </si>
  <si>
    <t>James Bradberry</t>
  </si>
  <si>
    <t>00-0032403</t>
  </si>
  <si>
    <t>Juston Burris</t>
  </si>
  <si>
    <t>00-0036293</t>
  </si>
  <si>
    <t>Jeremy Chinn</t>
  </si>
  <si>
    <t>00-0031796</t>
  </si>
  <si>
    <t>Justin Coleman</t>
  </si>
  <si>
    <t>00-0034446</t>
  </si>
  <si>
    <t>Jalen Davis</t>
  </si>
  <si>
    <t>00-0035699</t>
  </si>
  <si>
    <t>Jamel Dean</t>
  </si>
  <si>
    <t>00-0036431</t>
  </si>
  <si>
    <t>Jordan Fuller</t>
  </si>
  <si>
    <t>00-0036324</t>
  </si>
  <si>
    <t>Jeff Gladney</t>
  </si>
  <si>
    <t>00-0034116</t>
  </si>
  <si>
    <t>J.T. Gray</t>
  </si>
  <si>
    <t>00-0036149</t>
  </si>
  <si>
    <t>Javelin Guidry</t>
  </si>
  <si>
    <t>00-0027860</t>
  </si>
  <si>
    <t>Joe Haden</t>
  </si>
  <si>
    <t>00-0036302</t>
  </si>
  <si>
    <t>Jaylinn Hawkins</t>
  </si>
  <si>
    <t>00-0030196</t>
  </si>
  <si>
    <t>Jeff Heath</t>
  </si>
  <si>
    <t>00-0034751</t>
  </si>
  <si>
    <t>Josh Jackson</t>
  </si>
  <si>
    <t>00-0034591</t>
  </si>
  <si>
    <t>J.C. Jackson</t>
  </si>
  <si>
    <t>00-0029681</t>
  </si>
  <si>
    <t>Janoris Jenkins</t>
  </si>
  <si>
    <t>00-0035290</t>
  </si>
  <si>
    <t>Jaquan Johnson</t>
  </si>
  <si>
    <t>00-0036292</t>
  </si>
  <si>
    <t>Jaylon Johnson</t>
  </si>
  <si>
    <t>00-0033927</t>
  </si>
  <si>
    <t>John Johnson</t>
  </si>
  <si>
    <t>00-0033903</t>
  </si>
  <si>
    <t>Josh Jones</t>
  </si>
  <si>
    <t>00-0032580</t>
  </si>
  <si>
    <t>Jonathan Jones</t>
  </si>
  <si>
    <t>00-0024239</t>
  </si>
  <si>
    <t>Johnathan Joseph</t>
  </si>
  <si>
    <t>00-0034662</t>
  </si>
  <si>
    <t>Joshua Kalu</t>
  </si>
  <si>
    <t>00-0035650</t>
  </si>
  <si>
    <t>Justin Layne</t>
  </si>
  <si>
    <t>00-0033928</t>
  </si>
  <si>
    <t>Jourdan Lewis</t>
  </si>
  <si>
    <t>00-0034974</t>
  </si>
  <si>
    <t>Julian Love</t>
  </si>
  <si>
    <t>00-0027136</t>
  </si>
  <si>
    <t>Jason McCourty</t>
  </si>
  <si>
    <t>00-0032803</t>
  </si>
  <si>
    <t>Jalen Mills</t>
  </si>
  <si>
    <t>00-0035307</t>
  </si>
  <si>
    <t>Jimmy Moreland</t>
  </si>
  <si>
    <t>00-0029285</t>
  </si>
  <si>
    <t>Josh Norman</t>
  </si>
  <si>
    <t>00-0036274</t>
  </si>
  <si>
    <t>Jeff Okudah</t>
  </si>
  <si>
    <t>00-0033883</t>
  </si>
  <si>
    <t>Jabrill Peppers</t>
  </si>
  <si>
    <t>00-0033734</t>
  </si>
  <si>
    <t>Jamal Perry</t>
  </si>
  <si>
    <t>00-0035795</t>
  </si>
  <si>
    <t>James Pierre</t>
  </si>
  <si>
    <t>00-0030114</t>
  </si>
  <si>
    <t>Jordan Poyer</t>
  </si>
  <si>
    <t>00-0033055</t>
  </si>
  <si>
    <t>Jalen Ramsey</t>
  </si>
  <si>
    <t>00-0034465</t>
  </si>
  <si>
    <t>Jeremy Reaves</t>
  </si>
  <si>
    <t>00-0034361</t>
  </si>
  <si>
    <t>Justin Reid</t>
  </si>
  <si>
    <t>00-0036304</t>
  </si>
  <si>
    <t>John Reid</t>
  </si>
  <si>
    <t>00-0036303</t>
  </si>
  <si>
    <t>Josiah Scott</t>
  </si>
  <si>
    <t>00-0032971</t>
  </si>
  <si>
    <t>Justin Simmons</t>
  </si>
  <si>
    <t>00-0027965</t>
  </si>
  <si>
    <t>Jimmy Smith</t>
  </si>
  <si>
    <t>Achilles</t>
  </si>
  <si>
    <t>00-0032057</t>
  </si>
  <si>
    <t>Jaquiski Tartt</t>
  </si>
  <si>
    <t>00-0030484</t>
  </si>
  <si>
    <t>Jamar Taylor</t>
  </si>
  <si>
    <t>Physically Unable to Perform</t>
  </si>
  <si>
    <t>00-0035705</t>
  </si>
  <si>
    <t>Jalen Thompson</t>
  </si>
  <si>
    <t>00-0035625</t>
  </si>
  <si>
    <t>Juan Thornhill</t>
  </si>
  <si>
    <t>00-0031334</t>
  </si>
  <si>
    <t>Jason Verrett</t>
  </si>
  <si>
    <t>00-0031298</t>
  </si>
  <si>
    <t>Jimmie Ward</t>
  </si>
  <si>
    <t>Quadricep</t>
  </si>
  <si>
    <t>00-0031173</t>
  </si>
  <si>
    <t>Jaylen Watkins</t>
  </si>
  <si>
    <t>00-0034374</t>
  </si>
  <si>
    <t>Jordan Whitehead</t>
  </si>
  <si>
    <t>00-0036043</t>
  </si>
  <si>
    <t>Jace Whittaker</t>
  </si>
  <si>
    <t>00-0035241</t>
  </si>
  <si>
    <t>Joejuan Williams</t>
  </si>
  <si>
    <t>00-0032525</t>
  </si>
  <si>
    <t>Jarrod Wilson</t>
  </si>
  <si>
    <t>00-0035150</t>
  </si>
  <si>
    <t>Kris Boyd</t>
  </si>
  <si>
    <t>00-0033132</t>
  </si>
  <si>
    <t>Kevin Byard</t>
  </si>
  <si>
    <t>00-0032875</t>
  </si>
  <si>
    <t>Ken Crawley</t>
  </si>
  <si>
    <t>00-0034435</t>
  </si>
  <si>
    <t>Keion Crossen</t>
  </si>
  <si>
    <t>00-0036349</t>
  </si>
  <si>
    <t>Kamren Curl</t>
  </si>
  <si>
    <t>00-0036124</t>
  </si>
  <si>
    <t>Khalil Dorsey</t>
  </si>
  <si>
    <t>00-0036231</t>
  </si>
  <si>
    <t>Kyle Dugger</t>
  </si>
  <si>
    <t>00-0033048</t>
  </si>
  <si>
    <t>Kavon Frazier</t>
  </si>
  <si>
    <t>00-0031041</t>
  </si>
  <si>
    <t>Kyle Fuller</t>
  </si>
  <si>
    <t>00-0033084</t>
  </si>
  <si>
    <t>Kendall Fuller</t>
  </si>
  <si>
    <t>00-0036416</t>
  </si>
  <si>
    <t>Kristian Fulton</t>
  </si>
  <si>
    <t>00-0034990</t>
  </si>
  <si>
    <t>Ka'dar Hollman</t>
  </si>
  <si>
    <t>00-0027872</t>
  </si>
  <si>
    <t>Kareem Jackson</t>
  </si>
  <si>
    <t>00-0031548</t>
  </si>
  <si>
    <t>Kevin Johnson</t>
  </si>
  <si>
    <t>00-0032888</t>
  </si>
  <si>
    <t>Karl Joseph</t>
  </si>
  <si>
    <t>00-0033524</t>
  </si>
  <si>
    <t>Kevin King</t>
  </si>
  <si>
    <t>00-0033393</t>
  </si>
  <si>
    <t>Kenny Moore</t>
  </si>
  <si>
    <t>00-0032382</t>
  </si>
  <si>
    <t>Keanu Neal</t>
  </si>
  <si>
    <t>00-0035133</t>
  </si>
  <si>
    <t>Keisean Nixon</t>
  </si>
  <si>
    <t>00-0035573</t>
  </si>
  <si>
    <t>Kareem Orr</t>
  </si>
  <si>
    <t>00-0032848</t>
  </si>
  <si>
    <t>Kevin Peterson</t>
  </si>
  <si>
    <t>00-0032942</t>
  </si>
  <si>
    <t>Kevon Seymour</t>
  </si>
  <si>
    <t>00-0035255</t>
  </si>
  <si>
    <t>Kendall Sheffield</t>
  </si>
  <si>
    <t>00-0034603</t>
  </si>
  <si>
    <t>Kevin Toliver</t>
  </si>
  <si>
    <t>00-0030060</t>
  </si>
  <si>
    <t>Kenny Vaccaro</t>
  </si>
  <si>
    <t>00-0036307</t>
  </si>
  <si>
    <t>Kindle Vildor</t>
  </si>
  <si>
    <t>00-0036395</t>
  </si>
  <si>
    <t>K'Von Wallace</t>
  </si>
  <si>
    <t>00-0031253</t>
  </si>
  <si>
    <t>K'Waun Williams</t>
  </si>
  <si>
    <t>00-0035530</t>
  </si>
  <si>
    <t>Khari Willis</t>
  </si>
  <si>
    <t>Ribs</t>
  </si>
  <si>
    <t>00-0036101</t>
  </si>
  <si>
    <t>Luq Barcoo</t>
  </si>
  <si>
    <t>00-0036152</t>
  </si>
  <si>
    <t>Lamar Jackson</t>
  </si>
  <si>
    <t>00-0035244</t>
  </si>
  <si>
    <t>Lonnie Johnson</t>
  </si>
  <si>
    <t>00-0031389</t>
  </si>
  <si>
    <t>Lamarcus Joyner</t>
  </si>
  <si>
    <t>00-0030411</t>
  </si>
  <si>
    <t>Logan Ryan</t>
  </si>
  <si>
    <t>00-0032783</t>
  </si>
  <si>
    <t>LeShaun Sims</t>
  </si>
  <si>
    <t>00-0036374</t>
  </si>
  <si>
    <t>L'Jarius Sneed</t>
  </si>
  <si>
    <t>00-0034130</t>
  </si>
  <si>
    <t>Linden Stephens</t>
  </si>
  <si>
    <t>00-0034514</t>
  </si>
  <si>
    <t>Levi Wallace</t>
  </si>
  <si>
    <t>00-0032389</t>
  </si>
  <si>
    <t>Mackensie Alexander</t>
  </si>
  <si>
    <t>00-0035139</t>
  </si>
  <si>
    <t>Marquise Blair</t>
  </si>
  <si>
    <t>00-0036087</t>
  </si>
  <si>
    <t>Myles Bryant</t>
  </si>
  <si>
    <t>00-0031218</t>
  </si>
  <si>
    <t>Malcolm Butler</t>
  </si>
  <si>
    <t>00-0033697</t>
  </si>
  <si>
    <t>Michael Davis</t>
  </si>
  <si>
    <t>00-0034993</t>
  </si>
  <si>
    <t>Marcus Epps</t>
  </si>
  <si>
    <t>00-0032496</t>
  </si>
  <si>
    <t>Matthias Farley</t>
  </si>
  <si>
    <t>00-0034789</t>
  </si>
  <si>
    <t>Minkah Fitzpatrick</t>
  </si>
  <si>
    <t>00-0034639</t>
  </si>
  <si>
    <t>Mike Ford</t>
  </si>
  <si>
    <t>00-0027988</t>
  </si>
  <si>
    <t>Marcus Gilchrist</t>
  </si>
  <si>
    <t>00-0036084</t>
  </si>
  <si>
    <t>Madre Harper</t>
  </si>
  <si>
    <t>00-0035950</t>
  </si>
  <si>
    <t>Myles Hartsfield</t>
  </si>
  <si>
    <t>00-0032521</t>
  </si>
  <si>
    <t>Mike Hilton</t>
  </si>
  <si>
    <t>00-0033877</t>
  </si>
  <si>
    <t>Malik Hooker</t>
  </si>
  <si>
    <t>00-0034843</t>
  </si>
  <si>
    <t>Mike Hughes</t>
  </si>
  <si>
    <t>00-0033281</t>
  </si>
  <si>
    <t>Marlon Humphrey</t>
  </si>
  <si>
    <t>00-0030090</t>
  </si>
  <si>
    <t>Micah Hyde</t>
  </si>
  <si>
    <t>00-0035277</t>
  </si>
  <si>
    <t>Michael Jackson</t>
  </si>
  <si>
    <t>00-0035998</t>
  </si>
  <si>
    <t>Michael Jacquet</t>
  </si>
  <si>
    <t>00-0026990</t>
  </si>
  <si>
    <t>Malcolm Jenkins</t>
  </si>
  <si>
    <t>00-0033874</t>
  </si>
  <si>
    <t>Marshon Lattimore</t>
  </si>
  <si>
    <t>00-0033892</t>
  </si>
  <si>
    <t>Marcus Maye</t>
  </si>
  <si>
    <t>00-0036390</t>
  </si>
  <si>
    <t>Michael Ojemudia</t>
  </si>
  <si>
    <t>00-0032165</t>
  </si>
  <si>
    <t>Marcus Peters</t>
  </si>
  <si>
    <t>00-0034355</t>
  </si>
  <si>
    <t>M.J. Stewart</t>
  </si>
  <si>
    <t>00-0028908</t>
  </si>
  <si>
    <t>Michael Thomas</t>
  </si>
  <si>
    <t>00-0033894</t>
  </si>
  <si>
    <t>Marcus Williams</t>
  </si>
  <si>
    <t>00-0035677</t>
  </si>
  <si>
    <t>Nasir Adderley</t>
  </si>
  <si>
    <t>00-0029570</t>
  </si>
  <si>
    <t>Nate Ebner</t>
  </si>
  <si>
    <t>00-0033568</t>
  </si>
  <si>
    <t>Nate Hairston</t>
  </si>
  <si>
    <t>00-0036287</t>
  </si>
  <si>
    <t>Noah Igbinoghene</t>
  </si>
  <si>
    <t>00-0031176</t>
  </si>
  <si>
    <t>Nevin Lawson</t>
  </si>
  <si>
    <t>00-0035346</t>
  </si>
  <si>
    <t>Nik Needham</t>
  </si>
  <si>
    <t>00-0035669</t>
  </si>
  <si>
    <t>Nick Scott</t>
  </si>
  <si>
    <t>00-0031015</t>
  </si>
  <si>
    <t>Phillip Gaines</t>
  </si>
  <si>
    <t>00-0035227</t>
  </si>
  <si>
    <t>P.J. Locke</t>
  </si>
  <si>
    <t>00-0036106</t>
  </si>
  <si>
    <t>Parnell Motley</t>
  </si>
  <si>
    <t>00-0027943</t>
  </si>
  <si>
    <t>Patrick Peterson</t>
  </si>
  <si>
    <t>00-0027882</t>
  </si>
  <si>
    <t>Patrick Robinson</t>
  </si>
  <si>
    <t>00-0032059</t>
  </si>
  <si>
    <t>P.J. Williams</t>
  </si>
  <si>
    <t>00-0031608</t>
  </si>
  <si>
    <t>Quandre Diggs</t>
  </si>
  <si>
    <t>00-0032007</t>
  </si>
  <si>
    <t>Quinton Dunbar</t>
  </si>
  <si>
    <t>00-0031181</t>
  </si>
  <si>
    <t>Ricardo Allen</t>
  </si>
  <si>
    <t>00-0031016</t>
  </si>
  <si>
    <t>Ross Cockrell</t>
  </si>
  <si>
    <t>00-0032195</t>
  </si>
  <si>
    <t>Ronald Darby</t>
  </si>
  <si>
    <t>00-0033551</t>
  </si>
  <si>
    <t>Rasul Douglas</t>
  </si>
  <si>
    <t>00-0035147</t>
  </si>
  <si>
    <t>Rashad Fenton</t>
  </si>
  <si>
    <t>00-0033792</t>
  </si>
  <si>
    <t>Rudy Ford</t>
  </si>
  <si>
    <t>00-0034179</t>
  </si>
  <si>
    <t>Raven Greene</t>
  </si>
  <si>
    <t>Oblique</t>
  </si>
  <si>
    <t>00-0034779</t>
  </si>
  <si>
    <t>Ronnie Harrison</t>
  </si>
  <si>
    <t>00-0034088</t>
  </si>
  <si>
    <t>Robert Jackson</t>
  </si>
  <si>
    <t>00-0033941</t>
  </si>
  <si>
    <t>Rayshawn Jenkins</t>
  </si>
  <si>
    <t>00-0033608</t>
  </si>
  <si>
    <t>Ryan Lewis</t>
  </si>
  <si>
    <t>00-0028899</t>
  </si>
  <si>
    <t>Rodney McLeod</t>
  </si>
  <si>
    <t>00-0034527</t>
  </si>
  <si>
    <t>Ryan Neal</t>
  </si>
  <si>
    <t>00-0032410</t>
  </si>
  <si>
    <t>Rashard Robinson</t>
  </si>
  <si>
    <t>00-0028092</t>
  </si>
  <si>
    <t>Richard Sherman</t>
  </si>
  <si>
    <t>00-0035637</t>
  </si>
  <si>
    <t>Rock Ya-Sin</t>
  </si>
  <si>
    <t>00-0033053</t>
  </si>
  <si>
    <t>Sean Davis</t>
  </si>
  <si>
    <t>00-0036037</t>
  </si>
  <si>
    <t>Sam Franklin</t>
  </si>
  <si>
    <t>00-0029542</t>
  </si>
  <si>
    <t>Stephon Gilmore</t>
  </si>
  <si>
    <t>00-0033543</t>
  </si>
  <si>
    <t>Sidney Jones</t>
  </si>
  <si>
    <t>00-0027743</t>
  </si>
  <si>
    <t>Sherrick McManis</t>
  </si>
  <si>
    <t>00-0035239</t>
  </si>
  <si>
    <t>Sean Murphy-Bunting</t>
  </si>
  <si>
    <t>00-0034391</t>
  </si>
  <si>
    <t>Siran Neal</t>
  </si>
  <si>
    <t>00-0032592</t>
  </si>
  <si>
    <t>Sharrod Neasman</t>
  </si>
  <si>
    <t>00-0032150</t>
  </si>
  <si>
    <t>Steven Nelson</t>
  </si>
  <si>
    <t>00-0034736</t>
  </si>
  <si>
    <t>Steven Parker</t>
  </si>
  <si>
    <t>00-0034977</t>
  </si>
  <si>
    <t>Sheldrick Redwine</t>
  </si>
  <si>
    <t>00-0035970</t>
  </si>
  <si>
    <t>Stanford Samuels</t>
  </si>
  <si>
    <t>00-0035370</t>
  </si>
  <si>
    <t>Saivion Smith</t>
  </si>
  <si>
    <t>00-0036315</t>
  </si>
  <si>
    <t>Stantley Thomas-Oliver</t>
  </si>
  <si>
    <t>00-0030471</t>
  </si>
  <si>
    <t>Shawn Williams</t>
  </si>
  <si>
    <t>00-0034334</t>
  </si>
  <si>
    <t>Troy Apke</t>
  </si>
  <si>
    <t>00-0031261</t>
  </si>
  <si>
    <t>Tre Boston</t>
  </si>
  <si>
    <t>00-0027375</t>
  </si>
  <si>
    <t>Tramaine Brock</t>
  </si>
  <si>
    <t>00-0031338</t>
  </si>
  <si>
    <t>Terrence Brooks</t>
  </si>
  <si>
    <t>00-0034540</t>
  </si>
  <si>
    <t>Tony Brown</t>
  </si>
  <si>
    <t>00-0036421</t>
  </si>
  <si>
    <t>Terrell Burgess</t>
  </si>
  <si>
    <t>00-0034903</t>
  </si>
  <si>
    <t>Tevaughn Campbell</t>
  </si>
  <si>
    <t>00-0031269</t>
  </si>
  <si>
    <t>T.J. Carrie</t>
  </si>
  <si>
    <t>00-0036361</t>
  </si>
  <si>
    <t>Trevon Diggs</t>
  </si>
  <si>
    <t>00-0034858</t>
  </si>
  <si>
    <t>Terrell Edmunds</t>
  </si>
  <si>
    <t>00-0034756</t>
  </si>
  <si>
    <t>Tre Flowers</t>
  </si>
  <si>
    <t>00-0028924</t>
  </si>
  <si>
    <t>Tashaun Gipson</t>
  </si>
  <si>
    <t>00-0035783</t>
  </si>
  <si>
    <t>Tyler Hall</t>
  </si>
  <si>
    <t>00-0034516</t>
  </si>
  <si>
    <t>Tre Herndon</t>
  </si>
  <si>
    <t>00-0031785</t>
  </si>
  <si>
    <t>Troy Hill</t>
  </si>
  <si>
    <t>00-0034376</t>
  </si>
  <si>
    <t>Taron Johnson</t>
  </si>
  <si>
    <t>00-0036385</t>
  </si>
  <si>
    <t>Thakarius Keyes</t>
  </si>
  <si>
    <t>00-0030459</t>
  </si>
  <si>
    <t>Tyrann Mathieu</t>
  </si>
  <si>
    <t>00-0032934</t>
  </si>
  <si>
    <t>Tony McRae</t>
  </si>
  <si>
    <t>00-0031097</t>
  </si>
  <si>
    <t>Terrance Mitchell</t>
  </si>
  <si>
    <t>00-0034263</t>
  </si>
  <si>
    <t>Tarvarius Moore</t>
  </si>
  <si>
    <t>00-0035695</t>
  </si>
  <si>
    <t>Trayvon Mullen</t>
  </si>
  <si>
    <t>00-0036299</t>
  </si>
  <si>
    <t>Troy Pride</t>
  </si>
  <si>
    <t>00-0035663</t>
  </si>
  <si>
    <t>Taylor Rapp</t>
  </si>
  <si>
    <t>00-0031597</t>
  </si>
  <si>
    <t>Tye Smith</t>
  </si>
  <si>
    <t>00-0034488</t>
  </si>
  <si>
    <t>Tavierre Thomas</t>
  </si>
  <si>
    <t>00-0033554</t>
  </si>
  <si>
    <t>Tedric Thompson</t>
  </si>
  <si>
    <t>00-0034745</t>
  </si>
  <si>
    <t>Tracy Walker</t>
  </si>
  <si>
    <t>00-0033884</t>
  </si>
  <si>
    <t>Tre'Davious White</t>
  </si>
  <si>
    <t>00-0029410</t>
  </si>
  <si>
    <t>Tavon Wilson</t>
  </si>
  <si>
    <t>00-0032770</t>
  </si>
  <si>
    <t>Tavon Young</t>
  </si>
  <si>
    <t>00-0032939</t>
  </si>
  <si>
    <t>Vonn Bell</t>
  </si>
  <si>
    <t>00-0032758</t>
  </si>
  <si>
    <t>Vernon Hargreaves</t>
  </si>
  <si>
    <t>00-0036243</t>
  </si>
  <si>
    <t>Vernon Scott</t>
  </si>
  <si>
    <t>00-0035655</t>
  </si>
  <si>
    <t>Will Harris</t>
  </si>
  <si>
    <t>00-0033107</t>
  </si>
  <si>
    <t>William Jackson</t>
  </si>
  <si>
    <t>00-0032958</t>
  </si>
  <si>
    <t>Will Parks</t>
  </si>
  <si>
    <t>00-0033124</t>
  </si>
  <si>
    <t>Will Redmond</t>
  </si>
  <si>
    <t>00-0035293</t>
  </si>
  <si>
    <t>Xavier Crawford</t>
  </si>
  <si>
    <t>00-0033050</t>
  </si>
  <si>
    <t>Xavien Howard</t>
  </si>
  <si>
    <t>00-0036388</t>
  </si>
  <si>
    <t>Xavier McKinney</t>
  </si>
  <si>
    <t>00-0030575</t>
  </si>
  <si>
    <t>Xavier Rhodes</t>
  </si>
  <si>
    <t>00-0033579</t>
  </si>
  <si>
    <t>Xavier Woods</t>
  </si>
  <si>
    <t>00-0024061</t>
  </si>
  <si>
    <t>Tramon Williams</t>
  </si>
  <si>
    <t>00-0030041</t>
  </si>
  <si>
    <t>Nickell Robey</t>
  </si>
  <si>
    <t>00-0031331</t>
  </si>
  <si>
    <t>Pierre Desir</t>
  </si>
  <si>
    <t>00-0031991</t>
  </si>
  <si>
    <t>DeVante Bausby</t>
  </si>
  <si>
    <t>00-0032042</t>
  </si>
  <si>
    <t>Curtis Riley</t>
  </si>
  <si>
    <t>00-0032454</t>
  </si>
  <si>
    <t>Jayron Kearse</t>
  </si>
  <si>
    <t>00-0032916</t>
  </si>
  <si>
    <t>Trevor Williams</t>
  </si>
  <si>
    <t>00-0033503</t>
  </si>
  <si>
    <t>Art Maulet</t>
  </si>
  <si>
    <t>00-0033544</t>
  </si>
  <si>
    <t>Quincy Wilson</t>
  </si>
  <si>
    <t>00-0033819</t>
  </si>
  <si>
    <t>Jamal Carter</t>
  </si>
  <si>
    <t>00-0033878</t>
  </si>
  <si>
    <t>Adoree Jackson</t>
  </si>
  <si>
    <t>00-0033926</t>
  </si>
  <si>
    <t>Shaq Griffin</t>
  </si>
  <si>
    <t>00-0034496</t>
  </si>
  <si>
    <t>Sean Chandler</t>
  </si>
  <si>
    <t>00-0035137</t>
  </si>
  <si>
    <t>Terrell Bonds</t>
  </si>
  <si>
    <t>00-0035142</t>
  </si>
  <si>
    <t>Ugo Amadi</t>
  </si>
  <si>
    <t>00-0035155</t>
  </si>
  <si>
    <t>Mark Fields</t>
  </si>
  <si>
    <t>00-0035188</t>
  </si>
  <si>
    <t>Alex Myres</t>
  </si>
  <si>
    <t>00-0035357</t>
  </si>
  <si>
    <t>Cam Lewis</t>
  </si>
  <si>
    <t>00-0035365</t>
  </si>
  <si>
    <t>Tae Hayes</t>
  </si>
  <si>
    <t>00-0035375</t>
  </si>
  <si>
    <t>Brandon Watson</t>
  </si>
  <si>
    <t>00-0035422</t>
  </si>
  <si>
    <t>Chris Westry</t>
  </si>
  <si>
    <t>00-0035633</t>
  </si>
  <si>
    <t>Corey Ballentine</t>
  </si>
  <si>
    <t>00-0036281</t>
  </si>
  <si>
    <t>CJ Henderson</t>
  </si>
  <si>
    <t>Column6</t>
  </si>
  <si>
    <t>assisted_tackles</t>
  </si>
  <si>
    <t>total_snaps_played</t>
  </si>
  <si>
    <t>special_teams_snaps</t>
  </si>
  <si>
    <t>special_teams_snap_rate</t>
  </si>
  <si>
    <t>active_or_inactive</t>
  </si>
  <si>
    <t>game_designation</t>
  </si>
  <si>
    <t>injury_type</t>
  </si>
  <si>
    <t>injury_next_week?</t>
  </si>
  <si>
    <t>fatigue_index</t>
  </si>
  <si>
    <t>weeks_played_consecutively</t>
  </si>
  <si>
    <t>weather_temperature</t>
  </si>
  <si>
    <t>game_surface</t>
  </si>
  <si>
    <t>injuries_status</t>
  </si>
  <si>
    <t>starter?</t>
  </si>
  <si>
    <t>defense_snaps_%</t>
  </si>
  <si>
    <t>index_defensive_effort</t>
  </si>
  <si>
    <t>previous_injury</t>
  </si>
  <si>
    <t>Moderate</t>
  </si>
  <si>
    <t>Minor</t>
  </si>
  <si>
    <t>Severe</t>
  </si>
  <si>
    <t>Grass</t>
  </si>
  <si>
    <t>Turf</t>
  </si>
  <si>
    <t>Hybrid 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</si>
</sst>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2" fontId="0" fillId="0" borderId="0" xfId="0" applyNumberFormat="1"/>
    <xf numFmtId="0" fontId="1" fillId="6" borderId="0" xfId="0" applyFont="1" applyFill="1"/>
    <xf numFmtId="0" fontId="1" fillId="6" borderId="0" xfId="0" applyFont="1" applyFill="1" applyAlignment="1">
      <alignment wrapText="1"/>
    </xf>
  </cellXfs>
  <cellStyles count="1">
    <cellStyle name="Normal" xfId="0" builtinId="0"/>
  </cellStyles>
  <dxfs count="27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6B2502-54B0-4F5C-A778-338E55E6F901}" autoFormatId="16" applyNumberFormats="0" applyBorderFormats="0" applyFontFormats="0" applyPatternFormats="0" applyAlignmentFormats="0" applyWidthHeightFormats="0">
  <queryTableRefresh nextId="60" unboundColumnsRight="1">
    <queryTableFields count="32">
      <queryTableField id="1" name="player_id" tableColumnId="1"/>
      <queryTableField id="2" name="player_name" tableColumnId="2"/>
      <queryTableField id="55" dataBound="0" tableColumnId="50"/>
      <queryTableField id="3" name="position" tableColumnId="3"/>
      <queryTableField id="4" name="height" tableColumnId="4"/>
      <queryTableField id="5" name="weight" tableColumnId="5"/>
      <queryTableField id="6" name="team" tableColumnId="6"/>
      <queryTableField id="7" name="season" tableColumnId="7"/>
      <queryTableField id="8" name="season_type" tableColumnId="8"/>
      <queryTableField id="9" name="week" tableColumnId="9"/>
      <queryTableField id="10" name="solo_tackle" tableColumnId="10"/>
      <queryTableField id="11" name="assist_tackle" tableColumnId="11"/>
      <queryTableField id="12" name="tackle_with_assist" tableColumnId="12"/>
      <queryTableField id="51" dataBound="0" tableColumnId="46"/>
      <queryTableField id="13" name="sack" tableColumnId="13"/>
      <queryTableField id="14" name="qb_hit" tableColumnId="14"/>
      <queryTableField id="15" name="interception" tableColumnId="15"/>
      <queryTableField id="16" name="fumble_forced" tableColumnId="16"/>
      <queryTableField id="57" dataBound="0" tableColumnId="52"/>
      <queryTableField id="17" name="defense_snaps" tableColumnId="17"/>
      <queryTableField id="58" dataBound="0" tableColumnId="53"/>
      <queryTableField id="56" dataBound="0" tableColumnId="51"/>
      <queryTableField id="54" dataBound="0" tableColumnId="49"/>
      <queryTableField id="53" dataBound="0" tableColumnId="48"/>
      <queryTableField id="21" name="seasons_played" tableColumnId="21"/>
      <queryTableField id="22" name="Custom" tableColumnId="22"/>
      <queryTableField id="24" name="PFR_2020_Injuries.Active_Inactive" tableColumnId="24"/>
      <queryTableField id="25" name="PFR_2020_Injuries.Game_Designation" tableColumnId="25"/>
      <queryTableField id="26" name="PFR_2020_Injuries.Injury_Type" tableColumnId="26"/>
      <queryTableField id="27" name="PFR_2020_Injuries.Started" tableColumnId="27"/>
      <queryTableField id="33" name="PFR_2020_Injuries.status" tableColumnId="33"/>
      <queryTableField id="59" dataBound="0" tableColumnId="54"/>
    </queryTableFields>
    <queryTableDeletedFields count="9">
      <deletedField name="PFR_2020_Injuries.Week"/>
      <deletedField name="PFR_2020_Injuries.Special.Teams.Snaps"/>
      <deletedField name="PFR_2020_Injuries.Special.Teams.Snap.Rate"/>
      <deletedField name="age"/>
      <deletedField name="PFR_2020_Injuries.Total.Snaps"/>
      <deletedField name="PFR_2020_Injuries.Defense.Snaps"/>
      <deletedField name="PFR_2020_Injuries.Defense.Snap.Rate"/>
      <deletedField name="team_defense_snaps"/>
      <deletedField name="defense_pc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31285F-59EC-47C1-9055-0057FE7B666C}" name="Merge1" displayName="Merge1" ref="A1:AF3509" tableType="queryTable" totalsRowShown="0" headerRowDxfId="26">
  <autoFilter ref="A1:AF3509" xr:uid="{6F31285F-59EC-47C1-9055-0057FE7B666C}"/>
  <sortState xmlns:xlrd2="http://schemas.microsoft.com/office/spreadsheetml/2017/richdata2" ref="A2:AF3509">
    <sortCondition ref="B1:B3509"/>
  </sortState>
  <tableColumns count="32">
    <tableColumn id="1" xr3:uid="{DAE8074C-94C6-422A-80FD-38334B1CACC2}" uniqueName="1" name="player_id" queryTableFieldId="1" dataDxfId="25"/>
    <tableColumn id="2" xr3:uid="{71002D87-6F69-475E-B657-5D7B1C64D4B7}" uniqueName="2" name="player_name" queryTableFieldId="2" dataDxfId="24"/>
    <tableColumn id="50" xr3:uid="{A1034D4C-E7C9-4CDD-84F7-AD5A4CBE7D37}" uniqueName="50" name="age" queryTableFieldId="55"/>
    <tableColumn id="3" xr3:uid="{D957FBE2-944C-4699-BF6B-9684CD4A0D71}" uniqueName="3" name="position" queryTableFieldId="3" dataDxfId="23"/>
    <tableColumn id="4" xr3:uid="{02450551-A8FE-4D79-BB5D-4897C7900454}" uniqueName="4" name="height" queryTableFieldId="4" dataDxfId="22"/>
    <tableColumn id="5" xr3:uid="{D89BFF54-5E88-4336-8551-8DFDA821B93B}" uniqueName="5" name="weight" queryTableFieldId="5" dataDxfId="21"/>
    <tableColumn id="6" xr3:uid="{E9C10587-B1D9-4AB2-8FBF-EE06DD24F2D2}" uniqueName="6" name="team" queryTableFieldId="6" dataDxfId="20"/>
    <tableColumn id="7" xr3:uid="{B73491E5-FCE5-4E63-872A-2D1E1223550E}" uniqueName="7" name="season" queryTableFieldId="7"/>
    <tableColumn id="8" xr3:uid="{52C5E34E-FFF6-4FC1-A19F-F73D08E65441}" uniqueName="8" name="season_type" queryTableFieldId="8" dataDxfId="19"/>
    <tableColumn id="9" xr3:uid="{9F989238-F313-4597-85DC-F676B86DBA92}" uniqueName="9" name="week" queryTableFieldId="9"/>
    <tableColumn id="10" xr3:uid="{DB7D80E4-5400-477A-B712-2156576A3D0B}" uniqueName="10" name="solo_tackle" queryTableFieldId="10" dataDxfId="18"/>
    <tableColumn id="11" xr3:uid="{FF36C79D-7AF2-4E75-AEC0-F4D3D8486785}" uniqueName="11" name="assist_tackle" queryTableFieldId="11" dataDxfId="17"/>
    <tableColumn id="12" xr3:uid="{E095EF71-AA80-4A94-BA10-661AB5593B69}" uniqueName="12" name="tackle_with_assist" queryTableFieldId="12" dataDxfId="16"/>
    <tableColumn id="46" xr3:uid="{2DAA095F-C39C-4066-B534-401BEE8DDB0A}" uniqueName="46" name="assisted_tackles" queryTableFieldId="51" dataDxfId="15"/>
    <tableColumn id="13" xr3:uid="{12CAF067-66B5-4B49-B2B7-0531D01B0016}" uniqueName="13" name="sack" queryTableFieldId="13" dataDxfId="14"/>
    <tableColumn id="14" xr3:uid="{E722A023-E6CE-49D6-9C5C-3A61C186514A}" uniqueName="14" name="qb_hit" queryTableFieldId="14" dataDxfId="13"/>
    <tableColumn id="15" xr3:uid="{39039596-FCFF-446E-9F0C-CB0A93392FA3}" uniqueName="15" name="interception" queryTableFieldId="15" dataDxfId="12"/>
    <tableColumn id="16" xr3:uid="{B2F14940-2C33-48D5-9746-7439C4487C0C}" uniqueName="16" name="fumble_forced" queryTableFieldId="16"/>
    <tableColumn id="52" xr3:uid="{EA15CAE0-2086-44D5-9F95-11578D483A21}" uniqueName="52" name="total_snaps_played" queryTableFieldId="57" dataDxfId="11"/>
    <tableColumn id="17" xr3:uid="{3EC70E9F-1EC6-4D8F-BD3C-5615AC0D4C30}" uniqueName="17" name="defense_snaps" queryTableFieldId="17" dataDxfId="10"/>
    <tableColumn id="53" xr3:uid="{92B68AC0-C7A1-40B0-8BA2-957851531F6F}" uniqueName="53" name="defense_snaps_%" queryTableFieldId="58" dataDxfId="9">
      <calculatedColumnFormula>IF(Merge1[[#This Row],[team_defense_snaps]]=0, "", Merge1[[#This Row],[defense_snaps]] / Merge1[[#This Row],[team_defense_snaps]])</calculatedColumnFormula>
    </tableColumn>
    <tableColumn id="51" xr3:uid="{5BCAC9F3-3451-4A7D-8C26-9EAFA602277C}" uniqueName="51" name="team_defense_snaps" queryTableFieldId="56" dataDxfId="8"/>
    <tableColumn id="49" xr3:uid="{D80C28E7-266B-4243-9128-4028843DC641}" uniqueName="49" name="special_teams_snaps" queryTableFieldId="54"/>
    <tableColumn id="48" xr3:uid="{93FABFE1-6343-4905-96E4-1E0A2CA7CF6C}" uniqueName="48" name="special_teams_snap_rate" queryTableFieldId="53" dataDxfId="7"/>
    <tableColumn id="21" xr3:uid="{CAFA11A5-E2E8-4D21-A897-A31C4C6396FF}" uniqueName="21" name="seasons_played" queryTableFieldId="21" dataDxfId="6"/>
    <tableColumn id="22" xr3:uid="{F203A3B9-4642-490A-85A5-59F9902B0A55}" uniqueName="22" name="Column6" queryTableFieldId="22"/>
    <tableColumn id="24" xr3:uid="{30CAF46C-287C-4F9A-856C-14CD466E5103}" uniqueName="24" name="active_or_inactive" queryTableFieldId="24" dataDxfId="5"/>
    <tableColumn id="25" xr3:uid="{98AF7BF2-678C-41F2-AAED-C39A9B6A6957}" uniqueName="25" name="game_designation" queryTableFieldId="25" dataDxfId="4"/>
    <tableColumn id="26" xr3:uid="{F1FA3796-8F46-4BA7-BCEE-D42B48A7BCBD}" uniqueName="26" name="injury_type" queryTableFieldId="26" dataDxfId="3"/>
    <tableColumn id="27" xr3:uid="{D9ECF494-A55D-4A34-B89E-645595D95609}" uniqueName="27" name="starter?" queryTableFieldId="27" dataDxfId="2"/>
    <tableColumn id="33" xr3:uid="{F4A0EC77-042A-487E-B5BC-AA9B2EA52319}" uniqueName="33" name="injuries_status" queryTableFieldId="33" dataDxfId="1"/>
    <tableColumn id="54" xr3:uid="{9793CB46-E36E-458F-AABB-02070DB8D18C}" uniqueName="54" name="index_defensive_effort" queryTableFieldId="59" dataDxfId="0">
      <calculatedColumnFormula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E6606-ED79-4EFA-AA8D-A15D1F23D242}">
  <dimension ref="A1:AL3509"/>
  <sheetViews>
    <sheetView tabSelected="1" topLeftCell="AA1" workbookViewId="0">
      <selection activeCell="AM19" sqref="AM19"/>
    </sheetView>
  </sheetViews>
  <sheetFormatPr defaultRowHeight="15" x14ac:dyDescent="0.25"/>
  <cols>
    <col min="1" max="1" width="11.28515625" bestFit="1" customWidth="1"/>
    <col min="2" max="2" width="25.85546875" bestFit="1" customWidth="1"/>
    <col min="3" max="3" width="6.42578125" bestFit="1" customWidth="1"/>
    <col min="4" max="4" width="10.7109375" bestFit="1" customWidth="1"/>
    <col min="5" max="5" width="9" bestFit="1" customWidth="1"/>
    <col min="6" max="6" width="9.28515625" bestFit="1" customWidth="1"/>
    <col min="7" max="7" width="7.85546875" bestFit="1" customWidth="1"/>
    <col min="8" max="8" width="9.7109375" bestFit="1" customWidth="1"/>
    <col min="9" max="9" width="14.5703125" bestFit="1" customWidth="1"/>
    <col min="10" max="10" width="7.7109375" bestFit="1" customWidth="1"/>
    <col min="11" max="11" width="13.42578125" bestFit="1" customWidth="1"/>
    <col min="12" max="12" width="14.7109375" hidden="1" customWidth="1"/>
    <col min="13" max="13" width="19.5703125" hidden="1" customWidth="1"/>
    <col min="14" max="14" width="19.5703125" customWidth="1"/>
    <col min="15" max="15" width="7.28515625" bestFit="1" customWidth="1"/>
    <col min="16" max="16" width="8.85546875" bestFit="1" customWidth="1"/>
    <col min="17" max="17" width="14.42578125" bestFit="1" customWidth="1"/>
    <col min="18" max="18" width="16.5703125" bestFit="1" customWidth="1"/>
    <col min="19" max="19" width="16.5703125" customWidth="1"/>
    <col min="20" max="20" width="17" bestFit="1" customWidth="1"/>
    <col min="21" max="21" width="19.5703125" bestFit="1" customWidth="1"/>
    <col min="22" max="24" width="22.5703125" customWidth="1"/>
    <col min="25" max="25" width="17.5703125" bestFit="1" customWidth="1"/>
    <col min="26" max="26" width="28.5703125" hidden="1" customWidth="1"/>
    <col min="27" max="27" width="34.140625" bestFit="1" customWidth="1"/>
    <col min="28" max="28" width="26.7109375" bestFit="1" customWidth="1"/>
    <col min="29" max="29" width="16.7109375" bestFit="1" customWidth="1"/>
    <col min="30" max="30" width="10.42578125" bestFit="1" customWidth="1"/>
    <col min="31" max="31" width="16.7109375" bestFit="1" customWidth="1"/>
    <col min="32" max="32" width="24.5703125" bestFit="1" customWidth="1"/>
    <col min="33" max="33" width="13.7109375" bestFit="1" customWidth="1"/>
    <col min="34" max="34" width="20.7109375" bestFit="1" customWidth="1"/>
    <col min="35" max="35" width="20.7109375" customWidth="1"/>
    <col min="36" max="36" width="28" bestFit="1" customWidth="1"/>
    <col min="37" max="37" width="13.5703125" bestFit="1" customWidth="1"/>
    <col min="38" max="38" width="17.7109375" bestFit="1" customWidth="1"/>
  </cols>
  <sheetData>
    <row r="1" spans="1:38" ht="16.5" customHeight="1" x14ac:dyDescent="0.25">
      <c r="A1" s="1" t="s">
        <v>0</v>
      </c>
      <c r="B1" s="1" t="s">
        <v>1</v>
      </c>
      <c r="C1" s="1" t="s">
        <v>18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3" t="s">
        <v>10</v>
      </c>
      <c r="M1" s="3" t="s">
        <v>11</v>
      </c>
      <c r="N1" s="3" t="s">
        <v>921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922</v>
      </c>
      <c r="T1" s="3" t="s">
        <v>16</v>
      </c>
      <c r="U1" s="3" t="s">
        <v>935</v>
      </c>
      <c r="V1" s="3" t="s">
        <v>17</v>
      </c>
      <c r="W1" s="3" t="s">
        <v>923</v>
      </c>
      <c r="X1" s="3" t="s">
        <v>924</v>
      </c>
      <c r="Y1" s="1" t="s">
        <v>19</v>
      </c>
      <c r="Z1" s="1" t="s">
        <v>920</v>
      </c>
      <c r="AA1" s="4" t="s">
        <v>925</v>
      </c>
      <c r="AB1" s="4" t="s">
        <v>926</v>
      </c>
      <c r="AC1" s="4" t="s">
        <v>927</v>
      </c>
      <c r="AD1" s="4" t="s">
        <v>934</v>
      </c>
      <c r="AE1" s="4" t="s">
        <v>933</v>
      </c>
      <c r="AF1" s="6" t="s">
        <v>936</v>
      </c>
      <c r="AG1" s="6" t="s">
        <v>932</v>
      </c>
      <c r="AH1" s="6" t="s">
        <v>931</v>
      </c>
      <c r="AI1" s="7" t="s">
        <v>937</v>
      </c>
      <c r="AJ1" s="6" t="s">
        <v>930</v>
      </c>
      <c r="AK1" s="6" t="s">
        <v>929</v>
      </c>
      <c r="AL1" s="2" t="s">
        <v>928</v>
      </c>
    </row>
    <row r="2" spans="1:38" x14ac:dyDescent="0.25">
      <c r="A2" t="s">
        <v>65</v>
      </c>
      <c r="B2" t="s">
        <v>66</v>
      </c>
      <c r="C2">
        <v>29</v>
      </c>
      <c r="D2" t="s">
        <v>56</v>
      </c>
      <c r="E2">
        <v>72</v>
      </c>
      <c r="F2">
        <v>191</v>
      </c>
      <c r="G2" t="s">
        <v>67</v>
      </c>
      <c r="H2">
        <v>2020</v>
      </c>
      <c r="I2" t="s">
        <v>33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30</v>
      </c>
      <c r="T2">
        <v>28</v>
      </c>
      <c r="U2" s="5">
        <f>IF(Merge1[[#This Row],[team_defense_snaps]]=0, "", Merge1[[#This Row],[defense_snaps]] / Merge1[[#This Row],[team_defense_snaps]])</f>
        <v>0.34567901234567899</v>
      </c>
      <c r="V2">
        <v>81</v>
      </c>
      <c r="W2">
        <v>2</v>
      </c>
      <c r="X2" s="5" t="s">
        <v>167</v>
      </c>
      <c r="Y2">
        <v>7</v>
      </c>
      <c r="Z2">
        <v>0</v>
      </c>
      <c r="AA2" t="s">
        <v>25</v>
      </c>
      <c r="AB2" t="s">
        <v>26</v>
      </c>
      <c r="AC2" t="s">
        <v>27</v>
      </c>
      <c r="AD2" t="s">
        <v>42</v>
      </c>
      <c r="AE2" t="s">
        <v>69</v>
      </c>
      <c r="AF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2" t="s">
        <v>941</v>
      </c>
      <c r="AH2">
        <v>67.5</v>
      </c>
      <c r="AI2" t="s">
        <v>939</v>
      </c>
      <c r="AJ2">
        <v>1</v>
      </c>
      <c r="AK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MIN(AJ2/8, 1) +
  Merge1[[#This Row],[index_defensive_effort]],
  2
)</f>
        <v>0.69</v>
      </c>
    </row>
    <row r="3" spans="1:38" x14ac:dyDescent="0.25">
      <c r="A3" t="s">
        <v>65</v>
      </c>
      <c r="B3" t="s">
        <v>66</v>
      </c>
      <c r="C3">
        <v>29</v>
      </c>
      <c r="D3" t="s">
        <v>56</v>
      </c>
      <c r="E3">
        <v>72</v>
      </c>
      <c r="F3">
        <v>191</v>
      </c>
      <c r="G3" t="s">
        <v>67</v>
      </c>
      <c r="H3">
        <v>2020</v>
      </c>
      <c r="I3" t="s">
        <v>33</v>
      </c>
      <c r="J3">
        <v>7</v>
      </c>
      <c r="K3">
        <v>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51</v>
      </c>
      <c r="T3">
        <v>51</v>
      </c>
      <c r="U3" s="5">
        <f>IF(Merge1[[#This Row],[team_defense_snaps]]=0, "", Merge1[[#This Row],[defense_snaps]] / Merge1[[#This Row],[team_defense_snaps]])</f>
        <v>1</v>
      </c>
      <c r="V3">
        <v>51</v>
      </c>
      <c r="W3">
        <v>0</v>
      </c>
      <c r="X3" s="5" t="s">
        <v>29</v>
      </c>
      <c r="Y3">
        <v>7</v>
      </c>
      <c r="Z3">
        <v>0</v>
      </c>
      <c r="AA3" t="s">
        <v>25</v>
      </c>
      <c r="AB3" t="s">
        <v>62</v>
      </c>
      <c r="AC3" t="s">
        <v>27</v>
      </c>
      <c r="AD3" t="s">
        <v>42</v>
      </c>
      <c r="AE3" t="s">
        <v>69</v>
      </c>
      <c r="AF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AG3" t="s">
        <v>941</v>
      </c>
      <c r="AH3">
        <v>69</v>
      </c>
      <c r="AI3" t="s">
        <v>938</v>
      </c>
      <c r="AJ3">
        <v>1</v>
      </c>
      <c r="AK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MIN(AJ3/8, 1) +
  Merge1[[#This Row],[index_defensive_effort]],
  2
)</f>
        <v>0.68</v>
      </c>
    </row>
    <row r="4" spans="1:38" x14ac:dyDescent="0.25">
      <c r="A4" t="s">
        <v>65</v>
      </c>
      <c r="B4" t="s">
        <v>66</v>
      </c>
      <c r="C4">
        <v>29</v>
      </c>
      <c r="D4" t="s">
        <v>56</v>
      </c>
      <c r="E4">
        <v>72</v>
      </c>
      <c r="F4">
        <v>191</v>
      </c>
      <c r="G4" t="s">
        <v>67</v>
      </c>
      <c r="H4">
        <v>2020</v>
      </c>
      <c r="I4" t="s">
        <v>33</v>
      </c>
      <c r="J4">
        <v>8</v>
      </c>
      <c r="K4">
        <v>5</v>
      </c>
      <c r="L4">
        <v>1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70</v>
      </c>
      <c r="T4">
        <v>70</v>
      </c>
      <c r="U4" s="5">
        <f>IF(Merge1[[#This Row],[team_defense_snaps]]=0, "", Merge1[[#This Row],[defense_snaps]] / Merge1[[#This Row],[team_defense_snaps]])</f>
        <v>0.7865168539325843</v>
      </c>
      <c r="V4">
        <v>89</v>
      </c>
      <c r="W4">
        <v>0</v>
      </c>
      <c r="X4" s="5" t="s">
        <v>29</v>
      </c>
      <c r="Y4">
        <v>7</v>
      </c>
      <c r="Z4">
        <v>0</v>
      </c>
      <c r="AA4" t="s">
        <v>25</v>
      </c>
      <c r="AB4" t="s">
        <v>26</v>
      </c>
      <c r="AC4" t="s">
        <v>27</v>
      </c>
      <c r="AD4" t="s">
        <v>42</v>
      </c>
      <c r="AE4" t="s">
        <v>69</v>
      </c>
      <c r="AF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7.857142857142857E-2</v>
      </c>
      <c r="AG4" t="s">
        <v>941</v>
      </c>
      <c r="AH4">
        <v>60</v>
      </c>
      <c r="AI4" t="s">
        <v>939</v>
      </c>
      <c r="AJ4">
        <v>2</v>
      </c>
      <c r="AK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MIN(AJ4/8, 1) +
  Merge1[[#This Row],[index_defensive_effort]],
  2
)</f>
        <v>0.83</v>
      </c>
    </row>
    <row r="5" spans="1:38" x14ac:dyDescent="0.25">
      <c r="A5" t="s">
        <v>65</v>
      </c>
      <c r="B5" t="s">
        <v>66</v>
      </c>
      <c r="C5">
        <v>29</v>
      </c>
      <c r="D5" t="s">
        <v>56</v>
      </c>
      <c r="E5">
        <v>72</v>
      </c>
      <c r="F5">
        <v>191</v>
      </c>
      <c r="G5" t="s">
        <v>67</v>
      </c>
      <c r="H5">
        <v>2020</v>
      </c>
      <c r="I5" t="s">
        <v>33</v>
      </c>
      <c r="J5">
        <v>10</v>
      </c>
      <c r="K5">
        <v>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70</v>
      </c>
      <c r="T5">
        <v>70</v>
      </c>
      <c r="U5" s="5">
        <f>IF(Merge1[[#This Row],[team_defense_snaps]]=0, "", Merge1[[#This Row],[defense_snaps]] / Merge1[[#This Row],[team_defense_snaps]])</f>
        <v>0.97222222222222221</v>
      </c>
      <c r="V5">
        <v>72</v>
      </c>
      <c r="W5">
        <v>0</v>
      </c>
      <c r="X5" s="5" t="s">
        <v>29</v>
      </c>
      <c r="Y5">
        <v>7</v>
      </c>
      <c r="Z5">
        <v>0</v>
      </c>
      <c r="AA5" t="s">
        <v>25</v>
      </c>
      <c r="AB5" t="s">
        <v>26</v>
      </c>
      <c r="AC5" t="s">
        <v>27</v>
      </c>
      <c r="AD5" t="s">
        <v>42</v>
      </c>
      <c r="AE5" t="s">
        <v>69</v>
      </c>
      <c r="AF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8.5714285714285715E-2</v>
      </c>
      <c r="AG5" t="s">
        <v>941</v>
      </c>
      <c r="AH5">
        <v>78</v>
      </c>
      <c r="AI5" t="s">
        <v>939</v>
      </c>
      <c r="AJ5">
        <v>1</v>
      </c>
      <c r="AK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MIN(AJ5/8, 1) +
  Merge1[[#This Row],[index_defensive_effort]],
  2
)</f>
        <v>0.71</v>
      </c>
    </row>
    <row r="6" spans="1:38" x14ac:dyDescent="0.25">
      <c r="A6" t="s">
        <v>65</v>
      </c>
      <c r="B6" t="s">
        <v>66</v>
      </c>
      <c r="C6">
        <v>29</v>
      </c>
      <c r="D6" t="s">
        <v>56</v>
      </c>
      <c r="E6">
        <v>72</v>
      </c>
      <c r="F6">
        <v>191</v>
      </c>
      <c r="G6" t="s">
        <v>67</v>
      </c>
      <c r="H6">
        <v>2020</v>
      </c>
      <c r="I6" t="s">
        <v>33</v>
      </c>
      <c r="J6">
        <v>11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65</v>
      </c>
      <c r="T6">
        <v>65</v>
      </c>
      <c r="U6" s="5">
        <f>IF(Merge1[[#This Row],[team_defense_snaps]]=0, "", Merge1[[#This Row],[defense_snaps]] / Merge1[[#This Row],[team_defense_snaps]])</f>
        <v>1</v>
      </c>
      <c r="V6">
        <v>65</v>
      </c>
      <c r="W6">
        <v>0</v>
      </c>
      <c r="X6" s="5" t="s">
        <v>29</v>
      </c>
      <c r="Y6">
        <v>7</v>
      </c>
      <c r="Z6">
        <v>0</v>
      </c>
      <c r="AA6" t="s">
        <v>25</v>
      </c>
      <c r="AB6" t="s">
        <v>26</v>
      </c>
      <c r="AC6" t="s">
        <v>27</v>
      </c>
      <c r="AD6" t="s">
        <v>42</v>
      </c>
      <c r="AE6" t="s">
        <v>69</v>
      </c>
      <c r="AF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3.0769230769230771E-2</v>
      </c>
      <c r="AG6" t="s">
        <v>941</v>
      </c>
      <c r="AH6">
        <v>64.5</v>
      </c>
      <c r="AI6" t="s">
        <v>939</v>
      </c>
      <c r="AJ6">
        <v>2</v>
      </c>
      <c r="AK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MIN(AJ6/8, 1) +
  Merge1[[#This Row],[index_defensive_effort]],
  2
)</f>
        <v>0.78</v>
      </c>
    </row>
    <row r="7" spans="1:38" x14ac:dyDescent="0.25">
      <c r="A7" t="s">
        <v>65</v>
      </c>
      <c r="B7" t="s">
        <v>66</v>
      </c>
      <c r="C7">
        <v>29</v>
      </c>
      <c r="D7" t="s">
        <v>56</v>
      </c>
      <c r="E7">
        <v>72</v>
      </c>
      <c r="F7">
        <v>191</v>
      </c>
      <c r="G7" t="s">
        <v>67</v>
      </c>
      <c r="H7">
        <v>2020</v>
      </c>
      <c r="I7" t="s">
        <v>33</v>
      </c>
      <c r="J7">
        <v>12</v>
      </c>
      <c r="K7">
        <v>3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62</v>
      </c>
      <c r="T7">
        <v>62</v>
      </c>
      <c r="U7" s="5">
        <f>IF(Merge1[[#This Row],[team_defense_snaps]]=0, "", Merge1[[#This Row],[defense_snaps]] / Merge1[[#This Row],[team_defense_snaps]])</f>
        <v>0.96875</v>
      </c>
      <c r="V7">
        <v>64</v>
      </c>
      <c r="W7">
        <v>0</v>
      </c>
      <c r="X7" s="5" t="s">
        <v>29</v>
      </c>
      <c r="Y7">
        <v>7</v>
      </c>
      <c r="Z7">
        <v>0</v>
      </c>
      <c r="AA7" t="s">
        <v>25</v>
      </c>
      <c r="AB7" t="s">
        <v>26</v>
      </c>
      <c r="AC7" t="s">
        <v>27</v>
      </c>
      <c r="AD7" t="s">
        <v>42</v>
      </c>
      <c r="AE7" t="s">
        <v>69</v>
      </c>
      <c r="AF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0.11290322580645161</v>
      </c>
      <c r="AG7" t="s">
        <v>941</v>
      </c>
      <c r="AH7">
        <v>63</v>
      </c>
      <c r="AI7" t="s">
        <v>939</v>
      </c>
      <c r="AJ7">
        <v>3</v>
      </c>
      <c r="AK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MIN(AJ7/8, 1) +
  Merge1[[#This Row],[index_defensive_effort]],
  2
)</f>
        <v>0.99</v>
      </c>
    </row>
    <row r="8" spans="1:38" x14ac:dyDescent="0.25">
      <c r="A8" t="s">
        <v>65</v>
      </c>
      <c r="B8" t="s">
        <v>66</v>
      </c>
      <c r="C8">
        <v>29</v>
      </c>
      <c r="D8" t="s">
        <v>56</v>
      </c>
      <c r="E8">
        <v>72</v>
      </c>
      <c r="F8">
        <v>191</v>
      </c>
      <c r="G8" t="s">
        <v>67</v>
      </c>
      <c r="H8">
        <v>2020</v>
      </c>
      <c r="I8" t="s">
        <v>33</v>
      </c>
      <c r="J8">
        <v>13</v>
      </c>
      <c r="K8">
        <v>3</v>
      </c>
      <c r="L8">
        <v>1</v>
      </c>
      <c r="M8">
        <v>0</v>
      </c>
      <c r="N8">
        <v>1</v>
      </c>
      <c r="O8">
        <v>0</v>
      </c>
      <c r="P8">
        <v>2</v>
      </c>
      <c r="Q8">
        <v>0</v>
      </c>
      <c r="R8">
        <v>0</v>
      </c>
      <c r="S8">
        <v>64</v>
      </c>
      <c r="T8">
        <v>64</v>
      </c>
      <c r="U8" s="5">
        <f>IF(Merge1[[#This Row],[team_defense_snaps]]=0, "", Merge1[[#This Row],[defense_snaps]] / Merge1[[#This Row],[team_defense_snaps]])</f>
        <v>0.98461538461538467</v>
      </c>
      <c r="V8">
        <v>65</v>
      </c>
      <c r="W8">
        <v>0</v>
      </c>
      <c r="X8" s="5" t="s">
        <v>29</v>
      </c>
      <c r="Y8">
        <v>7</v>
      </c>
      <c r="Z8">
        <v>0</v>
      </c>
      <c r="AA8" t="s">
        <v>25</v>
      </c>
      <c r="AB8" t="s">
        <v>26</v>
      </c>
      <c r="AC8" t="s">
        <v>27</v>
      </c>
      <c r="AD8" t="s">
        <v>42</v>
      </c>
      <c r="AE8" t="s">
        <v>69</v>
      </c>
      <c r="AF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0.1171875</v>
      </c>
      <c r="AG8" t="s">
        <v>941</v>
      </c>
      <c r="AH8">
        <v>61.5</v>
      </c>
      <c r="AI8" t="s">
        <v>939</v>
      </c>
      <c r="AJ8">
        <v>4</v>
      </c>
      <c r="AK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MIN(AJ8/8, 1) +
  Merge1[[#This Row],[index_defensive_effort]],
  2
)</f>
        <v>1.1200000000000001</v>
      </c>
    </row>
    <row r="9" spans="1:38" x14ac:dyDescent="0.25">
      <c r="A9" t="s">
        <v>155</v>
      </c>
      <c r="B9" t="s">
        <v>156</v>
      </c>
      <c r="C9">
        <v>25</v>
      </c>
      <c r="D9" t="s">
        <v>22</v>
      </c>
      <c r="E9">
        <v>71</v>
      </c>
      <c r="F9">
        <v>200</v>
      </c>
      <c r="G9" t="s">
        <v>157</v>
      </c>
      <c r="H9">
        <v>2020</v>
      </c>
      <c r="I9" t="s">
        <v>33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48</v>
      </c>
      <c r="T9">
        <v>26</v>
      </c>
      <c r="U9" s="5">
        <f>IF(Merge1[[#This Row],[team_defense_snaps]]=0, "", Merge1[[#This Row],[defense_snaps]] / Merge1[[#This Row],[team_defense_snaps]])</f>
        <v>0.37142857142857144</v>
      </c>
      <c r="V9">
        <v>70</v>
      </c>
      <c r="W9">
        <v>22</v>
      </c>
      <c r="X9" s="5" t="s">
        <v>109</v>
      </c>
      <c r="Y9">
        <v>2</v>
      </c>
      <c r="Z9">
        <v>0</v>
      </c>
      <c r="AA9" t="s">
        <v>25</v>
      </c>
      <c r="AB9" t="s">
        <v>26</v>
      </c>
      <c r="AC9" t="s">
        <v>27</v>
      </c>
      <c r="AD9" t="s">
        <v>42</v>
      </c>
      <c r="AE9" t="s">
        <v>25</v>
      </c>
      <c r="AF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2.0833333333333332E-2</v>
      </c>
      <c r="AG9" t="s">
        <v>942</v>
      </c>
      <c r="AH9">
        <v>71.5</v>
      </c>
      <c r="AI9" t="s">
        <v>939</v>
      </c>
      <c r="AJ9">
        <v>1</v>
      </c>
      <c r="AK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MIN(AJ9/8, 1) +
  Merge1[[#This Row],[index_defensive_effort]],
  2
)</f>
        <v>0.65</v>
      </c>
    </row>
    <row r="10" spans="1:38" x14ac:dyDescent="0.25">
      <c r="A10" t="s">
        <v>155</v>
      </c>
      <c r="B10" t="s">
        <v>156</v>
      </c>
      <c r="C10">
        <v>25</v>
      </c>
      <c r="D10" t="s">
        <v>22</v>
      </c>
      <c r="E10">
        <v>71</v>
      </c>
      <c r="F10">
        <v>200</v>
      </c>
      <c r="G10" t="s">
        <v>157</v>
      </c>
      <c r="H10">
        <v>2020</v>
      </c>
      <c r="I10" t="s">
        <v>33</v>
      </c>
      <c r="J10">
        <v>2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46</v>
      </c>
      <c r="T10">
        <v>24</v>
      </c>
      <c r="U10" s="5">
        <f>IF(Merge1[[#This Row],[team_defense_snaps]]=0, "", Merge1[[#This Row],[defense_snaps]] / Merge1[[#This Row],[team_defense_snaps]])</f>
        <v>0.36923076923076925</v>
      </c>
      <c r="V10">
        <v>65</v>
      </c>
      <c r="W10">
        <v>22</v>
      </c>
      <c r="X10" s="5" t="s">
        <v>49</v>
      </c>
      <c r="Y10">
        <v>2</v>
      </c>
      <c r="Z10">
        <v>0</v>
      </c>
      <c r="AA10" t="s">
        <v>25</v>
      </c>
      <c r="AB10" t="s">
        <v>26</v>
      </c>
      <c r="AC10" t="s">
        <v>27</v>
      </c>
      <c r="AD10" t="s">
        <v>42</v>
      </c>
      <c r="AE10" t="s">
        <v>25</v>
      </c>
      <c r="AF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4.3478260869565216E-2</v>
      </c>
      <c r="AG10" t="s">
        <v>942</v>
      </c>
      <c r="AH10">
        <v>64</v>
      </c>
      <c r="AI10" t="s">
        <v>939</v>
      </c>
      <c r="AJ10">
        <v>2</v>
      </c>
      <c r="AK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MIN(AJ10/8, 1) +
  Merge1[[#This Row],[index_defensive_effort]],
  2
)</f>
        <v>0.79</v>
      </c>
    </row>
    <row r="11" spans="1:38" x14ac:dyDescent="0.25">
      <c r="A11" t="s">
        <v>155</v>
      </c>
      <c r="B11" t="s">
        <v>156</v>
      </c>
      <c r="C11">
        <v>25</v>
      </c>
      <c r="D11" t="s">
        <v>22</v>
      </c>
      <c r="E11">
        <v>71</v>
      </c>
      <c r="F11">
        <v>200</v>
      </c>
      <c r="G11" t="s">
        <v>157</v>
      </c>
      <c r="H11">
        <v>2020</v>
      </c>
      <c r="I11" t="s">
        <v>33</v>
      </c>
      <c r="J11">
        <v>3</v>
      </c>
      <c r="K11">
        <v>3</v>
      </c>
      <c r="L11">
        <v>1</v>
      </c>
      <c r="M11">
        <v>0</v>
      </c>
      <c r="N11">
        <v>1</v>
      </c>
      <c r="O11">
        <v>0</v>
      </c>
      <c r="P11">
        <v>1</v>
      </c>
      <c r="Q11">
        <v>0</v>
      </c>
      <c r="R11">
        <v>0</v>
      </c>
      <c r="S11">
        <v>43</v>
      </c>
      <c r="T11">
        <v>29</v>
      </c>
      <c r="U11" s="5">
        <f>IF(Merge1[[#This Row],[team_defense_snaps]]=0, "", Merge1[[#This Row],[defense_snaps]] / Merge1[[#This Row],[team_defense_snaps]])</f>
        <v>0.35802469135802467</v>
      </c>
      <c r="V11">
        <v>81</v>
      </c>
      <c r="W11">
        <v>14</v>
      </c>
      <c r="X11" s="5" t="s">
        <v>52</v>
      </c>
      <c r="Y11">
        <v>2</v>
      </c>
      <c r="Z11">
        <v>0</v>
      </c>
      <c r="AA11" t="s">
        <v>25</v>
      </c>
      <c r="AB11" t="s">
        <v>26</v>
      </c>
      <c r="AC11" t="s">
        <v>27</v>
      </c>
      <c r="AD11" t="s">
        <v>42</v>
      </c>
      <c r="AE11" t="s">
        <v>25</v>
      </c>
      <c r="AF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0.12790697674418605</v>
      </c>
      <c r="AG11" t="s">
        <v>942</v>
      </c>
      <c r="AH11">
        <v>67</v>
      </c>
      <c r="AI11" t="s">
        <v>939</v>
      </c>
      <c r="AJ11">
        <v>3</v>
      </c>
      <c r="AK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MIN(AJ11/8, 1) +
  Merge1[[#This Row],[index_defensive_effort]],
  2
)</f>
        <v>1</v>
      </c>
    </row>
    <row r="12" spans="1:38" x14ac:dyDescent="0.25">
      <c r="A12" t="s">
        <v>155</v>
      </c>
      <c r="B12" t="s">
        <v>156</v>
      </c>
      <c r="C12">
        <v>25</v>
      </c>
      <c r="D12" t="s">
        <v>22</v>
      </c>
      <c r="E12">
        <v>71</v>
      </c>
      <c r="F12">
        <v>200</v>
      </c>
      <c r="G12" t="s">
        <v>157</v>
      </c>
      <c r="H12">
        <v>2020</v>
      </c>
      <c r="I12" t="s">
        <v>33</v>
      </c>
      <c r="J12">
        <v>11</v>
      </c>
      <c r="K12">
        <v>2</v>
      </c>
      <c r="L12">
        <v>1</v>
      </c>
      <c r="M12">
        <v>1</v>
      </c>
      <c r="N12">
        <v>2</v>
      </c>
      <c r="O12">
        <v>0</v>
      </c>
      <c r="P12">
        <v>1</v>
      </c>
      <c r="Q12">
        <v>0</v>
      </c>
      <c r="R12">
        <v>0</v>
      </c>
      <c r="S12">
        <v>44</v>
      </c>
      <c r="T12">
        <v>25</v>
      </c>
      <c r="U12" s="5">
        <f>IF(Merge1[[#This Row],[team_defense_snaps]]=0, "", Merge1[[#This Row],[defense_snaps]] / Merge1[[#This Row],[team_defense_snaps]])</f>
        <v>0.33333333333333331</v>
      </c>
      <c r="V12">
        <v>75</v>
      </c>
      <c r="W12">
        <v>19</v>
      </c>
      <c r="X12" s="5" t="s">
        <v>61</v>
      </c>
      <c r="Y12">
        <v>2</v>
      </c>
      <c r="Z12">
        <v>0</v>
      </c>
      <c r="AA12" t="s">
        <v>25</v>
      </c>
      <c r="AB12" t="s">
        <v>26</v>
      </c>
      <c r="AC12" t="s">
        <v>27</v>
      </c>
      <c r="AD12" t="s">
        <v>28</v>
      </c>
      <c r="AE12" t="s">
        <v>25</v>
      </c>
      <c r="AF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0.11363636363636363</v>
      </c>
      <c r="AG12" t="s">
        <v>942</v>
      </c>
      <c r="AH12">
        <v>88</v>
      </c>
      <c r="AI12" t="s">
        <v>939</v>
      </c>
      <c r="AJ12">
        <v>1</v>
      </c>
      <c r="AK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MIN(AJ12/8, 1) +
  Merge1[[#This Row],[index_defensive_effort]],
  2
)</f>
        <v>0.74</v>
      </c>
    </row>
    <row r="13" spans="1:38" x14ac:dyDescent="0.25">
      <c r="A13" t="s">
        <v>155</v>
      </c>
      <c r="B13" t="s">
        <v>156</v>
      </c>
      <c r="C13">
        <v>25</v>
      </c>
      <c r="D13" t="s">
        <v>22</v>
      </c>
      <c r="E13">
        <v>71</v>
      </c>
      <c r="F13">
        <v>200</v>
      </c>
      <c r="G13" t="s">
        <v>157</v>
      </c>
      <c r="H13">
        <v>2020</v>
      </c>
      <c r="I13" t="s">
        <v>33</v>
      </c>
      <c r="J13">
        <v>12</v>
      </c>
      <c r="K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55</v>
      </c>
      <c r="T13">
        <v>35</v>
      </c>
      <c r="U13" s="5">
        <f>IF(Merge1[[#This Row],[team_defense_snaps]]=0, "", Merge1[[#This Row],[defense_snaps]] / Merge1[[#This Row],[team_defense_snaps]])</f>
        <v>0.42682926829268292</v>
      </c>
      <c r="V13">
        <v>82</v>
      </c>
      <c r="W13">
        <v>20</v>
      </c>
      <c r="X13" s="5" t="s">
        <v>100</v>
      </c>
      <c r="Y13">
        <v>2</v>
      </c>
      <c r="Z13">
        <v>0</v>
      </c>
      <c r="AA13" t="s">
        <v>25</v>
      </c>
      <c r="AB13" t="s">
        <v>26</v>
      </c>
      <c r="AC13" t="s">
        <v>27</v>
      </c>
      <c r="AD13" t="s">
        <v>28</v>
      </c>
      <c r="AE13" t="s">
        <v>25</v>
      </c>
      <c r="AF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9.0909090909090905E-3</v>
      </c>
      <c r="AG13" t="s">
        <v>942</v>
      </c>
      <c r="AH13">
        <v>86.5</v>
      </c>
      <c r="AI13" t="s">
        <v>939</v>
      </c>
      <c r="AJ13">
        <v>2</v>
      </c>
      <c r="AK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MIN(AJ13/8, 1) +
  Merge1[[#This Row],[index_defensive_effort]],
  2
)</f>
        <v>0.76</v>
      </c>
    </row>
    <row r="14" spans="1:38" x14ac:dyDescent="0.25">
      <c r="A14" t="s">
        <v>155</v>
      </c>
      <c r="B14" t="s">
        <v>156</v>
      </c>
      <c r="C14">
        <v>25</v>
      </c>
      <c r="D14" t="s">
        <v>22</v>
      </c>
      <c r="E14">
        <v>71</v>
      </c>
      <c r="F14">
        <v>200</v>
      </c>
      <c r="G14" t="s">
        <v>157</v>
      </c>
      <c r="H14">
        <v>2020</v>
      </c>
      <c r="I14" t="s">
        <v>33</v>
      </c>
      <c r="J14">
        <v>13</v>
      </c>
      <c r="K14">
        <v>5</v>
      </c>
      <c r="L14">
        <v>2</v>
      </c>
      <c r="M14">
        <v>0</v>
      </c>
      <c r="N14">
        <v>2</v>
      </c>
      <c r="O14">
        <v>4</v>
      </c>
      <c r="P14">
        <v>4</v>
      </c>
      <c r="Q14">
        <v>0</v>
      </c>
      <c r="R14">
        <v>0</v>
      </c>
      <c r="S14">
        <v>29</v>
      </c>
      <c r="T14">
        <v>11</v>
      </c>
      <c r="U14" s="5">
        <f>IF(Merge1[[#This Row],[team_defense_snaps]]=0, "", Merge1[[#This Row],[defense_snaps]] / Merge1[[#This Row],[team_defense_snaps]])</f>
        <v>0.15942028985507245</v>
      </c>
      <c r="V14">
        <v>69</v>
      </c>
      <c r="W14">
        <v>18</v>
      </c>
      <c r="X14" s="5" t="s">
        <v>80</v>
      </c>
      <c r="Y14">
        <v>2</v>
      </c>
      <c r="Z14">
        <v>0</v>
      </c>
      <c r="AA14" t="s">
        <v>25</v>
      </c>
      <c r="AB14" t="s">
        <v>26</v>
      </c>
      <c r="AC14" t="s">
        <v>27</v>
      </c>
      <c r="AD14" t="s">
        <v>28</v>
      </c>
      <c r="AE14" t="s">
        <v>25</v>
      </c>
      <c r="AF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0.89655172413793105</v>
      </c>
      <c r="AG14" t="s">
        <v>942</v>
      </c>
      <c r="AH14">
        <v>70</v>
      </c>
      <c r="AI14" t="s">
        <v>939</v>
      </c>
      <c r="AJ14">
        <v>3</v>
      </c>
      <c r="AK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MIN(AJ14/8, 1) +
  Merge1[[#This Row],[index_defensive_effort]],
  2
)</f>
        <v>1.77</v>
      </c>
    </row>
    <row r="15" spans="1:38" x14ac:dyDescent="0.25">
      <c r="A15" t="s">
        <v>155</v>
      </c>
      <c r="B15" t="s">
        <v>156</v>
      </c>
      <c r="C15">
        <v>25</v>
      </c>
      <c r="D15" t="s">
        <v>22</v>
      </c>
      <c r="E15">
        <v>71</v>
      </c>
      <c r="F15">
        <v>200</v>
      </c>
      <c r="G15" t="s">
        <v>157</v>
      </c>
      <c r="H15">
        <v>2020</v>
      </c>
      <c r="I15" t="s">
        <v>33</v>
      </c>
      <c r="J15">
        <v>15</v>
      </c>
      <c r="K15">
        <v>1</v>
      </c>
      <c r="L15">
        <v>3</v>
      </c>
      <c r="M15">
        <v>3</v>
      </c>
      <c r="N15">
        <v>6</v>
      </c>
      <c r="O15">
        <v>0</v>
      </c>
      <c r="P15">
        <v>0</v>
      </c>
      <c r="Q15">
        <v>0</v>
      </c>
      <c r="R15">
        <v>0</v>
      </c>
      <c r="S15">
        <v>51</v>
      </c>
      <c r="T15">
        <v>43</v>
      </c>
      <c r="U15" s="5">
        <f>IF(Merge1[[#This Row],[team_defense_snaps]]=0, "", Merge1[[#This Row],[defense_snaps]] / Merge1[[#This Row],[team_defense_snaps]])</f>
        <v>0.78181818181818186</v>
      </c>
      <c r="V15">
        <v>55</v>
      </c>
      <c r="W15">
        <v>8</v>
      </c>
      <c r="X15" s="5" t="s">
        <v>70</v>
      </c>
      <c r="Y15">
        <v>2</v>
      </c>
      <c r="Z15">
        <v>0</v>
      </c>
      <c r="AA15" t="s">
        <v>25</v>
      </c>
      <c r="AB15" t="s">
        <v>26</v>
      </c>
      <c r="AC15" t="s">
        <v>27</v>
      </c>
      <c r="AD15" t="s">
        <v>28</v>
      </c>
      <c r="AE15" t="s">
        <v>25</v>
      </c>
      <c r="AF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7.8431372549019607E-2</v>
      </c>
      <c r="AG15" t="s">
        <v>942</v>
      </c>
      <c r="AH15">
        <v>65.5</v>
      </c>
      <c r="AI15" t="s">
        <v>939</v>
      </c>
      <c r="AJ15">
        <v>1</v>
      </c>
      <c r="AK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MIN(AJ15/8, 1) +
  Merge1[[#This Row],[index_defensive_effort]],
  2
)</f>
        <v>0.7</v>
      </c>
    </row>
    <row r="16" spans="1:38" x14ac:dyDescent="0.25">
      <c r="A16" t="s">
        <v>155</v>
      </c>
      <c r="B16" t="s">
        <v>156</v>
      </c>
      <c r="C16">
        <v>25</v>
      </c>
      <c r="D16" t="s">
        <v>22</v>
      </c>
      <c r="E16">
        <v>71</v>
      </c>
      <c r="F16">
        <v>200</v>
      </c>
      <c r="G16" t="s">
        <v>157</v>
      </c>
      <c r="H16">
        <v>2020</v>
      </c>
      <c r="I16" t="s">
        <v>33</v>
      </c>
      <c r="J16">
        <v>16</v>
      </c>
      <c r="K16">
        <v>2</v>
      </c>
      <c r="L16">
        <v>1</v>
      </c>
      <c r="M16">
        <v>0</v>
      </c>
      <c r="N16">
        <v>1</v>
      </c>
      <c r="O16">
        <v>0</v>
      </c>
      <c r="P16">
        <v>1</v>
      </c>
      <c r="Q16">
        <v>0</v>
      </c>
      <c r="R16">
        <v>0</v>
      </c>
      <c r="S16">
        <v>86</v>
      </c>
      <c r="T16">
        <v>76</v>
      </c>
      <c r="U16" s="5">
        <f>IF(Merge1[[#This Row],[team_defense_snaps]]=0, "", Merge1[[#This Row],[defense_snaps]] / Merge1[[#This Row],[team_defense_snaps]])</f>
        <v>1</v>
      </c>
      <c r="V16">
        <v>76</v>
      </c>
      <c r="W16">
        <v>10</v>
      </c>
      <c r="X16" s="5" t="s">
        <v>314</v>
      </c>
      <c r="Y16">
        <v>2</v>
      </c>
      <c r="Z16">
        <v>0</v>
      </c>
      <c r="AA16" t="s">
        <v>25</v>
      </c>
      <c r="AB16" t="s">
        <v>26</v>
      </c>
      <c r="AC16" t="s">
        <v>27</v>
      </c>
      <c r="AD16" t="s">
        <v>42</v>
      </c>
      <c r="AE16" t="s">
        <v>25</v>
      </c>
      <c r="AF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5.232558139534884E-2</v>
      </c>
      <c r="AG16" t="s">
        <v>942</v>
      </c>
      <c r="AH16">
        <v>73</v>
      </c>
      <c r="AI16" t="s">
        <v>939</v>
      </c>
      <c r="AJ16">
        <v>2</v>
      </c>
      <c r="AK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MIN(AJ16/8, 1) +
  Merge1[[#This Row],[index_defensive_effort]],
  2
)</f>
        <v>0.8</v>
      </c>
    </row>
    <row r="17" spans="1:37" x14ac:dyDescent="0.25">
      <c r="A17" t="s">
        <v>155</v>
      </c>
      <c r="B17" t="s">
        <v>156</v>
      </c>
      <c r="C17">
        <v>25</v>
      </c>
      <c r="D17" t="s">
        <v>22</v>
      </c>
      <c r="E17">
        <v>71</v>
      </c>
      <c r="F17">
        <v>200</v>
      </c>
      <c r="G17" t="s">
        <v>157</v>
      </c>
      <c r="H17">
        <v>2020</v>
      </c>
      <c r="I17" t="s">
        <v>33</v>
      </c>
      <c r="J17">
        <v>17</v>
      </c>
      <c r="K17">
        <v>4</v>
      </c>
      <c r="L17">
        <v>6</v>
      </c>
      <c r="M17">
        <v>1</v>
      </c>
      <c r="N17">
        <v>7</v>
      </c>
      <c r="O17">
        <v>0</v>
      </c>
      <c r="P17">
        <v>1</v>
      </c>
      <c r="Q17">
        <v>0</v>
      </c>
      <c r="R17">
        <v>2</v>
      </c>
      <c r="S17">
        <v>86</v>
      </c>
      <c r="T17">
        <v>70</v>
      </c>
      <c r="U17" s="5">
        <f>IF(Merge1[[#This Row],[team_defense_snaps]]=0, "", Merge1[[#This Row],[defense_snaps]] / Merge1[[#This Row],[team_defense_snaps]])</f>
        <v>0.9859154929577465</v>
      </c>
      <c r="V17">
        <v>71</v>
      </c>
      <c r="W17">
        <v>16</v>
      </c>
      <c r="X17" s="5" t="s">
        <v>200</v>
      </c>
      <c r="Y17">
        <v>2</v>
      </c>
      <c r="Z17">
        <v>0</v>
      </c>
      <c r="AA17" t="s">
        <v>25</v>
      </c>
      <c r="AB17" t="s">
        <v>26</v>
      </c>
      <c r="AC17" t="s">
        <v>27</v>
      </c>
      <c r="AD17" t="s">
        <v>42</v>
      </c>
      <c r="AE17" t="s">
        <v>25</v>
      </c>
      <c r="AF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0.15697674418604651</v>
      </c>
      <c r="AG17" t="s">
        <v>942</v>
      </c>
      <c r="AH17">
        <v>85</v>
      </c>
      <c r="AI17" t="s">
        <v>939</v>
      </c>
      <c r="AJ17">
        <v>3</v>
      </c>
      <c r="AK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MIN(AJ17/8, 1) +
  Merge1[[#This Row],[index_defensive_effort]],
  2
)</f>
        <v>1.03</v>
      </c>
    </row>
    <row r="18" spans="1:37" x14ac:dyDescent="0.25">
      <c r="A18" t="s">
        <v>171</v>
      </c>
      <c r="B18" t="s">
        <v>172</v>
      </c>
      <c r="C18">
        <v>22</v>
      </c>
      <c r="D18" t="s">
        <v>56</v>
      </c>
      <c r="E18">
        <v>73</v>
      </c>
      <c r="F18">
        <v>200</v>
      </c>
      <c r="G18" t="s">
        <v>173</v>
      </c>
      <c r="H18">
        <v>2020</v>
      </c>
      <c r="I18" t="s">
        <v>33</v>
      </c>
      <c r="J18">
        <v>1</v>
      </c>
      <c r="K18">
        <v>5</v>
      </c>
      <c r="L18">
        <v>1</v>
      </c>
      <c r="M18">
        <v>0</v>
      </c>
      <c r="N18">
        <v>1</v>
      </c>
      <c r="O18">
        <v>0</v>
      </c>
      <c r="P18">
        <v>1</v>
      </c>
      <c r="Q18">
        <v>0</v>
      </c>
      <c r="R18">
        <v>0</v>
      </c>
      <c r="S18">
        <v>6</v>
      </c>
      <c r="T18">
        <v>0</v>
      </c>
      <c r="U18" s="5">
        <f>IF(Merge1[[#This Row],[team_defense_snaps]]=0, "", Merge1[[#This Row],[defense_snaps]] / Merge1[[#This Row],[team_defense_snaps]])</f>
        <v>0</v>
      </c>
      <c r="V18">
        <v>62</v>
      </c>
      <c r="W18">
        <v>6</v>
      </c>
      <c r="X18" s="5" t="s">
        <v>293</v>
      </c>
      <c r="Y18">
        <v>0</v>
      </c>
      <c r="Z18">
        <v>0</v>
      </c>
      <c r="AA18" t="s">
        <v>25</v>
      </c>
      <c r="AB18" t="s">
        <v>26</v>
      </c>
      <c r="AC18" t="s">
        <v>27</v>
      </c>
      <c r="AD18" t="s">
        <v>42</v>
      </c>
      <c r="AE18" t="s">
        <v>25</v>
      </c>
      <c r="AF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18" t="s">
        <v>942</v>
      </c>
      <c r="AH18">
        <v>67.5</v>
      </c>
      <c r="AI18" t="s">
        <v>939</v>
      </c>
      <c r="AJ18">
        <v>1</v>
      </c>
      <c r="AK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MIN(AJ18/8, 1) +
  Merge1[[#This Row],[index_defensive_effort]],
  2
)</f>
        <v>1.53</v>
      </c>
    </row>
    <row r="19" spans="1:37" x14ac:dyDescent="0.25">
      <c r="A19" t="s">
        <v>171</v>
      </c>
      <c r="B19" t="s">
        <v>172</v>
      </c>
      <c r="C19">
        <v>22</v>
      </c>
      <c r="D19" t="s">
        <v>56</v>
      </c>
      <c r="E19">
        <v>73</v>
      </c>
      <c r="F19">
        <v>200</v>
      </c>
      <c r="G19" t="s">
        <v>173</v>
      </c>
      <c r="H19">
        <v>2020</v>
      </c>
      <c r="I19" t="s">
        <v>33</v>
      </c>
      <c r="J19">
        <v>2</v>
      </c>
      <c r="K19">
        <v>4</v>
      </c>
      <c r="L19">
        <v>1</v>
      </c>
      <c r="M19">
        <v>0</v>
      </c>
      <c r="N19">
        <v>1</v>
      </c>
      <c r="O19">
        <v>0</v>
      </c>
      <c r="P19">
        <v>2</v>
      </c>
      <c r="Q19">
        <v>0</v>
      </c>
      <c r="R19">
        <v>0</v>
      </c>
      <c r="S19">
        <v>6</v>
      </c>
      <c r="T19">
        <v>0</v>
      </c>
      <c r="U19" s="5">
        <f>IF(Merge1[[#This Row],[team_defense_snaps]]=0, "", Merge1[[#This Row],[defense_snaps]] / Merge1[[#This Row],[team_defense_snaps]])</f>
        <v>0</v>
      </c>
      <c r="V19">
        <v>83</v>
      </c>
      <c r="W19">
        <v>6</v>
      </c>
      <c r="X19" s="5" t="s">
        <v>124</v>
      </c>
      <c r="Y19">
        <v>0</v>
      </c>
      <c r="Z19">
        <v>0</v>
      </c>
      <c r="AA19" t="s">
        <v>25</v>
      </c>
      <c r="AB19" t="s">
        <v>26</v>
      </c>
      <c r="AC19" t="s">
        <v>27</v>
      </c>
      <c r="AD19" t="s">
        <v>42</v>
      </c>
      <c r="AE19" t="s">
        <v>25</v>
      </c>
      <c r="AF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19" t="s">
        <v>942</v>
      </c>
      <c r="AH19">
        <v>58.5</v>
      </c>
      <c r="AI19" t="s">
        <v>939</v>
      </c>
      <c r="AJ19">
        <v>2</v>
      </c>
      <c r="AK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MIN(AJ19/8, 1) +
  Merge1[[#This Row],[index_defensive_effort]],
  2
)</f>
        <v>1.65</v>
      </c>
    </row>
    <row r="20" spans="1:37" x14ac:dyDescent="0.25">
      <c r="A20" t="s">
        <v>171</v>
      </c>
      <c r="B20" t="s">
        <v>172</v>
      </c>
      <c r="C20">
        <v>22</v>
      </c>
      <c r="D20" t="s">
        <v>56</v>
      </c>
      <c r="E20">
        <v>73</v>
      </c>
      <c r="F20">
        <v>200</v>
      </c>
      <c r="G20" t="s">
        <v>173</v>
      </c>
      <c r="H20">
        <v>2020</v>
      </c>
      <c r="I20" t="s">
        <v>33</v>
      </c>
      <c r="J20">
        <v>5</v>
      </c>
      <c r="K20">
        <v>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5</v>
      </c>
      <c r="T20">
        <v>0</v>
      </c>
      <c r="U20" s="5">
        <f>IF(Merge1[[#This Row],[team_defense_snaps]]=0, "", Merge1[[#This Row],[defense_snaps]] / Merge1[[#This Row],[team_defense_snaps]])</f>
        <v>0</v>
      </c>
      <c r="V20">
        <v>66</v>
      </c>
      <c r="W20">
        <v>5</v>
      </c>
      <c r="X20" s="5" t="s">
        <v>59</v>
      </c>
      <c r="Y20">
        <v>0</v>
      </c>
      <c r="Z20">
        <v>0</v>
      </c>
      <c r="AA20" t="s">
        <v>25</v>
      </c>
      <c r="AB20" t="s">
        <v>26</v>
      </c>
      <c r="AC20" t="s">
        <v>27</v>
      </c>
      <c r="AD20" t="s">
        <v>42</v>
      </c>
      <c r="AE20" t="s">
        <v>25</v>
      </c>
      <c r="AF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</v>
      </c>
      <c r="AG20" t="s">
        <v>942</v>
      </c>
      <c r="AH20">
        <v>61.5</v>
      </c>
      <c r="AI20" t="s">
        <v>939</v>
      </c>
      <c r="AJ20">
        <v>1</v>
      </c>
      <c r="AK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MIN(AJ20/8, 1) +
  Merge1[[#This Row],[index_defensive_effort]],
  2
)</f>
        <v>1.1299999999999999</v>
      </c>
    </row>
    <row r="21" spans="1:37" x14ac:dyDescent="0.25">
      <c r="A21" t="s">
        <v>171</v>
      </c>
      <c r="B21" t="s">
        <v>172</v>
      </c>
      <c r="C21">
        <v>22</v>
      </c>
      <c r="D21" t="s">
        <v>56</v>
      </c>
      <c r="E21">
        <v>73</v>
      </c>
      <c r="F21">
        <v>200</v>
      </c>
      <c r="G21" t="s">
        <v>173</v>
      </c>
      <c r="H21">
        <v>2020</v>
      </c>
      <c r="I21" t="s">
        <v>33</v>
      </c>
      <c r="J21">
        <v>6</v>
      </c>
      <c r="K21">
        <v>6</v>
      </c>
      <c r="L21">
        <v>1</v>
      </c>
      <c r="M21">
        <v>0</v>
      </c>
      <c r="N21">
        <v>1</v>
      </c>
      <c r="O21">
        <v>0</v>
      </c>
      <c r="P21">
        <v>2</v>
      </c>
      <c r="Q21">
        <v>2</v>
      </c>
      <c r="R21">
        <v>0</v>
      </c>
      <c r="S21">
        <v>4</v>
      </c>
      <c r="T21">
        <v>0</v>
      </c>
      <c r="U21" s="5">
        <f>IF(Merge1[[#This Row],[team_defense_snaps]]=0, "", Merge1[[#This Row],[defense_snaps]] / Merge1[[#This Row],[team_defense_snaps]])</f>
        <v>0</v>
      </c>
      <c r="V21">
        <v>56</v>
      </c>
      <c r="W21">
        <v>4</v>
      </c>
      <c r="X21" s="5" t="s">
        <v>212</v>
      </c>
      <c r="Y21">
        <v>0</v>
      </c>
      <c r="Z21">
        <v>0</v>
      </c>
      <c r="AA21" t="s">
        <v>25</v>
      </c>
      <c r="AB21" t="s">
        <v>26</v>
      </c>
      <c r="AC21" t="s">
        <v>27</v>
      </c>
      <c r="AD21" t="s">
        <v>42</v>
      </c>
      <c r="AE21" t="s">
        <v>25</v>
      </c>
      <c r="AF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21" t="s">
        <v>942</v>
      </c>
      <c r="AH21">
        <v>70.5</v>
      </c>
      <c r="AI21" t="s">
        <v>939</v>
      </c>
      <c r="AJ21">
        <v>2</v>
      </c>
      <c r="AK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MIN(AJ21/8, 1) +
  Merge1[[#This Row],[index_defensive_effort]],
  2
)</f>
        <v>1.65</v>
      </c>
    </row>
    <row r="22" spans="1:37" x14ac:dyDescent="0.25">
      <c r="A22" t="s">
        <v>171</v>
      </c>
      <c r="B22" t="s">
        <v>172</v>
      </c>
      <c r="C22">
        <v>22</v>
      </c>
      <c r="D22" t="s">
        <v>56</v>
      </c>
      <c r="E22">
        <v>73</v>
      </c>
      <c r="F22">
        <v>200</v>
      </c>
      <c r="G22" t="s">
        <v>173</v>
      </c>
      <c r="H22">
        <v>2020</v>
      </c>
      <c r="I22" t="s">
        <v>33</v>
      </c>
      <c r="J22">
        <v>7</v>
      </c>
      <c r="K22">
        <v>1</v>
      </c>
      <c r="L22">
        <v>3</v>
      </c>
      <c r="M22">
        <v>0</v>
      </c>
      <c r="N22">
        <v>3</v>
      </c>
      <c r="O22">
        <v>0</v>
      </c>
      <c r="P22">
        <v>0</v>
      </c>
      <c r="Q22">
        <v>0</v>
      </c>
      <c r="R22">
        <v>0</v>
      </c>
      <c r="S22">
        <v>8</v>
      </c>
      <c r="T22">
        <v>0</v>
      </c>
      <c r="U22" s="5">
        <f>IF(Merge1[[#This Row],[team_defense_snaps]]=0, "", Merge1[[#This Row],[defense_snaps]] / Merge1[[#This Row],[team_defense_snaps]])</f>
        <v>0</v>
      </c>
      <c r="V22">
        <v>61</v>
      </c>
      <c r="W22">
        <v>8</v>
      </c>
      <c r="X22" s="5" t="s">
        <v>70</v>
      </c>
      <c r="Y22">
        <v>0</v>
      </c>
      <c r="Z22">
        <v>0</v>
      </c>
      <c r="AA22" t="s">
        <v>25</v>
      </c>
      <c r="AB22" t="s">
        <v>26</v>
      </c>
      <c r="AC22" t="s">
        <v>27</v>
      </c>
      <c r="AD22" t="s">
        <v>42</v>
      </c>
      <c r="AE22" t="s">
        <v>25</v>
      </c>
      <c r="AF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0.3125</v>
      </c>
      <c r="AG22" t="s">
        <v>942</v>
      </c>
      <c r="AH22">
        <v>76.5</v>
      </c>
      <c r="AI22" t="s">
        <v>939</v>
      </c>
      <c r="AJ22">
        <v>3</v>
      </c>
      <c r="AK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MIN(AJ22/8, 1) +
  Merge1[[#This Row],[index_defensive_effort]],
  2
)</f>
        <v>1.0900000000000001</v>
      </c>
    </row>
    <row r="23" spans="1:37" x14ac:dyDescent="0.25">
      <c r="A23" t="s">
        <v>171</v>
      </c>
      <c r="B23" t="s">
        <v>172</v>
      </c>
      <c r="C23">
        <v>22</v>
      </c>
      <c r="D23" t="s">
        <v>56</v>
      </c>
      <c r="E23">
        <v>73</v>
      </c>
      <c r="F23">
        <v>200</v>
      </c>
      <c r="G23" t="s">
        <v>173</v>
      </c>
      <c r="H23">
        <v>2020</v>
      </c>
      <c r="I23" t="s">
        <v>33</v>
      </c>
      <c r="J23">
        <v>8</v>
      </c>
      <c r="K23">
        <v>4</v>
      </c>
      <c r="L23">
        <v>1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4</v>
      </c>
      <c r="T23">
        <v>0</v>
      </c>
      <c r="U23" s="5">
        <f>IF(Merge1[[#This Row],[team_defense_snaps]]=0, "", Merge1[[#This Row],[defense_snaps]] / Merge1[[#This Row],[team_defense_snaps]])</f>
        <v>0</v>
      </c>
      <c r="V23">
        <v>54</v>
      </c>
      <c r="W23">
        <v>4</v>
      </c>
      <c r="X23" s="5" t="s">
        <v>124</v>
      </c>
      <c r="Y23">
        <v>0</v>
      </c>
      <c r="Z23">
        <v>0</v>
      </c>
      <c r="AA23" t="s">
        <v>25</v>
      </c>
      <c r="AB23" t="s">
        <v>26</v>
      </c>
      <c r="AC23" t="s">
        <v>27</v>
      </c>
      <c r="AD23" t="s">
        <v>42</v>
      </c>
      <c r="AE23" t="s">
        <v>25</v>
      </c>
      <c r="AF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23" t="s">
        <v>942</v>
      </c>
      <c r="AH23">
        <v>63</v>
      </c>
      <c r="AI23" t="s">
        <v>939</v>
      </c>
      <c r="AJ23">
        <v>4</v>
      </c>
      <c r="AK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MIN(AJ23/8, 1) +
  Merge1[[#This Row],[index_defensive_effort]],
  2
)</f>
        <v>1.9</v>
      </c>
    </row>
    <row r="24" spans="1:37" x14ac:dyDescent="0.25">
      <c r="A24" t="s">
        <v>171</v>
      </c>
      <c r="B24" t="s">
        <v>172</v>
      </c>
      <c r="C24">
        <v>22</v>
      </c>
      <c r="D24" t="s">
        <v>56</v>
      </c>
      <c r="E24">
        <v>73</v>
      </c>
      <c r="F24">
        <v>200</v>
      </c>
      <c r="G24" t="s">
        <v>173</v>
      </c>
      <c r="H24">
        <v>2020</v>
      </c>
      <c r="I24" t="s">
        <v>33</v>
      </c>
      <c r="J24">
        <v>9</v>
      </c>
      <c r="K24">
        <v>2</v>
      </c>
      <c r="L24">
        <v>3</v>
      </c>
      <c r="M24">
        <v>0</v>
      </c>
      <c r="N24">
        <v>3</v>
      </c>
      <c r="O24">
        <v>0</v>
      </c>
      <c r="P24">
        <v>0</v>
      </c>
      <c r="Q24">
        <v>0</v>
      </c>
      <c r="R24">
        <v>0</v>
      </c>
      <c r="S24">
        <v>11</v>
      </c>
      <c r="T24">
        <v>0</v>
      </c>
      <c r="U24" s="5">
        <f>IF(Merge1[[#This Row],[team_defense_snaps]]=0, "", Merge1[[#This Row],[defense_snaps]] / Merge1[[#This Row],[team_defense_snaps]])</f>
        <v>0</v>
      </c>
      <c r="V24">
        <v>100</v>
      </c>
      <c r="W24">
        <v>11</v>
      </c>
      <c r="X24" s="5" t="s">
        <v>123</v>
      </c>
      <c r="Y24">
        <v>0</v>
      </c>
      <c r="Z24">
        <v>0</v>
      </c>
      <c r="AA24" t="s">
        <v>25</v>
      </c>
      <c r="AB24" t="s">
        <v>26</v>
      </c>
      <c r="AC24" t="s">
        <v>27</v>
      </c>
      <c r="AD24" t="s">
        <v>42</v>
      </c>
      <c r="AE24" t="s">
        <v>25</v>
      </c>
      <c r="AF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0.31818181818181818</v>
      </c>
      <c r="AG24" t="s">
        <v>942</v>
      </c>
      <c r="AH24">
        <v>57</v>
      </c>
      <c r="AI24" t="s">
        <v>939</v>
      </c>
      <c r="AJ24">
        <v>5</v>
      </c>
      <c r="AK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MIN(AJ24/8, 1) +
  Merge1[[#This Row],[index_defensive_effort]],
  2
)</f>
        <v>1.34</v>
      </c>
    </row>
    <row r="25" spans="1:37" x14ac:dyDescent="0.25">
      <c r="A25" t="s">
        <v>171</v>
      </c>
      <c r="B25" t="s">
        <v>172</v>
      </c>
      <c r="C25">
        <v>22</v>
      </c>
      <c r="D25" t="s">
        <v>56</v>
      </c>
      <c r="E25">
        <v>73</v>
      </c>
      <c r="F25">
        <v>200</v>
      </c>
      <c r="G25" t="s">
        <v>173</v>
      </c>
      <c r="H25">
        <v>2020</v>
      </c>
      <c r="I25" t="s">
        <v>33</v>
      </c>
      <c r="J25">
        <v>11</v>
      </c>
      <c r="K25">
        <v>5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2</v>
      </c>
      <c r="S25">
        <v>7</v>
      </c>
      <c r="T25">
        <v>0</v>
      </c>
      <c r="U25" s="5">
        <f>IF(Merge1[[#This Row],[team_defense_snaps]]=0, "", Merge1[[#This Row],[defense_snaps]] / Merge1[[#This Row],[team_defense_snaps]])</f>
        <v>0</v>
      </c>
      <c r="V25">
        <v>68</v>
      </c>
      <c r="W25">
        <v>7</v>
      </c>
      <c r="X25" s="5" t="s">
        <v>136</v>
      </c>
      <c r="Y25">
        <v>0</v>
      </c>
      <c r="Z25">
        <v>0</v>
      </c>
      <c r="AA25" t="s">
        <v>25</v>
      </c>
      <c r="AB25" t="s">
        <v>26</v>
      </c>
      <c r="AC25" t="s">
        <v>27</v>
      </c>
      <c r="AD25" t="s">
        <v>42</v>
      </c>
      <c r="AE25" t="s">
        <v>25</v>
      </c>
      <c r="AF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25" t="s">
        <v>942</v>
      </c>
      <c r="AH25">
        <v>66</v>
      </c>
      <c r="AI25" t="s">
        <v>939</v>
      </c>
      <c r="AJ25">
        <v>1</v>
      </c>
      <c r="AK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MIN(AJ25/8, 1) +
  Merge1[[#This Row],[index_defensive_effort]],
  2
)</f>
        <v>1.53</v>
      </c>
    </row>
    <row r="26" spans="1:37" x14ac:dyDescent="0.25">
      <c r="A26" t="s">
        <v>171</v>
      </c>
      <c r="B26" t="s">
        <v>172</v>
      </c>
      <c r="C26">
        <v>22</v>
      </c>
      <c r="D26" t="s">
        <v>56</v>
      </c>
      <c r="E26">
        <v>73</v>
      </c>
      <c r="F26">
        <v>200</v>
      </c>
      <c r="G26" t="s">
        <v>173</v>
      </c>
      <c r="H26">
        <v>2020</v>
      </c>
      <c r="I26" t="s">
        <v>33</v>
      </c>
      <c r="J26">
        <v>12</v>
      </c>
      <c r="K26">
        <v>4</v>
      </c>
      <c r="L26">
        <v>1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2</v>
      </c>
      <c r="T26">
        <v>0</v>
      </c>
      <c r="U26" s="5">
        <f>IF(Merge1[[#This Row],[team_defense_snaps]]=0, "", Merge1[[#This Row],[defense_snaps]] / Merge1[[#This Row],[team_defense_snaps]])</f>
        <v>0</v>
      </c>
      <c r="V26">
        <v>63</v>
      </c>
      <c r="W26">
        <v>2</v>
      </c>
      <c r="X26" s="5" t="s">
        <v>114</v>
      </c>
      <c r="Y26">
        <v>0</v>
      </c>
      <c r="Z26">
        <v>0</v>
      </c>
      <c r="AA26" t="s">
        <v>25</v>
      </c>
      <c r="AB26" t="s">
        <v>26</v>
      </c>
      <c r="AC26" t="s">
        <v>27</v>
      </c>
      <c r="AD26" t="s">
        <v>42</v>
      </c>
      <c r="AE26" t="s">
        <v>25</v>
      </c>
      <c r="AF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26" t="s">
        <v>942</v>
      </c>
      <c r="AH26">
        <v>78</v>
      </c>
      <c r="AI26" t="s">
        <v>939</v>
      </c>
      <c r="AJ26">
        <v>2</v>
      </c>
      <c r="AK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MIN(AJ26/8, 1) +
  Merge1[[#This Row],[index_defensive_effort]],
  2
)</f>
        <v>1.65</v>
      </c>
    </row>
    <row r="27" spans="1:37" x14ac:dyDescent="0.25">
      <c r="A27" t="s">
        <v>171</v>
      </c>
      <c r="B27" t="s">
        <v>172</v>
      </c>
      <c r="C27">
        <v>22</v>
      </c>
      <c r="D27" t="s">
        <v>56</v>
      </c>
      <c r="E27">
        <v>73</v>
      </c>
      <c r="F27">
        <v>200</v>
      </c>
      <c r="G27" t="s">
        <v>173</v>
      </c>
      <c r="H27">
        <v>2020</v>
      </c>
      <c r="I27" t="s">
        <v>33</v>
      </c>
      <c r="J27">
        <v>13</v>
      </c>
      <c r="K27">
        <v>8</v>
      </c>
      <c r="L27">
        <v>2</v>
      </c>
      <c r="M27">
        <v>1</v>
      </c>
      <c r="N27">
        <v>3</v>
      </c>
      <c r="O27">
        <v>0</v>
      </c>
      <c r="P27">
        <v>0</v>
      </c>
      <c r="Q27">
        <v>0</v>
      </c>
      <c r="R27">
        <v>2</v>
      </c>
      <c r="S27">
        <v>6</v>
      </c>
      <c r="T27">
        <v>0</v>
      </c>
      <c r="U27" s="5">
        <f>IF(Merge1[[#This Row],[team_defense_snaps]]=0, "", Merge1[[#This Row],[defense_snaps]] / Merge1[[#This Row],[team_defense_snaps]])</f>
        <v>0</v>
      </c>
      <c r="V27">
        <v>78</v>
      </c>
      <c r="W27">
        <v>6</v>
      </c>
      <c r="X27" s="5" t="s">
        <v>132</v>
      </c>
      <c r="Y27">
        <v>0</v>
      </c>
      <c r="Z27">
        <v>0</v>
      </c>
      <c r="AA27" t="s">
        <v>25</v>
      </c>
      <c r="AB27" t="s">
        <v>26</v>
      </c>
      <c r="AC27" t="s">
        <v>27</v>
      </c>
      <c r="AD27" t="s">
        <v>42</v>
      </c>
      <c r="AE27" t="s">
        <v>25</v>
      </c>
      <c r="AF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27" t="s">
        <v>942</v>
      </c>
      <c r="AH27">
        <v>60</v>
      </c>
      <c r="AI27" t="s">
        <v>939</v>
      </c>
      <c r="AJ27">
        <v>3</v>
      </c>
      <c r="AK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MIN(AJ27/8, 1) +
  Merge1[[#This Row],[index_defensive_effort]],
  2
)</f>
        <v>1.78</v>
      </c>
    </row>
    <row r="28" spans="1:37" x14ac:dyDescent="0.25">
      <c r="A28" t="s">
        <v>171</v>
      </c>
      <c r="B28" t="s">
        <v>172</v>
      </c>
      <c r="C28">
        <v>22</v>
      </c>
      <c r="D28" t="s">
        <v>56</v>
      </c>
      <c r="E28">
        <v>73</v>
      </c>
      <c r="F28">
        <v>200</v>
      </c>
      <c r="G28" t="s">
        <v>173</v>
      </c>
      <c r="H28">
        <v>2020</v>
      </c>
      <c r="I28" t="s">
        <v>33</v>
      </c>
      <c r="J28">
        <v>14</v>
      </c>
      <c r="K28">
        <v>11</v>
      </c>
      <c r="L28">
        <v>2</v>
      </c>
      <c r="M28">
        <v>2</v>
      </c>
      <c r="N28">
        <v>4</v>
      </c>
      <c r="O28">
        <v>0</v>
      </c>
      <c r="P28">
        <v>0</v>
      </c>
      <c r="Q28">
        <v>0</v>
      </c>
      <c r="R28">
        <v>2</v>
      </c>
      <c r="S28">
        <v>5</v>
      </c>
      <c r="T28">
        <v>0</v>
      </c>
      <c r="U28" s="5">
        <f>IF(Merge1[[#This Row],[team_defense_snaps]]=0, "", Merge1[[#This Row],[defense_snaps]] / Merge1[[#This Row],[team_defense_snaps]])</f>
        <v>0</v>
      </c>
      <c r="V28">
        <v>73</v>
      </c>
      <c r="W28">
        <v>5</v>
      </c>
      <c r="X28" s="5" t="s">
        <v>133</v>
      </c>
      <c r="Y28">
        <v>0</v>
      </c>
      <c r="Z28">
        <v>0</v>
      </c>
      <c r="AA28" t="s">
        <v>25</v>
      </c>
      <c r="AB28" t="s">
        <v>26</v>
      </c>
      <c r="AC28" t="s">
        <v>27</v>
      </c>
      <c r="AD28" t="s">
        <v>42</v>
      </c>
      <c r="AE28" t="s">
        <v>25</v>
      </c>
      <c r="AF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28" t="s">
        <v>942</v>
      </c>
      <c r="AH28">
        <v>69</v>
      </c>
      <c r="AI28" t="s">
        <v>939</v>
      </c>
      <c r="AJ28">
        <v>4</v>
      </c>
      <c r="AK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MIN(AJ28/8, 1) +
  Merge1[[#This Row],[index_defensive_effort]],
  2
)</f>
        <v>1.9</v>
      </c>
    </row>
    <row r="29" spans="1:37" x14ac:dyDescent="0.25">
      <c r="A29" t="s">
        <v>171</v>
      </c>
      <c r="B29" t="s">
        <v>172</v>
      </c>
      <c r="C29">
        <v>22</v>
      </c>
      <c r="D29" t="s">
        <v>56</v>
      </c>
      <c r="E29">
        <v>73</v>
      </c>
      <c r="F29">
        <v>200</v>
      </c>
      <c r="G29" t="s">
        <v>173</v>
      </c>
      <c r="H29">
        <v>2020</v>
      </c>
      <c r="I29" t="s">
        <v>33</v>
      </c>
      <c r="J29">
        <v>15</v>
      </c>
      <c r="K29">
        <v>5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7</v>
      </c>
      <c r="T29">
        <v>0</v>
      </c>
      <c r="U29" s="5">
        <f>IF(Merge1[[#This Row],[team_defense_snaps]]=0, "", Merge1[[#This Row],[defense_snaps]] / Merge1[[#This Row],[team_defense_snaps]])</f>
        <v>0</v>
      </c>
      <c r="V29">
        <v>71</v>
      </c>
      <c r="W29">
        <v>7</v>
      </c>
      <c r="X29" s="5" t="s">
        <v>293</v>
      </c>
      <c r="Y29">
        <v>0</v>
      </c>
      <c r="Z29">
        <v>0</v>
      </c>
      <c r="AA29" t="s">
        <v>25</v>
      </c>
      <c r="AB29" t="s">
        <v>26</v>
      </c>
      <c r="AC29" t="s">
        <v>27</v>
      </c>
      <c r="AD29" t="s">
        <v>42</v>
      </c>
      <c r="AE29" t="s">
        <v>25</v>
      </c>
      <c r="AF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29" t="s">
        <v>942</v>
      </c>
      <c r="AH29">
        <v>54</v>
      </c>
      <c r="AI29" t="s">
        <v>939</v>
      </c>
      <c r="AJ29">
        <v>5</v>
      </c>
      <c r="AK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MIN(AJ29/8, 1) +
  Merge1[[#This Row],[index_defensive_effort]],
  2
)</f>
        <v>2.0299999999999998</v>
      </c>
    </row>
    <row r="30" spans="1:37" x14ac:dyDescent="0.25">
      <c r="A30" t="s">
        <v>171</v>
      </c>
      <c r="B30" t="s">
        <v>172</v>
      </c>
      <c r="C30">
        <v>22</v>
      </c>
      <c r="D30" t="s">
        <v>56</v>
      </c>
      <c r="E30">
        <v>73</v>
      </c>
      <c r="F30">
        <v>200</v>
      </c>
      <c r="G30" t="s">
        <v>173</v>
      </c>
      <c r="H30">
        <v>2020</v>
      </c>
      <c r="I30" t="s">
        <v>33</v>
      </c>
      <c r="J30">
        <v>16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5</v>
      </c>
      <c r="T30">
        <v>0</v>
      </c>
      <c r="U30" s="5">
        <f>IF(Merge1[[#This Row],[team_defense_snaps]]=0, "", Merge1[[#This Row],[defense_snaps]] / Merge1[[#This Row],[team_defense_snaps]])</f>
        <v>0</v>
      </c>
      <c r="V30">
        <v>67</v>
      </c>
      <c r="W30">
        <v>5</v>
      </c>
      <c r="X30" s="5" t="s">
        <v>132</v>
      </c>
      <c r="Y30">
        <v>0</v>
      </c>
      <c r="Z30">
        <v>0</v>
      </c>
      <c r="AA30" t="s">
        <v>25</v>
      </c>
      <c r="AB30" t="s">
        <v>26</v>
      </c>
      <c r="AC30" t="s">
        <v>27</v>
      </c>
      <c r="AD30" t="s">
        <v>42</v>
      </c>
      <c r="AE30" t="s">
        <v>25</v>
      </c>
      <c r="AF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</v>
      </c>
      <c r="AG30" t="s">
        <v>942</v>
      </c>
      <c r="AH30">
        <v>72</v>
      </c>
      <c r="AI30" t="s">
        <v>939</v>
      </c>
      <c r="AJ30">
        <v>6</v>
      </c>
      <c r="AK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MIN(AJ30/8, 1) +
  Merge1[[#This Row],[index_defensive_effort]],
  2
)</f>
        <v>1.35</v>
      </c>
    </row>
    <row r="31" spans="1:37" x14ac:dyDescent="0.25">
      <c r="A31" t="s">
        <v>171</v>
      </c>
      <c r="B31" t="s">
        <v>172</v>
      </c>
      <c r="C31">
        <v>22</v>
      </c>
      <c r="D31" t="s">
        <v>56</v>
      </c>
      <c r="E31">
        <v>73</v>
      </c>
      <c r="F31">
        <v>200</v>
      </c>
      <c r="G31" t="s">
        <v>173</v>
      </c>
      <c r="H31">
        <v>2020</v>
      </c>
      <c r="I31" t="s">
        <v>33</v>
      </c>
      <c r="J31">
        <v>17</v>
      </c>
      <c r="K31">
        <v>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8</v>
      </c>
      <c r="T31">
        <v>0</v>
      </c>
      <c r="U31" s="5">
        <f>IF(Merge1[[#This Row],[team_defense_snaps]]=0, "", Merge1[[#This Row],[defense_snaps]] / Merge1[[#This Row],[team_defense_snaps]])</f>
        <v>0</v>
      </c>
      <c r="V31">
        <v>69</v>
      </c>
      <c r="W31">
        <v>8</v>
      </c>
      <c r="X31" s="5" t="s">
        <v>113</v>
      </c>
      <c r="Y31">
        <v>0</v>
      </c>
      <c r="Z31">
        <v>0</v>
      </c>
      <c r="AA31" t="s">
        <v>25</v>
      </c>
      <c r="AB31" t="s">
        <v>26</v>
      </c>
      <c r="AC31" t="s">
        <v>27</v>
      </c>
      <c r="AD31" t="s">
        <v>42</v>
      </c>
      <c r="AE31" t="s">
        <v>25</v>
      </c>
      <c r="AF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</v>
      </c>
      <c r="AG31" t="s">
        <v>942</v>
      </c>
      <c r="AH31">
        <v>55.5</v>
      </c>
      <c r="AI31" t="s">
        <v>939</v>
      </c>
      <c r="AJ31">
        <v>7</v>
      </c>
      <c r="AK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MIN(AJ31/8, 1) +
  Merge1[[#This Row],[index_defensive_effort]],
  2
)</f>
        <v>1.53</v>
      </c>
    </row>
    <row r="32" spans="1:37" x14ac:dyDescent="0.25">
      <c r="A32" t="s">
        <v>894</v>
      </c>
      <c r="B32" t="s">
        <v>895</v>
      </c>
      <c r="C32">
        <v>25</v>
      </c>
      <c r="D32" t="s">
        <v>56</v>
      </c>
      <c r="E32">
        <v>71</v>
      </c>
      <c r="F32">
        <v>185</v>
      </c>
      <c r="G32" t="s">
        <v>130</v>
      </c>
      <c r="H32">
        <v>2020</v>
      </c>
      <c r="I32" t="s">
        <v>33</v>
      </c>
      <c r="J32">
        <v>15</v>
      </c>
      <c r="K32">
        <v>1</v>
      </c>
      <c r="L32">
        <v>1</v>
      </c>
      <c r="M32">
        <v>0</v>
      </c>
      <c r="N32">
        <v>1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 s="5">
        <f>IF(Merge1[[#This Row],[team_defense_snaps]]=0, "", Merge1[[#This Row],[defense_snaps]] / Merge1[[#This Row],[team_defense_snaps]])</f>
        <v>0</v>
      </c>
      <c r="V32">
        <v>65</v>
      </c>
      <c r="W32">
        <v>0</v>
      </c>
      <c r="X32" s="5">
        <v>0</v>
      </c>
      <c r="Y32">
        <v>3</v>
      </c>
      <c r="Z32">
        <v>0</v>
      </c>
      <c r="AA32" t="s">
        <v>25</v>
      </c>
      <c r="AB32" t="s">
        <v>26</v>
      </c>
      <c r="AC32" t="s">
        <v>27</v>
      </c>
      <c r="AD32" t="s">
        <v>42</v>
      </c>
      <c r="AE32" t="s">
        <v>25</v>
      </c>
      <c r="AF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2" t="s">
        <v>941</v>
      </c>
      <c r="AH32">
        <v>57</v>
      </c>
      <c r="AI32" t="s">
        <v>27</v>
      </c>
      <c r="AJ32">
        <v>1</v>
      </c>
      <c r="AK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MIN(AJ32/8, 1) +
  Merge1[[#This Row],[index_defensive_effort]],
  2
)</f>
        <v>0.53</v>
      </c>
    </row>
    <row r="33" spans="1:37" x14ac:dyDescent="0.25">
      <c r="A33" t="s">
        <v>894</v>
      </c>
      <c r="B33" t="s">
        <v>895</v>
      </c>
      <c r="C33">
        <v>25</v>
      </c>
      <c r="D33" t="s">
        <v>56</v>
      </c>
      <c r="E33">
        <v>71</v>
      </c>
      <c r="F33">
        <v>185</v>
      </c>
      <c r="G33" t="s">
        <v>130</v>
      </c>
      <c r="H33">
        <v>2020</v>
      </c>
      <c r="I33" t="s">
        <v>33</v>
      </c>
      <c r="J33">
        <v>16</v>
      </c>
      <c r="K33">
        <v>4</v>
      </c>
      <c r="L33">
        <v>2</v>
      </c>
      <c r="M33">
        <v>1</v>
      </c>
      <c r="N33">
        <v>3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s="5">
        <f>IF(Merge1[[#This Row],[team_defense_snaps]]=0, "", Merge1[[#This Row],[defense_snaps]] / Merge1[[#This Row],[team_defense_snaps]])</f>
        <v>0</v>
      </c>
      <c r="V33">
        <v>67</v>
      </c>
      <c r="W33">
        <v>0</v>
      </c>
      <c r="X33" s="5">
        <v>0</v>
      </c>
      <c r="Y33">
        <v>3</v>
      </c>
      <c r="Z33">
        <v>0</v>
      </c>
      <c r="AA33" t="s">
        <v>25</v>
      </c>
      <c r="AB33" t="s">
        <v>26</v>
      </c>
      <c r="AC33" t="s">
        <v>27</v>
      </c>
      <c r="AD33" t="s">
        <v>42</v>
      </c>
      <c r="AE33" t="s">
        <v>25</v>
      </c>
      <c r="AF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3" t="s">
        <v>941</v>
      </c>
      <c r="AH33">
        <v>55.5</v>
      </c>
      <c r="AI33" t="s">
        <v>27</v>
      </c>
      <c r="AJ33">
        <v>2</v>
      </c>
      <c r="AK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MIN(AJ33/8, 1) +
  Merge1[[#This Row],[index_defensive_effort]],
  2
)</f>
        <v>0.65</v>
      </c>
    </row>
    <row r="34" spans="1:37" x14ac:dyDescent="0.25">
      <c r="A34" t="s">
        <v>894</v>
      </c>
      <c r="B34" t="s">
        <v>895</v>
      </c>
      <c r="C34">
        <v>25</v>
      </c>
      <c r="D34" t="s">
        <v>56</v>
      </c>
      <c r="E34">
        <v>71</v>
      </c>
      <c r="F34">
        <v>185</v>
      </c>
      <c r="G34" t="s">
        <v>130</v>
      </c>
      <c r="H34">
        <v>2020</v>
      </c>
      <c r="I34" t="s">
        <v>33</v>
      </c>
      <c r="J34">
        <v>17</v>
      </c>
      <c r="K34">
        <v>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s="5">
        <f>IF(Merge1[[#This Row],[team_defense_snaps]]=0, "", Merge1[[#This Row],[defense_snaps]] / Merge1[[#This Row],[team_defense_snaps]])</f>
        <v>0</v>
      </c>
      <c r="V34">
        <v>64</v>
      </c>
      <c r="W34">
        <v>0</v>
      </c>
      <c r="X34" s="5">
        <v>0</v>
      </c>
      <c r="Y34">
        <v>3</v>
      </c>
      <c r="Z34">
        <v>0</v>
      </c>
      <c r="AA34" t="s">
        <v>25</v>
      </c>
      <c r="AB34" t="s">
        <v>26</v>
      </c>
      <c r="AC34" t="s">
        <v>27</v>
      </c>
      <c r="AD34" t="s">
        <v>42</v>
      </c>
      <c r="AE34" t="s">
        <v>25</v>
      </c>
      <c r="AF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4" t="s">
        <v>941</v>
      </c>
      <c r="AH34">
        <v>54</v>
      </c>
      <c r="AI34" t="s">
        <v>27</v>
      </c>
      <c r="AJ34">
        <v>3</v>
      </c>
      <c r="AK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MIN(AJ34/8, 1) +
  Merge1[[#This Row],[index_defensive_effort]],
  2
)</f>
        <v>0.78</v>
      </c>
    </row>
    <row r="35" spans="1:37" x14ac:dyDescent="0.25">
      <c r="A35" t="s">
        <v>894</v>
      </c>
      <c r="B35" t="s">
        <v>895</v>
      </c>
      <c r="C35">
        <v>25</v>
      </c>
      <c r="D35" t="s">
        <v>56</v>
      </c>
      <c r="E35">
        <v>71</v>
      </c>
      <c r="F35">
        <v>185</v>
      </c>
      <c r="G35" t="s">
        <v>130</v>
      </c>
      <c r="H35">
        <v>2020</v>
      </c>
      <c r="I35" t="s">
        <v>24</v>
      </c>
      <c r="J35">
        <v>18</v>
      </c>
      <c r="K35">
        <v>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s="5">
        <f>IF(Merge1[[#This Row],[team_defense_snaps]]=0, "", Merge1[[#This Row],[defense_snaps]] / Merge1[[#This Row],[team_defense_snaps]])</f>
        <v>0</v>
      </c>
      <c r="V35">
        <v>65</v>
      </c>
      <c r="W35">
        <v>0</v>
      </c>
      <c r="X35" s="5">
        <v>0</v>
      </c>
      <c r="Y35">
        <v>3</v>
      </c>
      <c r="Z35">
        <v>0</v>
      </c>
      <c r="AA35" t="s">
        <v>25</v>
      </c>
      <c r="AB35" t="s">
        <v>26</v>
      </c>
      <c r="AC35" t="s">
        <v>27</v>
      </c>
      <c r="AD35" t="s">
        <v>42</v>
      </c>
      <c r="AE35" t="s">
        <v>25</v>
      </c>
      <c r="AF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5" t="s">
        <v>941</v>
      </c>
      <c r="AH35">
        <v>58</v>
      </c>
      <c r="AI35" t="s">
        <v>939</v>
      </c>
      <c r="AJ35">
        <v>1</v>
      </c>
      <c r="AK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MIN(AJ35/8, 1) +
  Merge1[[#This Row],[index_defensive_effort]],
  2
)</f>
        <v>0.73</v>
      </c>
    </row>
    <row r="36" spans="1:37" x14ac:dyDescent="0.25">
      <c r="A36" t="s">
        <v>39</v>
      </c>
      <c r="B36" t="s">
        <v>40</v>
      </c>
      <c r="C36">
        <v>27</v>
      </c>
      <c r="D36" t="s">
        <v>22</v>
      </c>
      <c r="E36">
        <v>72</v>
      </c>
      <c r="F36">
        <v>214</v>
      </c>
      <c r="G36" t="s">
        <v>41</v>
      </c>
      <c r="H36">
        <v>2020</v>
      </c>
      <c r="I36" t="s">
        <v>33</v>
      </c>
      <c r="J36">
        <v>1</v>
      </c>
      <c r="K36">
        <v>2</v>
      </c>
      <c r="L36">
        <v>1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55</v>
      </c>
      <c r="T36">
        <v>52</v>
      </c>
      <c r="U36" s="5">
        <f>IF(Merge1[[#This Row],[team_defense_snaps]]=0, "", Merge1[[#This Row],[defense_snaps]] / Merge1[[#This Row],[team_defense_snaps]])</f>
        <v>1</v>
      </c>
      <c r="V36">
        <v>52</v>
      </c>
      <c r="W36">
        <v>3</v>
      </c>
      <c r="X36" s="5" t="s">
        <v>251</v>
      </c>
      <c r="Y36">
        <v>5</v>
      </c>
      <c r="Z36">
        <v>0</v>
      </c>
      <c r="AA36" t="s">
        <v>25</v>
      </c>
      <c r="AB36" t="s">
        <v>26</v>
      </c>
      <c r="AC36" t="s">
        <v>27</v>
      </c>
      <c r="AD36" t="s">
        <v>42</v>
      </c>
      <c r="AE36" t="s">
        <v>25</v>
      </c>
      <c r="AF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G36" t="s">
        <v>943</v>
      </c>
      <c r="AH36">
        <v>50</v>
      </c>
      <c r="AI36" t="s">
        <v>939</v>
      </c>
      <c r="AJ36">
        <v>2</v>
      </c>
      <c r="AK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MIN(AJ36/8, 1) +
  Merge1[[#This Row],[index_defensive_effort]],
  2
)</f>
        <v>0.9</v>
      </c>
    </row>
    <row r="37" spans="1:37" x14ac:dyDescent="0.25">
      <c r="A37" t="s">
        <v>39</v>
      </c>
      <c r="B37" t="s">
        <v>40</v>
      </c>
      <c r="C37">
        <v>27</v>
      </c>
      <c r="D37" t="s">
        <v>22</v>
      </c>
      <c r="E37">
        <v>72</v>
      </c>
      <c r="F37">
        <v>214</v>
      </c>
      <c r="G37" t="s">
        <v>41</v>
      </c>
      <c r="H37">
        <v>2020</v>
      </c>
      <c r="I37" t="s">
        <v>33</v>
      </c>
      <c r="J37">
        <v>2</v>
      </c>
      <c r="K37">
        <v>1</v>
      </c>
      <c r="L37">
        <v>1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55</v>
      </c>
      <c r="T37">
        <v>54</v>
      </c>
      <c r="U37" s="5">
        <f>IF(Merge1[[#This Row],[team_defense_snaps]]=0, "", Merge1[[#This Row],[defense_snaps]] / Merge1[[#This Row],[team_defense_snaps]])</f>
        <v>0.87096774193548387</v>
      </c>
      <c r="V37">
        <v>62</v>
      </c>
      <c r="W37">
        <v>1</v>
      </c>
      <c r="X37" s="5" t="s">
        <v>303</v>
      </c>
      <c r="Y37">
        <v>5</v>
      </c>
      <c r="Z37">
        <v>0</v>
      </c>
      <c r="AA37" t="s">
        <v>25</v>
      </c>
      <c r="AB37" t="s">
        <v>26</v>
      </c>
      <c r="AC37" t="s">
        <v>27</v>
      </c>
      <c r="AD37" t="s">
        <v>42</v>
      </c>
      <c r="AE37" t="s">
        <v>25</v>
      </c>
      <c r="AF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2.7272727272727271E-2</v>
      </c>
      <c r="AG37" t="s">
        <v>943</v>
      </c>
      <c r="AH37">
        <v>44</v>
      </c>
      <c r="AI37" t="s">
        <v>939</v>
      </c>
      <c r="AJ37">
        <v>3</v>
      </c>
      <c r="AK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MIN(AJ37/8, 1) +
  Merge1[[#This Row],[index_defensive_effort]],
  2
)</f>
        <v>1</v>
      </c>
    </row>
    <row r="38" spans="1:37" x14ac:dyDescent="0.25">
      <c r="A38" t="s">
        <v>39</v>
      </c>
      <c r="B38" t="s">
        <v>40</v>
      </c>
      <c r="C38">
        <v>27</v>
      </c>
      <c r="D38" t="s">
        <v>22</v>
      </c>
      <c r="E38">
        <v>72</v>
      </c>
      <c r="F38">
        <v>214</v>
      </c>
      <c r="G38" t="s">
        <v>41</v>
      </c>
      <c r="H38">
        <v>2020</v>
      </c>
      <c r="I38" t="s">
        <v>33</v>
      </c>
      <c r="J38">
        <v>3</v>
      </c>
      <c r="K38">
        <v>4</v>
      </c>
      <c r="L38">
        <v>1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66</v>
      </c>
      <c r="T38">
        <v>61</v>
      </c>
      <c r="U38" s="5">
        <f>IF(Merge1[[#This Row],[team_defense_snaps]]=0, "", Merge1[[#This Row],[defense_snaps]] / Merge1[[#This Row],[team_defense_snaps]])</f>
        <v>0.9838709677419355</v>
      </c>
      <c r="V38">
        <v>62</v>
      </c>
      <c r="W38">
        <v>5</v>
      </c>
      <c r="X38" s="5" t="s">
        <v>159</v>
      </c>
      <c r="Y38">
        <v>5</v>
      </c>
      <c r="Z38">
        <v>0</v>
      </c>
      <c r="AA38" t="s">
        <v>25</v>
      </c>
      <c r="AB38" t="s">
        <v>26</v>
      </c>
      <c r="AC38" t="s">
        <v>27</v>
      </c>
      <c r="AD38" t="s">
        <v>42</v>
      </c>
      <c r="AE38" t="s">
        <v>25</v>
      </c>
      <c r="AF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6.8181818181818177E-2</v>
      </c>
      <c r="AG38" t="s">
        <v>943</v>
      </c>
      <c r="AH38">
        <v>41</v>
      </c>
      <c r="AI38" t="s">
        <v>939</v>
      </c>
      <c r="AJ38">
        <v>4</v>
      </c>
      <c r="AK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MIN(AJ38/8, 1) +
  Merge1[[#This Row],[index_defensive_effort]],
  2
)</f>
        <v>1.17</v>
      </c>
    </row>
    <row r="39" spans="1:37" x14ac:dyDescent="0.25">
      <c r="A39" t="s">
        <v>39</v>
      </c>
      <c r="B39" t="s">
        <v>40</v>
      </c>
      <c r="C39">
        <v>27</v>
      </c>
      <c r="D39" t="s">
        <v>22</v>
      </c>
      <c r="E39">
        <v>72</v>
      </c>
      <c r="F39">
        <v>214</v>
      </c>
      <c r="G39" t="s">
        <v>41</v>
      </c>
      <c r="H39">
        <v>2020</v>
      </c>
      <c r="I39" t="s">
        <v>33</v>
      </c>
      <c r="J39">
        <v>4</v>
      </c>
      <c r="K39">
        <v>4</v>
      </c>
      <c r="L39">
        <v>1</v>
      </c>
      <c r="M39">
        <v>0</v>
      </c>
      <c r="N39">
        <v>1</v>
      </c>
      <c r="O39">
        <v>0</v>
      </c>
      <c r="P39">
        <v>1</v>
      </c>
      <c r="Q39">
        <v>0</v>
      </c>
      <c r="R39">
        <v>0</v>
      </c>
      <c r="S39">
        <v>73</v>
      </c>
      <c r="T39">
        <v>70</v>
      </c>
      <c r="U39" s="5">
        <f>IF(Merge1[[#This Row],[team_defense_snaps]]=0, "", Merge1[[#This Row],[defense_snaps]] / Merge1[[#This Row],[team_defense_snaps]])</f>
        <v>0.93333333333333335</v>
      </c>
      <c r="V39">
        <v>75</v>
      </c>
      <c r="W39">
        <v>3</v>
      </c>
      <c r="X39" s="5" t="s">
        <v>209</v>
      </c>
      <c r="Y39">
        <v>5</v>
      </c>
      <c r="Z39">
        <v>0</v>
      </c>
      <c r="AA39" t="s">
        <v>25</v>
      </c>
      <c r="AB39" t="s">
        <v>26</v>
      </c>
      <c r="AC39" t="s">
        <v>27</v>
      </c>
      <c r="AD39" t="s">
        <v>42</v>
      </c>
      <c r="AE39" t="s">
        <v>25</v>
      </c>
      <c r="AF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8.9041095890410954E-2</v>
      </c>
      <c r="AG39" t="s">
        <v>943</v>
      </c>
      <c r="AH39">
        <v>65</v>
      </c>
      <c r="AI39" t="s">
        <v>939</v>
      </c>
      <c r="AJ39">
        <v>1</v>
      </c>
      <c r="AK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MIN(AJ39/8, 1) +
  Merge1[[#This Row],[index_defensive_effort]],
  2
)</f>
        <v>0.81</v>
      </c>
    </row>
    <row r="40" spans="1:37" x14ac:dyDescent="0.25">
      <c r="A40" t="s">
        <v>39</v>
      </c>
      <c r="B40" t="s">
        <v>40</v>
      </c>
      <c r="C40">
        <v>27</v>
      </c>
      <c r="D40" t="s">
        <v>22</v>
      </c>
      <c r="E40">
        <v>72</v>
      </c>
      <c r="F40">
        <v>214</v>
      </c>
      <c r="G40" t="s">
        <v>41</v>
      </c>
      <c r="H40">
        <v>2020</v>
      </c>
      <c r="I40" t="s">
        <v>33</v>
      </c>
      <c r="J40">
        <v>6</v>
      </c>
      <c r="K40">
        <v>0</v>
      </c>
      <c r="L40">
        <v>3</v>
      </c>
      <c r="M40">
        <v>0</v>
      </c>
      <c r="N40">
        <v>3</v>
      </c>
      <c r="O40">
        <v>0</v>
      </c>
      <c r="P40">
        <v>0</v>
      </c>
      <c r="Q40">
        <v>0</v>
      </c>
      <c r="R40">
        <v>0</v>
      </c>
      <c r="S40">
        <v>70</v>
      </c>
      <c r="T40">
        <v>64</v>
      </c>
      <c r="U40" s="5">
        <f>IF(Merge1[[#This Row],[team_defense_snaps]]=0, "", Merge1[[#This Row],[defense_snaps]] / Merge1[[#This Row],[team_defense_snaps]])</f>
        <v>1</v>
      </c>
      <c r="V40">
        <v>64</v>
      </c>
      <c r="W40">
        <v>6</v>
      </c>
      <c r="X40" s="5" t="s">
        <v>58</v>
      </c>
      <c r="Y40">
        <v>5</v>
      </c>
      <c r="Z40">
        <v>0</v>
      </c>
      <c r="AA40" t="s">
        <v>25</v>
      </c>
      <c r="AB40" t="s">
        <v>26</v>
      </c>
      <c r="AC40" t="s">
        <v>27</v>
      </c>
      <c r="AD40" t="s">
        <v>42</v>
      </c>
      <c r="AE40" t="s">
        <v>25</v>
      </c>
      <c r="AF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2.1428571428571429E-2</v>
      </c>
      <c r="AG40" t="s">
        <v>943</v>
      </c>
      <c r="AH40">
        <v>56</v>
      </c>
      <c r="AI40" t="s">
        <v>939</v>
      </c>
      <c r="AJ40">
        <v>2</v>
      </c>
      <c r="AK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MIN(AJ40/8, 1) +
  Merge1[[#This Row],[index_defensive_effort]],
  2
)</f>
        <v>0.87</v>
      </c>
    </row>
    <row r="41" spans="1:37" x14ac:dyDescent="0.25">
      <c r="A41" t="s">
        <v>39</v>
      </c>
      <c r="B41" t="s">
        <v>40</v>
      </c>
      <c r="C41">
        <v>27</v>
      </c>
      <c r="D41" t="s">
        <v>22</v>
      </c>
      <c r="E41">
        <v>72</v>
      </c>
      <c r="F41">
        <v>214</v>
      </c>
      <c r="G41" t="s">
        <v>41</v>
      </c>
      <c r="H41">
        <v>2020</v>
      </c>
      <c r="I41" t="s">
        <v>33</v>
      </c>
      <c r="J41">
        <v>7</v>
      </c>
      <c r="K41">
        <v>8</v>
      </c>
      <c r="L41">
        <v>1</v>
      </c>
      <c r="M41">
        <v>0</v>
      </c>
      <c r="N41">
        <v>1</v>
      </c>
      <c r="O41">
        <v>4</v>
      </c>
      <c r="P41">
        <v>4</v>
      </c>
      <c r="Q41">
        <v>0</v>
      </c>
      <c r="R41">
        <v>0</v>
      </c>
      <c r="S41">
        <v>71</v>
      </c>
      <c r="T41">
        <v>68</v>
      </c>
      <c r="U41" s="5">
        <f>IF(Merge1[[#This Row],[team_defense_snaps]]=0, "", Merge1[[#This Row],[defense_snaps]] / Merge1[[#This Row],[team_defense_snaps]])</f>
        <v>1</v>
      </c>
      <c r="V41">
        <v>68</v>
      </c>
      <c r="W41">
        <v>3</v>
      </c>
      <c r="X41" s="5" t="s">
        <v>38</v>
      </c>
      <c r="Y41">
        <v>5</v>
      </c>
      <c r="Z41">
        <v>0</v>
      </c>
      <c r="AA41" t="s">
        <v>25</v>
      </c>
      <c r="AB41" t="s">
        <v>26</v>
      </c>
      <c r="AC41" t="s">
        <v>27</v>
      </c>
      <c r="AD41" t="s">
        <v>42</v>
      </c>
      <c r="AE41" t="s">
        <v>25</v>
      </c>
      <c r="AF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0.40140845070422537</v>
      </c>
      <c r="AG41" t="s">
        <v>943</v>
      </c>
      <c r="AH41">
        <v>51.5</v>
      </c>
      <c r="AI41" t="s">
        <v>939</v>
      </c>
      <c r="AJ41">
        <v>3</v>
      </c>
      <c r="AK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MIN(AJ41/8, 1) +
  Merge1[[#This Row],[index_defensive_effort]],
  2
)</f>
        <v>1.38</v>
      </c>
    </row>
    <row r="42" spans="1:37" x14ac:dyDescent="0.25">
      <c r="A42" t="s">
        <v>39</v>
      </c>
      <c r="B42" t="s">
        <v>40</v>
      </c>
      <c r="C42">
        <v>27</v>
      </c>
      <c r="D42" t="s">
        <v>22</v>
      </c>
      <c r="E42">
        <v>72</v>
      </c>
      <c r="F42">
        <v>214</v>
      </c>
      <c r="G42" t="s">
        <v>41</v>
      </c>
      <c r="H42">
        <v>2020</v>
      </c>
      <c r="I42" t="s">
        <v>33</v>
      </c>
      <c r="J42">
        <v>8</v>
      </c>
      <c r="K42">
        <v>7</v>
      </c>
      <c r="L42">
        <v>1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53</v>
      </c>
      <c r="T42">
        <v>52</v>
      </c>
      <c r="U42" s="5">
        <f>IF(Merge1[[#This Row],[team_defense_snaps]]=0, "", Merge1[[#This Row],[defense_snaps]] / Merge1[[#This Row],[team_defense_snaps]])</f>
        <v>1</v>
      </c>
      <c r="V42">
        <v>52</v>
      </c>
      <c r="W42">
        <v>1</v>
      </c>
      <c r="X42" s="5" t="s">
        <v>34</v>
      </c>
      <c r="Y42">
        <v>5</v>
      </c>
      <c r="Z42">
        <v>0</v>
      </c>
      <c r="AA42" t="s">
        <v>25</v>
      </c>
      <c r="AB42" t="s">
        <v>26</v>
      </c>
      <c r="AC42" t="s">
        <v>27</v>
      </c>
      <c r="AD42" t="s">
        <v>42</v>
      </c>
      <c r="AE42" t="s">
        <v>25</v>
      </c>
      <c r="AF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0.14150943396226415</v>
      </c>
      <c r="AG42" t="s">
        <v>943</v>
      </c>
      <c r="AH42">
        <v>42.5</v>
      </c>
      <c r="AI42" t="s">
        <v>939</v>
      </c>
      <c r="AJ42">
        <v>4</v>
      </c>
      <c r="AK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MIN(AJ42/8, 1) +
  Merge1[[#This Row],[index_defensive_effort]],
  2
)</f>
        <v>1.24</v>
      </c>
    </row>
    <row r="43" spans="1:37" x14ac:dyDescent="0.25">
      <c r="A43" t="s">
        <v>39</v>
      </c>
      <c r="B43" t="s">
        <v>40</v>
      </c>
      <c r="C43">
        <v>27</v>
      </c>
      <c r="D43" t="s">
        <v>22</v>
      </c>
      <c r="E43">
        <v>72</v>
      </c>
      <c r="F43">
        <v>214</v>
      </c>
      <c r="G43" t="s">
        <v>41</v>
      </c>
      <c r="H43">
        <v>2020</v>
      </c>
      <c r="I43" t="s">
        <v>33</v>
      </c>
      <c r="J43">
        <v>9</v>
      </c>
      <c r="K43">
        <v>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47</v>
      </c>
      <c r="T43">
        <v>46</v>
      </c>
      <c r="U43" s="5">
        <f>IF(Merge1[[#This Row],[team_defense_snaps]]=0, "", Merge1[[#This Row],[defense_snaps]] / Merge1[[#This Row],[team_defense_snaps]])</f>
        <v>0.80701754385964908</v>
      </c>
      <c r="V43">
        <v>57</v>
      </c>
      <c r="W43">
        <v>1</v>
      </c>
      <c r="X43" s="5" t="s">
        <v>193</v>
      </c>
      <c r="Y43">
        <v>5</v>
      </c>
      <c r="Z43">
        <v>0</v>
      </c>
      <c r="AA43" t="s">
        <v>25</v>
      </c>
      <c r="AB43" t="s">
        <v>26</v>
      </c>
      <c r="AC43" t="s">
        <v>27</v>
      </c>
      <c r="AD43" t="s">
        <v>42</v>
      </c>
      <c r="AE43" t="s">
        <v>25</v>
      </c>
      <c r="AF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0.10638297872340426</v>
      </c>
      <c r="AG43" t="s">
        <v>943</v>
      </c>
      <c r="AH43">
        <v>45</v>
      </c>
      <c r="AI43" t="s">
        <v>939</v>
      </c>
      <c r="AJ43">
        <v>5</v>
      </c>
      <c r="AK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MIN(AJ43/8, 1) +
  Merge1[[#This Row],[index_defensive_effort]],
  2
)</f>
        <v>1.33</v>
      </c>
    </row>
    <row r="44" spans="1:37" x14ac:dyDescent="0.25">
      <c r="A44" t="s">
        <v>39</v>
      </c>
      <c r="B44" t="s">
        <v>40</v>
      </c>
      <c r="C44">
        <v>27</v>
      </c>
      <c r="D44" t="s">
        <v>22</v>
      </c>
      <c r="E44">
        <v>72</v>
      </c>
      <c r="F44">
        <v>214</v>
      </c>
      <c r="G44" t="s">
        <v>41</v>
      </c>
      <c r="H44">
        <v>2020</v>
      </c>
      <c r="I44" t="s">
        <v>33</v>
      </c>
      <c r="J44">
        <v>10</v>
      </c>
      <c r="K44">
        <v>4</v>
      </c>
      <c r="L44">
        <v>0</v>
      </c>
      <c r="M44">
        <v>0</v>
      </c>
      <c r="N44">
        <v>0</v>
      </c>
      <c r="O44">
        <v>0</v>
      </c>
      <c r="P44">
        <v>2</v>
      </c>
      <c r="Q44">
        <v>2</v>
      </c>
      <c r="R44">
        <v>0</v>
      </c>
      <c r="S44">
        <v>65</v>
      </c>
      <c r="T44">
        <v>64</v>
      </c>
      <c r="U44" s="5">
        <f>IF(Merge1[[#This Row],[team_defense_snaps]]=0, "", Merge1[[#This Row],[defense_snaps]] / Merge1[[#This Row],[team_defense_snaps]])</f>
        <v>1</v>
      </c>
      <c r="V44">
        <v>64</v>
      </c>
      <c r="W44">
        <v>1</v>
      </c>
      <c r="X44" s="5" t="s">
        <v>303</v>
      </c>
      <c r="Y44">
        <v>5</v>
      </c>
      <c r="Z44">
        <v>0</v>
      </c>
      <c r="AA44" t="s">
        <v>25</v>
      </c>
      <c r="AB44" t="s">
        <v>26</v>
      </c>
      <c r="AC44" t="s">
        <v>27</v>
      </c>
      <c r="AD44" t="s">
        <v>42</v>
      </c>
      <c r="AE44" t="s">
        <v>25</v>
      </c>
      <c r="AF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0.24615384615384617</v>
      </c>
      <c r="AG44" t="s">
        <v>943</v>
      </c>
      <c r="AH44">
        <v>53</v>
      </c>
      <c r="AI44" t="s">
        <v>939</v>
      </c>
      <c r="AJ44">
        <v>6</v>
      </c>
      <c r="AK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MIN(AJ44/8, 1) +
  Merge1[[#This Row],[index_defensive_effort]],
  2
)</f>
        <v>1.6</v>
      </c>
    </row>
    <row r="45" spans="1:37" x14ac:dyDescent="0.25">
      <c r="A45" t="s">
        <v>39</v>
      </c>
      <c r="B45" t="s">
        <v>40</v>
      </c>
      <c r="C45">
        <v>27</v>
      </c>
      <c r="D45" t="s">
        <v>22</v>
      </c>
      <c r="E45">
        <v>72</v>
      </c>
      <c r="F45">
        <v>214</v>
      </c>
      <c r="G45" t="s">
        <v>41</v>
      </c>
      <c r="H45">
        <v>2020</v>
      </c>
      <c r="I45" t="s">
        <v>33</v>
      </c>
      <c r="J45">
        <v>11</v>
      </c>
      <c r="K45">
        <v>5</v>
      </c>
      <c r="L45">
        <v>3</v>
      </c>
      <c r="M45">
        <v>1</v>
      </c>
      <c r="N45">
        <v>4</v>
      </c>
      <c r="O45">
        <v>0</v>
      </c>
      <c r="P45">
        <v>0</v>
      </c>
      <c r="Q45">
        <v>0</v>
      </c>
      <c r="R45">
        <v>0</v>
      </c>
      <c r="S45">
        <v>84</v>
      </c>
      <c r="T45">
        <v>84</v>
      </c>
      <c r="U45" s="5">
        <f>IF(Merge1[[#This Row],[team_defense_snaps]]=0, "", Merge1[[#This Row],[defense_snaps]] / Merge1[[#This Row],[team_defense_snaps]])</f>
        <v>1</v>
      </c>
      <c r="V45">
        <v>84</v>
      </c>
      <c r="W45">
        <v>0</v>
      </c>
      <c r="X45" s="5" t="s">
        <v>29</v>
      </c>
      <c r="Y45">
        <v>5</v>
      </c>
      <c r="Z45">
        <v>0</v>
      </c>
      <c r="AA45" t="s">
        <v>25</v>
      </c>
      <c r="AB45" t="s">
        <v>26</v>
      </c>
      <c r="AC45" t="s">
        <v>27</v>
      </c>
      <c r="AD45" t="s">
        <v>42</v>
      </c>
      <c r="AE45" t="s">
        <v>25</v>
      </c>
      <c r="AF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45" t="s">
        <v>943</v>
      </c>
      <c r="AH45">
        <v>47</v>
      </c>
      <c r="AI45" t="s">
        <v>939</v>
      </c>
      <c r="AJ45">
        <v>7</v>
      </c>
      <c r="AK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MIN(AJ45/8, 1) +
  Merge1[[#This Row],[index_defensive_effort]],
  2
)</f>
        <v>1.56</v>
      </c>
    </row>
    <row r="46" spans="1:37" x14ac:dyDescent="0.25">
      <c r="A46" t="s">
        <v>39</v>
      </c>
      <c r="B46" t="s">
        <v>40</v>
      </c>
      <c r="C46">
        <v>27</v>
      </c>
      <c r="D46" t="s">
        <v>22</v>
      </c>
      <c r="E46">
        <v>72</v>
      </c>
      <c r="F46">
        <v>214</v>
      </c>
      <c r="G46" t="s">
        <v>41</v>
      </c>
      <c r="H46">
        <v>2020</v>
      </c>
      <c r="I46" t="s">
        <v>33</v>
      </c>
      <c r="J46">
        <v>12</v>
      </c>
      <c r="K46">
        <v>6</v>
      </c>
      <c r="L46">
        <v>1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70</v>
      </c>
      <c r="T46">
        <v>68</v>
      </c>
      <c r="U46" s="5">
        <f>IF(Merge1[[#This Row],[team_defense_snaps]]=0, "", Merge1[[#This Row],[defense_snaps]] / Merge1[[#This Row],[team_defense_snaps]])</f>
        <v>1</v>
      </c>
      <c r="V46">
        <v>68</v>
      </c>
      <c r="W46">
        <v>2</v>
      </c>
      <c r="X46" s="5" t="s">
        <v>167</v>
      </c>
      <c r="Y46">
        <v>5</v>
      </c>
      <c r="Z46">
        <v>0</v>
      </c>
      <c r="AA46" t="s">
        <v>25</v>
      </c>
      <c r="AB46" t="s">
        <v>26</v>
      </c>
      <c r="AC46" t="s">
        <v>27</v>
      </c>
      <c r="AD46" t="s">
        <v>42</v>
      </c>
      <c r="AE46" t="s">
        <v>25</v>
      </c>
      <c r="AF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9.285714285714286E-2</v>
      </c>
      <c r="AG46" t="s">
        <v>943</v>
      </c>
      <c r="AH46">
        <v>60.5</v>
      </c>
      <c r="AI46" t="s">
        <v>939</v>
      </c>
      <c r="AJ46">
        <v>8</v>
      </c>
      <c r="AK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MIN(AJ46/8, 1) +
  Merge1[[#This Row],[index_defensive_effort]],
  2
)</f>
        <v>1.69</v>
      </c>
    </row>
    <row r="47" spans="1:37" x14ac:dyDescent="0.25">
      <c r="A47" t="s">
        <v>39</v>
      </c>
      <c r="B47" t="s">
        <v>40</v>
      </c>
      <c r="C47">
        <v>27</v>
      </c>
      <c r="D47" t="s">
        <v>22</v>
      </c>
      <c r="E47">
        <v>72</v>
      </c>
      <c r="F47">
        <v>214</v>
      </c>
      <c r="G47" t="s">
        <v>41</v>
      </c>
      <c r="H47">
        <v>2020</v>
      </c>
      <c r="I47" t="s">
        <v>33</v>
      </c>
      <c r="J47">
        <v>13</v>
      </c>
      <c r="K47">
        <v>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63</v>
      </c>
      <c r="T47">
        <v>62</v>
      </c>
      <c r="U47" s="5">
        <f>IF(Merge1[[#This Row],[team_defense_snaps]]=0, "", Merge1[[#This Row],[defense_snaps]] / Merge1[[#This Row],[team_defense_snaps]])</f>
        <v>1</v>
      </c>
      <c r="V47">
        <v>62</v>
      </c>
      <c r="W47">
        <v>1</v>
      </c>
      <c r="X47" s="5" t="s">
        <v>193</v>
      </c>
      <c r="Y47">
        <v>5</v>
      </c>
      <c r="Z47">
        <v>0</v>
      </c>
      <c r="AA47" t="s">
        <v>25</v>
      </c>
      <c r="AB47" t="s">
        <v>26</v>
      </c>
      <c r="AC47" t="s">
        <v>27</v>
      </c>
      <c r="AD47" t="s">
        <v>42</v>
      </c>
      <c r="AE47" t="s">
        <v>25</v>
      </c>
      <c r="AF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6.3492063492063489E-2</v>
      </c>
      <c r="AG47" t="s">
        <v>943</v>
      </c>
      <c r="AH47">
        <v>45.5</v>
      </c>
      <c r="AI47" t="s">
        <v>939</v>
      </c>
      <c r="AJ47">
        <v>9</v>
      </c>
      <c r="AK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MIN(AJ47/8, 1) +
  Merge1[[#This Row],[index_defensive_effort]],
  2
)</f>
        <v>1.66</v>
      </c>
    </row>
    <row r="48" spans="1:37" x14ac:dyDescent="0.25">
      <c r="A48" t="s">
        <v>39</v>
      </c>
      <c r="B48" t="s">
        <v>40</v>
      </c>
      <c r="C48">
        <v>27</v>
      </c>
      <c r="D48" t="s">
        <v>22</v>
      </c>
      <c r="E48">
        <v>72</v>
      </c>
      <c r="F48">
        <v>214</v>
      </c>
      <c r="G48" t="s">
        <v>41</v>
      </c>
      <c r="H48">
        <v>2020</v>
      </c>
      <c r="I48" t="s">
        <v>33</v>
      </c>
      <c r="J48">
        <v>14</v>
      </c>
      <c r="K48">
        <v>7</v>
      </c>
      <c r="L48">
        <v>1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70</v>
      </c>
      <c r="T48">
        <v>67</v>
      </c>
      <c r="U48" s="5">
        <f>IF(Merge1[[#This Row],[team_defense_snaps]]=0, "", Merge1[[#This Row],[defense_snaps]] / Merge1[[#This Row],[team_defense_snaps]])</f>
        <v>0.98529411764705888</v>
      </c>
      <c r="V48">
        <v>68</v>
      </c>
      <c r="W48">
        <v>3</v>
      </c>
      <c r="X48" s="5" t="s">
        <v>251</v>
      </c>
      <c r="Y48">
        <v>5</v>
      </c>
      <c r="Z48">
        <v>0</v>
      </c>
      <c r="AA48" t="s">
        <v>25</v>
      </c>
      <c r="AB48" t="s">
        <v>26</v>
      </c>
      <c r="AC48" t="s">
        <v>27</v>
      </c>
      <c r="AD48" t="s">
        <v>42</v>
      </c>
      <c r="AE48" t="s">
        <v>25</v>
      </c>
      <c r="AF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0.1357142857142857</v>
      </c>
      <c r="AG48" t="s">
        <v>943</v>
      </c>
      <c r="AH48">
        <v>54.5</v>
      </c>
      <c r="AI48" t="s">
        <v>939</v>
      </c>
      <c r="AJ48">
        <v>10</v>
      </c>
      <c r="AK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MIN(AJ48/8, 1) +
  Merge1[[#This Row],[index_defensive_effort]],
  2
)</f>
        <v>1.74</v>
      </c>
    </row>
    <row r="49" spans="1:37" x14ac:dyDescent="0.25">
      <c r="A49" t="s">
        <v>39</v>
      </c>
      <c r="B49" t="s">
        <v>40</v>
      </c>
      <c r="C49">
        <v>27</v>
      </c>
      <c r="D49" t="s">
        <v>22</v>
      </c>
      <c r="E49">
        <v>72</v>
      </c>
      <c r="F49">
        <v>214</v>
      </c>
      <c r="G49" t="s">
        <v>41</v>
      </c>
      <c r="H49">
        <v>2020</v>
      </c>
      <c r="I49" t="s">
        <v>33</v>
      </c>
      <c r="J49">
        <v>15</v>
      </c>
      <c r="K49">
        <v>8</v>
      </c>
      <c r="L49">
        <v>1</v>
      </c>
      <c r="M49">
        <v>0</v>
      </c>
      <c r="N49">
        <v>1</v>
      </c>
      <c r="O49">
        <v>3</v>
      </c>
      <c r="P49">
        <v>3</v>
      </c>
      <c r="Q49">
        <v>0</v>
      </c>
      <c r="R49">
        <v>0</v>
      </c>
      <c r="S49">
        <v>77</v>
      </c>
      <c r="T49">
        <v>69</v>
      </c>
      <c r="U49" s="5">
        <f>IF(Merge1[[#This Row],[team_defense_snaps]]=0, "", Merge1[[#This Row],[defense_snaps]] / Merge1[[#This Row],[team_defense_snaps]])</f>
        <v>0.971830985915493</v>
      </c>
      <c r="V49">
        <v>71</v>
      </c>
      <c r="W49">
        <v>8</v>
      </c>
      <c r="X49" s="5" t="s">
        <v>113</v>
      </c>
      <c r="Y49">
        <v>5</v>
      </c>
      <c r="Z49">
        <v>0</v>
      </c>
      <c r="AA49" t="s">
        <v>25</v>
      </c>
      <c r="AB49" t="s">
        <v>26</v>
      </c>
      <c r="AC49" t="s">
        <v>27</v>
      </c>
      <c r="AD49" t="s">
        <v>42</v>
      </c>
      <c r="AE49" t="s">
        <v>25</v>
      </c>
      <c r="AF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0.30519480519480519</v>
      </c>
      <c r="AG49" t="s">
        <v>943</v>
      </c>
      <c r="AH49">
        <v>62</v>
      </c>
      <c r="AI49" t="s">
        <v>939</v>
      </c>
      <c r="AJ49">
        <v>11</v>
      </c>
      <c r="AK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MIN(AJ49/8, 1) +
  Merge1[[#This Row],[index_defensive_effort]],
  2
)</f>
        <v>1.91</v>
      </c>
    </row>
    <row r="50" spans="1:37" x14ac:dyDescent="0.25">
      <c r="A50" t="s">
        <v>39</v>
      </c>
      <c r="B50" t="s">
        <v>40</v>
      </c>
      <c r="C50">
        <v>27</v>
      </c>
      <c r="D50" t="s">
        <v>22</v>
      </c>
      <c r="E50">
        <v>72</v>
      </c>
      <c r="F50">
        <v>214</v>
      </c>
      <c r="G50" t="s">
        <v>41</v>
      </c>
      <c r="H50">
        <v>2020</v>
      </c>
      <c r="I50" t="s">
        <v>33</v>
      </c>
      <c r="J50">
        <v>16</v>
      </c>
      <c r="K50">
        <v>2</v>
      </c>
      <c r="L50">
        <v>3</v>
      </c>
      <c r="M50">
        <v>2</v>
      </c>
      <c r="N50">
        <v>5</v>
      </c>
      <c r="O50">
        <v>0</v>
      </c>
      <c r="P50">
        <v>1</v>
      </c>
      <c r="Q50">
        <v>0</v>
      </c>
      <c r="R50">
        <v>0</v>
      </c>
      <c r="S50">
        <v>52</v>
      </c>
      <c r="T50">
        <v>52</v>
      </c>
      <c r="U50" s="5">
        <f>IF(Merge1[[#This Row],[team_defense_snaps]]=0, "", Merge1[[#This Row],[defense_snaps]] / Merge1[[#This Row],[team_defense_snaps]])</f>
        <v>0.94545454545454544</v>
      </c>
      <c r="V50">
        <v>55</v>
      </c>
      <c r="W50">
        <v>0</v>
      </c>
      <c r="X50" s="5" t="s">
        <v>29</v>
      </c>
      <c r="Y50">
        <v>5</v>
      </c>
      <c r="Z50">
        <v>0</v>
      </c>
      <c r="AA50" t="s">
        <v>25</v>
      </c>
      <c r="AB50" t="s">
        <v>26</v>
      </c>
      <c r="AC50" t="s">
        <v>27</v>
      </c>
      <c r="AD50" t="s">
        <v>42</v>
      </c>
      <c r="AE50" t="s">
        <v>25</v>
      </c>
      <c r="AF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50" t="s">
        <v>943</v>
      </c>
      <c r="AH50">
        <v>45</v>
      </c>
      <c r="AI50" t="s">
        <v>939</v>
      </c>
      <c r="AJ50">
        <v>12</v>
      </c>
      <c r="AK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MIN(AJ50/8, 1) +
  Merge1[[#This Row],[index_defensive_effort]],
  2
)</f>
        <v>1.73</v>
      </c>
    </row>
    <row r="51" spans="1:37" x14ac:dyDescent="0.25">
      <c r="A51" t="s">
        <v>39</v>
      </c>
      <c r="B51" t="s">
        <v>40</v>
      </c>
      <c r="C51">
        <v>27</v>
      </c>
      <c r="D51" t="s">
        <v>22</v>
      </c>
      <c r="E51">
        <v>72</v>
      </c>
      <c r="F51">
        <v>214</v>
      </c>
      <c r="G51" t="s">
        <v>41</v>
      </c>
      <c r="H51">
        <v>2020</v>
      </c>
      <c r="I51" t="s">
        <v>33</v>
      </c>
      <c r="J51">
        <v>17</v>
      </c>
      <c r="K51">
        <v>8</v>
      </c>
      <c r="L51">
        <v>3</v>
      </c>
      <c r="M51">
        <v>0</v>
      </c>
      <c r="N51">
        <v>3</v>
      </c>
      <c r="O51">
        <v>0</v>
      </c>
      <c r="P51">
        <v>0</v>
      </c>
      <c r="Q51">
        <v>2</v>
      </c>
      <c r="R51">
        <v>0</v>
      </c>
      <c r="S51">
        <v>77</v>
      </c>
      <c r="T51">
        <v>75</v>
      </c>
      <c r="U51" s="5">
        <f>IF(Merge1[[#This Row],[team_defense_snaps]]=0, "", Merge1[[#This Row],[defense_snaps]] / Merge1[[#This Row],[team_defense_snaps]])</f>
        <v>1</v>
      </c>
      <c r="V51">
        <v>75</v>
      </c>
      <c r="W51">
        <v>2</v>
      </c>
      <c r="X51" s="5" t="s">
        <v>250</v>
      </c>
      <c r="Y51">
        <v>5</v>
      </c>
      <c r="Z51">
        <v>0</v>
      </c>
      <c r="AA51" t="s">
        <v>25</v>
      </c>
      <c r="AB51" t="s">
        <v>26</v>
      </c>
      <c r="AC51" t="s">
        <v>27</v>
      </c>
      <c r="AD51" t="s">
        <v>42</v>
      </c>
      <c r="AE51" t="s">
        <v>25</v>
      </c>
      <c r="AF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0.22727272727272727</v>
      </c>
      <c r="AG51" t="s">
        <v>943</v>
      </c>
      <c r="AH51">
        <v>63.5</v>
      </c>
      <c r="AI51" t="s">
        <v>939</v>
      </c>
      <c r="AJ51">
        <v>1</v>
      </c>
      <c r="AK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MIN(AJ51/8, 1) +
  Merge1[[#This Row],[index_defensive_effort]],
  2
)</f>
        <v>0.95</v>
      </c>
    </row>
    <row r="52" spans="1:37" x14ac:dyDescent="0.25">
      <c r="A52" t="s">
        <v>39</v>
      </c>
      <c r="B52" t="s">
        <v>40</v>
      </c>
      <c r="C52">
        <v>27</v>
      </c>
      <c r="D52" t="s">
        <v>22</v>
      </c>
      <c r="E52">
        <v>72</v>
      </c>
      <c r="F52">
        <v>214</v>
      </c>
      <c r="G52" t="s">
        <v>41</v>
      </c>
      <c r="H52">
        <v>2020</v>
      </c>
      <c r="I52" t="s">
        <v>24</v>
      </c>
      <c r="J52">
        <v>19</v>
      </c>
      <c r="K52">
        <v>4</v>
      </c>
      <c r="L52">
        <v>1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53</v>
      </c>
      <c r="T52">
        <v>51</v>
      </c>
      <c r="U52" s="5">
        <f>IF(Merge1[[#This Row],[team_defense_snaps]]=0, "", Merge1[[#This Row],[defense_snaps]] / Merge1[[#This Row],[team_defense_snaps]])</f>
        <v>1</v>
      </c>
      <c r="V52">
        <v>51</v>
      </c>
      <c r="W52">
        <v>2</v>
      </c>
      <c r="X52" s="5" t="s">
        <v>250</v>
      </c>
      <c r="Y52">
        <v>5</v>
      </c>
      <c r="Z52">
        <v>0</v>
      </c>
      <c r="AA52" t="s">
        <v>25</v>
      </c>
      <c r="AB52" t="s">
        <v>26</v>
      </c>
      <c r="AC52" t="s">
        <v>27</v>
      </c>
      <c r="AD52" t="s">
        <v>42</v>
      </c>
      <c r="AE52" t="s">
        <v>25</v>
      </c>
      <c r="AF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8.4905660377358486E-2</v>
      </c>
      <c r="AG52" t="s">
        <v>943</v>
      </c>
      <c r="AH52">
        <v>57.5</v>
      </c>
      <c r="AI52" t="s">
        <v>939</v>
      </c>
      <c r="AJ52">
        <v>2</v>
      </c>
      <c r="AK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MIN(AJ52/8, 1) +
  Merge1[[#This Row],[index_defensive_effort]],
  2
)</f>
        <v>1.1299999999999999</v>
      </c>
    </row>
    <row r="53" spans="1:37" x14ac:dyDescent="0.25">
      <c r="A53" t="s">
        <v>39</v>
      </c>
      <c r="B53" t="s">
        <v>40</v>
      </c>
      <c r="C53">
        <v>27</v>
      </c>
      <c r="D53" t="s">
        <v>22</v>
      </c>
      <c r="E53">
        <v>72</v>
      </c>
      <c r="F53">
        <v>214</v>
      </c>
      <c r="G53" t="s">
        <v>41</v>
      </c>
      <c r="H53">
        <v>2020</v>
      </c>
      <c r="I53" t="s">
        <v>24</v>
      </c>
      <c r="J53">
        <v>20</v>
      </c>
      <c r="K53">
        <v>4</v>
      </c>
      <c r="L53">
        <v>1</v>
      </c>
      <c r="M53">
        <v>0</v>
      </c>
      <c r="N53">
        <v>1</v>
      </c>
      <c r="O53">
        <v>0</v>
      </c>
      <c r="P53">
        <v>0</v>
      </c>
      <c r="Q53">
        <v>2</v>
      </c>
      <c r="R53">
        <v>0</v>
      </c>
      <c r="S53">
        <v>67</v>
      </c>
      <c r="T53">
        <v>64</v>
      </c>
      <c r="U53" s="5">
        <f>IF(Merge1[[#This Row],[team_defense_snaps]]=0, "", Merge1[[#This Row],[defense_snaps]] / Merge1[[#This Row],[team_defense_snaps]])</f>
        <v>0.98461538461538467</v>
      </c>
      <c r="V53">
        <v>65</v>
      </c>
      <c r="W53">
        <v>3</v>
      </c>
      <c r="X53" s="5" t="s">
        <v>251</v>
      </c>
      <c r="Y53">
        <v>5</v>
      </c>
      <c r="Z53">
        <v>0</v>
      </c>
      <c r="AA53" t="s">
        <v>25</v>
      </c>
      <c r="AB53" t="s">
        <v>26</v>
      </c>
      <c r="AC53" t="s">
        <v>27</v>
      </c>
      <c r="AD53" t="s">
        <v>42</v>
      </c>
      <c r="AE53" t="s">
        <v>25</v>
      </c>
      <c r="AF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0.18656716417910449</v>
      </c>
      <c r="AG53" t="s">
        <v>943</v>
      </c>
      <c r="AH53">
        <v>48.5</v>
      </c>
      <c r="AI53" t="s">
        <v>939</v>
      </c>
      <c r="AJ53">
        <v>1</v>
      </c>
      <c r="AK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MIN(AJ53/8, 1) +
  Merge1[[#This Row],[index_defensive_effort]],
  2
)</f>
        <v>1.1100000000000001</v>
      </c>
    </row>
    <row r="54" spans="1:37" x14ac:dyDescent="0.25">
      <c r="A54" t="s">
        <v>92</v>
      </c>
      <c r="B54" t="s">
        <v>93</v>
      </c>
      <c r="C54">
        <v>27</v>
      </c>
      <c r="D54" t="s">
        <v>22</v>
      </c>
      <c r="E54">
        <v>74</v>
      </c>
      <c r="F54">
        <v>205</v>
      </c>
      <c r="G54" t="s">
        <v>94</v>
      </c>
      <c r="H54">
        <v>2020</v>
      </c>
      <c r="I54" t="s">
        <v>33</v>
      </c>
      <c r="J54">
        <v>4</v>
      </c>
      <c r="K54">
        <v>1</v>
      </c>
      <c r="L54">
        <v>1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47</v>
      </c>
      <c r="T54">
        <v>43</v>
      </c>
      <c r="U54" s="5">
        <f>IF(Merge1[[#This Row],[team_defense_snaps]]=0, "", Merge1[[#This Row],[defense_snaps]] / Merge1[[#This Row],[team_defense_snaps]])</f>
        <v>0.74137931034482762</v>
      </c>
      <c r="V54">
        <v>58</v>
      </c>
      <c r="W54">
        <v>4</v>
      </c>
      <c r="X54" s="5" t="s">
        <v>124</v>
      </c>
      <c r="Y54">
        <v>3</v>
      </c>
      <c r="Z54">
        <v>0</v>
      </c>
      <c r="AA54" t="s">
        <v>25</v>
      </c>
      <c r="AB54" t="s">
        <v>26</v>
      </c>
      <c r="AC54" t="s">
        <v>27</v>
      </c>
      <c r="AD54" t="s">
        <v>42</v>
      </c>
      <c r="AE54" t="s">
        <v>25</v>
      </c>
      <c r="AF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3.1914893617021274E-2</v>
      </c>
      <c r="AG54" t="s">
        <v>942</v>
      </c>
      <c r="AH54">
        <v>67.5</v>
      </c>
      <c r="AI54" t="s">
        <v>939</v>
      </c>
      <c r="AJ54">
        <v>2</v>
      </c>
      <c r="AK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MIN(AJ54/8, 1) +
  Merge1[[#This Row],[index_defensive_effort]],
  2
)</f>
        <v>0.78</v>
      </c>
    </row>
    <row r="55" spans="1:37" x14ac:dyDescent="0.25">
      <c r="A55" t="s">
        <v>92</v>
      </c>
      <c r="B55" t="s">
        <v>93</v>
      </c>
      <c r="C55">
        <v>27</v>
      </c>
      <c r="D55" t="s">
        <v>22</v>
      </c>
      <c r="E55">
        <v>74</v>
      </c>
      <c r="F55">
        <v>205</v>
      </c>
      <c r="G55" t="s">
        <v>94</v>
      </c>
      <c r="H55">
        <v>2020</v>
      </c>
      <c r="I55" t="s">
        <v>33</v>
      </c>
      <c r="J55">
        <v>5</v>
      </c>
      <c r="K55">
        <v>5</v>
      </c>
      <c r="L55">
        <v>4</v>
      </c>
      <c r="M55">
        <v>2</v>
      </c>
      <c r="N55">
        <v>6</v>
      </c>
      <c r="O55">
        <v>0</v>
      </c>
      <c r="P55">
        <v>0</v>
      </c>
      <c r="Q55">
        <v>0</v>
      </c>
      <c r="R55">
        <v>0</v>
      </c>
      <c r="S55">
        <v>50</v>
      </c>
      <c r="T55">
        <v>50</v>
      </c>
      <c r="U55" s="5">
        <f>IF(Merge1[[#This Row],[team_defense_snaps]]=0, "", Merge1[[#This Row],[defense_snaps]] / Merge1[[#This Row],[team_defense_snaps]])</f>
        <v>0.75757575757575757</v>
      </c>
      <c r="V55">
        <v>66</v>
      </c>
      <c r="W55">
        <v>0</v>
      </c>
      <c r="X55" s="5" t="s">
        <v>29</v>
      </c>
      <c r="Y55">
        <v>3</v>
      </c>
      <c r="Z55">
        <v>0</v>
      </c>
      <c r="AA55" t="s">
        <v>25</v>
      </c>
      <c r="AB55" t="s">
        <v>36</v>
      </c>
      <c r="AC55" t="s">
        <v>96</v>
      </c>
      <c r="AD55" t="s">
        <v>42</v>
      </c>
      <c r="AE55" t="s">
        <v>25</v>
      </c>
      <c r="AF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</v>
      </c>
      <c r="AG55" t="s">
        <v>942</v>
      </c>
      <c r="AH55">
        <v>66</v>
      </c>
      <c r="AI55" t="s">
        <v>939</v>
      </c>
      <c r="AJ55">
        <v>1</v>
      </c>
      <c r="AK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MIN(AJ55/8, 1) +
  Merge1[[#This Row],[index_defensive_effort]],
  2
)</f>
        <v>0.79</v>
      </c>
    </row>
    <row r="56" spans="1:37" x14ac:dyDescent="0.25">
      <c r="A56" t="s">
        <v>97</v>
      </c>
      <c r="B56" t="s">
        <v>98</v>
      </c>
      <c r="C56">
        <v>28</v>
      </c>
      <c r="D56" t="s">
        <v>22</v>
      </c>
      <c r="E56">
        <v>71</v>
      </c>
      <c r="F56">
        <v>208</v>
      </c>
      <c r="G56" t="s">
        <v>99</v>
      </c>
      <c r="H56">
        <v>2020</v>
      </c>
      <c r="I56" t="s">
        <v>33</v>
      </c>
      <c r="J56">
        <v>1</v>
      </c>
      <c r="K56">
        <v>8</v>
      </c>
      <c r="L56">
        <v>4</v>
      </c>
      <c r="M56">
        <v>4</v>
      </c>
      <c r="N56">
        <v>8</v>
      </c>
      <c r="O56">
        <v>0</v>
      </c>
      <c r="P56">
        <v>1</v>
      </c>
      <c r="Q56">
        <v>2</v>
      </c>
      <c r="R56">
        <v>0</v>
      </c>
      <c r="S56">
        <v>50</v>
      </c>
      <c r="T56">
        <v>43</v>
      </c>
      <c r="U56" s="5">
        <f>IF(Merge1[[#This Row],[team_defense_snaps]]=0, "", Merge1[[#This Row],[defense_snaps]] / Merge1[[#This Row],[team_defense_snaps]])</f>
        <v>0.69354838709677424</v>
      </c>
      <c r="V56">
        <v>62</v>
      </c>
      <c r="W56">
        <v>7</v>
      </c>
      <c r="X56" s="5" t="s">
        <v>57</v>
      </c>
      <c r="Y56">
        <v>6</v>
      </c>
      <c r="Z56">
        <v>0</v>
      </c>
      <c r="AA56" t="s">
        <v>25</v>
      </c>
      <c r="AB56" t="s">
        <v>26</v>
      </c>
      <c r="AC56" t="s">
        <v>27</v>
      </c>
      <c r="AD56" t="s">
        <v>42</v>
      </c>
      <c r="AE56" t="s">
        <v>25</v>
      </c>
      <c r="AF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0.44</v>
      </c>
      <c r="AG56" t="s">
        <v>942</v>
      </c>
      <c r="AH56">
        <v>68</v>
      </c>
      <c r="AI56" t="s">
        <v>939</v>
      </c>
      <c r="AJ56">
        <v>2</v>
      </c>
      <c r="AK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MIN(AJ56/8, 1) +
  Merge1[[#This Row],[index_defensive_effort]],
  2
)</f>
        <v>1.29</v>
      </c>
    </row>
    <row r="57" spans="1:37" x14ac:dyDescent="0.25">
      <c r="A57" t="s">
        <v>97</v>
      </c>
      <c r="B57" t="s">
        <v>98</v>
      </c>
      <c r="C57">
        <v>28</v>
      </c>
      <c r="D57" t="s">
        <v>22</v>
      </c>
      <c r="E57">
        <v>71</v>
      </c>
      <c r="F57">
        <v>208</v>
      </c>
      <c r="G57" t="s">
        <v>99</v>
      </c>
      <c r="H57">
        <v>2020</v>
      </c>
      <c r="I57" t="s">
        <v>33</v>
      </c>
      <c r="J57">
        <v>2</v>
      </c>
      <c r="K57">
        <v>2</v>
      </c>
      <c r="L57">
        <v>4</v>
      </c>
      <c r="M57">
        <v>2</v>
      </c>
      <c r="N57">
        <v>6</v>
      </c>
      <c r="O57">
        <v>0</v>
      </c>
      <c r="P57">
        <v>0</v>
      </c>
      <c r="Q57">
        <v>0</v>
      </c>
      <c r="R57">
        <v>0</v>
      </c>
      <c r="S57">
        <v>59</v>
      </c>
      <c r="T57">
        <v>49</v>
      </c>
      <c r="U57" s="5">
        <f>IF(Merge1[[#This Row],[team_defense_snaps]]=0, "", Merge1[[#This Row],[defense_snaps]] / Merge1[[#This Row],[team_defense_snaps]])</f>
        <v>0.77777777777777779</v>
      </c>
      <c r="V57">
        <v>63</v>
      </c>
      <c r="W57">
        <v>10</v>
      </c>
      <c r="X57" s="5" t="s">
        <v>134</v>
      </c>
      <c r="Y57">
        <v>6</v>
      </c>
      <c r="Z57">
        <v>0</v>
      </c>
      <c r="AA57" t="s">
        <v>25</v>
      </c>
      <c r="AB57" t="s">
        <v>26</v>
      </c>
      <c r="AC57" t="s">
        <v>27</v>
      </c>
      <c r="AD57" t="s">
        <v>42</v>
      </c>
      <c r="AE57" t="s">
        <v>25</v>
      </c>
      <c r="AF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8.4745762711864403E-2</v>
      </c>
      <c r="AG57" t="s">
        <v>942</v>
      </c>
      <c r="AH57">
        <v>66.5</v>
      </c>
      <c r="AI57" t="s">
        <v>939</v>
      </c>
      <c r="AJ57">
        <v>3</v>
      </c>
      <c r="AK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MIN(AJ57/8, 1) +
  Merge1[[#This Row],[index_defensive_effort]],
  2
)</f>
        <v>1.06</v>
      </c>
    </row>
    <row r="58" spans="1:37" x14ac:dyDescent="0.25">
      <c r="A58" t="s">
        <v>97</v>
      </c>
      <c r="B58" t="s">
        <v>98</v>
      </c>
      <c r="C58">
        <v>28</v>
      </c>
      <c r="D58" t="s">
        <v>22</v>
      </c>
      <c r="E58">
        <v>71</v>
      </c>
      <c r="F58">
        <v>208</v>
      </c>
      <c r="G58" t="s">
        <v>99</v>
      </c>
      <c r="H58">
        <v>2020</v>
      </c>
      <c r="I58" t="s">
        <v>33</v>
      </c>
      <c r="J58">
        <v>3</v>
      </c>
      <c r="K58">
        <v>4</v>
      </c>
      <c r="L58">
        <v>4</v>
      </c>
      <c r="M58">
        <v>2</v>
      </c>
      <c r="N58">
        <v>6</v>
      </c>
      <c r="O58">
        <v>0</v>
      </c>
      <c r="P58">
        <v>1</v>
      </c>
      <c r="Q58">
        <v>0</v>
      </c>
      <c r="R58">
        <v>0</v>
      </c>
      <c r="S58">
        <v>46</v>
      </c>
      <c r="T58">
        <v>35</v>
      </c>
      <c r="U58" s="5">
        <f>IF(Merge1[[#This Row],[team_defense_snaps]]=0, "", Merge1[[#This Row],[defense_snaps]] / Merge1[[#This Row],[team_defense_snaps]])</f>
        <v>0.58333333333333337</v>
      </c>
      <c r="V58">
        <v>60</v>
      </c>
      <c r="W58">
        <v>11</v>
      </c>
      <c r="X58" s="5" t="s">
        <v>70</v>
      </c>
      <c r="Y58">
        <v>6</v>
      </c>
      <c r="Z58">
        <v>0</v>
      </c>
      <c r="AA58" t="s">
        <v>25</v>
      </c>
      <c r="AB58" t="s">
        <v>26</v>
      </c>
      <c r="AC58" t="s">
        <v>27</v>
      </c>
      <c r="AD58" t="s">
        <v>42</v>
      </c>
      <c r="AE58" t="s">
        <v>25</v>
      </c>
      <c r="AF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0.19565217391304349</v>
      </c>
      <c r="AG58" t="s">
        <v>942</v>
      </c>
      <c r="AH58">
        <v>65</v>
      </c>
      <c r="AI58" t="s">
        <v>939</v>
      </c>
      <c r="AJ58">
        <v>4</v>
      </c>
      <c r="AK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MIN(AJ58/8, 1) +
  Merge1[[#This Row],[index_defensive_effort]],
  2
)</f>
        <v>1.3</v>
      </c>
    </row>
    <row r="59" spans="1:37" x14ac:dyDescent="0.25">
      <c r="A59" t="s">
        <v>97</v>
      </c>
      <c r="B59" t="s">
        <v>98</v>
      </c>
      <c r="C59">
        <v>28</v>
      </c>
      <c r="D59" t="s">
        <v>22</v>
      </c>
      <c r="E59">
        <v>71</v>
      </c>
      <c r="F59">
        <v>208</v>
      </c>
      <c r="G59" t="s">
        <v>99</v>
      </c>
      <c r="H59">
        <v>2020</v>
      </c>
      <c r="I59" t="s">
        <v>33</v>
      </c>
      <c r="J59">
        <v>4</v>
      </c>
      <c r="K59">
        <v>1</v>
      </c>
      <c r="L59">
        <v>1</v>
      </c>
      <c r="M59">
        <v>1</v>
      </c>
      <c r="N59">
        <v>2</v>
      </c>
      <c r="O59">
        <v>0</v>
      </c>
      <c r="P59">
        <v>0</v>
      </c>
      <c r="Q59">
        <v>0</v>
      </c>
      <c r="R59">
        <v>0</v>
      </c>
      <c r="S59">
        <v>50</v>
      </c>
      <c r="T59">
        <v>42</v>
      </c>
      <c r="U59" s="5">
        <f>IF(Merge1[[#This Row],[team_defense_snaps]]=0, "", Merge1[[#This Row],[defense_snaps]] / Merge1[[#This Row],[team_defense_snaps]])</f>
        <v>0.75</v>
      </c>
      <c r="V59">
        <v>56</v>
      </c>
      <c r="W59">
        <v>8</v>
      </c>
      <c r="X59" s="5" t="s">
        <v>70</v>
      </c>
      <c r="Y59">
        <v>6</v>
      </c>
      <c r="Z59">
        <v>0</v>
      </c>
      <c r="AA59" t="s">
        <v>25</v>
      </c>
      <c r="AB59" t="s">
        <v>26</v>
      </c>
      <c r="AC59" t="s">
        <v>27</v>
      </c>
      <c r="AD59" t="s">
        <v>42</v>
      </c>
      <c r="AE59" t="s">
        <v>25</v>
      </c>
      <c r="AF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0.04</v>
      </c>
      <c r="AG59" t="s">
        <v>942</v>
      </c>
      <c r="AH59">
        <v>63.5</v>
      </c>
      <c r="AI59" t="s">
        <v>939</v>
      </c>
      <c r="AJ59">
        <v>1</v>
      </c>
      <c r="AK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MIN(AJ59/8, 1) +
  Merge1[[#This Row],[index_defensive_effort]],
  2
)</f>
        <v>0.77</v>
      </c>
    </row>
    <row r="60" spans="1:37" x14ac:dyDescent="0.25">
      <c r="A60" t="s">
        <v>97</v>
      </c>
      <c r="B60" t="s">
        <v>98</v>
      </c>
      <c r="C60">
        <v>28</v>
      </c>
      <c r="D60" t="s">
        <v>22</v>
      </c>
      <c r="E60">
        <v>71</v>
      </c>
      <c r="F60">
        <v>208</v>
      </c>
      <c r="G60" t="s">
        <v>99</v>
      </c>
      <c r="H60">
        <v>2020</v>
      </c>
      <c r="I60" t="s">
        <v>33</v>
      </c>
      <c r="J60">
        <v>6</v>
      </c>
      <c r="K60">
        <v>6</v>
      </c>
      <c r="L60">
        <v>6</v>
      </c>
      <c r="M60">
        <v>1</v>
      </c>
      <c r="N60">
        <v>7</v>
      </c>
      <c r="O60">
        <v>0</v>
      </c>
      <c r="P60">
        <v>0</v>
      </c>
      <c r="Q60">
        <v>0</v>
      </c>
      <c r="R60">
        <v>0</v>
      </c>
      <c r="S60">
        <v>60</v>
      </c>
      <c r="T60">
        <v>51</v>
      </c>
      <c r="U60" s="5">
        <f>IF(Merge1[[#This Row],[team_defense_snaps]]=0, "", Merge1[[#This Row],[defense_snaps]] / Merge1[[#This Row],[team_defense_snaps]])</f>
        <v>0.7846153846153846</v>
      </c>
      <c r="V60">
        <v>65</v>
      </c>
      <c r="W60">
        <v>9</v>
      </c>
      <c r="X60" s="5" t="s">
        <v>158</v>
      </c>
      <c r="Y60">
        <v>6</v>
      </c>
      <c r="Z60">
        <v>0</v>
      </c>
      <c r="AA60" t="s">
        <v>25</v>
      </c>
      <c r="AB60" t="s">
        <v>26</v>
      </c>
      <c r="AC60" t="s">
        <v>27</v>
      </c>
      <c r="AD60" t="s">
        <v>42</v>
      </c>
      <c r="AE60" t="s">
        <v>25</v>
      </c>
      <c r="AF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0.15833333333333333</v>
      </c>
      <c r="AG60" t="s">
        <v>942</v>
      </c>
      <c r="AH60">
        <v>60.5</v>
      </c>
      <c r="AI60" t="s">
        <v>939</v>
      </c>
      <c r="AJ60">
        <v>2</v>
      </c>
      <c r="AK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MIN(AJ60/8, 1) +
  Merge1[[#This Row],[index_defensive_effort]],
  2
)</f>
        <v>1.01</v>
      </c>
    </row>
    <row r="61" spans="1:37" x14ac:dyDescent="0.25">
      <c r="A61" t="s">
        <v>97</v>
      </c>
      <c r="B61" t="s">
        <v>98</v>
      </c>
      <c r="C61">
        <v>28</v>
      </c>
      <c r="D61" t="s">
        <v>22</v>
      </c>
      <c r="E61">
        <v>71</v>
      </c>
      <c r="F61">
        <v>208</v>
      </c>
      <c r="G61" t="s">
        <v>99</v>
      </c>
      <c r="H61">
        <v>2020</v>
      </c>
      <c r="I61" t="s">
        <v>33</v>
      </c>
      <c r="J61">
        <v>7</v>
      </c>
      <c r="K61">
        <v>5</v>
      </c>
      <c r="L61">
        <v>3</v>
      </c>
      <c r="M61">
        <v>3</v>
      </c>
      <c r="N61">
        <v>6</v>
      </c>
      <c r="O61">
        <v>0</v>
      </c>
      <c r="P61">
        <v>0</v>
      </c>
      <c r="Q61">
        <v>0</v>
      </c>
      <c r="R61">
        <v>0</v>
      </c>
      <c r="S61">
        <v>61</v>
      </c>
      <c r="T61">
        <v>55</v>
      </c>
      <c r="U61" s="5">
        <f>IF(Merge1[[#This Row],[team_defense_snaps]]=0, "", Merge1[[#This Row],[defense_snaps]] / Merge1[[#This Row],[team_defense_snaps]])</f>
        <v>0.83333333333333337</v>
      </c>
      <c r="V61">
        <v>66</v>
      </c>
      <c r="W61">
        <v>6</v>
      </c>
      <c r="X61" s="5" t="s">
        <v>113</v>
      </c>
      <c r="Y61">
        <v>6</v>
      </c>
      <c r="Z61">
        <v>0</v>
      </c>
      <c r="AA61" t="s">
        <v>25</v>
      </c>
      <c r="AB61" t="s">
        <v>26</v>
      </c>
      <c r="AC61" t="s">
        <v>27</v>
      </c>
      <c r="AD61" t="s">
        <v>42</v>
      </c>
      <c r="AE61" t="s">
        <v>25</v>
      </c>
      <c r="AF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0.13114754098360656</v>
      </c>
      <c r="AG61" t="s">
        <v>942</v>
      </c>
      <c r="AH61">
        <v>59</v>
      </c>
      <c r="AI61" t="s">
        <v>939</v>
      </c>
      <c r="AJ61">
        <v>3</v>
      </c>
      <c r="AK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MIN(AJ61/8, 1) +
  Merge1[[#This Row],[index_defensive_effort]],
  2
)</f>
        <v>1.1100000000000001</v>
      </c>
    </row>
    <row r="62" spans="1:37" x14ac:dyDescent="0.25">
      <c r="A62" t="s">
        <v>97</v>
      </c>
      <c r="B62" t="s">
        <v>98</v>
      </c>
      <c r="C62">
        <v>28</v>
      </c>
      <c r="D62" t="s">
        <v>22</v>
      </c>
      <c r="E62">
        <v>71</v>
      </c>
      <c r="F62">
        <v>208</v>
      </c>
      <c r="G62" t="s">
        <v>99</v>
      </c>
      <c r="H62">
        <v>2020</v>
      </c>
      <c r="I62" t="s">
        <v>33</v>
      </c>
      <c r="J62">
        <v>8</v>
      </c>
      <c r="K62">
        <v>1</v>
      </c>
      <c r="L62">
        <v>3</v>
      </c>
      <c r="M62">
        <v>2</v>
      </c>
      <c r="N62">
        <v>5</v>
      </c>
      <c r="O62">
        <v>0</v>
      </c>
      <c r="P62">
        <v>0</v>
      </c>
      <c r="Q62">
        <v>0</v>
      </c>
      <c r="R62">
        <v>0</v>
      </c>
      <c r="S62">
        <v>66</v>
      </c>
      <c r="T62">
        <v>58</v>
      </c>
      <c r="U62" s="5">
        <f>IF(Merge1[[#This Row],[team_defense_snaps]]=0, "", Merge1[[#This Row],[defense_snaps]] / Merge1[[#This Row],[team_defense_snaps]])</f>
        <v>0.98305084745762716</v>
      </c>
      <c r="V62">
        <v>59</v>
      </c>
      <c r="W62">
        <v>8</v>
      </c>
      <c r="X62" s="5" t="s">
        <v>123</v>
      </c>
      <c r="Y62">
        <v>6</v>
      </c>
      <c r="Z62">
        <v>0</v>
      </c>
      <c r="AA62" t="s">
        <v>25</v>
      </c>
      <c r="AB62" t="s">
        <v>26</v>
      </c>
      <c r="AC62" t="s">
        <v>27</v>
      </c>
      <c r="AD62" t="s">
        <v>42</v>
      </c>
      <c r="AE62" t="s">
        <v>25</v>
      </c>
      <c r="AF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5.3030303030303032E-2</v>
      </c>
      <c r="AG62" t="s">
        <v>942</v>
      </c>
      <c r="AH62">
        <v>57.5</v>
      </c>
      <c r="AI62" t="s">
        <v>939</v>
      </c>
      <c r="AJ62">
        <v>4</v>
      </c>
      <c r="AK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MIN(AJ62/8, 1) +
  Merge1[[#This Row],[index_defensive_effort]],
  2
)</f>
        <v>1.1499999999999999</v>
      </c>
    </row>
    <row r="63" spans="1:37" x14ac:dyDescent="0.25">
      <c r="A63" t="s">
        <v>97</v>
      </c>
      <c r="B63" t="s">
        <v>98</v>
      </c>
      <c r="C63">
        <v>28</v>
      </c>
      <c r="D63" t="s">
        <v>22</v>
      </c>
      <c r="E63">
        <v>71</v>
      </c>
      <c r="F63">
        <v>208</v>
      </c>
      <c r="G63" t="s">
        <v>99</v>
      </c>
      <c r="H63">
        <v>2020</v>
      </c>
      <c r="I63" t="s">
        <v>33</v>
      </c>
      <c r="J63">
        <v>9</v>
      </c>
      <c r="K63">
        <v>6</v>
      </c>
      <c r="L63">
        <v>2</v>
      </c>
      <c r="M63">
        <v>1</v>
      </c>
      <c r="N63">
        <v>3</v>
      </c>
      <c r="O63">
        <v>0</v>
      </c>
      <c r="P63">
        <v>1</v>
      </c>
      <c r="Q63">
        <v>0</v>
      </c>
      <c r="R63">
        <v>0</v>
      </c>
      <c r="S63">
        <v>48</v>
      </c>
      <c r="T63">
        <v>41</v>
      </c>
      <c r="U63" s="5">
        <f>IF(Merge1[[#This Row],[team_defense_snaps]]=0, "", Merge1[[#This Row],[defense_snaps]] / Merge1[[#This Row],[team_defense_snaps]])</f>
        <v>0.89130434782608692</v>
      </c>
      <c r="V63">
        <v>46</v>
      </c>
      <c r="W63">
        <v>7</v>
      </c>
      <c r="X63" s="5" t="s">
        <v>137</v>
      </c>
      <c r="Y63">
        <v>6</v>
      </c>
      <c r="Z63">
        <v>0</v>
      </c>
      <c r="AA63" t="s">
        <v>25</v>
      </c>
      <c r="AB63" t="s">
        <v>26</v>
      </c>
      <c r="AC63" t="s">
        <v>27</v>
      </c>
      <c r="AD63" t="s">
        <v>42</v>
      </c>
      <c r="AE63" t="s">
        <v>25</v>
      </c>
      <c r="AF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0.19791666666666666</v>
      </c>
      <c r="AG63" t="s">
        <v>942</v>
      </c>
      <c r="AH63">
        <v>56</v>
      </c>
      <c r="AI63" t="s">
        <v>939</v>
      </c>
      <c r="AJ63">
        <v>5</v>
      </c>
      <c r="AK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MIN(AJ63/8, 1) +
  Merge1[[#This Row],[index_defensive_effort]],
  2
)</f>
        <v>1.42</v>
      </c>
    </row>
    <row r="64" spans="1:37" x14ac:dyDescent="0.25">
      <c r="A64" t="s">
        <v>97</v>
      </c>
      <c r="B64" t="s">
        <v>98</v>
      </c>
      <c r="C64">
        <v>28</v>
      </c>
      <c r="D64" t="s">
        <v>22</v>
      </c>
      <c r="E64">
        <v>71</v>
      </c>
      <c r="F64">
        <v>208</v>
      </c>
      <c r="G64" t="s">
        <v>99</v>
      </c>
      <c r="H64">
        <v>2020</v>
      </c>
      <c r="I64" t="s">
        <v>33</v>
      </c>
      <c r="J64">
        <v>10</v>
      </c>
      <c r="K64">
        <v>3</v>
      </c>
      <c r="L64">
        <v>2</v>
      </c>
      <c r="M64">
        <v>2</v>
      </c>
      <c r="N64">
        <v>4</v>
      </c>
      <c r="O64">
        <v>0</v>
      </c>
      <c r="P64">
        <v>0</v>
      </c>
      <c r="Q64">
        <v>0</v>
      </c>
      <c r="R64">
        <v>0</v>
      </c>
      <c r="S64">
        <v>67</v>
      </c>
      <c r="T64">
        <v>58</v>
      </c>
      <c r="U64" s="5">
        <f>IF(Merge1[[#This Row],[team_defense_snaps]]=0, "", Merge1[[#This Row],[defense_snaps]] / Merge1[[#This Row],[team_defense_snaps]])</f>
        <v>0.86567164179104472</v>
      </c>
      <c r="V64">
        <v>67</v>
      </c>
      <c r="W64">
        <v>9</v>
      </c>
      <c r="X64" s="5" t="s">
        <v>57</v>
      </c>
      <c r="Y64">
        <v>6</v>
      </c>
      <c r="Z64">
        <v>0</v>
      </c>
      <c r="AA64" t="s">
        <v>25</v>
      </c>
      <c r="AB64" t="s">
        <v>26</v>
      </c>
      <c r="AC64" t="s">
        <v>27</v>
      </c>
      <c r="AD64" t="s">
        <v>42</v>
      </c>
      <c r="AE64" t="s">
        <v>25</v>
      </c>
      <c r="AF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7.4626865671641784E-2</v>
      </c>
      <c r="AG64" t="s">
        <v>942</v>
      </c>
      <c r="AH64">
        <v>54.5</v>
      </c>
      <c r="AI64" t="s">
        <v>939</v>
      </c>
      <c r="AJ64">
        <v>6</v>
      </c>
      <c r="AK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MIN(AJ64/8, 1) +
  Merge1[[#This Row],[index_defensive_effort]],
  2
)</f>
        <v>1.42</v>
      </c>
    </row>
    <row r="65" spans="1:37" x14ac:dyDescent="0.25">
      <c r="A65" t="s">
        <v>97</v>
      </c>
      <c r="B65" t="s">
        <v>98</v>
      </c>
      <c r="C65">
        <v>28</v>
      </c>
      <c r="D65" t="s">
        <v>22</v>
      </c>
      <c r="E65">
        <v>71</v>
      </c>
      <c r="F65">
        <v>208</v>
      </c>
      <c r="G65" t="s">
        <v>99</v>
      </c>
      <c r="H65">
        <v>2020</v>
      </c>
      <c r="I65" t="s">
        <v>33</v>
      </c>
      <c r="J65">
        <v>11</v>
      </c>
      <c r="K65">
        <v>5</v>
      </c>
      <c r="L65">
        <v>2</v>
      </c>
      <c r="M65">
        <v>1</v>
      </c>
      <c r="N65">
        <v>3</v>
      </c>
      <c r="O65">
        <v>0</v>
      </c>
      <c r="P65">
        <v>0</v>
      </c>
      <c r="Q65">
        <v>0</v>
      </c>
      <c r="R65">
        <v>0</v>
      </c>
      <c r="S65">
        <v>55</v>
      </c>
      <c r="T65">
        <v>45</v>
      </c>
      <c r="U65" s="5">
        <f>IF(Merge1[[#This Row],[team_defense_snaps]]=0, "", Merge1[[#This Row],[defense_snaps]] / Merge1[[#This Row],[team_defense_snaps]])</f>
        <v>0.73770491803278693</v>
      </c>
      <c r="V65">
        <v>61</v>
      </c>
      <c r="W65">
        <v>10</v>
      </c>
      <c r="X65" s="5" t="s">
        <v>60</v>
      </c>
      <c r="Y65">
        <v>6</v>
      </c>
      <c r="Z65">
        <v>0</v>
      </c>
      <c r="AA65" t="s">
        <v>25</v>
      </c>
      <c r="AB65" t="s">
        <v>26</v>
      </c>
      <c r="AC65" t="s">
        <v>27</v>
      </c>
      <c r="AD65" t="s">
        <v>42</v>
      </c>
      <c r="AE65" t="s">
        <v>25</v>
      </c>
      <c r="AF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0.11818181818181818</v>
      </c>
      <c r="AG65" t="s">
        <v>942</v>
      </c>
      <c r="AH65">
        <v>53</v>
      </c>
      <c r="AI65" t="s">
        <v>939</v>
      </c>
      <c r="AJ65">
        <v>7</v>
      </c>
      <c r="AK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MIN(AJ65/8, 1) +
  Merge1[[#This Row],[index_defensive_effort]],
  2
)</f>
        <v>1.59</v>
      </c>
    </row>
    <row r="66" spans="1:37" x14ac:dyDescent="0.25">
      <c r="A66" t="s">
        <v>97</v>
      </c>
      <c r="B66" t="s">
        <v>98</v>
      </c>
      <c r="C66">
        <v>28</v>
      </c>
      <c r="D66" t="s">
        <v>22</v>
      </c>
      <c r="E66">
        <v>71</v>
      </c>
      <c r="F66">
        <v>208</v>
      </c>
      <c r="G66" t="s">
        <v>99</v>
      </c>
      <c r="H66">
        <v>2020</v>
      </c>
      <c r="I66" t="s">
        <v>33</v>
      </c>
      <c r="J66">
        <v>12</v>
      </c>
      <c r="K66">
        <v>3</v>
      </c>
      <c r="L66">
        <v>2</v>
      </c>
      <c r="M66">
        <v>2</v>
      </c>
      <c r="N66">
        <v>4</v>
      </c>
      <c r="O66">
        <v>0</v>
      </c>
      <c r="P66">
        <v>0</v>
      </c>
      <c r="Q66">
        <v>2</v>
      </c>
      <c r="R66">
        <v>0</v>
      </c>
      <c r="S66">
        <v>62</v>
      </c>
      <c r="T66">
        <v>51</v>
      </c>
      <c r="U66" s="5">
        <f>IF(Merge1[[#This Row],[team_defense_snaps]]=0, "", Merge1[[#This Row],[defense_snaps]] / Merge1[[#This Row],[team_defense_snaps]])</f>
        <v>0.68918918918918914</v>
      </c>
      <c r="V66">
        <v>74</v>
      </c>
      <c r="W66">
        <v>11</v>
      </c>
      <c r="X66" s="5" t="s">
        <v>275</v>
      </c>
      <c r="Y66">
        <v>6</v>
      </c>
      <c r="Z66">
        <v>0</v>
      </c>
      <c r="AA66" t="s">
        <v>25</v>
      </c>
      <c r="AB66" t="s">
        <v>26</v>
      </c>
      <c r="AC66" t="s">
        <v>27</v>
      </c>
      <c r="AD66" t="s">
        <v>42</v>
      </c>
      <c r="AE66" t="s">
        <v>25</v>
      </c>
      <c r="AF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0.20967741935483872</v>
      </c>
      <c r="AG66" t="s">
        <v>942</v>
      </c>
      <c r="AH66">
        <v>51.5</v>
      </c>
      <c r="AI66" t="s">
        <v>939</v>
      </c>
      <c r="AJ66">
        <v>8</v>
      </c>
      <c r="AK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MIN(AJ66/8, 1) +
  Merge1[[#This Row],[index_defensive_effort]],
  2
)</f>
        <v>1.81</v>
      </c>
    </row>
    <row r="67" spans="1:37" x14ac:dyDescent="0.25">
      <c r="A67" t="s">
        <v>97</v>
      </c>
      <c r="B67" t="s">
        <v>98</v>
      </c>
      <c r="C67">
        <v>28</v>
      </c>
      <c r="D67" t="s">
        <v>22</v>
      </c>
      <c r="E67">
        <v>71</v>
      </c>
      <c r="F67">
        <v>208</v>
      </c>
      <c r="G67" t="s">
        <v>99</v>
      </c>
      <c r="H67">
        <v>2020</v>
      </c>
      <c r="I67" t="s">
        <v>33</v>
      </c>
      <c r="J67">
        <v>13</v>
      </c>
      <c r="K67">
        <v>7</v>
      </c>
      <c r="L67">
        <v>5</v>
      </c>
      <c r="M67">
        <v>1</v>
      </c>
      <c r="N67">
        <v>6</v>
      </c>
      <c r="O67">
        <v>0</v>
      </c>
      <c r="P67">
        <v>0</v>
      </c>
      <c r="Q67">
        <v>0</v>
      </c>
      <c r="R67">
        <v>0</v>
      </c>
      <c r="S67">
        <v>69</v>
      </c>
      <c r="T67">
        <v>56</v>
      </c>
      <c r="U67" s="5">
        <f>IF(Merge1[[#This Row],[team_defense_snaps]]=0, "", Merge1[[#This Row],[defense_snaps]] / Merge1[[#This Row],[team_defense_snaps]])</f>
        <v>0.76712328767123283</v>
      </c>
      <c r="V67">
        <v>73</v>
      </c>
      <c r="W67">
        <v>13</v>
      </c>
      <c r="X67" s="5" t="s">
        <v>275</v>
      </c>
      <c r="Y67">
        <v>6</v>
      </c>
      <c r="Z67">
        <v>0</v>
      </c>
      <c r="AA67" t="s">
        <v>25</v>
      </c>
      <c r="AB67" t="s">
        <v>26</v>
      </c>
      <c r="AC67" t="s">
        <v>27</v>
      </c>
      <c r="AD67" t="s">
        <v>42</v>
      </c>
      <c r="AE67" t="s">
        <v>25</v>
      </c>
      <c r="AF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0.14492753623188406</v>
      </c>
      <c r="AG67" t="s">
        <v>942</v>
      </c>
      <c r="AH67">
        <v>50</v>
      </c>
      <c r="AI67" t="s">
        <v>939</v>
      </c>
      <c r="AJ67">
        <v>9</v>
      </c>
      <c r="AK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MIN(AJ67/8, 1) +
  Merge1[[#This Row],[index_defensive_effort]],
  2
)</f>
        <v>1.74</v>
      </c>
    </row>
    <row r="68" spans="1:37" x14ac:dyDescent="0.25">
      <c r="A68" t="s">
        <v>97</v>
      </c>
      <c r="B68" t="s">
        <v>98</v>
      </c>
      <c r="C68">
        <v>28</v>
      </c>
      <c r="D68" t="s">
        <v>22</v>
      </c>
      <c r="E68">
        <v>71</v>
      </c>
      <c r="F68">
        <v>208</v>
      </c>
      <c r="G68" t="s">
        <v>99</v>
      </c>
      <c r="H68">
        <v>2020</v>
      </c>
      <c r="I68" t="s">
        <v>33</v>
      </c>
      <c r="J68">
        <v>14</v>
      </c>
      <c r="K68">
        <v>9</v>
      </c>
      <c r="L68">
        <v>2</v>
      </c>
      <c r="M68">
        <v>0</v>
      </c>
      <c r="N68">
        <v>2</v>
      </c>
      <c r="O68">
        <v>0</v>
      </c>
      <c r="P68">
        <v>0</v>
      </c>
      <c r="Q68">
        <v>0</v>
      </c>
      <c r="R68">
        <v>0</v>
      </c>
      <c r="S68">
        <v>70</v>
      </c>
      <c r="T68">
        <v>57</v>
      </c>
      <c r="U68" s="5">
        <f>IF(Merge1[[#This Row],[team_defense_snaps]]=0, "", Merge1[[#This Row],[defense_snaps]] / Merge1[[#This Row],[team_defense_snaps]])</f>
        <v>0.890625</v>
      </c>
      <c r="V68">
        <v>64</v>
      </c>
      <c r="W68">
        <v>13</v>
      </c>
      <c r="X68" s="5" t="s">
        <v>112</v>
      </c>
      <c r="Y68">
        <v>6</v>
      </c>
      <c r="Z68">
        <v>0</v>
      </c>
      <c r="AA68" t="s">
        <v>25</v>
      </c>
      <c r="AB68" t="s">
        <v>26</v>
      </c>
      <c r="AC68" t="s">
        <v>27</v>
      </c>
      <c r="AD68" t="s">
        <v>42</v>
      </c>
      <c r="AE68" t="s">
        <v>25</v>
      </c>
      <c r="AF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0.14285714285714285</v>
      </c>
      <c r="AG68" t="s">
        <v>942</v>
      </c>
      <c r="AH68">
        <v>48.5</v>
      </c>
      <c r="AI68" t="s">
        <v>939</v>
      </c>
      <c r="AJ68">
        <v>10</v>
      </c>
      <c r="AK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MIN(AJ68/8, 1) +
  Merge1[[#This Row],[index_defensive_effort]],
  2
)</f>
        <v>1.74</v>
      </c>
    </row>
    <row r="69" spans="1:37" x14ac:dyDescent="0.25">
      <c r="A69" t="s">
        <v>97</v>
      </c>
      <c r="B69" t="s">
        <v>98</v>
      </c>
      <c r="C69">
        <v>28</v>
      </c>
      <c r="D69" t="s">
        <v>22</v>
      </c>
      <c r="E69">
        <v>71</v>
      </c>
      <c r="F69">
        <v>208</v>
      </c>
      <c r="G69" t="s">
        <v>99</v>
      </c>
      <c r="H69">
        <v>2020</v>
      </c>
      <c r="I69" t="s">
        <v>33</v>
      </c>
      <c r="J69">
        <v>15</v>
      </c>
      <c r="K69">
        <v>9</v>
      </c>
      <c r="L69">
        <v>1</v>
      </c>
      <c r="M69">
        <v>0</v>
      </c>
      <c r="N69">
        <v>1</v>
      </c>
      <c r="O69">
        <v>4</v>
      </c>
      <c r="P69">
        <v>4</v>
      </c>
      <c r="Q69">
        <v>0</v>
      </c>
      <c r="R69">
        <v>0</v>
      </c>
      <c r="S69">
        <v>52</v>
      </c>
      <c r="T69">
        <v>39</v>
      </c>
      <c r="U69" s="5">
        <f>IF(Merge1[[#This Row],[team_defense_snaps]]=0, "", Merge1[[#This Row],[defense_snaps]] / Merge1[[#This Row],[team_defense_snaps]])</f>
        <v>0.53424657534246578</v>
      </c>
      <c r="V69">
        <v>73</v>
      </c>
      <c r="W69">
        <v>13</v>
      </c>
      <c r="X69" s="5" t="s">
        <v>102</v>
      </c>
      <c r="Y69">
        <v>6</v>
      </c>
      <c r="Z69">
        <v>0</v>
      </c>
      <c r="AA69" t="s">
        <v>25</v>
      </c>
      <c r="AB69" t="s">
        <v>26</v>
      </c>
      <c r="AC69" t="s">
        <v>27</v>
      </c>
      <c r="AD69" t="s">
        <v>42</v>
      </c>
      <c r="AE69" t="s">
        <v>25</v>
      </c>
      <c r="AF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0.56730769230769229</v>
      </c>
      <c r="AG69" t="s">
        <v>942</v>
      </c>
      <c r="AH69">
        <v>47</v>
      </c>
      <c r="AI69" t="s">
        <v>939</v>
      </c>
      <c r="AJ69">
        <v>11</v>
      </c>
      <c r="AK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MIN(AJ69/8, 1) +
  Merge1[[#This Row],[index_defensive_effort]],
  2
)</f>
        <v>2.17</v>
      </c>
    </row>
    <row r="70" spans="1:37" x14ac:dyDescent="0.25">
      <c r="A70" t="s">
        <v>97</v>
      </c>
      <c r="B70" t="s">
        <v>98</v>
      </c>
      <c r="C70">
        <v>28</v>
      </c>
      <c r="D70" t="s">
        <v>22</v>
      </c>
      <c r="E70">
        <v>71</v>
      </c>
      <c r="F70">
        <v>208</v>
      </c>
      <c r="G70" t="s">
        <v>99</v>
      </c>
      <c r="H70">
        <v>2020</v>
      </c>
      <c r="I70" t="s">
        <v>33</v>
      </c>
      <c r="J70">
        <v>16</v>
      </c>
      <c r="K70">
        <v>4</v>
      </c>
      <c r="L70">
        <v>3</v>
      </c>
      <c r="M70">
        <v>3</v>
      </c>
      <c r="N70">
        <v>6</v>
      </c>
      <c r="O70">
        <v>0</v>
      </c>
      <c r="P70">
        <v>0</v>
      </c>
      <c r="Q70">
        <v>0</v>
      </c>
      <c r="R70">
        <v>0</v>
      </c>
      <c r="S70">
        <v>72</v>
      </c>
      <c r="T70">
        <v>62</v>
      </c>
      <c r="U70" s="5">
        <f>IF(Merge1[[#This Row],[team_defense_snaps]]=0, "", Merge1[[#This Row],[defense_snaps]] / Merge1[[#This Row],[team_defense_snaps]])</f>
        <v>0.86111111111111116</v>
      </c>
      <c r="V70">
        <v>72</v>
      </c>
      <c r="W70">
        <v>10</v>
      </c>
      <c r="X70" s="5" t="s">
        <v>134</v>
      </c>
      <c r="Y70">
        <v>6</v>
      </c>
      <c r="Z70">
        <v>0</v>
      </c>
      <c r="AA70" t="s">
        <v>25</v>
      </c>
      <c r="AB70" t="s">
        <v>26</v>
      </c>
      <c r="AC70" t="s">
        <v>27</v>
      </c>
      <c r="AD70" t="s">
        <v>42</v>
      </c>
      <c r="AE70" t="s">
        <v>25</v>
      </c>
      <c r="AF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9.7222222222222224E-2</v>
      </c>
      <c r="AG70" t="s">
        <v>942</v>
      </c>
      <c r="AH70">
        <v>45.5</v>
      </c>
      <c r="AI70" t="s">
        <v>939</v>
      </c>
      <c r="AJ70">
        <v>12</v>
      </c>
      <c r="AK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MIN(AJ70/8, 1) +
  Merge1[[#This Row],[index_defensive_effort]],
  2
)</f>
        <v>1.7</v>
      </c>
    </row>
    <row r="71" spans="1:37" x14ac:dyDescent="0.25">
      <c r="A71" t="s">
        <v>97</v>
      </c>
      <c r="B71" t="s">
        <v>98</v>
      </c>
      <c r="C71">
        <v>28</v>
      </c>
      <c r="D71" t="s">
        <v>22</v>
      </c>
      <c r="E71">
        <v>71</v>
      </c>
      <c r="F71">
        <v>208</v>
      </c>
      <c r="G71" t="s">
        <v>99</v>
      </c>
      <c r="H71">
        <v>2020</v>
      </c>
      <c r="I71" t="s">
        <v>33</v>
      </c>
      <c r="J71">
        <v>17</v>
      </c>
      <c r="K71">
        <v>0</v>
      </c>
      <c r="L71">
        <v>1</v>
      </c>
      <c r="M71">
        <v>1</v>
      </c>
      <c r="N71">
        <v>2</v>
      </c>
      <c r="O71">
        <v>0</v>
      </c>
      <c r="P71">
        <v>0</v>
      </c>
      <c r="Q71">
        <v>0</v>
      </c>
      <c r="R71">
        <v>0</v>
      </c>
      <c r="S71">
        <v>6</v>
      </c>
      <c r="T71">
        <v>4</v>
      </c>
      <c r="U71" s="5">
        <f>IF(Merge1[[#This Row],[team_defense_snaps]]=0, "", Merge1[[#This Row],[defense_snaps]] / Merge1[[#This Row],[team_defense_snaps]])</f>
        <v>5.9701492537313432E-2</v>
      </c>
      <c r="V71">
        <v>67</v>
      </c>
      <c r="W71">
        <v>2</v>
      </c>
      <c r="X71" s="5" t="s">
        <v>167</v>
      </c>
      <c r="Y71">
        <v>6</v>
      </c>
      <c r="Z71">
        <v>0</v>
      </c>
      <c r="AA71" t="s">
        <v>25</v>
      </c>
      <c r="AB71" t="s">
        <v>26</v>
      </c>
      <c r="AC71" t="s">
        <v>27</v>
      </c>
      <c r="AD71" t="s">
        <v>42</v>
      </c>
      <c r="AE71" t="s">
        <v>25</v>
      </c>
      <c r="AF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AG71" t="s">
        <v>942</v>
      </c>
      <c r="AH71">
        <v>44</v>
      </c>
      <c r="AI71" t="s">
        <v>939</v>
      </c>
      <c r="AJ71">
        <v>1</v>
      </c>
      <c r="AK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MIN(AJ71/8, 1) +
  Merge1[[#This Row],[index_defensive_effort]],
  2
)</f>
        <v>0.89</v>
      </c>
    </row>
    <row r="72" spans="1:37" x14ac:dyDescent="0.25">
      <c r="A72" t="s">
        <v>145</v>
      </c>
      <c r="B72" t="s">
        <v>146</v>
      </c>
      <c r="C72">
        <v>25</v>
      </c>
      <c r="D72" t="s">
        <v>56</v>
      </c>
      <c r="E72">
        <v>74</v>
      </c>
      <c r="F72">
        <v>195</v>
      </c>
      <c r="G72" t="s">
        <v>144</v>
      </c>
      <c r="H72">
        <v>2020</v>
      </c>
      <c r="I72" t="s">
        <v>33</v>
      </c>
      <c r="J72">
        <v>1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17</v>
      </c>
      <c r="T72">
        <v>4</v>
      </c>
      <c r="U72" s="5">
        <f>IF(Merge1[[#This Row],[team_defense_snaps]]=0, "", Merge1[[#This Row],[defense_snaps]] / Merge1[[#This Row],[team_defense_snaps]])</f>
        <v>0.04</v>
      </c>
      <c r="V72">
        <v>100</v>
      </c>
      <c r="W72">
        <v>13</v>
      </c>
      <c r="X72" s="5" t="s">
        <v>260</v>
      </c>
      <c r="Y72">
        <v>3</v>
      </c>
      <c r="Z72">
        <v>0</v>
      </c>
      <c r="AA72" t="s">
        <v>25</v>
      </c>
      <c r="AB72" t="s">
        <v>26</v>
      </c>
      <c r="AC72" t="s">
        <v>27</v>
      </c>
      <c r="AD72" t="s">
        <v>28</v>
      </c>
      <c r="AE72" t="s">
        <v>25</v>
      </c>
      <c r="AF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AG72" t="s">
        <v>941</v>
      </c>
      <c r="AH72">
        <v>78</v>
      </c>
      <c r="AI72" t="s">
        <v>939</v>
      </c>
      <c r="AJ72">
        <v>2</v>
      </c>
      <c r="AK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MIN(AJ72/8, 1) +
  Merge1[[#This Row],[index_defensive_effort]],
  2
)</f>
        <v>0.71</v>
      </c>
    </row>
    <row r="73" spans="1:37" x14ac:dyDescent="0.25">
      <c r="A73" t="s">
        <v>145</v>
      </c>
      <c r="B73" t="s">
        <v>146</v>
      </c>
      <c r="C73">
        <v>25</v>
      </c>
      <c r="D73" t="s">
        <v>56</v>
      </c>
      <c r="E73">
        <v>74</v>
      </c>
      <c r="F73">
        <v>195</v>
      </c>
      <c r="G73" t="s">
        <v>144</v>
      </c>
      <c r="H73">
        <v>2020</v>
      </c>
      <c r="I73" t="s">
        <v>33</v>
      </c>
      <c r="J73">
        <v>2</v>
      </c>
      <c r="K73">
        <v>3</v>
      </c>
      <c r="L73">
        <v>2</v>
      </c>
      <c r="M73">
        <v>0</v>
      </c>
      <c r="N73">
        <v>2</v>
      </c>
      <c r="O73">
        <v>0</v>
      </c>
      <c r="P73">
        <v>0</v>
      </c>
      <c r="Q73">
        <v>0</v>
      </c>
      <c r="R73">
        <v>0</v>
      </c>
      <c r="S73">
        <v>66</v>
      </c>
      <c r="T73">
        <v>65</v>
      </c>
      <c r="U73" s="5">
        <f>IF(Merge1[[#This Row],[team_defense_snaps]]=0, "", Merge1[[#This Row],[defense_snaps]] / Merge1[[#This Row],[team_defense_snaps]])</f>
        <v>0.97014925373134331</v>
      </c>
      <c r="V73">
        <v>67</v>
      </c>
      <c r="W73">
        <v>1</v>
      </c>
      <c r="X73" s="5" t="s">
        <v>193</v>
      </c>
      <c r="Y73">
        <v>3</v>
      </c>
      <c r="Z73">
        <v>0</v>
      </c>
      <c r="AA73" t="s">
        <v>25</v>
      </c>
      <c r="AB73" t="s">
        <v>26</v>
      </c>
      <c r="AC73" t="s">
        <v>27</v>
      </c>
      <c r="AD73" t="s">
        <v>42</v>
      </c>
      <c r="AE73" t="s">
        <v>25</v>
      </c>
      <c r="AF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6.0606060606060608E-2</v>
      </c>
      <c r="AG73" t="s">
        <v>941</v>
      </c>
      <c r="AH73">
        <v>76.5</v>
      </c>
      <c r="AI73" t="s">
        <v>938</v>
      </c>
      <c r="AJ73">
        <v>1</v>
      </c>
      <c r="AK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MIN(AJ73/8, 1) +
  Merge1[[#This Row],[index_defensive_effort]],
  2
)</f>
        <v>0.59</v>
      </c>
    </row>
    <row r="74" spans="1:37" x14ac:dyDescent="0.25">
      <c r="A74" t="s">
        <v>145</v>
      </c>
      <c r="B74" t="s">
        <v>146</v>
      </c>
      <c r="C74">
        <v>25</v>
      </c>
      <c r="D74" t="s">
        <v>56</v>
      </c>
      <c r="E74">
        <v>74</v>
      </c>
      <c r="F74">
        <v>195</v>
      </c>
      <c r="G74" t="s">
        <v>144</v>
      </c>
      <c r="H74">
        <v>2020</v>
      </c>
      <c r="I74" t="s">
        <v>33</v>
      </c>
      <c r="J74">
        <v>5</v>
      </c>
      <c r="K74">
        <v>2</v>
      </c>
      <c r="L74">
        <v>1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42</v>
      </c>
      <c r="T74">
        <v>41</v>
      </c>
      <c r="U74" s="5">
        <f>IF(Merge1[[#This Row],[team_defense_snaps]]=0, "", Merge1[[#This Row],[defense_snaps]] / Merge1[[#This Row],[team_defense_snaps]])</f>
        <v>0.61194029850746268</v>
      </c>
      <c r="V74">
        <v>67</v>
      </c>
      <c r="W74">
        <v>1</v>
      </c>
      <c r="X74" s="5" t="s">
        <v>303</v>
      </c>
      <c r="Y74">
        <v>3</v>
      </c>
      <c r="Z74">
        <v>0</v>
      </c>
      <c r="AA74" t="s">
        <v>25</v>
      </c>
      <c r="AB74" t="s">
        <v>36</v>
      </c>
      <c r="AC74" t="s">
        <v>147</v>
      </c>
      <c r="AD74" t="s">
        <v>28</v>
      </c>
      <c r="AE74" t="s">
        <v>25</v>
      </c>
      <c r="AF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5.9523809523809521E-2</v>
      </c>
      <c r="AG74" t="s">
        <v>941</v>
      </c>
      <c r="AH74">
        <v>72</v>
      </c>
      <c r="AI74" t="s">
        <v>939</v>
      </c>
      <c r="AJ74">
        <v>1</v>
      </c>
      <c r="AK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MIN(AJ74/8, 1) +
  Merge1[[#This Row],[index_defensive_effort]],
  2
)</f>
        <v>0.57999999999999996</v>
      </c>
    </row>
    <row r="75" spans="1:37" x14ac:dyDescent="0.25">
      <c r="A75" t="s">
        <v>145</v>
      </c>
      <c r="B75" t="s">
        <v>146</v>
      </c>
      <c r="C75">
        <v>25</v>
      </c>
      <c r="D75" t="s">
        <v>56</v>
      </c>
      <c r="E75">
        <v>74</v>
      </c>
      <c r="F75">
        <v>195</v>
      </c>
      <c r="G75" t="s">
        <v>144</v>
      </c>
      <c r="H75">
        <v>2020</v>
      </c>
      <c r="I75" t="s">
        <v>33</v>
      </c>
      <c r="J75">
        <v>14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27</v>
      </c>
      <c r="T75">
        <v>4</v>
      </c>
      <c r="U75" s="5">
        <f>IF(Merge1[[#This Row],[team_defense_snaps]]=0, "", Merge1[[#This Row],[defense_snaps]] / Merge1[[#This Row],[team_defense_snaps]])</f>
        <v>5.9701492537313432E-2</v>
      </c>
      <c r="V75">
        <v>67</v>
      </c>
      <c r="W75">
        <v>23</v>
      </c>
      <c r="X75" s="5" t="s">
        <v>61</v>
      </c>
      <c r="Y75">
        <v>3</v>
      </c>
      <c r="Z75">
        <v>0</v>
      </c>
      <c r="AA75" t="s">
        <v>25</v>
      </c>
      <c r="AB75" t="s">
        <v>26</v>
      </c>
      <c r="AC75" t="s">
        <v>27</v>
      </c>
      <c r="AD75" t="s">
        <v>28</v>
      </c>
      <c r="AE75" t="s">
        <v>25</v>
      </c>
      <c r="AF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3.7037037037037035E-2</v>
      </c>
      <c r="AG75" t="s">
        <v>941</v>
      </c>
      <c r="AH75">
        <v>58.5</v>
      </c>
      <c r="AI75" t="s">
        <v>939</v>
      </c>
      <c r="AJ75">
        <v>2</v>
      </c>
      <c r="AK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MIN(AJ75/8, 1) +
  Merge1[[#This Row],[index_defensive_effort]],
  2
)</f>
        <v>0.69</v>
      </c>
    </row>
    <row r="76" spans="1:37" x14ac:dyDescent="0.25">
      <c r="A76" t="s">
        <v>145</v>
      </c>
      <c r="B76" t="s">
        <v>146</v>
      </c>
      <c r="C76">
        <v>25</v>
      </c>
      <c r="D76" t="s">
        <v>56</v>
      </c>
      <c r="E76">
        <v>74</v>
      </c>
      <c r="F76">
        <v>195</v>
      </c>
      <c r="G76" t="s">
        <v>144</v>
      </c>
      <c r="H76">
        <v>2020</v>
      </c>
      <c r="I76" t="s">
        <v>33</v>
      </c>
      <c r="J76">
        <v>15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57</v>
      </c>
      <c r="T76">
        <v>57</v>
      </c>
      <c r="U76" s="5">
        <f>IF(Merge1[[#This Row],[team_defense_snaps]]=0, "", Merge1[[#This Row],[defense_snaps]] / Merge1[[#This Row],[team_defense_snaps]])</f>
        <v>0.98275862068965514</v>
      </c>
      <c r="V76">
        <v>58</v>
      </c>
      <c r="W76">
        <v>0</v>
      </c>
      <c r="X76" s="5" t="s">
        <v>29</v>
      </c>
      <c r="Y76">
        <v>3</v>
      </c>
      <c r="Z76">
        <v>0</v>
      </c>
      <c r="AA76" t="s">
        <v>25</v>
      </c>
      <c r="AB76" t="s">
        <v>26</v>
      </c>
      <c r="AC76" t="s">
        <v>27</v>
      </c>
      <c r="AD76" t="s">
        <v>42</v>
      </c>
      <c r="AE76" t="s">
        <v>25</v>
      </c>
      <c r="AF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1.7543859649122806E-2</v>
      </c>
      <c r="AG76" t="s">
        <v>941</v>
      </c>
      <c r="AH76">
        <v>57</v>
      </c>
      <c r="AI76" t="s">
        <v>939</v>
      </c>
      <c r="AJ76">
        <v>3</v>
      </c>
      <c r="AK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MIN(AJ76/8, 1) +
  Merge1[[#This Row],[index_defensive_effort]],
  2
)</f>
        <v>0.79</v>
      </c>
    </row>
    <row r="77" spans="1:37" x14ac:dyDescent="0.25">
      <c r="A77" t="s">
        <v>145</v>
      </c>
      <c r="B77" t="s">
        <v>146</v>
      </c>
      <c r="C77">
        <v>25</v>
      </c>
      <c r="D77" t="s">
        <v>56</v>
      </c>
      <c r="E77">
        <v>74</v>
      </c>
      <c r="F77">
        <v>195</v>
      </c>
      <c r="G77" t="s">
        <v>144</v>
      </c>
      <c r="H77">
        <v>2020</v>
      </c>
      <c r="I77" t="s">
        <v>33</v>
      </c>
      <c r="J77">
        <v>16</v>
      </c>
      <c r="K77">
        <v>8</v>
      </c>
      <c r="L77">
        <v>0</v>
      </c>
      <c r="M77">
        <v>0</v>
      </c>
      <c r="N77">
        <v>0</v>
      </c>
      <c r="O77">
        <v>0</v>
      </c>
      <c r="P77">
        <v>0</v>
      </c>
      <c r="Q77">
        <v>2</v>
      </c>
      <c r="R77">
        <v>0</v>
      </c>
      <c r="S77">
        <v>84</v>
      </c>
      <c r="T77">
        <v>82</v>
      </c>
      <c r="U77" s="5">
        <f>IF(Merge1[[#This Row],[team_defense_snaps]]=0, "", Merge1[[#This Row],[defense_snaps]] / Merge1[[#This Row],[team_defense_snaps]])</f>
        <v>1</v>
      </c>
      <c r="V77">
        <v>82</v>
      </c>
      <c r="W77">
        <v>2</v>
      </c>
      <c r="X77" s="5" t="s">
        <v>167</v>
      </c>
      <c r="Y77">
        <v>3</v>
      </c>
      <c r="Z77">
        <v>0</v>
      </c>
      <c r="AA77" t="s">
        <v>25</v>
      </c>
      <c r="AB77" t="s">
        <v>26</v>
      </c>
      <c r="AC77" t="s">
        <v>27</v>
      </c>
      <c r="AD77" t="s">
        <v>42</v>
      </c>
      <c r="AE77" t="s">
        <v>25</v>
      </c>
      <c r="AF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0.19047619047619047</v>
      </c>
      <c r="AG77" t="s">
        <v>941</v>
      </c>
      <c r="AH77">
        <v>55.5</v>
      </c>
      <c r="AI77" t="s">
        <v>939</v>
      </c>
      <c r="AJ77">
        <v>4</v>
      </c>
      <c r="AK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MIN(AJ77/8, 1) +
  Merge1[[#This Row],[index_defensive_effort]],
  2
)</f>
        <v>1.0900000000000001</v>
      </c>
    </row>
    <row r="78" spans="1:37" x14ac:dyDescent="0.25">
      <c r="A78" t="s">
        <v>145</v>
      </c>
      <c r="B78" t="s">
        <v>146</v>
      </c>
      <c r="C78">
        <v>25</v>
      </c>
      <c r="D78" t="s">
        <v>56</v>
      </c>
      <c r="E78">
        <v>74</v>
      </c>
      <c r="F78">
        <v>195</v>
      </c>
      <c r="G78" t="s">
        <v>144</v>
      </c>
      <c r="H78">
        <v>2020</v>
      </c>
      <c r="I78" t="s">
        <v>33</v>
      </c>
      <c r="J78">
        <v>17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65</v>
      </c>
      <c r="T78">
        <v>65</v>
      </c>
      <c r="U78" s="5">
        <f>IF(Merge1[[#This Row],[team_defense_snaps]]=0, "", Merge1[[#This Row],[defense_snaps]] / Merge1[[#This Row],[team_defense_snaps]])</f>
        <v>1</v>
      </c>
      <c r="V78">
        <v>65</v>
      </c>
      <c r="W78">
        <v>0</v>
      </c>
      <c r="X78" s="5" t="s">
        <v>29</v>
      </c>
      <c r="Y78">
        <v>3</v>
      </c>
      <c r="Z78">
        <v>0</v>
      </c>
      <c r="AA78" t="s">
        <v>25</v>
      </c>
      <c r="AB78" t="s">
        <v>26</v>
      </c>
      <c r="AC78" t="s">
        <v>27</v>
      </c>
      <c r="AD78" t="s">
        <v>42</v>
      </c>
      <c r="AE78" t="s">
        <v>25</v>
      </c>
      <c r="AF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1.5384615384615385E-2</v>
      </c>
      <c r="AG78" t="s">
        <v>941</v>
      </c>
      <c r="AH78">
        <v>54</v>
      </c>
      <c r="AI78" t="s">
        <v>27</v>
      </c>
      <c r="AJ78">
        <v>1</v>
      </c>
      <c r="AK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MIN(AJ78/8, 1) +
  Merge1[[#This Row],[index_defensive_effort]],
  2
)</f>
        <v>0.54</v>
      </c>
    </row>
    <row r="79" spans="1:37" x14ac:dyDescent="0.25">
      <c r="A79" t="s">
        <v>906</v>
      </c>
      <c r="B79" t="s">
        <v>907</v>
      </c>
      <c r="C79">
        <v>24</v>
      </c>
      <c r="D79" t="s">
        <v>56</v>
      </c>
      <c r="E79">
        <v>71</v>
      </c>
      <c r="F79">
        <v>192</v>
      </c>
      <c r="G79" t="s">
        <v>162</v>
      </c>
      <c r="H79">
        <v>2020</v>
      </c>
      <c r="I79" t="s">
        <v>33</v>
      </c>
      <c r="J79">
        <v>15</v>
      </c>
      <c r="K79">
        <v>4</v>
      </c>
      <c r="L79">
        <v>1</v>
      </c>
      <c r="M79">
        <v>1</v>
      </c>
      <c r="N79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s="5">
        <f>IF(Merge1[[#This Row],[team_defense_snaps]]=0, "", Merge1[[#This Row],[defense_snaps]] / Merge1[[#This Row],[team_defense_snaps]])</f>
        <v>0</v>
      </c>
      <c r="V79">
        <v>68</v>
      </c>
      <c r="W79">
        <v>0</v>
      </c>
      <c r="X79" s="5">
        <v>0</v>
      </c>
      <c r="Y79">
        <v>1</v>
      </c>
      <c r="Z79">
        <v>0</v>
      </c>
      <c r="AA79" t="s">
        <v>25</v>
      </c>
      <c r="AB79" t="s">
        <v>26</v>
      </c>
      <c r="AC79" t="s">
        <v>27</v>
      </c>
      <c r="AD79" t="s">
        <v>42</v>
      </c>
      <c r="AE79" t="s">
        <v>25</v>
      </c>
      <c r="AF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79" t="s">
        <v>942</v>
      </c>
      <c r="AH79">
        <v>49</v>
      </c>
      <c r="AI79" t="s">
        <v>939</v>
      </c>
      <c r="AJ79">
        <v>1</v>
      </c>
      <c r="AK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MIN(AJ79/8, 1) +
  Merge1[[#This Row],[index_defensive_effort]],
  2
)</f>
        <v>0.53</v>
      </c>
    </row>
    <row r="80" spans="1:37" x14ac:dyDescent="0.25">
      <c r="A80" t="s">
        <v>126</v>
      </c>
      <c r="B80" t="s">
        <v>127</v>
      </c>
      <c r="C80">
        <v>24</v>
      </c>
      <c r="D80" t="s">
        <v>22</v>
      </c>
      <c r="E80">
        <v>74</v>
      </c>
      <c r="F80">
        <v>188</v>
      </c>
      <c r="G80" t="s">
        <v>67</v>
      </c>
      <c r="H80">
        <v>2020</v>
      </c>
      <c r="I80" t="s">
        <v>33</v>
      </c>
      <c r="J80">
        <v>17</v>
      </c>
      <c r="K80">
        <v>2</v>
      </c>
      <c r="L80">
        <v>1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37</v>
      </c>
      <c r="T80">
        <v>12</v>
      </c>
      <c r="U80" s="5">
        <f>IF(Merge1[[#This Row],[team_defense_snaps]]=0, "", Merge1[[#This Row],[defense_snaps]] / Merge1[[#This Row],[team_defense_snaps]])</f>
        <v>0.16901408450704225</v>
      </c>
      <c r="V80">
        <v>71</v>
      </c>
      <c r="W80">
        <v>25</v>
      </c>
      <c r="X80" s="5" t="s">
        <v>95</v>
      </c>
      <c r="Y80">
        <v>1</v>
      </c>
      <c r="Z80">
        <v>0</v>
      </c>
      <c r="AA80" t="s">
        <v>25</v>
      </c>
      <c r="AB80" t="s">
        <v>26</v>
      </c>
      <c r="AC80" t="s">
        <v>27</v>
      </c>
      <c r="AD80" t="s">
        <v>28</v>
      </c>
      <c r="AE80" t="s">
        <v>25</v>
      </c>
      <c r="AF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6.7567567567567571E-2</v>
      </c>
      <c r="AG80" t="s">
        <v>941</v>
      </c>
      <c r="AH80">
        <v>54</v>
      </c>
      <c r="AI80" t="s">
        <v>939</v>
      </c>
      <c r="AJ80">
        <v>1</v>
      </c>
      <c r="AK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MIN(AJ80/8, 1) +
  Merge1[[#This Row],[index_defensive_effort]],
  2
)</f>
        <v>0.59</v>
      </c>
    </row>
    <row r="81" spans="1:37" x14ac:dyDescent="0.25">
      <c r="A81" t="s">
        <v>118</v>
      </c>
      <c r="B81" t="s">
        <v>119</v>
      </c>
      <c r="C81">
        <v>23</v>
      </c>
      <c r="D81" t="s">
        <v>22</v>
      </c>
      <c r="E81">
        <v>70</v>
      </c>
      <c r="F81">
        <v>201</v>
      </c>
      <c r="G81" t="s">
        <v>120</v>
      </c>
      <c r="H81">
        <v>2020</v>
      </c>
      <c r="I81" t="s">
        <v>33</v>
      </c>
      <c r="J81">
        <v>16</v>
      </c>
      <c r="K81">
        <v>0</v>
      </c>
      <c r="L81">
        <v>1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35</v>
      </c>
      <c r="T81">
        <v>22</v>
      </c>
      <c r="U81" s="5">
        <f>IF(Merge1[[#This Row],[team_defense_snaps]]=0, "", Merge1[[#This Row],[defense_snaps]] / Merge1[[#This Row],[team_defense_snaps]])</f>
        <v>0.2857142857142857</v>
      </c>
      <c r="V81">
        <v>77</v>
      </c>
      <c r="W81">
        <v>13</v>
      </c>
      <c r="X81" s="5" t="s">
        <v>238</v>
      </c>
      <c r="Y81">
        <v>0</v>
      </c>
      <c r="Z81">
        <v>0</v>
      </c>
      <c r="AA81" t="s">
        <v>25</v>
      </c>
      <c r="AB81" t="s">
        <v>26</v>
      </c>
      <c r="AC81" t="s">
        <v>27</v>
      </c>
      <c r="AD81" t="s">
        <v>28</v>
      </c>
      <c r="AE81" t="s">
        <v>25</v>
      </c>
      <c r="AF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1.4285714285714285E-2</v>
      </c>
      <c r="AG81" t="s">
        <v>942</v>
      </c>
      <c r="AH81">
        <v>59.5</v>
      </c>
      <c r="AI81" t="s">
        <v>939</v>
      </c>
      <c r="AJ81">
        <v>2</v>
      </c>
      <c r="AK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MIN(AJ81/8, 1) +
  Merge1[[#This Row],[index_defensive_effort]],
  2
)</f>
        <v>0.76</v>
      </c>
    </row>
    <row r="82" spans="1:37" x14ac:dyDescent="0.25">
      <c r="A82" t="s">
        <v>118</v>
      </c>
      <c r="B82" t="s">
        <v>119</v>
      </c>
      <c r="C82">
        <v>23</v>
      </c>
      <c r="D82" t="s">
        <v>22</v>
      </c>
      <c r="E82">
        <v>70</v>
      </c>
      <c r="F82">
        <v>201</v>
      </c>
      <c r="G82" t="s">
        <v>120</v>
      </c>
      <c r="H82">
        <v>2020</v>
      </c>
      <c r="I82" t="s">
        <v>33</v>
      </c>
      <c r="J82">
        <v>17</v>
      </c>
      <c r="K82">
        <v>1</v>
      </c>
      <c r="L82">
        <v>1</v>
      </c>
      <c r="M82">
        <v>0</v>
      </c>
      <c r="N82">
        <v>1</v>
      </c>
      <c r="O82">
        <v>0</v>
      </c>
      <c r="P82">
        <v>1</v>
      </c>
      <c r="Q82">
        <v>0</v>
      </c>
      <c r="R82">
        <v>0</v>
      </c>
      <c r="S82">
        <v>54</v>
      </c>
      <c r="T82">
        <v>46</v>
      </c>
      <c r="U82" s="5">
        <f>IF(Merge1[[#This Row],[team_defense_snaps]]=0, "", Merge1[[#This Row],[defense_snaps]] / Merge1[[#This Row],[team_defense_snaps]])</f>
        <v>0.86792452830188682</v>
      </c>
      <c r="V82">
        <v>53</v>
      </c>
      <c r="W82">
        <v>8</v>
      </c>
      <c r="X82" s="5" t="s">
        <v>134</v>
      </c>
      <c r="Y82">
        <v>0</v>
      </c>
      <c r="Z82">
        <v>0</v>
      </c>
      <c r="AA82" t="s">
        <v>25</v>
      </c>
      <c r="AB82" t="s">
        <v>26</v>
      </c>
      <c r="AC82" t="s">
        <v>27</v>
      </c>
      <c r="AD82" t="s">
        <v>42</v>
      </c>
      <c r="AE82" t="s">
        <v>25</v>
      </c>
      <c r="AF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6.4814814814814811E-2</v>
      </c>
      <c r="AG82" t="s">
        <v>942</v>
      </c>
      <c r="AH82">
        <v>58</v>
      </c>
      <c r="AI82" t="s">
        <v>939</v>
      </c>
      <c r="AJ82">
        <v>1</v>
      </c>
      <c r="AK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MIN(AJ82/8, 1) +
  Merge1[[#This Row],[index_defensive_effort]],
  2
)</f>
        <v>0.69</v>
      </c>
    </row>
    <row r="83" spans="1:37" x14ac:dyDescent="0.25">
      <c r="A83" t="s">
        <v>128</v>
      </c>
      <c r="B83" t="s">
        <v>129</v>
      </c>
      <c r="C83">
        <v>22</v>
      </c>
      <c r="D83" t="s">
        <v>22</v>
      </c>
      <c r="E83">
        <v>71</v>
      </c>
      <c r="F83">
        <v>210</v>
      </c>
      <c r="G83" t="s">
        <v>130</v>
      </c>
      <c r="H83">
        <v>2020</v>
      </c>
      <c r="I83" t="s">
        <v>33</v>
      </c>
      <c r="J83">
        <v>2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45</v>
      </c>
      <c r="T83">
        <v>23</v>
      </c>
      <c r="U83" s="5">
        <f>IF(Merge1[[#This Row],[team_defense_snaps]]=0, "", Merge1[[#This Row],[defense_snaps]] / Merge1[[#This Row],[team_defense_snaps]])</f>
        <v>0.29870129870129869</v>
      </c>
      <c r="V83">
        <v>77</v>
      </c>
      <c r="W83">
        <v>22</v>
      </c>
      <c r="X83" s="5" t="s">
        <v>49</v>
      </c>
      <c r="Y83">
        <v>1</v>
      </c>
      <c r="Z83">
        <v>0</v>
      </c>
      <c r="AA83" t="s">
        <v>25</v>
      </c>
      <c r="AB83" t="s">
        <v>26</v>
      </c>
      <c r="AC83" t="s">
        <v>27</v>
      </c>
      <c r="AD83" t="s">
        <v>28</v>
      </c>
      <c r="AE83" t="s">
        <v>25</v>
      </c>
      <c r="AF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4.4444444444444446E-2</v>
      </c>
      <c r="AG83" t="s">
        <v>941</v>
      </c>
      <c r="AH83">
        <v>58.5</v>
      </c>
      <c r="AI83" t="s">
        <v>939</v>
      </c>
      <c r="AJ83">
        <v>2</v>
      </c>
      <c r="AK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MIN(AJ83/8, 1) +
  Merge1[[#This Row],[index_defensive_effort]],
  2
)</f>
        <v>0.79</v>
      </c>
    </row>
    <row r="84" spans="1:37" x14ac:dyDescent="0.25">
      <c r="A84" t="s">
        <v>128</v>
      </c>
      <c r="B84" t="s">
        <v>129</v>
      </c>
      <c r="C84">
        <v>22</v>
      </c>
      <c r="D84" t="s">
        <v>22</v>
      </c>
      <c r="E84">
        <v>71</v>
      </c>
      <c r="F84">
        <v>210</v>
      </c>
      <c r="G84" t="s">
        <v>130</v>
      </c>
      <c r="H84">
        <v>2020</v>
      </c>
      <c r="I84" t="s">
        <v>33</v>
      </c>
      <c r="J84">
        <v>3</v>
      </c>
      <c r="K84">
        <v>3</v>
      </c>
      <c r="L84">
        <v>0</v>
      </c>
      <c r="M84">
        <v>0</v>
      </c>
      <c r="N84">
        <v>0</v>
      </c>
      <c r="O84">
        <v>0</v>
      </c>
      <c r="P84">
        <v>2</v>
      </c>
      <c r="Q84">
        <v>2</v>
      </c>
      <c r="R84">
        <v>0</v>
      </c>
      <c r="S84">
        <v>41</v>
      </c>
      <c r="T84">
        <v>14</v>
      </c>
      <c r="U84" s="5">
        <f>IF(Merge1[[#This Row],[team_defense_snaps]]=0, "", Merge1[[#This Row],[defense_snaps]] / Merge1[[#This Row],[team_defense_snaps]])</f>
        <v>0.21212121212121213</v>
      </c>
      <c r="V84">
        <v>66</v>
      </c>
      <c r="W84">
        <v>27</v>
      </c>
      <c r="X84" s="5" t="s">
        <v>49</v>
      </c>
      <c r="Y84">
        <v>1</v>
      </c>
      <c r="Z84">
        <v>0</v>
      </c>
      <c r="AA84" t="s">
        <v>25</v>
      </c>
      <c r="AB84" t="s">
        <v>26</v>
      </c>
      <c r="AC84" t="s">
        <v>27</v>
      </c>
      <c r="AD84" t="s">
        <v>28</v>
      </c>
      <c r="AE84" t="s">
        <v>25</v>
      </c>
      <c r="AF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0.36585365853658536</v>
      </c>
      <c r="AG84" t="s">
        <v>941</v>
      </c>
      <c r="AH84">
        <v>60</v>
      </c>
      <c r="AI84" t="s">
        <v>939</v>
      </c>
      <c r="AJ84">
        <v>1</v>
      </c>
      <c r="AK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MIN(AJ84/8, 1) +
  Merge1[[#This Row],[index_defensive_effort]],
  2
)</f>
        <v>0.99</v>
      </c>
    </row>
    <row r="85" spans="1:37" x14ac:dyDescent="0.25">
      <c r="A85" t="s">
        <v>128</v>
      </c>
      <c r="B85" t="s">
        <v>129</v>
      </c>
      <c r="C85">
        <v>22</v>
      </c>
      <c r="D85" t="s">
        <v>22</v>
      </c>
      <c r="E85">
        <v>71</v>
      </c>
      <c r="F85">
        <v>210</v>
      </c>
      <c r="G85" t="s">
        <v>130</v>
      </c>
      <c r="H85">
        <v>2020</v>
      </c>
      <c r="I85" t="s">
        <v>33</v>
      </c>
      <c r="J85">
        <v>5</v>
      </c>
      <c r="K85">
        <v>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39</v>
      </c>
      <c r="T85">
        <v>21</v>
      </c>
      <c r="U85" s="5">
        <f>IF(Merge1[[#This Row],[team_defense_snaps]]=0, "", Merge1[[#This Row],[defense_snaps]] / Merge1[[#This Row],[team_defense_snaps]])</f>
        <v>0.29166666666666669</v>
      </c>
      <c r="V85">
        <v>72</v>
      </c>
      <c r="W85">
        <v>18</v>
      </c>
      <c r="X85" s="5" t="s">
        <v>81</v>
      </c>
      <c r="Y85">
        <v>1</v>
      </c>
      <c r="Z85">
        <v>0</v>
      </c>
      <c r="AA85" t="s">
        <v>25</v>
      </c>
      <c r="AB85" t="s">
        <v>26</v>
      </c>
      <c r="AC85" t="s">
        <v>27</v>
      </c>
      <c r="AD85" t="s">
        <v>28</v>
      </c>
      <c r="AE85" t="s">
        <v>25</v>
      </c>
      <c r="AF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5.128205128205128E-2</v>
      </c>
      <c r="AG85" t="s">
        <v>941</v>
      </c>
      <c r="AH85">
        <v>70.5</v>
      </c>
      <c r="AI85" t="s">
        <v>939</v>
      </c>
      <c r="AJ85">
        <v>2</v>
      </c>
      <c r="AK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MIN(AJ85/8, 1) +
  Merge1[[#This Row],[index_defensive_effort]],
  2
)</f>
        <v>0.8</v>
      </c>
    </row>
    <row r="86" spans="1:37" x14ac:dyDescent="0.25">
      <c r="A86" t="s">
        <v>128</v>
      </c>
      <c r="B86" t="s">
        <v>129</v>
      </c>
      <c r="C86">
        <v>22</v>
      </c>
      <c r="D86" t="s">
        <v>22</v>
      </c>
      <c r="E86">
        <v>71</v>
      </c>
      <c r="F86">
        <v>210</v>
      </c>
      <c r="G86" t="s">
        <v>130</v>
      </c>
      <c r="H86">
        <v>2020</v>
      </c>
      <c r="I86" t="s">
        <v>33</v>
      </c>
      <c r="J86">
        <v>6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39</v>
      </c>
      <c r="T86">
        <v>16</v>
      </c>
      <c r="U86" s="5">
        <f>IF(Merge1[[#This Row],[team_defense_snaps]]=0, "", Merge1[[#This Row],[defense_snaps]] / Merge1[[#This Row],[team_defense_snaps]])</f>
        <v>0.22535211267605634</v>
      </c>
      <c r="V86">
        <v>71</v>
      </c>
      <c r="W86">
        <v>23</v>
      </c>
      <c r="X86" s="5" t="s">
        <v>49</v>
      </c>
      <c r="Y86">
        <v>1</v>
      </c>
      <c r="Z86">
        <v>0</v>
      </c>
      <c r="AA86" t="s">
        <v>25</v>
      </c>
      <c r="AB86" t="s">
        <v>26</v>
      </c>
      <c r="AC86" t="s">
        <v>27</v>
      </c>
      <c r="AD86" t="s">
        <v>28</v>
      </c>
      <c r="AE86" t="s">
        <v>25</v>
      </c>
      <c r="AF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2.564102564102564E-2</v>
      </c>
      <c r="AG86" t="s">
        <v>941</v>
      </c>
      <c r="AH86">
        <v>55.5</v>
      </c>
      <c r="AI86" t="s">
        <v>939</v>
      </c>
      <c r="AJ86">
        <v>3</v>
      </c>
      <c r="AK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MIN(AJ86/8, 1) +
  Merge1[[#This Row],[index_defensive_effort]],
  2
)</f>
        <v>0.9</v>
      </c>
    </row>
    <row r="87" spans="1:37" x14ac:dyDescent="0.25">
      <c r="A87" t="s">
        <v>128</v>
      </c>
      <c r="B87" t="s">
        <v>129</v>
      </c>
      <c r="C87">
        <v>22</v>
      </c>
      <c r="D87" t="s">
        <v>22</v>
      </c>
      <c r="E87">
        <v>71</v>
      </c>
      <c r="F87">
        <v>210</v>
      </c>
      <c r="G87" t="s">
        <v>130</v>
      </c>
      <c r="H87">
        <v>2020</v>
      </c>
      <c r="I87" t="s">
        <v>33</v>
      </c>
      <c r="J87">
        <v>7</v>
      </c>
      <c r="K87">
        <v>0</v>
      </c>
      <c r="L87">
        <v>3</v>
      </c>
      <c r="M87">
        <v>2</v>
      </c>
      <c r="N87">
        <v>5</v>
      </c>
      <c r="O87">
        <v>0</v>
      </c>
      <c r="P87">
        <v>0</v>
      </c>
      <c r="Q87">
        <v>2</v>
      </c>
      <c r="R87">
        <v>0</v>
      </c>
      <c r="S87">
        <v>43</v>
      </c>
      <c r="T87">
        <v>20</v>
      </c>
      <c r="U87" s="5">
        <f>IF(Merge1[[#This Row],[team_defense_snaps]]=0, "", Merge1[[#This Row],[defense_snaps]] / Merge1[[#This Row],[team_defense_snaps]])</f>
        <v>0.2</v>
      </c>
      <c r="V87">
        <v>100</v>
      </c>
      <c r="W87">
        <v>23</v>
      </c>
      <c r="X87" s="5" t="s">
        <v>244</v>
      </c>
      <c r="Y87">
        <v>1</v>
      </c>
      <c r="Z87">
        <v>0</v>
      </c>
      <c r="AA87" t="s">
        <v>25</v>
      </c>
      <c r="AB87" t="s">
        <v>26</v>
      </c>
      <c r="AC87" t="s">
        <v>27</v>
      </c>
      <c r="AD87" t="s">
        <v>28</v>
      </c>
      <c r="AE87" t="s">
        <v>25</v>
      </c>
      <c r="AF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0.2441860465116279</v>
      </c>
      <c r="AG87" t="s">
        <v>941</v>
      </c>
      <c r="AH87">
        <v>63</v>
      </c>
      <c r="AI87" t="s">
        <v>939</v>
      </c>
      <c r="AJ87">
        <v>4</v>
      </c>
      <c r="AK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MIN(AJ87/8, 1) +
  Merge1[[#This Row],[index_defensive_effort]],
  2
)</f>
        <v>1.24</v>
      </c>
    </row>
    <row r="88" spans="1:37" x14ac:dyDescent="0.25">
      <c r="A88" t="s">
        <v>128</v>
      </c>
      <c r="B88" t="s">
        <v>129</v>
      </c>
      <c r="C88">
        <v>22</v>
      </c>
      <c r="D88" t="s">
        <v>22</v>
      </c>
      <c r="E88">
        <v>71</v>
      </c>
      <c r="F88">
        <v>210</v>
      </c>
      <c r="G88" t="s">
        <v>130</v>
      </c>
      <c r="H88">
        <v>2020</v>
      </c>
      <c r="I88" t="s">
        <v>33</v>
      </c>
      <c r="J88">
        <v>8</v>
      </c>
      <c r="K88">
        <v>0</v>
      </c>
      <c r="L88">
        <v>1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40</v>
      </c>
      <c r="T88">
        <v>20</v>
      </c>
      <c r="U88" s="5">
        <f>IF(Merge1[[#This Row],[team_defense_snaps]]=0, "", Merge1[[#This Row],[defense_snaps]] / Merge1[[#This Row],[team_defense_snaps]])</f>
        <v>0.27027027027027029</v>
      </c>
      <c r="V88">
        <v>74</v>
      </c>
      <c r="W88">
        <v>20</v>
      </c>
      <c r="X88" s="5" t="s">
        <v>103</v>
      </c>
      <c r="Y88">
        <v>1</v>
      </c>
      <c r="Z88">
        <v>0</v>
      </c>
      <c r="AA88" t="s">
        <v>25</v>
      </c>
      <c r="AB88" t="s">
        <v>26</v>
      </c>
      <c r="AC88" t="s">
        <v>27</v>
      </c>
      <c r="AD88" t="s">
        <v>28</v>
      </c>
      <c r="AE88" t="s">
        <v>25</v>
      </c>
      <c r="AF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1.2500000000000001E-2</v>
      </c>
      <c r="AG88" t="s">
        <v>941</v>
      </c>
      <c r="AH88">
        <v>61.5</v>
      </c>
      <c r="AI88" t="s">
        <v>939</v>
      </c>
      <c r="AJ88">
        <v>5</v>
      </c>
      <c r="AK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MIN(AJ88/8, 1) +
  Merge1[[#This Row],[index_defensive_effort]],
  2
)</f>
        <v>1.1399999999999999</v>
      </c>
    </row>
    <row r="89" spans="1:37" x14ac:dyDescent="0.25">
      <c r="A89" t="s">
        <v>128</v>
      </c>
      <c r="B89" t="s">
        <v>129</v>
      </c>
      <c r="C89">
        <v>22</v>
      </c>
      <c r="D89" t="s">
        <v>22</v>
      </c>
      <c r="E89">
        <v>71</v>
      </c>
      <c r="F89">
        <v>210</v>
      </c>
      <c r="G89" t="s">
        <v>130</v>
      </c>
      <c r="H89">
        <v>2020</v>
      </c>
      <c r="I89" t="s">
        <v>33</v>
      </c>
      <c r="J89">
        <v>9</v>
      </c>
      <c r="K89">
        <v>5</v>
      </c>
      <c r="L89">
        <v>2</v>
      </c>
      <c r="M89">
        <v>0</v>
      </c>
      <c r="N89">
        <v>2</v>
      </c>
      <c r="O89">
        <v>0</v>
      </c>
      <c r="P89">
        <v>0</v>
      </c>
      <c r="Q89">
        <v>0</v>
      </c>
      <c r="R89">
        <v>0</v>
      </c>
      <c r="S89">
        <v>66</v>
      </c>
      <c r="T89">
        <v>38</v>
      </c>
      <c r="U89" s="5">
        <f>IF(Merge1[[#This Row],[team_defense_snaps]]=0, "", Merge1[[#This Row],[defense_snaps]] / Merge1[[#This Row],[team_defense_snaps]])</f>
        <v>0.48717948717948717</v>
      </c>
      <c r="V89">
        <v>78</v>
      </c>
      <c r="W89">
        <v>28</v>
      </c>
      <c r="X89" s="5" t="s">
        <v>109</v>
      </c>
      <c r="Y89">
        <v>1</v>
      </c>
      <c r="Z89">
        <v>0</v>
      </c>
      <c r="AA89" t="s">
        <v>25</v>
      </c>
      <c r="AB89" t="s">
        <v>26</v>
      </c>
      <c r="AC89" t="s">
        <v>27</v>
      </c>
      <c r="AD89" t="s">
        <v>28</v>
      </c>
      <c r="AE89" t="s">
        <v>25</v>
      </c>
      <c r="AF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9.0909090909090912E-2</v>
      </c>
      <c r="AG89" t="s">
        <v>941</v>
      </c>
      <c r="AH89">
        <v>69</v>
      </c>
      <c r="AI89" t="s">
        <v>939</v>
      </c>
      <c r="AJ89">
        <v>6</v>
      </c>
      <c r="AK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MIN(AJ89/8, 1) +
  Merge1[[#This Row],[index_defensive_effort]],
  2
)</f>
        <v>1.34</v>
      </c>
    </row>
    <row r="90" spans="1:37" x14ac:dyDescent="0.25">
      <c r="A90" t="s">
        <v>128</v>
      </c>
      <c r="B90" t="s">
        <v>129</v>
      </c>
      <c r="C90">
        <v>22</v>
      </c>
      <c r="D90" t="s">
        <v>22</v>
      </c>
      <c r="E90">
        <v>71</v>
      </c>
      <c r="F90">
        <v>210</v>
      </c>
      <c r="G90" t="s">
        <v>130</v>
      </c>
      <c r="H90">
        <v>2020</v>
      </c>
      <c r="I90" t="s">
        <v>33</v>
      </c>
      <c r="J90">
        <v>10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38</v>
      </c>
      <c r="T90">
        <v>18</v>
      </c>
      <c r="U90" s="5">
        <f>IF(Merge1[[#This Row],[team_defense_snaps]]=0, "", Merge1[[#This Row],[defense_snaps]] / Merge1[[#This Row],[team_defense_snaps]])</f>
        <v>0.25714285714285712</v>
      </c>
      <c r="V90">
        <v>70</v>
      </c>
      <c r="W90">
        <v>20</v>
      </c>
      <c r="X90" s="5" t="s">
        <v>103</v>
      </c>
      <c r="Y90">
        <v>1</v>
      </c>
      <c r="Z90">
        <v>0</v>
      </c>
      <c r="AA90" t="s">
        <v>25</v>
      </c>
      <c r="AB90" t="s">
        <v>26</v>
      </c>
      <c r="AC90" t="s">
        <v>27</v>
      </c>
      <c r="AD90" t="s">
        <v>28</v>
      </c>
      <c r="AE90" t="s">
        <v>25</v>
      </c>
      <c r="AF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2.6315789473684209E-2</v>
      </c>
      <c r="AG90" t="s">
        <v>941</v>
      </c>
      <c r="AH90">
        <v>66</v>
      </c>
      <c r="AI90" t="s">
        <v>939</v>
      </c>
      <c r="AJ90">
        <v>7</v>
      </c>
      <c r="AK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MIN(AJ90/8, 1) +
  Merge1[[#This Row],[index_defensive_effort]],
  2
)</f>
        <v>1.4</v>
      </c>
    </row>
    <row r="91" spans="1:37" x14ac:dyDescent="0.25">
      <c r="A91" t="s">
        <v>128</v>
      </c>
      <c r="B91" t="s">
        <v>129</v>
      </c>
      <c r="C91">
        <v>22</v>
      </c>
      <c r="D91" t="s">
        <v>22</v>
      </c>
      <c r="E91">
        <v>71</v>
      </c>
      <c r="F91">
        <v>210</v>
      </c>
      <c r="G91" t="s">
        <v>130</v>
      </c>
      <c r="H91">
        <v>2020</v>
      </c>
      <c r="I91" t="s">
        <v>33</v>
      </c>
      <c r="J91">
        <v>11</v>
      </c>
      <c r="K91">
        <v>5</v>
      </c>
      <c r="L91">
        <v>3</v>
      </c>
      <c r="M91">
        <v>0</v>
      </c>
      <c r="N91">
        <v>3</v>
      </c>
      <c r="O91">
        <v>0</v>
      </c>
      <c r="P91">
        <v>0</v>
      </c>
      <c r="Q91">
        <v>2</v>
      </c>
      <c r="R91">
        <v>0</v>
      </c>
      <c r="S91">
        <v>74</v>
      </c>
      <c r="T91">
        <v>64</v>
      </c>
      <c r="U91" s="5">
        <f>IF(Merge1[[#This Row],[team_defense_snaps]]=0, "", Merge1[[#This Row],[defense_snaps]] / Merge1[[#This Row],[team_defense_snaps]])</f>
        <v>0.98461538461538467</v>
      </c>
      <c r="V91">
        <v>65</v>
      </c>
      <c r="W91">
        <v>10</v>
      </c>
      <c r="X91" s="5" t="s">
        <v>60</v>
      </c>
      <c r="Y91">
        <v>1</v>
      </c>
      <c r="Z91">
        <v>0</v>
      </c>
      <c r="AA91" t="s">
        <v>25</v>
      </c>
      <c r="AB91" t="s">
        <v>26</v>
      </c>
      <c r="AC91" t="s">
        <v>27</v>
      </c>
      <c r="AD91" t="s">
        <v>42</v>
      </c>
      <c r="AE91" t="s">
        <v>25</v>
      </c>
      <c r="AF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0.19594594594594594</v>
      </c>
      <c r="AG91" t="s">
        <v>941</v>
      </c>
      <c r="AH91">
        <v>67.5</v>
      </c>
      <c r="AI91" t="s">
        <v>939</v>
      </c>
      <c r="AJ91">
        <v>8</v>
      </c>
      <c r="AK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MIN(AJ91/8, 1) +
  Merge1[[#This Row],[index_defensive_effort]],
  2
)</f>
        <v>1.7</v>
      </c>
    </row>
    <row r="92" spans="1:37" x14ac:dyDescent="0.25">
      <c r="A92" t="s">
        <v>128</v>
      </c>
      <c r="B92" t="s">
        <v>129</v>
      </c>
      <c r="C92">
        <v>22</v>
      </c>
      <c r="D92" t="s">
        <v>22</v>
      </c>
      <c r="E92">
        <v>71</v>
      </c>
      <c r="F92">
        <v>210</v>
      </c>
      <c r="G92" t="s">
        <v>130</v>
      </c>
      <c r="H92">
        <v>2020</v>
      </c>
      <c r="I92" t="s">
        <v>33</v>
      </c>
      <c r="J92">
        <v>12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42</v>
      </c>
      <c r="T92">
        <v>27</v>
      </c>
      <c r="U92" s="5">
        <f>IF(Merge1[[#This Row],[team_defense_snaps]]=0, "", Merge1[[#This Row],[defense_snaps]] / Merge1[[#This Row],[team_defense_snaps]])</f>
        <v>0.36</v>
      </c>
      <c r="V92">
        <v>75</v>
      </c>
      <c r="W92">
        <v>15</v>
      </c>
      <c r="X92" s="5" t="s">
        <v>200</v>
      </c>
      <c r="Y92">
        <v>1</v>
      </c>
      <c r="Z92">
        <v>0</v>
      </c>
      <c r="AA92" t="s">
        <v>25</v>
      </c>
      <c r="AB92" t="s">
        <v>26</v>
      </c>
      <c r="AC92" t="s">
        <v>27</v>
      </c>
      <c r="AD92" t="s">
        <v>28</v>
      </c>
      <c r="AE92" t="s">
        <v>25</v>
      </c>
      <c r="AF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92" t="s">
        <v>941</v>
      </c>
      <c r="AH92">
        <v>57</v>
      </c>
      <c r="AI92" t="s">
        <v>939</v>
      </c>
      <c r="AJ92">
        <v>9</v>
      </c>
      <c r="AK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MIN(AJ92/8, 1) +
  Merge1[[#This Row],[index_defensive_effort]],
  2
)</f>
        <v>1.5</v>
      </c>
    </row>
    <row r="93" spans="1:37" x14ac:dyDescent="0.25">
      <c r="A93" t="s">
        <v>128</v>
      </c>
      <c r="B93" t="s">
        <v>129</v>
      </c>
      <c r="C93">
        <v>22</v>
      </c>
      <c r="D93" t="s">
        <v>22</v>
      </c>
      <c r="E93">
        <v>71</v>
      </c>
      <c r="F93">
        <v>210</v>
      </c>
      <c r="G93" t="s">
        <v>130</v>
      </c>
      <c r="H93">
        <v>2020</v>
      </c>
      <c r="I93" t="s">
        <v>33</v>
      </c>
      <c r="J93">
        <v>13</v>
      </c>
      <c r="K93">
        <v>1</v>
      </c>
      <c r="L93">
        <v>1</v>
      </c>
      <c r="M93">
        <v>1</v>
      </c>
      <c r="N93">
        <v>2</v>
      </c>
      <c r="O93">
        <v>0</v>
      </c>
      <c r="P93">
        <v>0</v>
      </c>
      <c r="Q93">
        <v>0</v>
      </c>
      <c r="R93">
        <v>0</v>
      </c>
      <c r="S93">
        <v>58</v>
      </c>
      <c r="T93">
        <v>31</v>
      </c>
      <c r="U93" s="5">
        <f>IF(Merge1[[#This Row],[team_defense_snaps]]=0, "", Merge1[[#This Row],[defense_snaps]] / Merge1[[#This Row],[team_defense_snaps]])</f>
        <v>0.41891891891891891</v>
      </c>
      <c r="V93">
        <v>74</v>
      </c>
      <c r="W93">
        <v>27</v>
      </c>
      <c r="X93" s="5" t="s">
        <v>88</v>
      </c>
      <c r="Y93">
        <v>1</v>
      </c>
      <c r="Z93">
        <v>0</v>
      </c>
      <c r="AA93" t="s">
        <v>25</v>
      </c>
      <c r="AB93" t="s">
        <v>26</v>
      </c>
      <c r="AC93" t="s">
        <v>27</v>
      </c>
      <c r="AD93" t="s">
        <v>28</v>
      </c>
      <c r="AE93" t="s">
        <v>25</v>
      </c>
      <c r="AF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3.4482758620689655E-2</v>
      </c>
      <c r="AG93" t="s">
        <v>941</v>
      </c>
      <c r="AH93">
        <v>64.5</v>
      </c>
      <c r="AI93" t="s">
        <v>939</v>
      </c>
      <c r="AJ93">
        <v>10</v>
      </c>
      <c r="AK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MIN(AJ93/8, 1) +
  Merge1[[#This Row],[index_defensive_effort]],
  2
)</f>
        <v>1.53</v>
      </c>
    </row>
    <row r="94" spans="1:37" x14ac:dyDescent="0.25">
      <c r="A94" t="s">
        <v>128</v>
      </c>
      <c r="B94" t="s">
        <v>129</v>
      </c>
      <c r="C94">
        <v>22</v>
      </c>
      <c r="D94" t="s">
        <v>22</v>
      </c>
      <c r="E94">
        <v>71</v>
      </c>
      <c r="F94">
        <v>210</v>
      </c>
      <c r="G94" t="s">
        <v>130</v>
      </c>
      <c r="H94">
        <v>2020</v>
      </c>
      <c r="I94" t="s">
        <v>33</v>
      </c>
      <c r="J94">
        <v>14</v>
      </c>
      <c r="K94">
        <v>6</v>
      </c>
      <c r="L94">
        <v>2</v>
      </c>
      <c r="M94">
        <v>0</v>
      </c>
      <c r="N94">
        <v>2</v>
      </c>
      <c r="O94">
        <v>0</v>
      </c>
      <c r="P94">
        <v>0</v>
      </c>
      <c r="Q94">
        <v>0</v>
      </c>
      <c r="R94">
        <v>0</v>
      </c>
      <c r="S94">
        <v>82</v>
      </c>
      <c r="T94">
        <v>71</v>
      </c>
      <c r="U94" s="5">
        <f>IF(Merge1[[#This Row],[team_defense_snaps]]=0, "", Merge1[[#This Row],[defense_snaps]] / Merge1[[#This Row],[team_defense_snaps]])</f>
        <v>1</v>
      </c>
      <c r="V94">
        <v>71</v>
      </c>
      <c r="W94">
        <v>11</v>
      </c>
      <c r="X94" s="5" t="s">
        <v>243</v>
      </c>
      <c r="Y94">
        <v>1</v>
      </c>
      <c r="Z94">
        <v>0</v>
      </c>
      <c r="AA94" t="s">
        <v>25</v>
      </c>
      <c r="AB94" t="s">
        <v>26</v>
      </c>
      <c r="AC94" t="s">
        <v>27</v>
      </c>
      <c r="AD94" t="s">
        <v>42</v>
      </c>
      <c r="AE94" t="s">
        <v>25</v>
      </c>
      <c r="AF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8.5365853658536592E-2</v>
      </c>
      <c r="AG94" t="s">
        <v>941</v>
      </c>
      <c r="AH94">
        <v>76.5</v>
      </c>
      <c r="AI94" t="s">
        <v>939</v>
      </c>
      <c r="AJ94">
        <v>11</v>
      </c>
      <c r="AK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MIN(AJ94/8, 1) +
  Merge1[[#This Row],[index_defensive_effort]],
  2
)</f>
        <v>1.59</v>
      </c>
    </row>
    <row r="95" spans="1:37" x14ac:dyDescent="0.25">
      <c r="A95" t="s">
        <v>128</v>
      </c>
      <c r="B95" t="s">
        <v>129</v>
      </c>
      <c r="C95">
        <v>22</v>
      </c>
      <c r="D95" t="s">
        <v>22</v>
      </c>
      <c r="E95">
        <v>71</v>
      </c>
      <c r="F95">
        <v>210</v>
      </c>
      <c r="G95" t="s">
        <v>130</v>
      </c>
      <c r="H95">
        <v>2020</v>
      </c>
      <c r="I95" t="s">
        <v>33</v>
      </c>
      <c r="J95">
        <v>15</v>
      </c>
      <c r="K95">
        <v>3</v>
      </c>
      <c r="L95">
        <v>4</v>
      </c>
      <c r="M95">
        <v>2</v>
      </c>
      <c r="N95">
        <v>6</v>
      </c>
      <c r="O95">
        <v>0</v>
      </c>
      <c r="P95">
        <v>0</v>
      </c>
      <c r="Q95">
        <v>0</v>
      </c>
      <c r="R95">
        <v>0</v>
      </c>
      <c r="S95">
        <v>72</v>
      </c>
      <c r="T95">
        <v>62</v>
      </c>
      <c r="U95" s="5">
        <f>IF(Merge1[[#This Row],[team_defense_snaps]]=0, "", Merge1[[#This Row],[defense_snaps]] / Merge1[[#This Row],[team_defense_snaps]])</f>
        <v>0.9538461538461539</v>
      </c>
      <c r="V95">
        <v>65</v>
      </c>
      <c r="W95">
        <v>10</v>
      </c>
      <c r="X95" s="5" t="s">
        <v>158</v>
      </c>
      <c r="Y95">
        <v>1</v>
      </c>
      <c r="Z95">
        <v>0</v>
      </c>
      <c r="AA95" t="s">
        <v>25</v>
      </c>
      <c r="AB95" t="s">
        <v>26</v>
      </c>
      <c r="AC95" t="s">
        <v>27</v>
      </c>
      <c r="AD95" t="s">
        <v>42</v>
      </c>
      <c r="AE95" t="s">
        <v>25</v>
      </c>
      <c r="AF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95" t="s">
        <v>941</v>
      </c>
      <c r="AH95">
        <v>54</v>
      </c>
      <c r="AI95" t="s">
        <v>939</v>
      </c>
      <c r="AJ95">
        <v>12</v>
      </c>
      <c r="AK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MIN(AJ95/8, 1) +
  Merge1[[#This Row],[index_defensive_effort]],
  2
)</f>
        <v>1.58</v>
      </c>
    </row>
    <row r="96" spans="1:37" x14ac:dyDescent="0.25">
      <c r="A96" t="s">
        <v>128</v>
      </c>
      <c r="B96" t="s">
        <v>129</v>
      </c>
      <c r="C96">
        <v>22</v>
      </c>
      <c r="D96" t="s">
        <v>22</v>
      </c>
      <c r="E96">
        <v>71</v>
      </c>
      <c r="F96">
        <v>210</v>
      </c>
      <c r="G96" t="s">
        <v>130</v>
      </c>
      <c r="H96">
        <v>2020</v>
      </c>
      <c r="I96" t="s">
        <v>33</v>
      </c>
      <c r="J96">
        <v>16</v>
      </c>
      <c r="K96">
        <v>0</v>
      </c>
      <c r="L96">
        <v>2</v>
      </c>
      <c r="M96">
        <v>1</v>
      </c>
      <c r="N96">
        <v>3</v>
      </c>
      <c r="O96">
        <v>0</v>
      </c>
      <c r="P96">
        <v>0</v>
      </c>
      <c r="Q96">
        <v>0</v>
      </c>
      <c r="R96">
        <v>0</v>
      </c>
      <c r="S96">
        <v>36</v>
      </c>
      <c r="T96">
        <v>16</v>
      </c>
      <c r="U96" s="5">
        <f>IF(Merge1[[#This Row],[team_defense_snaps]]=0, "", Merge1[[#This Row],[defense_snaps]] / Merge1[[#This Row],[team_defense_snaps]])</f>
        <v>0.23880597014925373</v>
      </c>
      <c r="V96">
        <v>67</v>
      </c>
      <c r="W96">
        <v>20</v>
      </c>
      <c r="X96" s="5" t="s">
        <v>154</v>
      </c>
      <c r="Y96">
        <v>1</v>
      </c>
      <c r="Z96">
        <v>0</v>
      </c>
      <c r="AA96" t="s">
        <v>25</v>
      </c>
      <c r="AB96" t="s">
        <v>26</v>
      </c>
      <c r="AC96" t="s">
        <v>27</v>
      </c>
      <c r="AD96" t="s">
        <v>28</v>
      </c>
      <c r="AE96" t="s">
        <v>25</v>
      </c>
      <c r="AF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96" t="s">
        <v>941</v>
      </c>
      <c r="AH96">
        <v>75</v>
      </c>
      <c r="AI96" t="s">
        <v>939</v>
      </c>
      <c r="AJ96">
        <v>13</v>
      </c>
      <c r="AK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MIN(AJ96/8, 1) +
  Merge1[[#This Row],[index_defensive_effort]],
  2
)</f>
        <v>1.54</v>
      </c>
    </row>
    <row r="97" spans="1:37" x14ac:dyDescent="0.25">
      <c r="A97" t="s">
        <v>128</v>
      </c>
      <c r="B97" t="s">
        <v>129</v>
      </c>
      <c r="C97">
        <v>22</v>
      </c>
      <c r="D97" t="s">
        <v>22</v>
      </c>
      <c r="E97">
        <v>71</v>
      </c>
      <c r="F97">
        <v>210</v>
      </c>
      <c r="G97" t="s">
        <v>130</v>
      </c>
      <c r="H97">
        <v>2020</v>
      </c>
      <c r="I97" t="s">
        <v>33</v>
      </c>
      <c r="J97">
        <v>17</v>
      </c>
      <c r="K97">
        <v>3</v>
      </c>
      <c r="L97">
        <v>1</v>
      </c>
      <c r="M97">
        <v>0</v>
      </c>
      <c r="N97">
        <v>1</v>
      </c>
      <c r="O97">
        <v>0</v>
      </c>
      <c r="P97">
        <v>1</v>
      </c>
      <c r="Q97">
        <v>2</v>
      </c>
      <c r="R97">
        <v>0</v>
      </c>
      <c r="S97">
        <v>42</v>
      </c>
      <c r="T97">
        <v>16</v>
      </c>
      <c r="U97" s="5">
        <f>IF(Merge1[[#This Row],[team_defense_snaps]]=0, "", Merge1[[#This Row],[defense_snaps]] / Merge1[[#This Row],[team_defense_snaps]])</f>
        <v>0.25</v>
      </c>
      <c r="V97">
        <v>64</v>
      </c>
      <c r="W97">
        <v>26</v>
      </c>
      <c r="X97" s="5" t="s">
        <v>49</v>
      </c>
      <c r="Y97">
        <v>1</v>
      </c>
      <c r="Z97">
        <v>0</v>
      </c>
      <c r="AA97" t="s">
        <v>25</v>
      </c>
      <c r="AB97" t="s">
        <v>26</v>
      </c>
      <c r="AC97" t="s">
        <v>27</v>
      </c>
      <c r="AD97" t="s">
        <v>28</v>
      </c>
      <c r="AE97" t="s">
        <v>25</v>
      </c>
      <c r="AF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0.32142857142857145</v>
      </c>
      <c r="AG97" t="s">
        <v>941</v>
      </c>
      <c r="AH97">
        <v>72</v>
      </c>
      <c r="AI97" t="s">
        <v>939</v>
      </c>
      <c r="AJ97">
        <v>1</v>
      </c>
      <c r="AK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MIN(AJ97/8, 1) +
  Merge1[[#This Row],[index_defensive_effort]],
  2
)</f>
        <v>0.95</v>
      </c>
    </row>
    <row r="98" spans="1:37" x14ac:dyDescent="0.25">
      <c r="A98" t="s">
        <v>160</v>
      </c>
      <c r="B98" t="s">
        <v>161</v>
      </c>
      <c r="C98">
        <v>24</v>
      </c>
      <c r="D98" t="s">
        <v>56</v>
      </c>
      <c r="E98">
        <v>74</v>
      </c>
      <c r="F98">
        <v>205</v>
      </c>
      <c r="G98" t="s">
        <v>162</v>
      </c>
      <c r="H98">
        <v>2020</v>
      </c>
      <c r="I98" t="s">
        <v>33</v>
      </c>
      <c r="J98">
        <v>1</v>
      </c>
      <c r="K98">
        <v>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67</v>
      </c>
      <c r="T98">
        <v>65</v>
      </c>
      <c r="U98" s="5">
        <f>IF(Merge1[[#This Row],[team_defense_snaps]]=0, "", Merge1[[#This Row],[defense_snaps]] / Merge1[[#This Row],[team_defense_snaps]])</f>
        <v>0.98484848484848486</v>
      </c>
      <c r="V98">
        <v>66</v>
      </c>
      <c r="W98">
        <v>2</v>
      </c>
      <c r="X98" s="5" t="s">
        <v>114</v>
      </c>
      <c r="Y98">
        <v>1</v>
      </c>
      <c r="Z98">
        <v>0</v>
      </c>
      <c r="AA98" t="s">
        <v>25</v>
      </c>
      <c r="AB98" t="s">
        <v>26</v>
      </c>
      <c r="AC98" t="s">
        <v>27</v>
      </c>
      <c r="AD98" t="s">
        <v>42</v>
      </c>
      <c r="AE98" t="s">
        <v>25</v>
      </c>
      <c r="AF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5.9701492537313432E-2</v>
      </c>
      <c r="AG98" t="s">
        <v>942</v>
      </c>
      <c r="AH98">
        <v>70</v>
      </c>
      <c r="AI98" t="s">
        <v>939</v>
      </c>
      <c r="AJ98">
        <v>2</v>
      </c>
      <c r="AK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MIN(AJ98/8, 1) +
  Merge1[[#This Row],[index_defensive_effort]],
  2
)</f>
        <v>0.71</v>
      </c>
    </row>
    <row r="99" spans="1:37" x14ac:dyDescent="0.25">
      <c r="A99" t="s">
        <v>160</v>
      </c>
      <c r="B99" t="s">
        <v>161</v>
      </c>
      <c r="C99">
        <v>24</v>
      </c>
      <c r="D99" t="s">
        <v>56</v>
      </c>
      <c r="E99">
        <v>74</v>
      </c>
      <c r="F99">
        <v>205</v>
      </c>
      <c r="G99" t="s">
        <v>162</v>
      </c>
      <c r="H99">
        <v>2020</v>
      </c>
      <c r="I99" t="s">
        <v>33</v>
      </c>
      <c r="J99">
        <v>2</v>
      </c>
      <c r="K99">
        <v>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79</v>
      </c>
      <c r="T99">
        <v>73</v>
      </c>
      <c r="U99" s="5">
        <f>IF(Merge1[[#This Row],[team_defense_snaps]]=0, "", Merge1[[#This Row],[defense_snaps]] / Merge1[[#This Row],[team_defense_snaps]])</f>
        <v>0.98648648648648651</v>
      </c>
      <c r="V99">
        <v>74</v>
      </c>
      <c r="W99">
        <v>6</v>
      </c>
      <c r="X99" s="5" t="s">
        <v>58</v>
      </c>
      <c r="Y99">
        <v>1</v>
      </c>
      <c r="Z99">
        <v>0</v>
      </c>
      <c r="AA99" t="s">
        <v>25</v>
      </c>
      <c r="AB99" t="s">
        <v>26</v>
      </c>
      <c r="AC99" t="s">
        <v>27</v>
      </c>
      <c r="AD99" t="s">
        <v>42</v>
      </c>
      <c r="AE99" t="s">
        <v>25</v>
      </c>
      <c r="AF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3.7974683544303799E-2</v>
      </c>
      <c r="AG99" t="s">
        <v>942</v>
      </c>
      <c r="AH99">
        <v>47.5</v>
      </c>
      <c r="AI99" t="s">
        <v>939</v>
      </c>
      <c r="AJ99">
        <v>3</v>
      </c>
      <c r="AK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MIN(AJ99/8, 1) +
  Merge1[[#This Row],[index_defensive_effort]],
  2
)</f>
        <v>0.81</v>
      </c>
    </row>
    <row r="100" spans="1:37" x14ac:dyDescent="0.25">
      <c r="A100" t="s">
        <v>160</v>
      </c>
      <c r="B100" t="s">
        <v>161</v>
      </c>
      <c r="C100">
        <v>24</v>
      </c>
      <c r="D100" t="s">
        <v>56</v>
      </c>
      <c r="E100">
        <v>74</v>
      </c>
      <c r="F100">
        <v>205</v>
      </c>
      <c r="G100" t="s">
        <v>162</v>
      </c>
      <c r="H100">
        <v>2020</v>
      </c>
      <c r="I100" t="s">
        <v>33</v>
      </c>
      <c r="J100">
        <v>3</v>
      </c>
      <c r="K100">
        <v>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69</v>
      </c>
      <c r="T100">
        <v>65</v>
      </c>
      <c r="U100" s="5">
        <f>IF(Merge1[[#This Row],[team_defense_snaps]]=0, "", Merge1[[#This Row],[defense_snaps]] / Merge1[[#This Row],[team_defense_snaps]])</f>
        <v>0.98484848484848486</v>
      </c>
      <c r="V100">
        <v>66</v>
      </c>
      <c r="W100">
        <v>4</v>
      </c>
      <c r="X100" s="5" t="s">
        <v>168</v>
      </c>
      <c r="Y100">
        <v>1</v>
      </c>
      <c r="Z100">
        <v>0</v>
      </c>
      <c r="AA100" t="s">
        <v>25</v>
      </c>
      <c r="AB100" t="s">
        <v>26</v>
      </c>
      <c r="AC100" t="s">
        <v>27</v>
      </c>
      <c r="AD100" t="s">
        <v>42</v>
      </c>
      <c r="AE100" t="s">
        <v>25</v>
      </c>
      <c r="AF1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2.8985507246376812E-2</v>
      </c>
      <c r="AG100" t="s">
        <v>942</v>
      </c>
      <c r="AH100">
        <v>65.5</v>
      </c>
      <c r="AI100" t="s">
        <v>939</v>
      </c>
      <c r="AJ100">
        <v>4</v>
      </c>
      <c r="AK1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MIN(AJ100/8, 1) +
  Merge1[[#This Row],[index_defensive_effort]],
  2
)</f>
        <v>0.93</v>
      </c>
    </row>
    <row r="101" spans="1:37" x14ac:dyDescent="0.25">
      <c r="A101" t="s">
        <v>160</v>
      </c>
      <c r="B101" t="s">
        <v>161</v>
      </c>
      <c r="C101">
        <v>24</v>
      </c>
      <c r="D101" t="s">
        <v>56</v>
      </c>
      <c r="E101">
        <v>74</v>
      </c>
      <c r="F101">
        <v>205</v>
      </c>
      <c r="G101" t="s">
        <v>162</v>
      </c>
      <c r="H101">
        <v>2020</v>
      </c>
      <c r="I101" t="s">
        <v>33</v>
      </c>
      <c r="J101">
        <v>4</v>
      </c>
      <c r="K101">
        <v>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65</v>
      </c>
      <c r="T101">
        <v>60</v>
      </c>
      <c r="U101" s="5">
        <f>IF(Merge1[[#This Row],[team_defense_snaps]]=0, "", Merge1[[#This Row],[defense_snaps]] / Merge1[[#This Row],[team_defense_snaps]])</f>
        <v>0.84507042253521125</v>
      </c>
      <c r="V101">
        <v>71</v>
      </c>
      <c r="W101">
        <v>5</v>
      </c>
      <c r="X101" s="5" t="s">
        <v>58</v>
      </c>
      <c r="Y101">
        <v>1</v>
      </c>
      <c r="Z101">
        <v>0</v>
      </c>
      <c r="AA101" t="s">
        <v>25</v>
      </c>
      <c r="AB101" t="s">
        <v>26</v>
      </c>
      <c r="AC101" t="s">
        <v>27</v>
      </c>
      <c r="AD101" t="s">
        <v>42</v>
      </c>
      <c r="AE101" t="s">
        <v>25</v>
      </c>
      <c r="AF1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3.0769230769230771E-2</v>
      </c>
      <c r="AG101" t="s">
        <v>942</v>
      </c>
      <c r="AH101">
        <v>61</v>
      </c>
      <c r="AI101" t="s">
        <v>939</v>
      </c>
      <c r="AJ101">
        <v>1</v>
      </c>
      <c r="AK1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MIN(AJ101/8, 1) +
  Merge1[[#This Row],[index_defensive_effort]],
  2
)</f>
        <v>0.56000000000000005</v>
      </c>
    </row>
    <row r="102" spans="1:37" x14ac:dyDescent="0.25">
      <c r="A102" t="s">
        <v>160</v>
      </c>
      <c r="B102" t="s">
        <v>161</v>
      </c>
      <c r="C102">
        <v>24</v>
      </c>
      <c r="D102" t="s">
        <v>56</v>
      </c>
      <c r="E102">
        <v>74</v>
      </c>
      <c r="F102">
        <v>205</v>
      </c>
      <c r="G102" t="s">
        <v>162</v>
      </c>
      <c r="H102">
        <v>2020</v>
      </c>
      <c r="I102" t="s">
        <v>33</v>
      </c>
      <c r="J102">
        <v>6</v>
      </c>
      <c r="K102">
        <v>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68</v>
      </c>
      <c r="T102">
        <v>64</v>
      </c>
      <c r="U102" s="5">
        <f>IF(Merge1[[#This Row],[team_defense_snaps]]=0, "", Merge1[[#This Row],[defense_snaps]] / Merge1[[#This Row],[team_defense_snaps]])</f>
        <v>1</v>
      </c>
      <c r="V102">
        <v>64</v>
      </c>
      <c r="W102">
        <v>4</v>
      </c>
      <c r="X102" s="5" t="s">
        <v>168</v>
      </c>
      <c r="Y102">
        <v>1</v>
      </c>
      <c r="Z102">
        <v>0</v>
      </c>
      <c r="AA102" t="s">
        <v>25</v>
      </c>
      <c r="AB102" t="s">
        <v>26</v>
      </c>
      <c r="AC102" t="s">
        <v>27</v>
      </c>
      <c r="AD102" t="s">
        <v>42</v>
      </c>
      <c r="AE102" t="s">
        <v>25</v>
      </c>
      <c r="AF1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2.9411764705882353E-2</v>
      </c>
      <c r="AG102" t="s">
        <v>942</v>
      </c>
      <c r="AH102">
        <v>56.5</v>
      </c>
      <c r="AI102" t="s">
        <v>939</v>
      </c>
      <c r="AJ102">
        <v>2</v>
      </c>
      <c r="AK1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MIN(AJ102/8, 1) +
  Merge1[[#This Row],[index_defensive_effort]],
  2
)</f>
        <v>0.68</v>
      </c>
    </row>
    <row r="103" spans="1:37" x14ac:dyDescent="0.25">
      <c r="A103" t="s">
        <v>160</v>
      </c>
      <c r="B103" t="s">
        <v>161</v>
      </c>
      <c r="C103">
        <v>24</v>
      </c>
      <c r="D103" t="s">
        <v>56</v>
      </c>
      <c r="E103">
        <v>74</v>
      </c>
      <c r="F103">
        <v>205</v>
      </c>
      <c r="G103" t="s">
        <v>162</v>
      </c>
      <c r="H103">
        <v>2020</v>
      </c>
      <c r="I103" t="s">
        <v>33</v>
      </c>
      <c r="J103">
        <v>7</v>
      </c>
      <c r="K103">
        <v>4</v>
      </c>
      <c r="L103">
        <v>1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70</v>
      </c>
      <c r="T103">
        <v>70</v>
      </c>
      <c r="U103" s="5">
        <f>IF(Merge1[[#This Row],[team_defense_snaps]]=0, "", Merge1[[#This Row],[defense_snaps]] / Merge1[[#This Row],[team_defense_snaps]])</f>
        <v>0.92105263157894735</v>
      </c>
      <c r="V103">
        <v>76</v>
      </c>
      <c r="W103">
        <v>0</v>
      </c>
      <c r="X103" s="5" t="s">
        <v>29</v>
      </c>
      <c r="Y103">
        <v>1</v>
      </c>
      <c r="Z103">
        <v>0</v>
      </c>
      <c r="AA103" t="s">
        <v>25</v>
      </c>
      <c r="AB103" t="s">
        <v>26</v>
      </c>
      <c r="AC103" t="s">
        <v>27</v>
      </c>
      <c r="AD103" t="s">
        <v>42</v>
      </c>
      <c r="AE103" t="s">
        <v>25</v>
      </c>
      <c r="AF1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6.4285714285714279E-2</v>
      </c>
      <c r="AG103" t="s">
        <v>942</v>
      </c>
      <c r="AH103">
        <v>49</v>
      </c>
      <c r="AI103" t="s">
        <v>939</v>
      </c>
      <c r="AJ103">
        <v>3</v>
      </c>
      <c r="AK1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MIN(AJ103/8, 1) +
  Merge1[[#This Row],[index_defensive_effort]],
  2
)</f>
        <v>0.84</v>
      </c>
    </row>
    <row r="104" spans="1:37" x14ac:dyDescent="0.25">
      <c r="A104" t="s">
        <v>160</v>
      </c>
      <c r="B104" t="s">
        <v>161</v>
      </c>
      <c r="C104">
        <v>24</v>
      </c>
      <c r="D104" t="s">
        <v>56</v>
      </c>
      <c r="E104">
        <v>74</v>
      </c>
      <c r="F104">
        <v>205</v>
      </c>
      <c r="G104" t="s">
        <v>162</v>
      </c>
      <c r="H104">
        <v>2020</v>
      </c>
      <c r="I104" t="s">
        <v>33</v>
      </c>
      <c r="J104">
        <v>8</v>
      </c>
      <c r="K104">
        <v>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80</v>
      </c>
      <c r="T104">
        <v>75</v>
      </c>
      <c r="U104" s="5">
        <f>IF(Merge1[[#This Row],[team_defense_snaps]]=0, "", Merge1[[#This Row],[defense_snaps]] / Merge1[[#This Row],[team_defense_snaps]])</f>
        <v>0.97402597402597402</v>
      </c>
      <c r="V104">
        <v>77</v>
      </c>
      <c r="W104">
        <v>5</v>
      </c>
      <c r="X104" s="5" t="s">
        <v>124</v>
      </c>
      <c r="Y104">
        <v>1</v>
      </c>
      <c r="Z104">
        <v>0</v>
      </c>
      <c r="AA104" t="s">
        <v>25</v>
      </c>
      <c r="AB104" t="s">
        <v>26</v>
      </c>
      <c r="AC104" t="s">
        <v>27</v>
      </c>
      <c r="AD104" t="s">
        <v>42</v>
      </c>
      <c r="AE104" t="s">
        <v>25</v>
      </c>
      <c r="AF1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3.7499999999999999E-2</v>
      </c>
      <c r="AG104" t="s">
        <v>942</v>
      </c>
      <c r="AH104">
        <v>59.5</v>
      </c>
      <c r="AI104" t="s">
        <v>939</v>
      </c>
      <c r="AJ104">
        <v>1</v>
      </c>
      <c r="AK1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MIN(AJ104/8, 1) +
  Merge1[[#This Row],[index_defensive_effort]],
  2
)</f>
        <v>0.56000000000000005</v>
      </c>
    </row>
    <row r="105" spans="1:37" x14ac:dyDescent="0.25">
      <c r="A105" t="s">
        <v>160</v>
      </c>
      <c r="B105" t="s">
        <v>161</v>
      </c>
      <c r="C105">
        <v>24</v>
      </c>
      <c r="D105" t="s">
        <v>56</v>
      </c>
      <c r="E105">
        <v>74</v>
      </c>
      <c r="F105">
        <v>205</v>
      </c>
      <c r="G105" t="s">
        <v>162</v>
      </c>
      <c r="H105">
        <v>2020</v>
      </c>
      <c r="I105" t="s">
        <v>33</v>
      </c>
      <c r="J105">
        <v>10</v>
      </c>
      <c r="K105">
        <v>3</v>
      </c>
      <c r="L105">
        <v>1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60</v>
      </c>
      <c r="T105">
        <v>54</v>
      </c>
      <c r="U105" s="5">
        <f>IF(Merge1[[#This Row],[team_defense_snaps]]=0, "", Merge1[[#This Row],[defense_snaps]] / Merge1[[#This Row],[team_defense_snaps]])</f>
        <v>0.6067415730337079</v>
      </c>
      <c r="V105">
        <v>89</v>
      </c>
      <c r="W105">
        <v>6</v>
      </c>
      <c r="X105" s="5" t="s">
        <v>58</v>
      </c>
      <c r="Y105">
        <v>1</v>
      </c>
      <c r="Z105">
        <v>0</v>
      </c>
      <c r="AA105" t="s">
        <v>25</v>
      </c>
      <c r="AB105" t="s">
        <v>26</v>
      </c>
      <c r="AC105" t="s">
        <v>27</v>
      </c>
      <c r="AD105" t="s">
        <v>42</v>
      </c>
      <c r="AE105" t="s">
        <v>25</v>
      </c>
      <c r="AF1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5.8333333333333334E-2</v>
      </c>
      <c r="AG105" t="s">
        <v>942</v>
      </c>
      <c r="AH105">
        <v>67</v>
      </c>
      <c r="AI105" t="s">
        <v>939</v>
      </c>
      <c r="AJ105">
        <v>2</v>
      </c>
      <c r="AK1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MIN(AJ105/8, 1) +
  Merge1[[#This Row],[index_defensive_effort]],
  2
)</f>
        <v>0.71</v>
      </c>
    </row>
    <row r="106" spans="1:37" x14ac:dyDescent="0.25">
      <c r="A106" t="s">
        <v>160</v>
      </c>
      <c r="B106" t="s">
        <v>161</v>
      </c>
      <c r="C106">
        <v>24</v>
      </c>
      <c r="D106" t="s">
        <v>56</v>
      </c>
      <c r="E106">
        <v>74</v>
      </c>
      <c r="F106">
        <v>205</v>
      </c>
      <c r="G106" t="s">
        <v>162</v>
      </c>
      <c r="H106">
        <v>2020</v>
      </c>
      <c r="I106" t="s">
        <v>33</v>
      </c>
      <c r="J106">
        <v>11</v>
      </c>
      <c r="K106">
        <v>3</v>
      </c>
      <c r="L106">
        <v>2</v>
      </c>
      <c r="M106">
        <v>0</v>
      </c>
      <c r="N106">
        <v>2</v>
      </c>
      <c r="O106">
        <v>0</v>
      </c>
      <c r="P106">
        <v>0</v>
      </c>
      <c r="Q106">
        <v>2</v>
      </c>
      <c r="R106">
        <v>0</v>
      </c>
      <c r="S106">
        <v>54</v>
      </c>
      <c r="T106">
        <v>49</v>
      </c>
      <c r="U106" s="5">
        <f>IF(Merge1[[#This Row],[team_defense_snaps]]=0, "", Merge1[[#This Row],[defense_snaps]] / Merge1[[#This Row],[team_defense_snaps]])</f>
        <v>0.6901408450704225</v>
      </c>
      <c r="V106">
        <v>71</v>
      </c>
      <c r="W106">
        <v>5</v>
      </c>
      <c r="X106" s="5" t="s">
        <v>132</v>
      </c>
      <c r="Y106">
        <v>1</v>
      </c>
      <c r="Z106">
        <v>0</v>
      </c>
      <c r="AA106" t="s">
        <v>25</v>
      </c>
      <c r="AB106" t="s">
        <v>26</v>
      </c>
      <c r="AC106" t="s">
        <v>27</v>
      </c>
      <c r="AD106" t="s">
        <v>42</v>
      </c>
      <c r="AE106" t="s">
        <v>25</v>
      </c>
      <c r="AF1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0.22222222222222221</v>
      </c>
      <c r="AG106" t="s">
        <v>942</v>
      </c>
      <c r="AH106">
        <v>52</v>
      </c>
      <c r="AI106" t="s">
        <v>939</v>
      </c>
      <c r="AJ106">
        <v>3</v>
      </c>
      <c r="AK1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MIN(AJ106/8, 1) +
  Merge1[[#This Row],[index_defensive_effort]],
  2
)</f>
        <v>1</v>
      </c>
    </row>
    <row r="107" spans="1:37" x14ac:dyDescent="0.25">
      <c r="A107" t="s">
        <v>160</v>
      </c>
      <c r="B107" t="s">
        <v>161</v>
      </c>
      <c r="C107">
        <v>24</v>
      </c>
      <c r="D107" t="s">
        <v>56</v>
      </c>
      <c r="E107">
        <v>74</v>
      </c>
      <c r="F107">
        <v>205</v>
      </c>
      <c r="G107" t="s">
        <v>162</v>
      </c>
      <c r="H107">
        <v>2020</v>
      </c>
      <c r="I107" t="s">
        <v>33</v>
      </c>
      <c r="J107">
        <v>12</v>
      </c>
      <c r="K107">
        <v>1</v>
      </c>
      <c r="L107">
        <v>1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56</v>
      </c>
      <c r="T107">
        <v>56</v>
      </c>
      <c r="U107" s="5">
        <f>IF(Merge1[[#This Row],[team_defense_snaps]]=0, "", Merge1[[#This Row],[defense_snaps]] / Merge1[[#This Row],[team_defense_snaps]])</f>
        <v>0.96551724137931039</v>
      </c>
      <c r="V107">
        <v>58</v>
      </c>
      <c r="W107">
        <v>0</v>
      </c>
      <c r="X107" s="5" t="s">
        <v>29</v>
      </c>
      <c r="Y107">
        <v>1</v>
      </c>
      <c r="Z107">
        <v>0</v>
      </c>
      <c r="AA107" t="s">
        <v>25</v>
      </c>
      <c r="AB107" t="s">
        <v>36</v>
      </c>
      <c r="AC107" t="s">
        <v>163</v>
      </c>
      <c r="AD107" t="s">
        <v>42</v>
      </c>
      <c r="AE107" t="s">
        <v>25</v>
      </c>
      <c r="AF1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2.6785714285714284E-2</v>
      </c>
      <c r="AG107" t="s">
        <v>942</v>
      </c>
      <c r="AH107">
        <v>50.5</v>
      </c>
      <c r="AI107" t="s">
        <v>939</v>
      </c>
      <c r="AJ107">
        <v>4</v>
      </c>
      <c r="AK1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MIN(AJ107/8, 1) +
  Merge1[[#This Row],[index_defensive_effort]],
  2
)</f>
        <v>0.93</v>
      </c>
    </row>
    <row r="108" spans="1:37" x14ac:dyDescent="0.25">
      <c r="A108" t="s">
        <v>160</v>
      </c>
      <c r="B108" t="s">
        <v>161</v>
      </c>
      <c r="C108">
        <v>24</v>
      </c>
      <c r="D108" t="s">
        <v>56</v>
      </c>
      <c r="E108">
        <v>74</v>
      </c>
      <c r="F108">
        <v>205</v>
      </c>
      <c r="G108" t="s">
        <v>162</v>
      </c>
      <c r="H108">
        <v>2020</v>
      </c>
      <c r="I108" t="s">
        <v>33</v>
      </c>
      <c r="J108">
        <v>13</v>
      </c>
      <c r="K108">
        <v>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69</v>
      </c>
      <c r="T108">
        <v>69</v>
      </c>
      <c r="U108" s="5">
        <f>IF(Merge1[[#This Row],[team_defense_snaps]]=0, "", Merge1[[#This Row],[defense_snaps]] / Merge1[[#This Row],[team_defense_snaps]])</f>
        <v>0.971830985915493</v>
      </c>
      <c r="V108">
        <v>71</v>
      </c>
      <c r="W108">
        <v>0</v>
      </c>
      <c r="X108" s="5" t="s">
        <v>29</v>
      </c>
      <c r="Y108">
        <v>1</v>
      </c>
      <c r="Z108">
        <v>0</v>
      </c>
      <c r="AA108" t="s">
        <v>25</v>
      </c>
      <c r="AB108" t="s">
        <v>26</v>
      </c>
      <c r="AC108" t="s">
        <v>27</v>
      </c>
      <c r="AD108" t="s">
        <v>42</v>
      </c>
      <c r="AE108" t="s">
        <v>25</v>
      </c>
      <c r="AF1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7.2463768115942032E-2</v>
      </c>
      <c r="AG108" t="s">
        <v>942</v>
      </c>
      <c r="AH108">
        <v>55</v>
      </c>
      <c r="AI108" t="s">
        <v>939</v>
      </c>
      <c r="AJ108">
        <v>5</v>
      </c>
      <c r="AK1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MIN(AJ108/8, 1) +
  Merge1[[#This Row],[index_defensive_effort]],
  2
)</f>
        <v>1.1000000000000001</v>
      </c>
    </row>
    <row r="109" spans="1:37" x14ac:dyDescent="0.25">
      <c r="A109" t="s">
        <v>160</v>
      </c>
      <c r="B109" t="s">
        <v>161</v>
      </c>
      <c r="C109">
        <v>24</v>
      </c>
      <c r="D109" t="s">
        <v>56</v>
      </c>
      <c r="E109">
        <v>74</v>
      </c>
      <c r="F109">
        <v>205</v>
      </c>
      <c r="G109" t="s">
        <v>162</v>
      </c>
      <c r="H109">
        <v>2020</v>
      </c>
      <c r="I109" t="s">
        <v>33</v>
      </c>
      <c r="J109">
        <v>14</v>
      </c>
      <c r="K109">
        <v>4</v>
      </c>
      <c r="L109">
        <v>1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70</v>
      </c>
      <c r="T109">
        <v>67</v>
      </c>
      <c r="U109" s="5">
        <f>IF(Merge1[[#This Row],[team_defense_snaps]]=0, "", Merge1[[#This Row],[defense_snaps]] / Merge1[[#This Row],[team_defense_snaps]])</f>
        <v>1</v>
      </c>
      <c r="V109">
        <v>67</v>
      </c>
      <c r="W109">
        <v>3</v>
      </c>
      <c r="X109" s="5" t="s">
        <v>251</v>
      </c>
      <c r="Y109">
        <v>1</v>
      </c>
      <c r="Z109">
        <v>0</v>
      </c>
      <c r="AA109" t="s">
        <v>25</v>
      </c>
      <c r="AB109" t="s">
        <v>26</v>
      </c>
      <c r="AC109" t="s">
        <v>27</v>
      </c>
      <c r="AD109" t="s">
        <v>42</v>
      </c>
      <c r="AE109" t="s">
        <v>25</v>
      </c>
      <c r="AF1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6.4285714285714279E-2</v>
      </c>
      <c r="AG109" t="s">
        <v>942</v>
      </c>
      <c r="AH109">
        <v>62.5</v>
      </c>
      <c r="AI109" t="s">
        <v>939</v>
      </c>
      <c r="AJ109">
        <v>6</v>
      </c>
      <c r="AK1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MIN(AJ109/8, 1) +
  Merge1[[#This Row],[index_defensive_effort]],
  2
)</f>
        <v>1.21</v>
      </c>
    </row>
    <row r="110" spans="1:37" x14ac:dyDescent="0.25">
      <c r="A110" t="s">
        <v>160</v>
      </c>
      <c r="B110" t="s">
        <v>161</v>
      </c>
      <c r="C110">
        <v>24</v>
      </c>
      <c r="D110" t="s">
        <v>56</v>
      </c>
      <c r="E110">
        <v>74</v>
      </c>
      <c r="F110">
        <v>205</v>
      </c>
      <c r="G110" t="s">
        <v>162</v>
      </c>
      <c r="H110">
        <v>2020</v>
      </c>
      <c r="I110" t="s">
        <v>33</v>
      </c>
      <c r="J110">
        <v>15</v>
      </c>
      <c r="K110">
        <v>4</v>
      </c>
      <c r="L110">
        <v>1</v>
      </c>
      <c r="M110">
        <v>1</v>
      </c>
      <c r="N110">
        <v>2</v>
      </c>
      <c r="O110">
        <v>0</v>
      </c>
      <c r="P110">
        <v>0</v>
      </c>
      <c r="Q110">
        <v>0</v>
      </c>
      <c r="R110">
        <v>0</v>
      </c>
      <c r="S110">
        <v>74</v>
      </c>
      <c r="T110">
        <v>68</v>
      </c>
      <c r="U110" s="5">
        <f>IF(Merge1[[#This Row],[team_defense_snaps]]=0, "", Merge1[[#This Row],[defense_snaps]] / Merge1[[#This Row],[team_defense_snaps]])</f>
        <v>1</v>
      </c>
      <c r="V110">
        <v>68</v>
      </c>
      <c r="W110">
        <v>6</v>
      </c>
      <c r="X110" s="5" t="s">
        <v>132</v>
      </c>
      <c r="Y110">
        <v>1</v>
      </c>
      <c r="Z110">
        <v>0</v>
      </c>
      <c r="AA110" t="s">
        <v>25</v>
      </c>
      <c r="AB110" t="s">
        <v>26</v>
      </c>
      <c r="AC110" t="s">
        <v>27</v>
      </c>
      <c r="AD110" t="s">
        <v>42</v>
      </c>
      <c r="AE110" t="s">
        <v>25</v>
      </c>
      <c r="AF1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6.7567567567567571E-2</v>
      </c>
      <c r="AG110" t="s">
        <v>942</v>
      </c>
      <c r="AH110">
        <v>68.5</v>
      </c>
      <c r="AI110" t="s">
        <v>939</v>
      </c>
      <c r="AJ110">
        <v>7</v>
      </c>
      <c r="AK1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MIN(AJ110/8, 1) +
  Merge1[[#This Row],[index_defensive_effort]],
  2
)</f>
        <v>1.34</v>
      </c>
    </row>
    <row r="111" spans="1:37" x14ac:dyDescent="0.25">
      <c r="A111" t="s">
        <v>160</v>
      </c>
      <c r="B111" t="s">
        <v>161</v>
      </c>
      <c r="C111">
        <v>24</v>
      </c>
      <c r="D111" t="s">
        <v>56</v>
      </c>
      <c r="E111">
        <v>74</v>
      </c>
      <c r="F111">
        <v>205</v>
      </c>
      <c r="G111" t="s">
        <v>162</v>
      </c>
      <c r="H111">
        <v>2020</v>
      </c>
      <c r="I111" t="s">
        <v>33</v>
      </c>
      <c r="J111">
        <v>16</v>
      </c>
      <c r="K111">
        <v>2</v>
      </c>
      <c r="L111">
        <v>2</v>
      </c>
      <c r="M111">
        <v>0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85</v>
      </c>
      <c r="T111">
        <v>77</v>
      </c>
      <c r="U111" s="5">
        <f>IF(Merge1[[#This Row],[team_defense_snaps]]=0, "", Merge1[[#This Row],[defense_snaps]] / Merge1[[#This Row],[team_defense_snaps]])</f>
        <v>0.96250000000000002</v>
      </c>
      <c r="V111">
        <v>80</v>
      </c>
      <c r="W111">
        <v>8</v>
      </c>
      <c r="X111" s="5" t="s">
        <v>136</v>
      </c>
      <c r="Y111">
        <v>1</v>
      </c>
      <c r="Z111">
        <v>0</v>
      </c>
      <c r="AA111" t="s">
        <v>25</v>
      </c>
      <c r="AB111" t="s">
        <v>26</v>
      </c>
      <c r="AC111" t="s">
        <v>27</v>
      </c>
      <c r="AD111" t="s">
        <v>42</v>
      </c>
      <c r="AE111" t="s">
        <v>25</v>
      </c>
      <c r="AF1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3.5294117647058823E-2</v>
      </c>
      <c r="AG111" t="s">
        <v>942</v>
      </c>
      <c r="AH111">
        <v>46</v>
      </c>
      <c r="AI111" t="s">
        <v>939</v>
      </c>
      <c r="AJ111">
        <v>8</v>
      </c>
      <c r="AK1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MIN(AJ111/8, 1) +
  Merge1[[#This Row],[index_defensive_effort]],
  2
)</f>
        <v>1.44</v>
      </c>
    </row>
    <row r="112" spans="1:37" x14ac:dyDescent="0.25">
      <c r="A112" t="s">
        <v>160</v>
      </c>
      <c r="B112" t="s">
        <v>161</v>
      </c>
      <c r="C112">
        <v>24</v>
      </c>
      <c r="D112" t="s">
        <v>56</v>
      </c>
      <c r="E112">
        <v>74</v>
      </c>
      <c r="F112">
        <v>205</v>
      </c>
      <c r="G112" t="s">
        <v>162</v>
      </c>
      <c r="H112">
        <v>2020</v>
      </c>
      <c r="I112" t="s">
        <v>33</v>
      </c>
      <c r="J112">
        <v>17</v>
      </c>
      <c r="K112">
        <v>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87</v>
      </c>
      <c r="T112">
        <v>80</v>
      </c>
      <c r="U112" s="5">
        <f>IF(Merge1[[#This Row],[team_defense_snaps]]=0, "", Merge1[[#This Row],[defense_snaps]] / Merge1[[#This Row],[team_defense_snaps]])</f>
        <v>1</v>
      </c>
      <c r="V112">
        <v>80</v>
      </c>
      <c r="W112">
        <v>7</v>
      </c>
      <c r="X112" s="5" t="s">
        <v>132</v>
      </c>
      <c r="Y112">
        <v>1</v>
      </c>
      <c r="Z112">
        <v>0</v>
      </c>
      <c r="AA112" t="s">
        <v>25</v>
      </c>
      <c r="AB112" t="s">
        <v>26</v>
      </c>
      <c r="AC112" t="s">
        <v>27</v>
      </c>
      <c r="AD112" t="s">
        <v>42</v>
      </c>
      <c r="AE112" t="s">
        <v>25</v>
      </c>
      <c r="AF1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3.4482758620689655E-2</v>
      </c>
      <c r="AG112" t="s">
        <v>942</v>
      </c>
      <c r="AH112">
        <v>53.5</v>
      </c>
      <c r="AI112" t="s">
        <v>939</v>
      </c>
      <c r="AJ112">
        <v>1</v>
      </c>
      <c r="AK1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MIN(AJ112/8, 1) +
  Merge1[[#This Row],[index_defensive_effort]],
  2
)</f>
        <v>0.56000000000000005</v>
      </c>
    </row>
    <row r="113" spans="1:37" x14ac:dyDescent="0.25">
      <c r="A113" t="s">
        <v>164</v>
      </c>
      <c r="B113" t="s">
        <v>165</v>
      </c>
      <c r="C113">
        <v>22</v>
      </c>
      <c r="D113" t="s">
        <v>56</v>
      </c>
      <c r="E113">
        <v>69</v>
      </c>
      <c r="F113">
        <v>183</v>
      </c>
      <c r="G113" t="s">
        <v>166</v>
      </c>
      <c r="H113">
        <v>2020</v>
      </c>
      <c r="I113" t="s">
        <v>33</v>
      </c>
      <c r="J113">
        <v>4</v>
      </c>
      <c r="K113">
        <v>1</v>
      </c>
      <c r="L113">
        <v>1</v>
      </c>
      <c r="M113">
        <v>0</v>
      </c>
      <c r="N113">
        <v>1</v>
      </c>
      <c r="O113">
        <v>0</v>
      </c>
      <c r="P113">
        <v>1</v>
      </c>
      <c r="Q113">
        <v>0</v>
      </c>
      <c r="R113">
        <v>0</v>
      </c>
      <c r="S113">
        <v>14</v>
      </c>
      <c r="T113">
        <v>9</v>
      </c>
      <c r="U113" s="5">
        <f>IF(Merge1[[#This Row],[team_defense_snaps]]=0, "", Merge1[[#This Row],[defense_snaps]] / Merge1[[#This Row],[team_defense_snaps]])</f>
        <v>0.14516129032258066</v>
      </c>
      <c r="V113">
        <v>62</v>
      </c>
      <c r="W113">
        <v>5</v>
      </c>
      <c r="X113" s="5" t="s">
        <v>59</v>
      </c>
      <c r="Y113">
        <v>0</v>
      </c>
      <c r="Z113">
        <v>0</v>
      </c>
      <c r="AA113" t="s">
        <v>25</v>
      </c>
      <c r="AB113" t="s">
        <v>26</v>
      </c>
      <c r="AC113" t="s">
        <v>27</v>
      </c>
      <c r="AD113" t="s">
        <v>28</v>
      </c>
      <c r="AE113" t="s">
        <v>25</v>
      </c>
      <c r="AF1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</v>
      </c>
      <c r="AG113" t="s">
        <v>941</v>
      </c>
      <c r="AH113">
        <v>89</v>
      </c>
      <c r="AI113" t="s">
        <v>939</v>
      </c>
      <c r="AJ113">
        <v>2</v>
      </c>
      <c r="AK1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MIN(AJ113/8, 1) +
  Merge1[[#This Row],[index_defensive_effort]],
  2
)</f>
        <v>1</v>
      </c>
    </row>
    <row r="114" spans="1:37" x14ac:dyDescent="0.25">
      <c r="A114" t="s">
        <v>164</v>
      </c>
      <c r="B114" t="s">
        <v>165</v>
      </c>
      <c r="C114">
        <v>22</v>
      </c>
      <c r="D114" t="s">
        <v>56</v>
      </c>
      <c r="E114">
        <v>69</v>
      </c>
      <c r="F114">
        <v>183</v>
      </c>
      <c r="G114" t="s">
        <v>166</v>
      </c>
      <c r="H114">
        <v>2020</v>
      </c>
      <c r="I114" t="s">
        <v>33</v>
      </c>
      <c r="J114">
        <v>5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25</v>
      </c>
      <c r="T114">
        <v>14</v>
      </c>
      <c r="U114" s="5">
        <f>IF(Merge1[[#This Row],[team_defense_snaps]]=0, "", Merge1[[#This Row],[defense_snaps]] / Merge1[[#This Row],[team_defense_snaps]])</f>
        <v>0.1891891891891892</v>
      </c>
      <c r="V114">
        <v>74</v>
      </c>
      <c r="W114">
        <v>11</v>
      </c>
      <c r="X114" s="5" t="s">
        <v>70</v>
      </c>
      <c r="Y114">
        <v>0</v>
      </c>
      <c r="Z114">
        <v>0</v>
      </c>
      <c r="AA114" t="s">
        <v>25</v>
      </c>
      <c r="AB114" t="s">
        <v>26</v>
      </c>
      <c r="AC114" t="s">
        <v>27</v>
      </c>
      <c r="AD114" t="s">
        <v>28</v>
      </c>
      <c r="AE114" t="s">
        <v>25</v>
      </c>
      <c r="AF1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0.04</v>
      </c>
      <c r="AG114" t="s">
        <v>941</v>
      </c>
      <c r="AH114">
        <v>83</v>
      </c>
      <c r="AI114" t="s">
        <v>939</v>
      </c>
      <c r="AJ114">
        <v>1</v>
      </c>
      <c r="AK1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MIN(AJ114/8, 1) +
  Merge1[[#This Row],[index_defensive_effort]],
  2
)</f>
        <v>0.67</v>
      </c>
    </row>
    <row r="115" spans="1:37" x14ac:dyDescent="0.25">
      <c r="A115" t="s">
        <v>164</v>
      </c>
      <c r="B115" t="s">
        <v>165</v>
      </c>
      <c r="C115">
        <v>22</v>
      </c>
      <c r="D115" t="s">
        <v>56</v>
      </c>
      <c r="E115">
        <v>69</v>
      </c>
      <c r="F115">
        <v>183</v>
      </c>
      <c r="G115" t="s">
        <v>166</v>
      </c>
      <c r="H115">
        <v>2020</v>
      </c>
      <c r="I115" t="s">
        <v>33</v>
      </c>
      <c r="J115">
        <v>9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8</v>
      </c>
      <c r="T115">
        <v>6</v>
      </c>
      <c r="U115" s="5">
        <f>IF(Merge1[[#This Row],[team_defense_snaps]]=0, "", Merge1[[#This Row],[defense_snaps]] / Merge1[[#This Row],[team_defense_snaps]])</f>
        <v>7.5949367088607597E-2</v>
      </c>
      <c r="V115">
        <v>79</v>
      </c>
      <c r="W115">
        <v>2</v>
      </c>
      <c r="X115" s="5" t="s">
        <v>208</v>
      </c>
      <c r="Y115">
        <v>0</v>
      </c>
      <c r="Z115">
        <v>0</v>
      </c>
      <c r="AA115" t="s">
        <v>25</v>
      </c>
      <c r="AB115" t="s">
        <v>26</v>
      </c>
      <c r="AC115" t="s">
        <v>27</v>
      </c>
      <c r="AD115" t="s">
        <v>28</v>
      </c>
      <c r="AE115" t="s">
        <v>25</v>
      </c>
      <c r="AF1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115" t="s">
        <v>941</v>
      </c>
      <c r="AH115">
        <v>90.5</v>
      </c>
      <c r="AI115" t="s">
        <v>939</v>
      </c>
      <c r="AJ115">
        <v>1</v>
      </c>
      <c r="AK1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MIN(AJ115/8, 1) +
  Merge1[[#This Row],[index_defensive_effort]],
  2
)</f>
        <v>0.75</v>
      </c>
    </row>
    <row r="116" spans="1:37" x14ac:dyDescent="0.25">
      <c r="A116" t="s">
        <v>20</v>
      </c>
      <c r="B116" t="s">
        <v>21</v>
      </c>
      <c r="C116">
        <v>27</v>
      </c>
      <c r="D116" t="s">
        <v>22</v>
      </c>
      <c r="E116">
        <v>71</v>
      </c>
      <c r="F116">
        <v>202</v>
      </c>
      <c r="G116" t="s">
        <v>23</v>
      </c>
      <c r="H116">
        <v>2020</v>
      </c>
      <c r="I116" t="s">
        <v>24</v>
      </c>
      <c r="J116">
        <v>20</v>
      </c>
      <c r="K116">
        <v>3</v>
      </c>
      <c r="L116">
        <v>2</v>
      </c>
      <c r="M116">
        <v>1</v>
      </c>
      <c r="N116">
        <v>3</v>
      </c>
      <c r="O116">
        <v>0</v>
      </c>
      <c r="P116">
        <v>0</v>
      </c>
      <c r="Q116">
        <v>0</v>
      </c>
      <c r="R116">
        <v>0</v>
      </c>
      <c r="S116">
        <v>54</v>
      </c>
      <c r="T116">
        <v>36</v>
      </c>
      <c r="U116" s="5">
        <f>IF(Merge1[[#This Row],[team_defense_snaps]]=0, "", Merge1[[#This Row],[defense_snaps]] / Merge1[[#This Row],[team_defense_snaps]])</f>
        <v>0.50704225352112675</v>
      </c>
      <c r="V116">
        <v>71</v>
      </c>
      <c r="W116">
        <v>18</v>
      </c>
      <c r="X116" s="5" t="s">
        <v>100</v>
      </c>
      <c r="Y116">
        <v>4</v>
      </c>
      <c r="Z116">
        <v>0</v>
      </c>
      <c r="AA116" t="s">
        <v>25</v>
      </c>
      <c r="AB116" t="s">
        <v>26</v>
      </c>
      <c r="AC116" t="s">
        <v>27</v>
      </c>
      <c r="AD116" t="s">
        <v>28</v>
      </c>
      <c r="AE116" t="s">
        <v>25</v>
      </c>
      <c r="AF1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116" t="s">
        <v>941</v>
      </c>
      <c r="AH116">
        <v>66</v>
      </c>
      <c r="AI116" t="s">
        <v>939</v>
      </c>
      <c r="AJ116">
        <v>1</v>
      </c>
      <c r="AK1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MIN(AJ116/8, 1) +
  Merge1[[#This Row],[index_defensive_effort]],
  2
)</f>
        <v>1.01</v>
      </c>
    </row>
    <row r="117" spans="1:37" x14ac:dyDescent="0.25">
      <c r="A117" t="s">
        <v>45</v>
      </c>
      <c r="B117" t="s">
        <v>46</v>
      </c>
      <c r="C117">
        <v>33</v>
      </c>
      <c r="D117" t="s">
        <v>22</v>
      </c>
      <c r="E117">
        <v>73</v>
      </c>
      <c r="F117">
        <v>210</v>
      </c>
      <c r="G117" t="s">
        <v>47</v>
      </c>
      <c r="H117">
        <v>2020</v>
      </c>
      <c r="I117" t="s">
        <v>33</v>
      </c>
      <c r="J117">
        <v>1</v>
      </c>
      <c r="K117">
        <v>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69</v>
      </c>
      <c r="T117">
        <v>59</v>
      </c>
      <c r="U117" s="5">
        <f>IF(Merge1[[#This Row],[team_defense_snaps]]=0, "", Merge1[[#This Row],[defense_snaps]] / Merge1[[#This Row],[team_defense_snaps]])</f>
        <v>0.98333333333333328</v>
      </c>
      <c r="V117">
        <v>60</v>
      </c>
      <c r="W117">
        <v>10</v>
      </c>
      <c r="X117" s="5" t="s">
        <v>131</v>
      </c>
      <c r="Y117">
        <v>10</v>
      </c>
      <c r="Z117">
        <v>0</v>
      </c>
      <c r="AA117" t="s">
        <v>25</v>
      </c>
      <c r="AB117" t="s">
        <v>26</v>
      </c>
      <c r="AC117" t="s">
        <v>27</v>
      </c>
      <c r="AD117" t="s">
        <v>42</v>
      </c>
      <c r="AE117" t="s">
        <v>25</v>
      </c>
      <c r="AF1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5.7971014492753624E-2</v>
      </c>
      <c r="AG117" t="s">
        <v>941</v>
      </c>
      <c r="AH117">
        <v>70</v>
      </c>
      <c r="AI117" t="s">
        <v>939</v>
      </c>
      <c r="AJ117">
        <v>2</v>
      </c>
      <c r="AK1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MIN(AJ117/8, 1) +
  Merge1[[#This Row],[index_defensive_effort]],
  2
)</f>
        <v>1.01</v>
      </c>
    </row>
    <row r="118" spans="1:37" x14ac:dyDescent="0.25">
      <c r="A118" t="s">
        <v>45</v>
      </c>
      <c r="B118" t="s">
        <v>46</v>
      </c>
      <c r="C118">
        <v>33</v>
      </c>
      <c r="D118" t="s">
        <v>22</v>
      </c>
      <c r="E118">
        <v>73</v>
      </c>
      <c r="F118">
        <v>210</v>
      </c>
      <c r="G118" t="s">
        <v>47</v>
      </c>
      <c r="H118">
        <v>2020</v>
      </c>
      <c r="I118" t="s">
        <v>33</v>
      </c>
      <c r="J118">
        <v>2</v>
      </c>
      <c r="K118">
        <v>7</v>
      </c>
      <c r="L118">
        <v>3</v>
      </c>
      <c r="M118">
        <v>0</v>
      </c>
      <c r="N118">
        <v>3</v>
      </c>
      <c r="O118">
        <v>0</v>
      </c>
      <c r="P118">
        <v>0</v>
      </c>
      <c r="Q118">
        <v>0</v>
      </c>
      <c r="R118">
        <v>0</v>
      </c>
      <c r="S118">
        <v>100</v>
      </c>
      <c r="T118">
        <v>92</v>
      </c>
      <c r="U118" s="5">
        <f>IF(Merge1[[#This Row],[team_defense_snaps]]=0, "", Merge1[[#This Row],[defense_snaps]] / Merge1[[#This Row],[team_defense_snaps]])</f>
        <v>1</v>
      </c>
      <c r="V118">
        <v>92</v>
      </c>
      <c r="W118">
        <v>8</v>
      </c>
      <c r="X118" s="5" t="s">
        <v>138</v>
      </c>
      <c r="Y118">
        <v>10</v>
      </c>
      <c r="Z118">
        <v>0</v>
      </c>
      <c r="AA118" t="s">
        <v>25</v>
      </c>
      <c r="AB118" t="s">
        <v>26</v>
      </c>
      <c r="AC118" t="s">
        <v>27</v>
      </c>
      <c r="AD118" t="s">
        <v>42</v>
      </c>
      <c r="AE118" t="s">
        <v>25</v>
      </c>
      <c r="AF1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8.5000000000000006E-2</v>
      </c>
      <c r="AG118" t="s">
        <v>941</v>
      </c>
      <c r="AH118">
        <v>68.5</v>
      </c>
      <c r="AI118" t="s">
        <v>939</v>
      </c>
      <c r="AJ118">
        <v>3</v>
      </c>
      <c r="AK1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MIN(AJ118/8, 1) +
  Merge1[[#This Row],[index_defensive_effort]],
  2
)</f>
        <v>1.1599999999999999</v>
      </c>
    </row>
    <row r="119" spans="1:37" x14ac:dyDescent="0.25">
      <c r="A119" t="s">
        <v>45</v>
      </c>
      <c r="B119" t="s">
        <v>46</v>
      </c>
      <c r="C119">
        <v>33</v>
      </c>
      <c r="D119" t="s">
        <v>22</v>
      </c>
      <c r="E119">
        <v>73</v>
      </c>
      <c r="F119">
        <v>210</v>
      </c>
      <c r="G119" t="s">
        <v>47</v>
      </c>
      <c r="H119">
        <v>2020</v>
      </c>
      <c r="I119" t="s">
        <v>33</v>
      </c>
      <c r="J119">
        <v>3</v>
      </c>
      <c r="K119">
        <v>2</v>
      </c>
      <c r="L119">
        <v>1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73</v>
      </c>
      <c r="T119">
        <v>64</v>
      </c>
      <c r="U119" s="5">
        <f>IF(Merge1[[#This Row],[team_defense_snaps]]=0, "", Merge1[[#This Row],[defense_snaps]] / Merge1[[#This Row],[team_defense_snaps]])</f>
        <v>0.95522388059701491</v>
      </c>
      <c r="V119">
        <v>67</v>
      </c>
      <c r="W119">
        <v>9</v>
      </c>
      <c r="X119" s="5" t="s">
        <v>108</v>
      </c>
      <c r="Y119">
        <v>10</v>
      </c>
      <c r="Z119">
        <v>0</v>
      </c>
      <c r="AA119" t="s">
        <v>25</v>
      </c>
      <c r="AB119" t="s">
        <v>26</v>
      </c>
      <c r="AC119" t="s">
        <v>27</v>
      </c>
      <c r="AD119" t="s">
        <v>42</v>
      </c>
      <c r="AE119" t="s">
        <v>25</v>
      </c>
      <c r="AF1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3.4246575342465752E-2</v>
      </c>
      <c r="AG119" t="s">
        <v>941</v>
      </c>
      <c r="AH119">
        <v>67</v>
      </c>
      <c r="AI119" t="s">
        <v>939</v>
      </c>
      <c r="AJ119">
        <v>4</v>
      </c>
      <c r="AK1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MIN(AJ119/8, 1) +
  Merge1[[#This Row],[index_defensive_effort]],
  2
)</f>
        <v>1.23</v>
      </c>
    </row>
    <row r="120" spans="1:37" x14ac:dyDescent="0.25">
      <c r="A120" t="s">
        <v>45</v>
      </c>
      <c r="B120" t="s">
        <v>46</v>
      </c>
      <c r="C120">
        <v>33</v>
      </c>
      <c r="D120" t="s">
        <v>22</v>
      </c>
      <c r="E120">
        <v>73</v>
      </c>
      <c r="F120">
        <v>210</v>
      </c>
      <c r="G120" t="s">
        <v>47</v>
      </c>
      <c r="H120">
        <v>2020</v>
      </c>
      <c r="I120" t="s">
        <v>33</v>
      </c>
      <c r="J120">
        <v>4</v>
      </c>
      <c r="K120">
        <v>2</v>
      </c>
      <c r="L120">
        <v>2</v>
      </c>
      <c r="M120">
        <v>0</v>
      </c>
      <c r="N120">
        <v>2</v>
      </c>
      <c r="O120">
        <v>0</v>
      </c>
      <c r="P120">
        <v>0</v>
      </c>
      <c r="Q120">
        <v>0</v>
      </c>
      <c r="R120">
        <v>2</v>
      </c>
      <c r="S120">
        <v>90</v>
      </c>
      <c r="T120">
        <v>82</v>
      </c>
      <c r="U120" s="5">
        <f>IF(Merge1[[#This Row],[team_defense_snaps]]=0, "", Merge1[[#This Row],[defense_snaps]] / Merge1[[#This Row],[team_defense_snaps]])</f>
        <v>0.96470588235294119</v>
      </c>
      <c r="V120">
        <v>85</v>
      </c>
      <c r="W120">
        <v>8</v>
      </c>
      <c r="X120" s="5" t="s">
        <v>137</v>
      </c>
      <c r="Y120">
        <v>10</v>
      </c>
      <c r="Z120">
        <v>0</v>
      </c>
      <c r="AA120" t="s">
        <v>25</v>
      </c>
      <c r="AB120" t="s">
        <v>26</v>
      </c>
      <c r="AC120" t="s">
        <v>27</v>
      </c>
      <c r="AD120" t="s">
        <v>42</v>
      </c>
      <c r="AE120" t="s">
        <v>25</v>
      </c>
      <c r="AF1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7.7777777777777779E-2</v>
      </c>
      <c r="AG120" t="s">
        <v>941</v>
      </c>
      <c r="AH120">
        <v>65.5</v>
      </c>
      <c r="AI120" t="s">
        <v>939</v>
      </c>
      <c r="AJ120">
        <v>5</v>
      </c>
      <c r="AK1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MIN(AJ120/8, 1) +
  Merge1[[#This Row],[index_defensive_effort]],
  2
)</f>
        <v>1.4</v>
      </c>
    </row>
    <row r="121" spans="1:37" x14ac:dyDescent="0.25">
      <c r="A121" t="s">
        <v>45</v>
      </c>
      <c r="B121" t="s">
        <v>46</v>
      </c>
      <c r="C121">
        <v>33</v>
      </c>
      <c r="D121" t="s">
        <v>22</v>
      </c>
      <c r="E121">
        <v>73</v>
      </c>
      <c r="F121">
        <v>210</v>
      </c>
      <c r="G121" t="s">
        <v>47</v>
      </c>
      <c r="H121">
        <v>2020</v>
      </c>
      <c r="I121" t="s">
        <v>33</v>
      </c>
      <c r="J121">
        <v>5</v>
      </c>
      <c r="K121">
        <v>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63</v>
      </c>
      <c r="T121">
        <v>56</v>
      </c>
      <c r="U121" s="5">
        <f>IF(Merge1[[#This Row],[team_defense_snaps]]=0, "", Merge1[[#This Row],[defense_snaps]] / Merge1[[#This Row],[team_defense_snaps]])</f>
        <v>1</v>
      </c>
      <c r="V121">
        <v>56</v>
      </c>
      <c r="W121">
        <v>7</v>
      </c>
      <c r="X121" s="5" t="s">
        <v>135</v>
      </c>
      <c r="Y121">
        <v>10</v>
      </c>
      <c r="Z121">
        <v>0</v>
      </c>
      <c r="AA121" t="s">
        <v>25</v>
      </c>
      <c r="AB121" t="s">
        <v>26</v>
      </c>
      <c r="AC121" t="s">
        <v>27</v>
      </c>
      <c r="AD121" t="s">
        <v>42</v>
      </c>
      <c r="AE121" t="s">
        <v>25</v>
      </c>
      <c r="AF1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6.3492063492063489E-2</v>
      </c>
      <c r="AG121" t="s">
        <v>941</v>
      </c>
      <c r="AH121">
        <v>64</v>
      </c>
      <c r="AI121" t="s">
        <v>939</v>
      </c>
      <c r="AJ121">
        <v>6</v>
      </c>
      <c r="AK1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MIN(AJ121/8, 1) +
  Merge1[[#This Row],[index_defensive_effort]],
  2
)</f>
        <v>1.51</v>
      </c>
    </row>
    <row r="122" spans="1:37" x14ac:dyDescent="0.25">
      <c r="A122" t="s">
        <v>45</v>
      </c>
      <c r="B122" t="s">
        <v>46</v>
      </c>
      <c r="C122">
        <v>33</v>
      </c>
      <c r="D122" t="s">
        <v>22</v>
      </c>
      <c r="E122">
        <v>73</v>
      </c>
      <c r="F122">
        <v>210</v>
      </c>
      <c r="G122" t="s">
        <v>47</v>
      </c>
      <c r="H122">
        <v>2020</v>
      </c>
      <c r="I122" t="s">
        <v>33</v>
      </c>
      <c r="J122">
        <v>6</v>
      </c>
      <c r="K122">
        <v>2</v>
      </c>
      <c r="L122">
        <v>5</v>
      </c>
      <c r="M122">
        <v>3</v>
      </c>
      <c r="N122">
        <v>8</v>
      </c>
      <c r="O122">
        <v>0</v>
      </c>
      <c r="P122">
        <v>0</v>
      </c>
      <c r="Q122">
        <v>0</v>
      </c>
      <c r="R122">
        <v>0</v>
      </c>
      <c r="S122">
        <v>77</v>
      </c>
      <c r="T122">
        <v>65</v>
      </c>
      <c r="U122" s="5">
        <f>IF(Merge1[[#This Row],[team_defense_snaps]]=0, "", Merge1[[#This Row],[defense_snaps]] / Merge1[[#This Row],[team_defense_snaps]])</f>
        <v>1</v>
      </c>
      <c r="V122">
        <v>65</v>
      </c>
      <c r="W122">
        <v>12</v>
      </c>
      <c r="X122" s="5" t="s">
        <v>243</v>
      </c>
      <c r="Y122">
        <v>10</v>
      </c>
      <c r="Z122">
        <v>0</v>
      </c>
      <c r="AA122" t="s">
        <v>25</v>
      </c>
      <c r="AB122" t="s">
        <v>26</v>
      </c>
      <c r="AC122" t="s">
        <v>27</v>
      </c>
      <c r="AD122" t="s">
        <v>42</v>
      </c>
      <c r="AE122" t="s">
        <v>25</v>
      </c>
      <c r="AF1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7.792207792207792E-2</v>
      </c>
      <c r="AG122" t="s">
        <v>941</v>
      </c>
      <c r="AH122">
        <v>62.5</v>
      </c>
      <c r="AI122" t="s">
        <v>939</v>
      </c>
      <c r="AJ122">
        <v>7</v>
      </c>
      <c r="AK1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MIN(AJ122/8, 1) +
  Merge1[[#This Row],[index_defensive_effort]],
  2
)</f>
        <v>1.65</v>
      </c>
    </row>
    <row r="123" spans="1:37" x14ac:dyDescent="0.25">
      <c r="A123" t="s">
        <v>45</v>
      </c>
      <c r="B123" t="s">
        <v>46</v>
      </c>
      <c r="C123">
        <v>33</v>
      </c>
      <c r="D123" t="s">
        <v>22</v>
      </c>
      <c r="E123">
        <v>73</v>
      </c>
      <c r="F123">
        <v>210</v>
      </c>
      <c r="G123" t="s">
        <v>47</v>
      </c>
      <c r="H123">
        <v>2020</v>
      </c>
      <c r="I123" t="s">
        <v>33</v>
      </c>
      <c r="J123">
        <v>7</v>
      </c>
      <c r="K123">
        <v>5</v>
      </c>
      <c r="L123">
        <v>1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71</v>
      </c>
      <c r="T123">
        <v>63</v>
      </c>
      <c r="U123" s="5">
        <f>IF(Merge1[[#This Row],[team_defense_snaps]]=0, "", Merge1[[#This Row],[defense_snaps]] / Merge1[[#This Row],[team_defense_snaps]])</f>
        <v>0.82894736842105265</v>
      </c>
      <c r="V123">
        <v>76</v>
      </c>
      <c r="W123">
        <v>8</v>
      </c>
      <c r="X123" s="5" t="s">
        <v>113</v>
      </c>
      <c r="Y123">
        <v>10</v>
      </c>
      <c r="Z123">
        <v>0</v>
      </c>
      <c r="AA123" t="s">
        <v>25</v>
      </c>
      <c r="AB123" t="s">
        <v>26</v>
      </c>
      <c r="AC123" t="s">
        <v>27</v>
      </c>
      <c r="AD123" t="s">
        <v>42</v>
      </c>
      <c r="AE123" t="s">
        <v>25</v>
      </c>
      <c r="AF1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7.746478873239436E-2</v>
      </c>
      <c r="AG123" t="s">
        <v>941</v>
      </c>
      <c r="AH123">
        <v>61</v>
      </c>
      <c r="AI123" t="s">
        <v>939</v>
      </c>
      <c r="AJ123">
        <v>8</v>
      </c>
      <c r="AK1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MIN(AJ123/8, 1) +
  Merge1[[#This Row],[index_defensive_effort]],
  2
)</f>
        <v>1.78</v>
      </c>
    </row>
    <row r="124" spans="1:37" x14ac:dyDescent="0.25">
      <c r="A124" t="s">
        <v>45</v>
      </c>
      <c r="B124" t="s">
        <v>46</v>
      </c>
      <c r="C124">
        <v>33</v>
      </c>
      <c r="D124" t="s">
        <v>22</v>
      </c>
      <c r="E124">
        <v>73</v>
      </c>
      <c r="F124">
        <v>210</v>
      </c>
      <c r="G124" t="s">
        <v>47</v>
      </c>
      <c r="H124">
        <v>2020</v>
      </c>
      <c r="I124" t="s">
        <v>33</v>
      </c>
      <c r="J124">
        <v>8</v>
      </c>
      <c r="K124">
        <v>4</v>
      </c>
      <c r="L124">
        <v>1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79</v>
      </c>
      <c r="T124">
        <v>72</v>
      </c>
      <c r="U124" s="5">
        <f>IF(Merge1[[#This Row],[team_defense_snaps]]=0, "", Merge1[[#This Row],[defense_snaps]] / Merge1[[#This Row],[team_defense_snaps]])</f>
        <v>0.96</v>
      </c>
      <c r="V124">
        <v>75</v>
      </c>
      <c r="W124">
        <v>7</v>
      </c>
      <c r="X124" s="5" t="s">
        <v>57</v>
      </c>
      <c r="Y124">
        <v>10</v>
      </c>
      <c r="Z124">
        <v>0</v>
      </c>
      <c r="AA124" t="s">
        <v>25</v>
      </c>
      <c r="AB124" t="s">
        <v>26</v>
      </c>
      <c r="AC124" t="s">
        <v>27</v>
      </c>
      <c r="AD124" t="s">
        <v>42</v>
      </c>
      <c r="AE124" t="s">
        <v>25</v>
      </c>
      <c r="AF1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5.6962025316455694E-2</v>
      </c>
      <c r="AG124" t="s">
        <v>941</v>
      </c>
      <c r="AH124">
        <v>59.5</v>
      </c>
      <c r="AI124" t="s">
        <v>939</v>
      </c>
      <c r="AJ124">
        <v>1</v>
      </c>
      <c r="AK1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MIN(AJ124/8, 1) +
  Merge1[[#This Row],[index_defensive_effort]],
  2
)</f>
        <v>0.88</v>
      </c>
    </row>
    <row r="125" spans="1:37" x14ac:dyDescent="0.25">
      <c r="A125" t="s">
        <v>45</v>
      </c>
      <c r="B125" t="s">
        <v>46</v>
      </c>
      <c r="C125">
        <v>33</v>
      </c>
      <c r="D125" t="s">
        <v>22</v>
      </c>
      <c r="E125">
        <v>73</v>
      </c>
      <c r="F125">
        <v>210</v>
      </c>
      <c r="G125" t="s">
        <v>47</v>
      </c>
      <c r="H125">
        <v>2020</v>
      </c>
      <c r="I125" t="s">
        <v>33</v>
      </c>
      <c r="J125">
        <v>10</v>
      </c>
      <c r="K125">
        <v>2</v>
      </c>
      <c r="L125">
        <v>1</v>
      </c>
      <c r="M125">
        <v>1</v>
      </c>
      <c r="N125">
        <v>2</v>
      </c>
      <c r="O125">
        <v>0</v>
      </c>
      <c r="P125">
        <v>0</v>
      </c>
      <c r="Q125">
        <v>0</v>
      </c>
      <c r="R125">
        <v>0</v>
      </c>
      <c r="S125">
        <v>52</v>
      </c>
      <c r="T125">
        <v>45</v>
      </c>
      <c r="U125" s="5">
        <f>IF(Merge1[[#This Row],[team_defense_snaps]]=0, "", Merge1[[#This Row],[defense_snaps]] / Merge1[[#This Row],[team_defense_snaps]])</f>
        <v>0.78947368421052633</v>
      </c>
      <c r="V125">
        <v>57</v>
      </c>
      <c r="W125">
        <v>7</v>
      </c>
      <c r="X125" s="5" t="s">
        <v>210</v>
      </c>
      <c r="Y125">
        <v>10</v>
      </c>
      <c r="Z125">
        <v>0</v>
      </c>
      <c r="AA125" t="s">
        <v>25</v>
      </c>
      <c r="AB125" t="s">
        <v>26</v>
      </c>
      <c r="AC125" t="s">
        <v>27</v>
      </c>
      <c r="AD125" t="s">
        <v>42</v>
      </c>
      <c r="AE125" t="s">
        <v>25</v>
      </c>
      <c r="AF1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5.7692307692307696E-2</v>
      </c>
      <c r="AG125" t="s">
        <v>941</v>
      </c>
      <c r="AH125">
        <v>56.5</v>
      </c>
      <c r="AI125" t="s">
        <v>939</v>
      </c>
      <c r="AJ125">
        <v>2</v>
      </c>
      <c r="AK1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MIN(AJ125/8, 1) +
  Merge1[[#This Row],[index_defensive_effort]],
  2
)</f>
        <v>1.01</v>
      </c>
    </row>
    <row r="126" spans="1:37" x14ac:dyDescent="0.25">
      <c r="A126" t="s">
        <v>45</v>
      </c>
      <c r="B126" t="s">
        <v>46</v>
      </c>
      <c r="C126">
        <v>33</v>
      </c>
      <c r="D126" t="s">
        <v>22</v>
      </c>
      <c r="E126">
        <v>73</v>
      </c>
      <c r="F126">
        <v>210</v>
      </c>
      <c r="G126" t="s">
        <v>47</v>
      </c>
      <c r="H126">
        <v>2020</v>
      </c>
      <c r="I126" t="s">
        <v>33</v>
      </c>
      <c r="J126">
        <v>11</v>
      </c>
      <c r="K126">
        <v>4</v>
      </c>
      <c r="L126">
        <v>2</v>
      </c>
      <c r="M126">
        <v>1</v>
      </c>
      <c r="N126">
        <v>3</v>
      </c>
      <c r="O126">
        <v>0</v>
      </c>
      <c r="P126">
        <v>1</v>
      </c>
      <c r="Q126">
        <v>0</v>
      </c>
      <c r="R126">
        <v>0</v>
      </c>
      <c r="S126">
        <v>83</v>
      </c>
      <c r="T126">
        <v>68</v>
      </c>
      <c r="U126" s="5">
        <f>IF(Merge1[[#This Row],[team_defense_snaps]]=0, "", Merge1[[#This Row],[defense_snaps]] / Merge1[[#This Row],[team_defense_snaps]])</f>
        <v>0.98550724637681164</v>
      </c>
      <c r="V126">
        <v>69</v>
      </c>
      <c r="W126">
        <v>15</v>
      </c>
      <c r="X126" s="5" t="s">
        <v>52</v>
      </c>
      <c r="Y126">
        <v>10</v>
      </c>
      <c r="Z126">
        <v>0</v>
      </c>
      <c r="AA126" t="s">
        <v>25</v>
      </c>
      <c r="AB126" t="s">
        <v>26</v>
      </c>
      <c r="AC126" t="s">
        <v>27</v>
      </c>
      <c r="AD126" t="s">
        <v>42</v>
      </c>
      <c r="AE126" t="s">
        <v>25</v>
      </c>
      <c r="AF1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9.036144578313253E-2</v>
      </c>
      <c r="AG126" t="s">
        <v>941</v>
      </c>
      <c r="AH126">
        <v>55</v>
      </c>
      <c r="AI126" t="s">
        <v>939</v>
      </c>
      <c r="AJ126">
        <v>3</v>
      </c>
      <c r="AK1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MIN(AJ126/8, 1) +
  Merge1[[#This Row],[index_defensive_effort]],
  2
)</f>
        <v>1.17</v>
      </c>
    </row>
    <row r="127" spans="1:37" x14ac:dyDescent="0.25">
      <c r="A127" t="s">
        <v>45</v>
      </c>
      <c r="B127" t="s">
        <v>46</v>
      </c>
      <c r="C127">
        <v>33</v>
      </c>
      <c r="D127" t="s">
        <v>22</v>
      </c>
      <c r="E127">
        <v>73</v>
      </c>
      <c r="F127">
        <v>210</v>
      </c>
      <c r="G127" t="s">
        <v>47</v>
      </c>
      <c r="H127">
        <v>2020</v>
      </c>
      <c r="I127" t="s">
        <v>33</v>
      </c>
      <c r="J127">
        <v>12</v>
      </c>
      <c r="K127">
        <v>0</v>
      </c>
      <c r="L127">
        <v>1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74</v>
      </c>
      <c r="T127">
        <v>65</v>
      </c>
      <c r="U127" s="5">
        <f>IF(Merge1[[#This Row],[team_defense_snaps]]=0, "", Merge1[[#This Row],[defense_snaps]] / Merge1[[#This Row],[team_defense_snaps]])</f>
        <v>0.98484848484848486</v>
      </c>
      <c r="V127">
        <v>66</v>
      </c>
      <c r="W127">
        <v>9</v>
      </c>
      <c r="X127" s="5" t="s">
        <v>70</v>
      </c>
      <c r="Y127">
        <v>10</v>
      </c>
      <c r="Z127">
        <v>0</v>
      </c>
      <c r="AA127" t="s">
        <v>25</v>
      </c>
      <c r="AB127" t="s">
        <v>36</v>
      </c>
      <c r="AC127" t="s">
        <v>50</v>
      </c>
      <c r="AD127" t="s">
        <v>42</v>
      </c>
      <c r="AE127" t="s">
        <v>25</v>
      </c>
      <c r="AF1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6.7567567567567571E-3</v>
      </c>
      <c r="AG127" t="s">
        <v>941</v>
      </c>
      <c r="AH127">
        <v>53.5</v>
      </c>
      <c r="AI127" t="s">
        <v>939</v>
      </c>
      <c r="AJ127">
        <v>4</v>
      </c>
      <c r="AK1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MIN(AJ127/8, 1) +
  Merge1[[#This Row],[index_defensive_effort]],
  2
)</f>
        <v>1.21</v>
      </c>
    </row>
    <row r="128" spans="1:37" x14ac:dyDescent="0.25">
      <c r="A128" t="s">
        <v>45</v>
      </c>
      <c r="B128" t="s">
        <v>46</v>
      </c>
      <c r="C128">
        <v>33</v>
      </c>
      <c r="D128" t="s">
        <v>22</v>
      </c>
      <c r="E128">
        <v>73</v>
      </c>
      <c r="F128">
        <v>210</v>
      </c>
      <c r="G128" t="s">
        <v>47</v>
      </c>
      <c r="H128">
        <v>2020</v>
      </c>
      <c r="I128" t="s">
        <v>33</v>
      </c>
      <c r="J128">
        <v>13</v>
      </c>
      <c r="K128">
        <v>5</v>
      </c>
      <c r="L128">
        <v>3</v>
      </c>
      <c r="M128">
        <v>1</v>
      </c>
      <c r="N128">
        <v>4</v>
      </c>
      <c r="O128">
        <v>0</v>
      </c>
      <c r="P128">
        <v>0</v>
      </c>
      <c r="Q128">
        <v>0</v>
      </c>
      <c r="R128">
        <v>0</v>
      </c>
      <c r="S128">
        <v>81</v>
      </c>
      <c r="T128">
        <v>73</v>
      </c>
      <c r="U128" s="5">
        <f>IF(Merge1[[#This Row],[team_defense_snaps]]=0, "", Merge1[[#This Row],[defense_snaps]] / Merge1[[#This Row],[team_defense_snaps]])</f>
        <v>1</v>
      </c>
      <c r="V128">
        <v>73</v>
      </c>
      <c r="W128">
        <v>8</v>
      </c>
      <c r="X128" s="5" t="s">
        <v>136</v>
      </c>
      <c r="Y128">
        <v>10</v>
      </c>
      <c r="Z128">
        <v>0</v>
      </c>
      <c r="AA128" t="s">
        <v>25</v>
      </c>
      <c r="AB128" t="s">
        <v>26</v>
      </c>
      <c r="AC128" t="s">
        <v>27</v>
      </c>
      <c r="AD128" t="s">
        <v>42</v>
      </c>
      <c r="AE128" t="s">
        <v>25</v>
      </c>
      <c r="AF1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8.6419753086419748E-2</v>
      </c>
      <c r="AG128" t="s">
        <v>941</v>
      </c>
      <c r="AH128">
        <v>52</v>
      </c>
      <c r="AI128" t="s">
        <v>939</v>
      </c>
      <c r="AJ128">
        <v>5</v>
      </c>
      <c r="AK1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MIN(AJ128/8, 1) +
  Merge1[[#This Row],[index_defensive_effort]],
  2
)</f>
        <v>1.41</v>
      </c>
    </row>
    <row r="129" spans="1:37" x14ac:dyDescent="0.25">
      <c r="A129" t="s">
        <v>45</v>
      </c>
      <c r="B129" t="s">
        <v>46</v>
      </c>
      <c r="C129">
        <v>33</v>
      </c>
      <c r="D129" t="s">
        <v>22</v>
      </c>
      <c r="E129">
        <v>73</v>
      </c>
      <c r="F129">
        <v>210</v>
      </c>
      <c r="G129" t="s">
        <v>47</v>
      </c>
      <c r="H129">
        <v>2020</v>
      </c>
      <c r="I129" t="s">
        <v>33</v>
      </c>
      <c r="J129">
        <v>14</v>
      </c>
      <c r="K129">
        <v>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63</v>
      </c>
      <c r="T129">
        <v>55</v>
      </c>
      <c r="U129" s="5">
        <f>IF(Merge1[[#This Row],[team_defense_snaps]]=0, "", Merge1[[#This Row],[defense_snaps]] / Merge1[[#This Row],[team_defense_snaps]])</f>
        <v>0.90163934426229508</v>
      </c>
      <c r="V129">
        <v>61</v>
      </c>
      <c r="W129">
        <v>8</v>
      </c>
      <c r="X129" s="5" t="s">
        <v>133</v>
      </c>
      <c r="Y129">
        <v>10</v>
      </c>
      <c r="Z129">
        <v>0</v>
      </c>
      <c r="AA129" t="s">
        <v>25</v>
      </c>
      <c r="AB129" t="s">
        <v>26</v>
      </c>
      <c r="AC129" t="s">
        <v>27</v>
      </c>
      <c r="AD129" t="s">
        <v>42</v>
      </c>
      <c r="AE129" t="s">
        <v>25</v>
      </c>
      <c r="AF1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3.1746031746031744E-2</v>
      </c>
      <c r="AG129" t="s">
        <v>941</v>
      </c>
      <c r="AH129">
        <v>50.5</v>
      </c>
      <c r="AI129" t="s">
        <v>939</v>
      </c>
      <c r="AJ129">
        <v>1</v>
      </c>
      <c r="AK1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MIN(AJ129/8, 1) +
  Merge1[[#This Row],[index_defensive_effort]],
  2
)</f>
        <v>0.86</v>
      </c>
    </row>
    <row r="130" spans="1:37" x14ac:dyDescent="0.25">
      <c r="A130" t="s">
        <v>45</v>
      </c>
      <c r="B130" t="s">
        <v>46</v>
      </c>
      <c r="C130">
        <v>33</v>
      </c>
      <c r="D130" t="s">
        <v>22</v>
      </c>
      <c r="E130">
        <v>73</v>
      </c>
      <c r="F130">
        <v>210</v>
      </c>
      <c r="G130" t="s">
        <v>47</v>
      </c>
      <c r="H130">
        <v>2020</v>
      </c>
      <c r="I130" t="s">
        <v>33</v>
      </c>
      <c r="J130">
        <v>16</v>
      </c>
      <c r="K130">
        <v>2</v>
      </c>
      <c r="L130">
        <v>1</v>
      </c>
      <c r="M130">
        <v>1</v>
      </c>
      <c r="N130">
        <v>2</v>
      </c>
      <c r="O130">
        <v>0</v>
      </c>
      <c r="P130">
        <v>0</v>
      </c>
      <c r="Q130">
        <v>0</v>
      </c>
      <c r="R130">
        <v>0</v>
      </c>
      <c r="S130">
        <v>72</v>
      </c>
      <c r="T130">
        <v>60</v>
      </c>
      <c r="U130" s="5">
        <f>IF(Merge1[[#This Row],[team_defense_snaps]]=0, "", Merge1[[#This Row],[defense_snaps]] / Merge1[[#This Row],[team_defense_snaps]])</f>
        <v>0.84507042253521125</v>
      </c>
      <c r="V130">
        <v>71</v>
      </c>
      <c r="W130">
        <v>12</v>
      </c>
      <c r="X130" s="5" t="s">
        <v>158</v>
      </c>
      <c r="Y130">
        <v>10</v>
      </c>
      <c r="Z130">
        <v>0</v>
      </c>
      <c r="AA130" t="s">
        <v>25</v>
      </c>
      <c r="AB130" t="s">
        <v>26</v>
      </c>
      <c r="AC130" t="s">
        <v>27</v>
      </c>
      <c r="AD130" t="s">
        <v>42</v>
      </c>
      <c r="AE130" t="s">
        <v>25</v>
      </c>
      <c r="AF1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130" t="s">
        <v>941</v>
      </c>
      <c r="AH130">
        <v>47.5</v>
      </c>
      <c r="AI130" t="s">
        <v>27</v>
      </c>
      <c r="AJ130">
        <v>1</v>
      </c>
      <c r="AK1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MIN(AJ130/8, 1) +
  Merge1[[#This Row],[index_defensive_effort]],
  2
)</f>
        <v>0.87</v>
      </c>
    </row>
    <row r="131" spans="1:37" x14ac:dyDescent="0.25">
      <c r="A131" t="s">
        <v>45</v>
      </c>
      <c r="B131" t="s">
        <v>46</v>
      </c>
      <c r="C131">
        <v>33</v>
      </c>
      <c r="D131" t="s">
        <v>22</v>
      </c>
      <c r="E131">
        <v>73</v>
      </c>
      <c r="F131">
        <v>210</v>
      </c>
      <c r="G131" t="s">
        <v>47</v>
      </c>
      <c r="H131">
        <v>2020</v>
      </c>
      <c r="I131" t="s">
        <v>24</v>
      </c>
      <c r="J131">
        <v>19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47</v>
      </c>
      <c r="T131">
        <v>35</v>
      </c>
      <c r="U131" s="5">
        <f>IF(Merge1[[#This Row],[team_defense_snaps]]=0, "", Merge1[[#This Row],[defense_snaps]] / Merge1[[#This Row],[team_defense_snaps]])</f>
        <v>0.52238805970149249</v>
      </c>
      <c r="V131">
        <v>67</v>
      </c>
      <c r="W131">
        <v>12</v>
      </c>
      <c r="X131" s="5" t="s">
        <v>232</v>
      </c>
      <c r="Y131">
        <v>10</v>
      </c>
      <c r="Z131">
        <v>0</v>
      </c>
      <c r="AA131" t="s">
        <v>25</v>
      </c>
      <c r="AB131" t="s">
        <v>26</v>
      </c>
      <c r="AC131" t="s">
        <v>27</v>
      </c>
      <c r="AD131" t="s">
        <v>28</v>
      </c>
      <c r="AE131" t="s">
        <v>25</v>
      </c>
      <c r="AF1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2.1276595744680851E-2</v>
      </c>
      <c r="AG131" t="s">
        <v>941</v>
      </c>
      <c r="AH131">
        <v>50</v>
      </c>
      <c r="AI131" t="s">
        <v>939</v>
      </c>
      <c r="AJ131">
        <v>1</v>
      </c>
      <c r="AK1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MIN(AJ131/8, 1) +
  Merge1[[#This Row],[index_defensive_effort]],
  2
)</f>
        <v>1.05</v>
      </c>
    </row>
    <row r="132" spans="1:37" x14ac:dyDescent="0.25">
      <c r="A132" t="s">
        <v>45</v>
      </c>
      <c r="B132" t="s">
        <v>46</v>
      </c>
      <c r="C132">
        <v>33</v>
      </c>
      <c r="D132" t="s">
        <v>22</v>
      </c>
      <c r="E132">
        <v>73</v>
      </c>
      <c r="F132">
        <v>210</v>
      </c>
      <c r="G132" t="s">
        <v>47</v>
      </c>
      <c r="H132">
        <v>2020</v>
      </c>
      <c r="I132" t="s">
        <v>24</v>
      </c>
      <c r="J132">
        <v>18</v>
      </c>
      <c r="K132">
        <v>2</v>
      </c>
      <c r="L132">
        <v>3</v>
      </c>
      <c r="M132">
        <v>3</v>
      </c>
      <c r="N132">
        <v>6</v>
      </c>
      <c r="O132">
        <v>0</v>
      </c>
      <c r="P132">
        <v>0</v>
      </c>
      <c r="Q132">
        <v>0</v>
      </c>
      <c r="R132">
        <v>0</v>
      </c>
      <c r="S132">
        <v>62</v>
      </c>
      <c r="T132">
        <v>46</v>
      </c>
      <c r="U132" s="5">
        <f>IF(Merge1[[#This Row],[team_defense_snaps]]=0, "", Merge1[[#This Row],[defense_snaps]] / Merge1[[#This Row],[team_defense_snaps]])</f>
        <v>0.5</v>
      </c>
      <c r="V132">
        <v>92</v>
      </c>
      <c r="W132">
        <v>16</v>
      </c>
      <c r="X132" s="5" t="s">
        <v>260</v>
      </c>
      <c r="Y132">
        <v>10</v>
      </c>
      <c r="Z132">
        <v>0</v>
      </c>
      <c r="AA132" t="s">
        <v>25</v>
      </c>
      <c r="AB132" t="s">
        <v>26</v>
      </c>
      <c r="AC132" t="s">
        <v>27</v>
      </c>
      <c r="AD132" t="s">
        <v>42</v>
      </c>
      <c r="AE132" t="s">
        <v>25</v>
      </c>
      <c r="AF1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8.0645161290322578E-2</v>
      </c>
      <c r="AG132" t="s">
        <v>941</v>
      </c>
      <c r="AH132">
        <v>50</v>
      </c>
      <c r="AI132" t="s">
        <v>939</v>
      </c>
      <c r="AJ132">
        <v>1</v>
      </c>
      <c r="AK1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MIN(AJ132/8, 1) +
  Merge1[[#This Row],[index_defensive_effort]],
  2
)</f>
        <v>1.1100000000000001</v>
      </c>
    </row>
    <row r="133" spans="1:37" x14ac:dyDescent="0.25">
      <c r="A133" t="s">
        <v>178</v>
      </c>
      <c r="B133" t="s">
        <v>179</v>
      </c>
      <c r="C133">
        <v>24</v>
      </c>
      <c r="D133" t="s">
        <v>22</v>
      </c>
      <c r="E133">
        <v>72</v>
      </c>
      <c r="F133">
        <v>200</v>
      </c>
      <c r="G133" t="s">
        <v>180</v>
      </c>
      <c r="H133">
        <v>2020</v>
      </c>
      <c r="I133" t="s">
        <v>33</v>
      </c>
      <c r="J133">
        <v>1</v>
      </c>
      <c r="K133">
        <v>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</v>
      </c>
      <c r="R133">
        <v>0</v>
      </c>
      <c r="S133">
        <v>32</v>
      </c>
      <c r="T133">
        <v>13</v>
      </c>
      <c r="U133" s="5">
        <f>IF(Merge1[[#This Row],[team_defense_snaps]]=0, "", Merge1[[#This Row],[defense_snaps]] / Merge1[[#This Row],[team_defense_snaps]])</f>
        <v>0.17567567567567569</v>
      </c>
      <c r="V133">
        <v>74</v>
      </c>
      <c r="W133">
        <v>19</v>
      </c>
      <c r="X133" s="5" t="s">
        <v>49</v>
      </c>
      <c r="Y133">
        <v>1</v>
      </c>
      <c r="Z133">
        <v>0</v>
      </c>
      <c r="AA133" t="s">
        <v>25</v>
      </c>
      <c r="AB133" t="s">
        <v>26</v>
      </c>
      <c r="AC133" t="s">
        <v>27</v>
      </c>
      <c r="AD133" t="s">
        <v>28</v>
      </c>
      <c r="AE133" t="s">
        <v>25</v>
      </c>
      <c r="AF1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0.3125</v>
      </c>
      <c r="AG133" t="s">
        <v>941</v>
      </c>
      <c r="AH133">
        <v>86</v>
      </c>
      <c r="AI133" t="s">
        <v>939</v>
      </c>
      <c r="AJ133">
        <v>2</v>
      </c>
      <c r="AK1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MIN(AJ133/8, 1) +
  Merge1[[#This Row],[index_defensive_effort]],
  2
)</f>
        <v>1.06</v>
      </c>
    </row>
    <row r="134" spans="1:37" x14ac:dyDescent="0.25">
      <c r="A134" t="s">
        <v>178</v>
      </c>
      <c r="B134" t="s">
        <v>179</v>
      </c>
      <c r="C134">
        <v>24</v>
      </c>
      <c r="D134" t="s">
        <v>22</v>
      </c>
      <c r="E134">
        <v>72</v>
      </c>
      <c r="F134">
        <v>200</v>
      </c>
      <c r="G134" t="s">
        <v>180</v>
      </c>
      <c r="H134">
        <v>2020</v>
      </c>
      <c r="I134" t="s">
        <v>33</v>
      </c>
      <c r="J134">
        <v>2</v>
      </c>
      <c r="K134">
        <v>7</v>
      </c>
      <c r="L134">
        <v>2</v>
      </c>
      <c r="M134">
        <v>1</v>
      </c>
      <c r="N134">
        <v>3</v>
      </c>
      <c r="O134">
        <v>0</v>
      </c>
      <c r="P134">
        <v>0</v>
      </c>
      <c r="Q134">
        <v>0</v>
      </c>
      <c r="R134">
        <v>0</v>
      </c>
      <c r="S134">
        <v>78</v>
      </c>
      <c r="T134">
        <v>62</v>
      </c>
      <c r="U134" s="5">
        <f>IF(Merge1[[#This Row],[team_defense_snaps]]=0, "", Merge1[[#This Row],[defense_snaps]] / Merge1[[#This Row],[team_defense_snaps]])</f>
        <v>1</v>
      </c>
      <c r="V134">
        <v>62</v>
      </c>
      <c r="W134">
        <v>16</v>
      </c>
      <c r="X134" s="5" t="s">
        <v>232</v>
      </c>
      <c r="Y134">
        <v>1</v>
      </c>
      <c r="Z134">
        <v>0</v>
      </c>
      <c r="AA134" t="s">
        <v>25</v>
      </c>
      <c r="AB134" t="s">
        <v>26</v>
      </c>
      <c r="AC134" t="s">
        <v>27</v>
      </c>
      <c r="AD134" t="s">
        <v>42</v>
      </c>
      <c r="AE134" t="s">
        <v>25</v>
      </c>
      <c r="AF1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0.10897435897435898</v>
      </c>
      <c r="AG134" t="s">
        <v>941</v>
      </c>
      <c r="AH134">
        <v>84.5</v>
      </c>
      <c r="AI134" t="s">
        <v>939</v>
      </c>
      <c r="AJ134">
        <v>3</v>
      </c>
      <c r="AK1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MIN(AJ134/8, 1) +
  Merge1[[#This Row],[index_defensive_effort]],
  2
)</f>
        <v>0.98</v>
      </c>
    </row>
    <row r="135" spans="1:37" x14ac:dyDescent="0.25">
      <c r="A135" t="s">
        <v>178</v>
      </c>
      <c r="B135" t="s">
        <v>179</v>
      </c>
      <c r="C135">
        <v>24</v>
      </c>
      <c r="D135" t="s">
        <v>22</v>
      </c>
      <c r="E135">
        <v>72</v>
      </c>
      <c r="F135">
        <v>200</v>
      </c>
      <c r="G135" t="s">
        <v>180</v>
      </c>
      <c r="H135">
        <v>2020</v>
      </c>
      <c r="I135" t="s">
        <v>33</v>
      </c>
      <c r="J135">
        <v>3</v>
      </c>
      <c r="K135">
        <v>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38</v>
      </c>
      <c r="T135">
        <v>32</v>
      </c>
      <c r="U135" s="5">
        <f>IF(Merge1[[#This Row],[team_defense_snaps]]=0, "", Merge1[[#This Row],[defense_snaps]] / Merge1[[#This Row],[team_defense_snaps]])</f>
        <v>0.5161290322580645</v>
      </c>
      <c r="V135">
        <v>62</v>
      </c>
      <c r="W135">
        <v>6</v>
      </c>
      <c r="X135" s="5" t="s">
        <v>137</v>
      </c>
      <c r="Y135">
        <v>1</v>
      </c>
      <c r="Z135">
        <v>0</v>
      </c>
      <c r="AA135" t="s">
        <v>25</v>
      </c>
      <c r="AB135" t="s">
        <v>26</v>
      </c>
      <c r="AC135" t="s">
        <v>27</v>
      </c>
      <c r="AD135" t="s">
        <v>42</v>
      </c>
      <c r="AE135" t="s">
        <v>25</v>
      </c>
      <c r="AF1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7.8947368421052627E-2</v>
      </c>
      <c r="AG135" t="s">
        <v>941</v>
      </c>
      <c r="AH135">
        <v>83</v>
      </c>
      <c r="AI135" t="s">
        <v>939</v>
      </c>
      <c r="AJ135">
        <v>4</v>
      </c>
      <c r="AK1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MIN(AJ135/8, 1) +
  Merge1[[#This Row],[index_defensive_effort]],
  2
)</f>
        <v>1.08</v>
      </c>
    </row>
    <row r="136" spans="1:37" x14ac:dyDescent="0.25">
      <c r="A136" t="s">
        <v>178</v>
      </c>
      <c r="B136" t="s">
        <v>179</v>
      </c>
      <c r="C136">
        <v>24</v>
      </c>
      <c r="D136" t="s">
        <v>22</v>
      </c>
      <c r="E136">
        <v>72</v>
      </c>
      <c r="F136">
        <v>200</v>
      </c>
      <c r="G136" t="s">
        <v>180</v>
      </c>
      <c r="H136">
        <v>2020</v>
      </c>
      <c r="I136" t="s">
        <v>33</v>
      </c>
      <c r="J136">
        <v>4</v>
      </c>
      <c r="K136">
        <v>5</v>
      </c>
      <c r="L136">
        <v>4</v>
      </c>
      <c r="M136">
        <v>2</v>
      </c>
      <c r="N136">
        <v>6</v>
      </c>
      <c r="O136">
        <v>0</v>
      </c>
      <c r="P136">
        <v>2</v>
      </c>
      <c r="Q136">
        <v>0</v>
      </c>
      <c r="R136">
        <v>0</v>
      </c>
      <c r="S136">
        <v>84</v>
      </c>
      <c r="T136">
        <v>75</v>
      </c>
      <c r="U136" s="5">
        <f>IF(Merge1[[#This Row],[team_defense_snaps]]=0, "", Merge1[[#This Row],[defense_snaps]] / Merge1[[#This Row],[team_defense_snaps]])</f>
        <v>1</v>
      </c>
      <c r="V136">
        <v>75</v>
      </c>
      <c r="W136">
        <v>9</v>
      </c>
      <c r="X136" s="5" t="s">
        <v>113</v>
      </c>
      <c r="Y136">
        <v>1</v>
      </c>
      <c r="Z136">
        <v>0</v>
      </c>
      <c r="AA136" t="s">
        <v>25</v>
      </c>
      <c r="AB136" t="s">
        <v>26</v>
      </c>
      <c r="AC136" t="s">
        <v>27</v>
      </c>
      <c r="AD136" t="s">
        <v>42</v>
      </c>
      <c r="AE136" t="s">
        <v>25</v>
      </c>
      <c r="AF1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0.14285714285714285</v>
      </c>
      <c r="AG136" t="s">
        <v>941</v>
      </c>
      <c r="AH136">
        <v>81.5</v>
      </c>
      <c r="AI136" t="s">
        <v>939</v>
      </c>
      <c r="AJ136">
        <v>1</v>
      </c>
      <c r="AK1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MIN(AJ136/8, 1) +
  Merge1[[#This Row],[index_defensive_effort]],
  2
)</f>
        <v>0.77</v>
      </c>
    </row>
    <row r="137" spans="1:37" x14ac:dyDescent="0.25">
      <c r="A137" t="s">
        <v>178</v>
      </c>
      <c r="B137" t="s">
        <v>179</v>
      </c>
      <c r="C137">
        <v>24</v>
      </c>
      <c r="D137" t="s">
        <v>22</v>
      </c>
      <c r="E137">
        <v>72</v>
      </c>
      <c r="F137">
        <v>200</v>
      </c>
      <c r="G137" t="s">
        <v>180</v>
      </c>
      <c r="H137">
        <v>2020</v>
      </c>
      <c r="I137" t="s">
        <v>33</v>
      </c>
      <c r="J137">
        <v>11</v>
      </c>
      <c r="K137">
        <v>2</v>
      </c>
      <c r="L137">
        <v>1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66</v>
      </c>
      <c r="T137">
        <v>41</v>
      </c>
      <c r="U137" s="5">
        <f>IF(Merge1[[#This Row],[team_defense_snaps]]=0, "", Merge1[[#This Row],[defense_snaps]] / Merge1[[#This Row],[team_defense_snaps]])</f>
        <v>0.51249999999999996</v>
      </c>
      <c r="V137">
        <v>80</v>
      </c>
      <c r="W137">
        <v>25</v>
      </c>
      <c r="X137" s="5" t="s">
        <v>89</v>
      </c>
      <c r="Y137">
        <v>1</v>
      </c>
      <c r="Z137">
        <v>0</v>
      </c>
      <c r="AA137" t="s">
        <v>25</v>
      </c>
      <c r="AB137" t="s">
        <v>26</v>
      </c>
      <c r="AC137" t="s">
        <v>27</v>
      </c>
      <c r="AD137" t="s">
        <v>28</v>
      </c>
      <c r="AE137" t="s">
        <v>25</v>
      </c>
      <c r="AF1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3.787878787878788E-2</v>
      </c>
      <c r="AG137" t="s">
        <v>941</v>
      </c>
      <c r="AH137">
        <v>71</v>
      </c>
      <c r="AI137" t="s">
        <v>939</v>
      </c>
      <c r="AJ137">
        <v>2</v>
      </c>
      <c r="AK1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MIN(AJ137/8, 1) +
  Merge1[[#This Row],[index_defensive_effort]],
  2
)</f>
        <v>0.79</v>
      </c>
    </row>
    <row r="138" spans="1:37" x14ac:dyDescent="0.25">
      <c r="A138" t="s">
        <v>178</v>
      </c>
      <c r="B138" t="s">
        <v>179</v>
      </c>
      <c r="C138">
        <v>24</v>
      </c>
      <c r="D138" t="s">
        <v>22</v>
      </c>
      <c r="E138">
        <v>72</v>
      </c>
      <c r="F138">
        <v>200</v>
      </c>
      <c r="G138" t="s">
        <v>180</v>
      </c>
      <c r="H138">
        <v>2020</v>
      </c>
      <c r="I138" t="s">
        <v>33</v>
      </c>
      <c r="J138">
        <v>12</v>
      </c>
      <c r="K138">
        <v>1</v>
      </c>
      <c r="L138">
        <v>2</v>
      </c>
      <c r="M138">
        <v>0</v>
      </c>
      <c r="N138">
        <v>2</v>
      </c>
      <c r="O138">
        <v>0</v>
      </c>
      <c r="P138">
        <v>0</v>
      </c>
      <c r="Q138">
        <v>0</v>
      </c>
      <c r="R138">
        <v>0</v>
      </c>
      <c r="S138">
        <v>79</v>
      </c>
      <c r="T138">
        <v>67</v>
      </c>
      <c r="U138" s="5">
        <f>IF(Merge1[[#This Row],[team_defense_snaps]]=0, "", Merge1[[#This Row],[defense_snaps]] / Merge1[[#This Row],[team_defense_snaps]])</f>
        <v>1</v>
      </c>
      <c r="V138">
        <v>67</v>
      </c>
      <c r="W138">
        <v>12</v>
      </c>
      <c r="X138" s="5" t="s">
        <v>260</v>
      </c>
      <c r="Y138">
        <v>1</v>
      </c>
      <c r="Z138">
        <v>0</v>
      </c>
      <c r="AA138" t="s">
        <v>25</v>
      </c>
      <c r="AB138" t="s">
        <v>26</v>
      </c>
      <c r="AC138" t="s">
        <v>27</v>
      </c>
      <c r="AD138" t="s">
        <v>42</v>
      </c>
      <c r="AE138" t="s">
        <v>25</v>
      </c>
      <c r="AF1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2.5316455696202531E-2</v>
      </c>
      <c r="AG138" t="s">
        <v>941</v>
      </c>
      <c r="AH138">
        <v>69.5</v>
      </c>
      <c r="AI138" t="s">
        <v>939</v>
      </c>
      <c r="AJ138">
        <v>1</v>
      </c>
      <c r="AK1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MIN(AJ138/8, 1) +
  Merge1[[#This Row],[index_defensive_effort]],
  2
)</f>
        <v>0.65</v>
      </c>
    </row>
    <row r="139" spans="1:37" x14ac:dyDescent="0.25">
      <c r="A139" t="s">
        <v>178</v>
      </c>
      <c r="B139" t="s">
        <v>179</v>
      </c>
      <c r="C139">
        <v>24</v>
      </c>
      <c r="D139" t="s">
        <v>22</v>
      </c>
      <c r="E139">
        <v>72</v>
      </c>
      <c r="F139">
        <v>200</v>
      </c>
      <c r="G139" t="s">
        <v>180</v>
      </c>
      <c r="H139">
        <v>2020</v>
      </c>
      <c r="I139" t="s">
        <v>33</v>
      </c>
      <c r="J139">
        <v>14</v>
      </c>
      <c r="K139">
        <v>2</v>
      </c>
      <c r="L139">
        <v>1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65</v>
      </c>
      <c r="T139">
        <v>50</v>
      </c>
      <c r="U139" s="5">
        <f>IF(Merge1[[#This Row],[team_defense_snaps]]=0, "", Merge1[[#This Row],[defense_snaps]] / Merge1[[#This Row],[team_defense_snaps]])</f>
        <v>0.74626865671641796</v>
      </c>
      <c r="V139">
        <v>67</v>
      </c>
      <c r="W139">
        <v>15</v>
      </c>
      <c r="X139" s="5" t="s">
        <v>276</v>
      </c>
      <c r="Y139">
        <v>1</v>
      </c>
      <c r="Z139">
        <v>0</v>
      </c>
      <c r="AA139" t="s">
        <v>25</v>
      </c>
      <c r="AB139" t="s">
        <v>26</v>
      </c>
      <c r="AC139" t="s">
        <v>27</v>
      </c>
      <c r="AD139" t="s">
        <v>28</v>
      </c>
      <c r="AE139" t="s">
        <v>25</v>
      </c>
      <c r="AF1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3.8461538461538464E-2</v>
      </c>
      <c r="AG139" t="s">
        <v>941</v>
      </c>
      <c r="AH139">
        <v>66.5</v>
      </c>
      <c r="AI139" t="s">
        <v>939</v>
      </c>
      <c r="AJ139">
        <v>2</v>
      </c>
      <c r="AK1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MIN(AJ139/8, 1) +
  Merge1[[#This Row],[index_defensive_effort]],
  2
)</f>
        <v>0.79</v>
      </c>
    </row>
    <row r="140" spans="1:37" x14ac:dyDescent="0.25">
      <c r="A140" t="s">
        <v>178</v>
      </c>
      <c r="B140" t="s">
        <v>179</v>
      </c>
      <c r="C140">
        <v>24</v>
      </c>
      <c r="D140" t="s">
        <v>22</v>
      </c>
      <c r="E140">
        <v>72</v>
      </c>
      <c r="F140">
        <v>200</v>
      </c>
      <c r="G140" t="s">
        <v>180</v>
      </c>
      <c r="H140">
        <v>2020</v>
      </c>
      <c r="I140" t="s">
        <v>33</v>
      </c>
      <c r="J140">
        <v>15</v>
      </c>
      <c r="K140">
        <v>2</v>
      </c>
      <c r="L140">
        <v>1</v>
      </c>
      <c r="M140">
        <v>1</v>
      </c>
      <c r="N140">
        <v>2</v>
      </c>
      <c r="O140">
        <v>0</v>
      </c>
      <c r="P140">
        <v>0</v>
      </c>
      <c r="Q140">
        <v>0</v>
      </c>
      <c r="R140">
        <v>0</v>
      </c>
      <c r="S140">
        <v>49</v>
      </c>
      <c r="T140">
        <v>28</v>
      </c>
      <c r="U140" s="5">
        <f>IF(Merge1[[#This Row],[team_defense_snaps]]=0, "", Merge1[[#This Row],[defense_snaps]] / Merge1[[#This Row],[team_defense_snaps]])</f>
        <v>0.41791044776119401</v>
      </c>
      <c r="V140">
        <v>67</v>
      </c>
      <c r="W140">
        <v>21</v>
      </c>
      <c r="X140" s="5" t="s">
        <v>154</v>
      </c>
      <c r="Y140">
        <v>1</v>
      </c>
      <c r="Z140">
        <v>0</v>
      </c>
      <c r="AA140" t="s">
        <v>25</v>
      </c>
      <c r="AB140" t="s">
        <v>26</v>
      </c>
      <c r="AC140" t="s">
        <v>27</v>
      </c>
      <c r="AD140" t="s">
        <v>28</v>
      </c>
      <c r="AE140" t="s">
        <v>25</v>
      </c>
      <c r="AF1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6.1224489795918366E-2</v>
      </c>
      <c r="AG140" t="s">
        <v>941</v>
      </c>
      <c r="AH140">
        <v>65</v>
      </c>
      <c r="AI140" t="s">
        <v>939</v>
      </c>
      <c r="AJ140">
        <v>3</v>
      </c>
      <c r="AK1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MIN(AJ140/8, 1) +
  Merge1[[#This Row],[index_defensive_effort]],
  2
)</f>
        <v>0.94</v>
      </c>
    </row>
    <row r="141" spans="1:37" x14ac:dyDescent="0.25">
      <c r="A141" t="s">
        <v>178</v>
      </c>
      <c r="B141" t="s">
        <v>179</v>
      </c>
      <c r="C141">
        <v>24</v>
      </c>
      <c r="D141" t="s">
        <v>22</v>
      </c>
      <c r="E141">
        <v>72</v>
      </c>
      <c r="F141">
        <v>200</v>
      </c>
      <c r="G141" t="s">
        <v>180</v>
      </c>
      <c r="H141">
        <v>2020</v>
      </c>
      <c r="I141" t="s">
        <v>33</v>
      </c>
      <c r="J141">
        <v>16</v>
      </c>
      <c r="K141">
        <v>3</v>
      </c>
      <c r="L141">
        <v>1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60</v>
      </c>
      <c r="T141">
        <v>35</v>
      </c>
      <c r="U141" s="5">
        <f>IF(Merge1[[#This Row],[team_defense_snaps]]=0, "", Merge1[[#This Row],[defense_snaps]] / Merge1[[#This Row],[team_defense_snaps]])</f>
        <v>0.4861111111111111</v>
      </c>
      <c r="V141">
        <v>72</v>
      </c>
      <c r="W141">
        <v>25</v>
      </c>
      <c r="X141" s="5" t="s">
        <v>43</v>
      </c>
      <c r="Y141">
        <v>1</v>
      </c>
      <c r="Z141">
        <v>0</v>
      </c>
      <c r="AA141" t="s">
        <v>25</v>
      </c>
      <c r="AB141" t="s">
        <v>26</v>
      </c>
      <c r="AC141" t="s">
        <v>27</v>
      </c>
      <c r="AD141" t="s">
        <v>28</v>
      </c>
      <c r="AE141" t="s">
        <v>25</v>
      </c>
      <c r="AF1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5.8333333333333334E-2</v>
      </c>
      <c r="AG141" t="s">
        <v>941</v>
      </c>
      <c r="AH141">
        <v>63.5</v>
      </c>
      <c r="AI141" t="s">
        <v>939</v>
      </c>
      <c r="AJ141">
        <v>4</v>
      </c>
      <c r="AK1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MIN(AJ141/8, 1) +
  Merge1[[#This Row],[index_defensive_effort]],
  2
)</f>
        <v>1.06</v>
      </c>
    </row>
    <row r="142" spans="1:37" x14ac:dyDescent="0.25">
      <c r="A142" t="s">
        <v>178</v>
      </c>
      <c r="B142" t="s">
        <v>179</v>
      </c>
      <c r="C142">
        <v>24</v>
      </c>
      <c r="D142" t="s">
        <v>22</v>
      </c>
      <c r="E142">
        <v>72</v>
      </c>
      <c r="F142">
        <v>200</v>
      </c>
      <c r="G142" t="s">
        <v>180</v>
      </c>
      <c r="H142">
        <v>2020</v>
      </c>
      <c r="I142" t="s">
        <v>33</v>
      </c>
      <c r="J142">
        <v>17</v>
      </c>
      <c r="K142">
        <v>9</v>
      </c>
      <c r="L142">
        <v>1</v>
      </c>
      <c r="M142">
        <v>0</v>
      </c>
      <c r="N142">
        <v>1</v>
      </c>
      <c r="O142">
        <v>0</v>
      </c>
      <c r="P142">
        <v>0</v>
      </c>
      <c r="Q142">
        <v>2</v>
      </c>
      <c r="R142">
        <v>0</v>
      </c>
      <c r="S142">
        <v>74</v>
      </c>
      <c r="T142">
        <v>48</v>
      </c>
      <c r="U142" s="5">
        <f>IF(Merge1[[#This Row],[team_defense_snaps]]=0, "", Merge1[[#This Row],[defense_snaps]] / Merge1[[#This Row],[team_defense_snaps]])</f>
        <v>0.70588235294117652</v>
      </c>
      <c r="V142">
        <v>68</v>
      </c>
      <c r="W142">
        <v>26</v>
      </c>
      <c r="X142" s="5" t="s">
        <v>64</v>
      </c>
      <c r="Y142">
        <v>1</v>
      </c>
      <c r="Z142">
        <v>0</v>
      </c>
      <c r="AA142" t="s">
        <v>25</v>
      </c>
      <c r="AB142" t="s">
        <v>26</v>
      </c>
      <c r="AC142" t="s">
        <v>27</v>
      </c>
      <c r="AD142" t="s">
        <v>28</v>
      </c>
      <c r="AE142" t="s">
        <v>25</v>
      </c>
      <c r="AF1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0.23648648648648649</v>
      </c>
      <c r="AG142" t="s">
        <v>941</v>
      </c>
      <c r="AH142">
        <v>62</v>
      </c>
      <c r="AI142" t="s">
        <v>939</v>
      </c>
      <c r="AJ142">
        <v>1</v>
      </c>
      <c r="AK1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MIN(AJ142/8, 1) +
  Merge1[[#This Row],[index_defensive_effort]],
  2
)</f>
        <v>0.86</v>
      </c>
    </row>
    <row r="143" spans="1:37" x14ac:dyDescent="0.25">
      <c r="A143" t="s">
        <v>54</v>
      </c>
      <c r="B143" t="s">
        <v>55</v>
      </c>
      <c r="C143">
        <v>26</v>
      </c>
      <c r="D143" t="s">
        <v>56</v>
      </c>
      <c r="E143">
        <v>71</v>
      </c>
      <c r="F143">
        <v>185</v>
      </c>
      <c r="G143" t="s">
        <v>32</v>
      </c>
      <c r="H143">
        <v>2020</v>
      </c>
      <c r="I143" t="s">
        <v>33</v>
      </c>
      <c r="J143">
        <v>2</v>
      </c>
      <c r="K143">
        <v>4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36</v>
      </c>
      <c r="T143">
        <v>23</v>
      </c>
      <c r="U143" s="5">
        <f>IF(Merge1[[#This Row],[team_defense_snaps]]=0, "", Merge1[[#This Row],[defense_snaps]] / Merge1[[#This Row],[team_defense_snaps]])</f>
        <v>0.38983050847457629</v>
      </c>
      <c r="V143">
        <v>59</v>
      </c>
      <c r="W143">
        <v>13</v>
      </c>
      <c r="X143" s="5" t="s">
        <v>260</v>
      </c>
      <c r="Y143">
        <v>2</v>
      </c>
      <c r="Z143">
        <v>0</v>
      </c>
      <c r="AA143" t="s">
        <v>25</v>
      </c>
      <c r="AB143" t="s">
        <v>26</v>
      </c>
      <c r="AC143" t="s">
        <v>27</v>
      </c>
      <c r="AD143" t="s">
        <v>28</v>
      </c>
      <c r="AE143" t="s">
        <v>25</v>
      </c>
      <c r="AF1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AG143" t="s">
        <v>941</v>
      </c>
      <c r="AH143">
        <v>70.5</v>
      </c>
      <c r="AI143" t="s">
        <v>939</v>
      </c>
      <c r="AJ143">
        <v>2</v>
      </c>
      <c r="AK1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MIN(AJ143/8, 1) +
  Merge1[[#This Row],[index_defensive_effort]],
  2
)</f>
        <v>0.92</v>
      </c>
    </row>
    <row r="144" spans="1:37" x14ac:dyDescent="0.25">
      <c r="A144" t="s">
        <v>54</v>
      </c>
      <c r="B144" t="s">
        <v>55</v>
      </c>
      <c r="C144">
        <v>26</v>
      </c>
      <c r="D144" t="s">
        <v>56</v>
      </c>
      <c r="E144">
        <v>71</v>
      </c>
      <c r="F144">
        <v>185</v>
      </c>
      <c r="G144" t="s">
        <v>32</v>
      </c>
      <c r="H144">
        <v>2020</v>
      </c>
      <c r="I144" t="s">
        <v>33</v>
      </c>
      <c r="J144">
        <v>3</v>
      </c>
      <c r="K144">
        <v>0</v>
      </c>
      <c r="L144">
        <v>2</v>
      </c>
      <c r="M144">
        <v>0</v>
      </c>
      <c r="N144">
        <v>2</v>
      </c>
      <c r="O144">
        <v>0</v>
      </c>
      <c r="P144">
        <v>0</v>
      </c>
      <c r="Q144">
        <v>0</v>
      </c>
      <c r="R144">
        <v>0</v>
      </c>
      <c r="S144">
        <v>35</v>
      </c>
      <c r="T144">
        <v>28</v>
      </c>
      <c r="U144" s="5">
        <f>IF(Merge1[[#This Row],[team_defense_snaps]]=0, "", Merge1[[#This Row],[defense_snaps]] / Merge1[[#This Row],[team_defense_snaps]])</f>
        <v>0.36842105263157893</v>
      </c>
      <c r="V144">
        <v>76</v>
      </c>
      <c r="W144">
        <v>7</v>
      </c>
      <c r="X144" s="5" t="s">
        <v>261</v>
      </c>
      <c r="Y144">
        <v>2</v>
      </c>
      <c r="Z144">
        <v>0</v>
      </c>
      <c r="AA144" t="s">
        <v>25</v>
      </c>
      <c r="AB144" t="s">
        <v>26</v>
      </c>
      <c r="AC144" t="s">
        <v>27</v>
      </c>
      <c r="AD144" t="s">
        <v>28</v>
      </c>
      <c r="AE144" t="s">
        <v>25</v>
      </c>
      <c r="AF1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2.8571428571428571E-2</v>
      </c>
      <c r="AG144" t="s">
        <v>941</v>
      </c>
      <c r="AH144">
        <v>52</v>
      </c>
      <c r="AI144" t="s">
        <v>939</v>
      </c>
      <c r="AJ144">
        <v>3</v>
      </c>
      <c r="AK1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MIN(AJ144/8, 1) +
  Merge1[[#This Row],[index_defensive_effort]],
  2
)</f>
        <v>0.9</v>
      </c>
    </row>
    <row r="145" spans="1:37" x14ac:dyDescent="0.25">
      <c r="A145" t="s">
        <v>54</v>
      </c>
      <c r="B145" t="s">
        <v>55</v>
      </c>
      <c r="C145">
        <v>26</v>
      </c>
      <c r="D145" t="s">
        <v>56</v>
      </c>
      <c r="E145">
        <v>71</v>
      </c>
      <c r="F145">
        <v>185</v>
      </c>
      <c r="G145" t="s">
        <v>32</v>
      </c>
      <c r="H145">
        <v>2020</v>
      </c>
      <c r="I145" t="s">
        <v>33</v>
      </c>
      <c r="J145">
        <v>4</v>
      </c>
      <c r="K145">
        <v>5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73</v>
      </c>
      <c r="T145">
        <v>62</v>
      </c>
      <c r="U145" s="5">
        <f>IF(Merge1[[#This Row],[team_defense_snaps]]=0, "", Merge1[[#This Row],[defense_snaps]] / Merge1[[#This Row],[team_defense_snaps]])</f>
        <v>0.87323943661971826</v>
      </c>
      <c r="V145">
        <v>71</v>
      </c>
      <c r="W145">
        <v>11</v>
      </c>
      <c r="X145" s="5" t="s">
        <v>210</v>
      </c>
      <c r="Y145">
        <v>2</v>
      </c>
      <c r="Z145">
        <v>0</v>
      </c>
      <c r="AA145" t="s">
        <v>25</v>
      </c>
      <c r="AB145" t="s">
        <v>26</v>
      </c>
      <c r="AC145" t="s">
        <v>27</v>
      </c>
      <c r="AD145" t="s">
        <v>42</v>
      </c>
      <c r="AE145" t="s">
        <v>25</v>
      </c>
      <c r="AF1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9.5890410958904104E-2</v>
      </c>
      <c r="AG145" t="s">
        <v>941</v>
      </c>
      <c r="AH145">
        <v>69</v>
      </c>
      <c r="AI145" t="s">
        <v>938</v>
      </c>
      <c r="AJ145">
        <v>1</v>
      </c>
      <c r="AK1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MIN(AJ145/8, 1) +
  Merge1[[#This Row],[index_defensive_effort]],
  2
)</f>
        <v>0.72</v>
      </c>
    </row>
    <row r="146" spans="1:37" x14ac:dyDescent="0.25">
      <c r="A146" t="s">
        <v>54</v>
      </c>
      <c r="B146" t="s">
        <v>55</v>
      </c>
      <c r="C146">
        <v>26</v>
      </c>
      <c r="D146" t="s">
        <v>56</v>
      </c>
      <c r="E146">
        <v>71</v>
      </c>
      <c r="F146">
        <v>185</v>
      </c>
      <c r="G146" t="s">
        <v>32</v>
      </c>
      <c r="H146">
        <v>2020</v>
      </c>
      <c r="I146" t="s">
        <v>33</v>
      </c>
      <c r="J146">
        <v>13</v>
      </c>
      <c r="K146">
        <v>5</v>
      </c>
      <c r="L146">
        <v>1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55</v>
      </c>
      <c r="T146">
        <v>55</v>
      </c>
      <c r="U146" s="5">
        <f>IF(Merge1[[#This Row],[team_defense_snaps]]=0, "", Merge1[[#This Row],[defense_snaps]] / Merge1[[#This Row],[team_defense_snaps]])</f>
        <v>0.6875</v>
      </c>
      <c r="V146">
        <v>80</v>
      </c>
      <c r="W146">
        <v>0</v>
      </c>
      <c r="X146" s="5" t="s">
        <v>29</v>
      </c>
      <c r="Y146">
        <v>2</v>
      </c>
      <c r="Z146">
        <v>0</v>
      </c>
      <c r="AA146" t="s">
        <v>25</v>
      </c>
      <c r="AB146" t="s">
        <v>62</v>
      </c>
      <c r="AC146" t="s">
        <v>27</v>
      </c>
      <c r="AD146" t="s">
        <v>28</v>
      </c>
      <c r="AE146" t="s">
        <v>25</v>
      </c>
      <c r="AF1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146" t="s">
        <v>941</v>
      </c>
      <c r="AH146">
        <v>49.5</v>
      </c>
      <c r="AI146" t="s">
        <v>939</v>
      </c>
      <c r="AJ146">
        <v>1</v>
      </c>
      <c r="AK1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MIN(AJ146/8, 1) +
  Merge1[[#This Row],[index_defensive_effort]],
  2
)</f>
        <v>0.73</v>
      </c>
    </row>
    <row r="147" spans="1:37" x14ac:dyDescent="0.25">
      <c r="A147" t="s">
        <v>54</v>
      </c>
      <c r="B147" t="s">
        <v>55</v>
      </c>
      <c r="C147">
        <v>26</v>
      </c>
      <c r="D147" t="s">
        <v>56</v>
      </c>
      <c r="E147">
        <v>71</v>
      </c>
      <c r="F147">
        <v>185</v>
      </c>
      <c r="G147" t="s">
        <v>32</v>
      </c>
      <c r="H147">
        <v>2020</v>
      </c>
      <c r="I147" t="s">
        <v>33</v>
      </c>
      <c r="J147">
        <v>15</v>
      </c>
      <c r="K147">
        <v>2</v>
      </c>
      <c r="L147">
        <v>1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58</v>
      </c>
      <c r="T147">
        <v>58</v>
      </c>
      <c r="U147" s="5">
        <f>IF(Merge1[[#This Row],[team_defense_snaps]]=0, "", Merge1[[#This Row],[defense_snaps]] / Merge1[[#This Row],[team_defense_snaps]])</f>
        <v>1</v>
      </c>
      <c r="V147">
        <v>58</v>
      </c>
      <c r="W147">
        <v>0</v>
      </c>
      <c r="X147" s="5" t="s">
        <v>29</v>
      </c>
      <c r="Y147">
        <v>2</v>
      </c>
      <c r="Z147">
        <v>0</v>
      </c>
      <c r="AA147" t="s">
        <v>25</v>
      </c>
      <c r="AB147" t="s">
        <v>36</v>
      </c>
      <c r="AC147" t="s">
        <v>63</v>
      </c>
      <c r="AD147" t="s">
        <v>42</v>
      </c>
      <c r="AE147" t="s">
        <v>25</v>
      </c>
      <c r="AF1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4.3103448275862072E-2</v>
      </c>
      <c r="AG147" t="s">
        <v>941</v>
      </c>
      <c r="AH147">
        <v>54</v>
      </c>
      <c r="AI147" t="s">
        <v>939</v>
      </c>
      <c r="AJ147">
        <v>2</v>
      </c>
      <c r="AK1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MIN(AJ147/8, 1) +
  Merge1[[#This Row],[index_defensive_effort]],
  2
)</f>
        <v>0.79</v>
      </c>
    </row>
    <row r="148" spans="1:37" x14ac:dyDescent="0.25">
      <c r="A148" t="s">
        <v>54</v>
      </c>
      <c r="B148" t="s">
        <v>55</v>
      </c>
      <c r="C148">
        <v>26</v>
      </c>
      <c r="D148" t="s">
        <v>56</v>
      </c>
      <c r="E148">
        <v>71</v>
      </c>
      <c r="F148">
        <v>185</v>
      </c>
      <c r="G148" t="s">
        <v>32</v>
      </c>
      <c r="H148">
        <v>2020</v>
      </c>
      <c r="I148" t="s">
        <v>33</v>
      </c>
      <c r="J148">
        <v>16</v>
      </c>
      <c r="K148">
        <v>4</v>
      </c>
      <c r="L148">
        <v>1</v>
      </c>
      <c r="M148">
        <v>0</v>
      </c>
      <c r="N148">
        <v>1</v>
      </c>
      <c r="O148">
        <v>0</v>
      </c>
      <c r="P148">
        <v>1</v>
      </c>
      <c r="Q148">
        <v>0</v>
      </c>
      <c r="R148">
        <v>0</v>
      </c>
      <c r="S148">
        <v>65</v>
      </c>
      <c r="T148">
        <v>64</v>
      </c>
      <c r="U148" s="5">
        <f>IF(Merge1[[#This Row],[team_defense_snaps]]=0, "", Merge1[[#This Row],[defense_snaps]] / Merge1[[#This Row],[team_defense_snaps]])</f>
        <v>1</v>
      </c>
      <c r="V148">
        <v>64</v>
      </c>
      <c r="W148">
        <v>1</v>
      </c>
      <c r="X148" s="5" t="s">
        <v>193</v>
      </c>
      <c r="Y148">
        <v>2</v>
      </c>
      <c r="Z148">
        <v>0</v>
      </c>
      <c r="AA148" t="s">
        <v>25</v>
      </c>
      <c r="AB148" t="s">
        <v>26</v>
      </c>
      <c r="AC148" t="s">
        <v>27</v>
      </c>
      <c r="AD148" t="s">
        <v>42</v>
      </c>
      <c r="AE148" t="s">
        <v>25</v>
      </c>
      <c r="AF1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148" t="s">
        <v>941</v>
      </c>
      <c r="AH148">
        <v>51</v>
      </c>
      <c r="AI148" t="s">
        <v>939</v>
      </c>
      <c r="AJ148">
        <v>3</v>
      </c>
      <c r="AK1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MIN(AJ148/8, 1) +
  Merge1[[#This Row],[index_defensive_effort]],
  2
)</f>
        <v>0.98</v>
      </c>
    </row>
    <row r="149" spans="1:37" x14ac:dyDescent="0.25">
      <c r="A149" t="s">
        <v>54</v>
      </c>
      <c r="B149" t="s">
        <v>55</v>
      </c>
      <c r="C149">
        <v>26</v>
      </c>
      <c r="D149" t="s">
        <v>56</v>
      </c>
      <c r="E149">
        <v>71</v>
      </c>
      <c r="F149">
        <v>185</v>
      </c>
      <c r="G149" t="s">
        <v>32</v>
      </c>
      <c r="H149">
        <v>2020</v>
      </c>
      <c r="I149" t="s">
        <v>33</v>
      </c>
      <c r="J149">
        <v>17</v>
      </c>
      <c r="K149">
        <v>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40</v>
      </c>
      <c r="T149">
        <v>40</v>
      </c>
      <c r="U149" s="5">
        <f>IF(Merge1[[#This Row],[team_defense_snaps]]=0, "", Merge1[[#This Row],[defense_snaps]] / Merge1[[#This Row],[team_defense_snaps]])</f>
        <v>0.93023255813953487</v>
      </c>
      <c r="V149">
        <v>43</v>
      </c>
      <c r="W149">
        <v>0</v>
      </c>
      <c r="X149" s="5" t="s">
        <v>29</v>
      </c>
      <c r="Y149">
        <v>2</v>
      </c>
      <c r="Z149">
        <v>0</v>
      </c>
      <c r="AA149" t="s">
        <v>25</v>
      </c>
      <c r="AB149" t="s">
        <v>26</v>
      </c>
      <c r="AC149" t="s">
        <v>27</v>
      </c>
      <c r="AD149" t="s">
        <v>42</v>
      </c>
      <c r="AE149" t="s">
        <v>25</v>
      </c>
      <c r="AF1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149" t="s">
        <v>941</v>
      </c>
      <c r="AH149">
        <v>48</v>
      </c>
      <c r="AI149" t="s">
        <v>939</v>
      </c>
      <c r="AJ149">
        <v>1</v>
      </c>
      <c r="AK1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MIN(AJ149/8, 1) +
  Merge1[[#This Row],[index_defensive_effort]],
  2
)</f>
        <v>0.68</v>
      </c>
    </row>
    <row r="150" spans="1:37" x14ac:dyDescent="0.25">
      <c r="A150" t="s">
        <v>54</v>
      </c>
      <c r="B150" t="s">
        <v>55</v>
      </c>
      <c r="C150">
        <v>26</v>
      </c>
      <c r="D150" t="s">
        <v>56</v>
      </c>
      <c r="E150">
        <v>71</v>
      </c>
      <c r="F150">
        <v>185</v>
      </c>
      <c r="G150" t="s">
        <v>32</v>
      </c>
      <c r="H150">
        <v>2020</v>
      </c>
      <c r="I150" t="s">
        <v>24</v>
      </c>
      <c r="J150">
        <v>19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18</v>
      </c>
      <c r="T150">
        <v>11</v>
      </c>
      <c r="U150" s="5">
        <f>IF(Merge1[[#This Row],[team_defense_snaps]]=0, "", Merge1[[#This Row],[defense_snaps]] / Merge1[[#This Row],[team_defense_snaps]])</f>
        <v>0.19298245614035087</v>
      </c>
      <c r="V150">
        <v>57</v>
      </c>
      <c r="W150">
        <v>7</v>
      </c>
      <c r="X150" s="5" t="s">
        <v>113</v>
      </c>
      <c r="Y150">
        <v>2</v>
      </c>
      <c r="Z150">
        <v>0</v>
      </c>
      <c r="AA150" t="s">
        <v>25</v>
      </c>
      <c r="AB150" t="s">
        <v>26</v>
      </c>
      <c r="AC150" t="s">
        <v>27</v>
      </c>
      <c r="AD150" t="s">
        <v>42</v>
      </c>
      <c r="AE150" t="s">
        <v>25</v>
      </c>
      <c r="AF1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150" t="s">
        <v>941</v>
      </c>
      <c r="AH150">
        <v>67.5</v>
      </c>
      <c r="AI150" t="s">
        <v>939</v>
      </c>
      <c r="AJ150">
        <v>1</v>
      </c>
      <c r="AK1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MIN(AJ150/8, 1) +
  Merge1[[#This Row],[index_defensive_effort]],
  2
)</f>
        <v>0.88</v>
      </c>
    </row>
    <row r="151" spans="1:37" x14ac:dyDescent="0.25">
      <c r="A151" t="s">
        <v>76</v>
      </c>
      <c r="B151" t="s">
        <v>77</v>
      </c>
      <c r="C151">
        <v>27</v>
      </c>
      <c r="D151" t="s">
        <v>56</v>
      </c>
      <c r="E151">
        <v>71</v>
      </c>
      <c r="F151">
        <v>196</v>
      </c>
      <c r="G151" t="s">
        <v>78</v>
      </c>
      <c r="H151">
        <v>2020</v>
      </c>
      <c r="I151" t="s">
        <v>33</v>
      </c>
      <c r="J151">
        <v>1</v>
      </c>
      <c r="K151">
        <v>5</v>
      </c>
      <c r="L151">
        <v>1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79</v>
      </c>
      <c r="T151">
        <v>73</v>
      </c>
      <c r="U151" s="5">
        <f>IF(Merge1[[#This Row],[team_defense_snaps]]=0, "", Merge1[[#This Row],[defense_snaps]] / Merge1[[#This Row],[team_defense_snaps]])</f>
        <v>1</v>
      </c>
      <c r="V151">
        <v>73</v>
      </c>
      <c r="W151">
        <v>6</v>
      </c>
      <c r="X151" s="5" t="s">
        <v>133</v>
      </c>
      <c r="Y151">
        <v>4</v>
      </c>
      <c r="Z151">
        <v>0</v>
      </c>
      <c r="AA151" t="s">
        <v>25</v>
      </c>
      <c r="AB151" t="s">
        <v>26</v>
      </c>
      <c r="AC151" t="s">
        <v>27</v>
      </c>
      <c r="AD151" t="s">
        <v>42</v>
      </c>
      <c r="AE151" t="s">
        <v>25</v>
      </c>
      <c r="AF1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6.9620253164556958E-2</v>
      </c>
      <c r="AG151" t="s">
        <v>942</v>
      </c>
      <c r="AH151">
        <v>64</v>
      </c>
      <c r="AI151" t="s">
        <v>939</v>
      </c>
      <c r="AJ151">
        <v>1</v>
      </c>
      <c r="AK1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MIN(AJ151/8, 1) +
  Merge1[[#This Row],[index_defensive_effort]],
  2
)</f>
        <v>0.79</v>
      </c>
    </row>
    <row r="152" spans="1:37" x14ac:dyDescent="0.25">
      <c r="A152" t="s">
        <v>76</v>
      </c>
      <c r="B152" t="s">
        <v>77</v>
      </c>
      <c r="C152">
        <v>27</v>
      </c>
      <c r="D152" t="s">
        <v>56</v>
      </c>
      <c r="E152">
        <v>71</v>
      </c>
      <c r="F152">
        <v>196</v>
      </c>
      <c r="G152" t="s">
        <v>78</v>
      </c>
      <c r="H152">
        <v>2020</v>
      </c>
      <c r="I152" t="s">
        <v>33</v>
      </c>
      <c r="J152">
        <v>1</v>
      </c>
      <c r="K152">
        <v>5</v>
      </c>
      <c r="L152">
        <v>1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79</v>
      </c>
      <c r="T152">
        <v>73</v>
      </c>
      <c r="U152" s="5">
        <f>IF(Merge1[[#This Row],[team_defense_snaps]]=0, "", Merge1[[#This Row],[defense_snaps]] / Merge1[[#This Row],[team_defense_snaps]])</f>
        <v>1</v>
      </c>
      <c r="V152">
        <v>73</v>
      </c>
      <c r="W152">
        <v>6</v>
      </c>
      <c r="X152" s="5" t="s">
        <v>133</v>
      </c>
      <c r="Y152">
        <v>4</v>
      </c>
      <c r="Z152">
        <v>0</v>
      </c>
      <c r="AA152" t="s">
        <v>25</v>
      </c>
      <c r="AB152" t="s">
        <v>26</v>
      </c>
      <c r="AC152" t="s">
        <v>27</v>
      </c>
      <c r="AD152" t="s">
        <v>42</v>
      </c>
      <c r="AE152" t="s">
        <v>25</v>
      </c>
      <c r="AF1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6.9620253164556958E-2</v>
      </c>
      <c r="AG152" t="s">
        <v>942</v>
      </c>
      <c r="AH152">
        <v>64</v>
      </c>
      <c r="AI152" t="s">
        <v>938</v>
      </c>
      <c r="AJ152">
        <v>1</v>
      </c>
      <c r="AK1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MIN(AJ152/8, 1) +
  Merge1[[#This Row],[index_defensive_effort]],
  2
)</f>
        <v>0.79</v>
      </c>
    </row>
    <row r="153" spans="1:37" x14ac:dyDescent="0.25">
      <c r="A153" t="s">
        <v>76</v>
      </c>
      <c r="B153" t="s">
        <v>77</v>
      </c>
      <c r="C153">
        <v>27</v>
      </c>
      <c r="D153" t="s">
        <v>56</v>
      </c>
      <c r="E153">
        <v>71</v>
      </c>
      <c r="F153">
        <v>196</v>
      </c>
      <c r="G153" t="s">
        <v>78</v>
      </c>
      <c r="H153">
        <v>2020</v>
      </c>
      <c r="I153" t="s">
        <v>33</v>
      </c>
      <c r="J153">
        <v>5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34</v>
      </c>
      <c r="T153">
        <v>33</v>
      </c>
      <c r="U153" s="5">
        <f>IF(Merge1[[#This Row],[team_defense_snaps]]=0, "", Merge1[[#This Row],[defense_snaps]] / Merge1[[#This Row],[team_defense_snaps]])</f>
        <v>0.47826086956521741</v>
      </c>
      <c r="V153">
        <v>69</v>
      </c>
      <c r="W153">
        <v>1</v>
      </c>
      <c r="X153" s="5" t="s">
        <v>303</v>
      </c>
      <c r="Y153">
        <v>4</v>
      </c>
      <c r="Z153">
        <v>0</v>
      </c>
      <c r="AA153" t="s">
        <v>25</v>
      </c>
      <c r="AB153" t="s">
        <v>62</v>
      </c>
      <c r="AC153" t="s">
        <v>27</v>
      </c>
      <c r="AD153" t="s">
        <v>28</v>
      </c>
      <c r="AE153" t="s">
        <v>25</v>
      </c>
      <c r="AF1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2.9411764705882353E-2</v>
      </c>
      <c r="AG153" t="s">
        <v>942</v>
      </c>
      <c r="AH153">
        <v>79</v>
      </c>
      <c r="AI153" t="s">
        <v>938</v>
      </c>
      <c r="AJ153">
        <v>1</v>
      </c>
      <c r="AK1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MIN(AJ153/8, 1) +
  Merge1[[#This Row],[index_defensive_effort]],
  2
)</f>
        <v>0.75</v>
      </c>
    </row>
    <row r="154" spans="1:37" x14ac:dyDescent="0.25">
      <c r="A154" t="s">
        <v>76</v>
      </c>
      <c r="B154" t="s">
        <v>77</v>
      </c>
      <c r="C154">
        <v>27</v>
      </c>
      <c r="D154" t="s">
        <v>56</v>
      </c>
      <c r="E154">
        <v>71</v>
      </c>
      <c r="F154">
        <v>196</v>
      </c>
      <c r="G154" t="s">
        <v>78</v>
      </c>
      <c r="H154">
        <v>2020</v>
      </c>
      <c r="I154" t="s">
        <v>33</v>
      </c>
      <c r="J154">
        <v>5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34</v>
      </c>
      <c r="T154">
        <v>33</v>
      </c>
      <c r="U154" s="5">
        <f>IF(Merge1[[#This Row],[team_defense_snaps]]=0, "", Merge1[[#This Row],[defense_snaps]] / Merge1[[#This Row],[team_defense_snaps]])</f>
        <v>0.47826086956521741</v>
      </c>
      <c r="V154">
        <v>69</v>
      </c>
      <c r="W154">
        <v>1</v>
      </c>
      <c r="X154" s="5" t="s">
        <v>303</v>
      </c>
      <c r="Y154">
        <v>4</v>
      </c>
      <c r="Z154">
        <v>0</v>
      </c>
      <c r="AA154" t="s">
        <v>25</v>
      </c>
      <c r="AB154" t="s">
        <v>62</v>
      </c>
      <c r="AC154" t="s">
        <v>27</v>
      </c>
      <c r="AD154" t="s">
        <v>28</v>
      </c>
      <c r="AE154" t="s">
        <v>25</v>
      </c>
      <c r="AF1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2.9411764705882353E-2</v>
      </c>
      <c r="AG154" t="s">
        <v>942</v>
      </c>
      <c r="AH154">
        <v>79</v>
      </c>
      <c r="AI154" t="s">
        <v>939</v>
      </c>
      <c r="AJ154">
        <v>2</v>
      </c>
      <c r="AK1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MIN(AJ154/8, 1) +
  Merge1[[#This Row],[index_defensive_effort]],
  2
)</f>
        <v>0.88</v>
      </c>
    </row>
    <row r="155" spans="1:37" x14ac:dyDescent="0.25">
      <c r="A155" t="s">
        <v>76</v>
      </c>
      <c r="B155" t="s">
        <v>77</v>
      </c>
      <c r="C155">
        <v>27</v>
      </c>
      <c r="D155" t="s">
        <v>56</v>
      </c>
      <c r="E155">
        <v>71</v>
      </c>
      <c r="F155">
        <v>196</v>
      </c>
      <c r="G155" t="s">
        <v>78</v>
      </c>
      <c r="H155">
        <v>2020</v>
      </c>
      <c r="I155" t="s">
        <v>33</v>
      </c>
      <c r="J155">
        <v>6</v>
      </c>
      <c r="K155">
        <v>6</v>
      </c>
      <c r="L155">
        <v>0</v>
      </c>
      <c r="M155">
        <v>0</v>
      </c>
      <c r="N155">
        <v>0</v>
      </c>
      <c r="O155">
        <v>4</v>
      </c>
      <c r="P155">
        <v>4</v>
      </c>
      <c r="Q155">
        <v>0</v>
      </c>
      <c r="R155">
        <v>0</v>
      </c>
      <c r="S155">
        <v>49</v>
      </c>
      <c r="T155">
        <v>49</v>
      </c>
      <c r="U155" s="5">
        <f>IF(Merge1[[#This Row],[team_defense_snaps]]=0, "", Merge1[[#This Row],[defense_snaps]] / Merge1[[#This Row],[team_defense_snaps]])</f>
        <v>0.79032258064516125</v>
      </c>
      <c r="V155">
        <v>62</v>
      </c>
      <c r="W155">
        <v>0</v>
      </c>
      <c r="X155" s="5" t="s">
        <v>29</v>
      </c>
      <c r="Y155">
        <v>4</v>
      </c>
      <c r="Z155">
        <v>0</v>
      </c>
      <c r="AA155" t="s">
        <v>25</v>
      </c>
      <c r="AB155" t="s">
        <v>26</v>
      </c>
      <c r="AC155" t="s">
        <v>27</v>
      </c>
      <c r="AD155" t="s">
        <v>28</v>
      </c>
      <c r="AE155" t="s">
        <v>25</v>
      </c>
      <c r="AF1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0.53061224489795922</v>
      </c>
      <c r="AG155" t="s">
        <v>942</v>
      </c>
      <c r="AH155">
        <v>61</v>
      </c>
      <c r="AI155" t="s">
        <v>939</v>
      </c>
      <c r="AJ155">
        <v>1</v>
      </c>
      <c r="AK1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MIN(AJ155/8, 1) +
  Merge1[[#This Row],[index_defensive_effort]],
  2
)</f>
        <v>1.26</v>
      </c>
    </row>
    <row r="156" spans="1:37" x14ac:dyDescent="0.25">
      <c r="A156" t="s">
        <v>76</v>
      </c>
      <c r="B156" t="s">
        <v>77</v>
      </c>
      <c r="C156">
        <v>27</v>
      </c>
      <c r="D156" t="s">
        <v>56</v>
      </c>
      <c r="E156">
        <v>71</v>
      </c>
      <c r="F156">
        <v>196</v>
      </c>
      <c r="G156" t="s">
        <v>78</v>
      </c>
      <c r="H156">
        <v>2020</v>
      </c>
      <c r="I156" t="s">
        <v>33</v>
      </c>
      <c r="J156">
        <v>6</v>
      </c>
      <c r="K156">
        <v>6</v>
      </c>
      <c r="L156">
        <v>0</v>
      </c>
      <c r="M156">
        <v>0</v>
      </c>
      <c r="N156">
        <v>0</v>
      </c>
      <c r="O156">
        <v>4</v>
      </c>
      <c r="P156">
        <v>4</v>
      </c>
      <c r="Q156">
        <v>0</v>
      </c>
      <c r="R156">
        <v>0</v>
      </c>
      <c r="S156">
        <v>49</v>
      </c>
      <c r="T156">
        <v>49</v>
      </c>
      <c r="U156" s="5">
        <f>IF(Merge1[[#This Row],[team_defense_snaps]]=0, "", Merge1[[#This Row],[defense_snaps]] / Merge1[[#This Row],[team_defense_snaps]])</f>
        <v>0.79032258064516125</v>
      </c>
      <c r="V156">
        <v>62</v>
      </c>
      <c r="W156">
        <v>0</v>
      </c>
      <c r="X156" s="5" t="s">
        <v>29</v>
      </c>
      <c r="Y156">
        <v>4</v>
      </c>
      <c r="Z156">
        <v>0</v>
      </c>
      <c r="AA156" t="s">
        <v>25</v>
      </c>
      <c r="AB156" t="s">
        <v>26</v>
      </c>
      <c r="AC156" t="s">
        <v>27</v>
      </c>
      <c r="AD156" t="s">
        <v>28</v>
      </c>
      <c r="AE156" t="s">
        <v>25</v>
      </c>
      <c r="AF1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0.53061224489795922</v>
      </c>
      <c r="AG156" t="s">
        <v>942</v>
      </c>
      <c r="AH156">
        <v>61</v>
      </c>
      <c r="AI156" t="s">
        <v>939</v>
      </c>
      <c r="AJ156">
        <v>2</v>
      </c>
      <c r="AK1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MIN(AJ156/8, 1) +
  Merge1[[#This Row],[index_defensive_effort]],
  2
)</f>
        <v>1.38</v>
      </c>
    </row>
    <row r="157" spans="1:37" x14ac:dyDescent="0.25">
      <c r="A157" t="s">
        <v>76</v>
      </c>
      <c r="B157" t="s">
        <v>77</v>
      </c>
      <c r="C157">
        <v>27</v>
      </c>
      <c r="D157" t="s">
        <v>56</v>
      </c>
      <c r="E157">
        <v>71</v>
      </c>
      <c r="F157">
        <v>196</v>
      </c>
      <c r="G157" t="s">
        <v>78</v>
      </c>
      <c r="H157">
        <v>2020</v>
      </c>
      <c r="I157" t="s">
        <v>33</v>
      </c>
      <c r="J157">
        <v>7</v>
      </c>
      <c r="K157">
        <v>3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68</v>
      </c>
      <c r="T157">
        <v>68</v>
      </c>
      <c r="U157" s="5">
        <f>IF(Merge1[[#This Row],[team_defense_snaps]]=0, "", Merge1[[#This Row],[defense_snaps]] / Merge1[[#This Row],[team_defense_snaps]])</f>
        <v>0.98550724637681164</v>
      </c>
      <c r="V157">
        <v>69</v>
      </c>
      <c r="W157">
        <v>0</v>
      </c>
      <c r="X157" s="5" t="s">
        <v>29</v>
      </c>
      <c r="Y157">
        <v>4</v>
      </c>
      <c r="Z157">
        <v>0</v>
      </c>
      <c r="AA157" t="s">
        <v>25</v>
      </c>
      <c r="AB157" t="s">
        <v>26</v>
      </c>
      <c r="AC157" t="s">
        <v>27</v>
      </c>
      <c r="AD157" t="s">
        <v>42</v>
      </c>
      <c r="AE157" t="s">
        <v>25</v>
      </c>
      <c r="AF1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7.3529411764705885E-2</v>
      </c>
      <c r="AG157" t="s">
        <v>942</v>
      </c>
      <c r="AH157">
        <v>77.5</v>
      </c>
      <c r="AI157" t="s">
        <v>939</v>
      </c>
      <c r="AJ157">
        <v>1</v>
      </c>
      <c r="AK1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MIN(AJ157/8, 1) +
  Merge1[[#This Row],[index_defensive_effort]],
  2
)</f>
        <v>0.8</v>
      </c>
    </row>
    <row r="158" spans="1:37" x14ac:dyDescent="0.25">
      <c r="A158" t="s">
        <v>76</v>
      </c>
      <c r="B158" t="s">
        <v>77</v>
      </c>
      <c r="C158">
        <v>27</v>
      </c>
      <c r="D158" t="s">
        <v>56</v>
      </c>
      <c r="E158">
        <v>71</v>
      </c>
      <c r="F158">
        <v>196</v>
      </c>
      <c r="G158" t="s">
        <v>78</v>
      </c>
      <c r="H158">
        <v>2020</v>
      </c>
      <c r="I158" t="s">
        <v>33</v>
      </c>
      <c r="J158">
        <v>7</v>
      </c>
      <c r="K158">
        <v>3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68</v>
      </c>
      <c r="T158">
        <v>68</v>
      </c>
      <c r="U158" s="5">
        <f>IF(Merge1[[#This Row],[team_defense_snaps]]=0, "", Merge1[[#This Row],[defense_snaps]] / Merge1[[#This Row],[team_defense_snaps]])</f>
        <v>0.98550724637681164</v>
      </c>
      <c r="V158">
        <v>69</v>
      </c>
      <c r="W158">
        <v>0</v>
      </c>
      <c r="X158" s="5" t="s">
        <v>29</v>
      </c>
      <c r="Y158">
        <v>4</v>
      </c>
      <c r="Z158">
        <v>0</v>
      </c>
      <c r="AA158" t="s">
        <v>25</v>
      </c>
      <c r="AB158" t="s">
        <v>26</v>
      </c>
      <c r="AC158" t="s">
        <v>27</v>
      </c>
      <c r="AD158" t="s">
        <v>42</v>
      </c>
      <c r="AE158" t="s">
        <v>25</v>
      </c>
      <c r="AF1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7.3529411764705885E-2</v>
      </c>
      <c r="AG158" t="s">
        <v>942</v>
      </c>
      <c r="AH158">
        <v>77.5</v>
      </c>
      <c r="AI158" t="s">
        <v>939</v>
      </c>
      <c r="AJ158">
        <v>2</v>
      </c>
      <c r="AK1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MIN(AJ158/8, 1) +
  Merge1[[#This Row],[index_defensive_effort]],
  2
)</f>
        <v>0.92</v>
      </c>
    </row>
    <row r="159" spans="1:37" x14ac:dyDescent="0.25">
      <c r="A159" t="s">
        <v>76</v>
      </c>
      <c r="B159" t="s">
        <v>77</v>
      </c>
      <c r="C159">
        <v>27</v>
      </c>
      <c r="D159" t="s">
        <v>56</v>
      </c>
      <c r="E159">
        <v>71</v>
      </c>
      <c r="F159">
        <v>196</v>
      </c>
      <c r="G159" t="s">
        <v>78</v>
      </c>
      <c r="H159">
        <v>2020</v>
      </c>
      <c r="I159" t="s">
        <v>33</v>
      </c>
      <c r="J159">
        <v>8</v>
      </c>
      <c r="K159">
        <v>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64</v>
      </c>
      <c r="T159">
        <v>64</v>
      </c>
      <c r="U159" s="5">
        <f>IF(Merge1[[#This Row],[team_defense_snaps]]=0, "", Merge1[[#This Row],[defense_snaps]] / Merge1[[#This Row],[team_defense_snaps]])</f>
        <v>1</v>
      </c>
      <c r="V159">
        <v>64</v>
      </c>
      <c r="W159">
        <v>0</v>
      </c>
      <c r="X159" s="5" t="s">
        <v>29</v>
      </c>
      <c r="Y159">
        <v>4</v>
      </c>
      <c r="Z159">
        <v>0</v>
      </c>
      <c r="AA159" t="s">
        <v>25</v>
      </c>
      <c r="AB159" t="s">
        <v>26</v>
      </c>
      <c r="AC159" t="s">
        <v>27</v>
      </c>
      <c r="AD159" t="s">
        <v>42</v>
      </c>
      <c r="AE159" t="s">
        <v>25</v>
      </c>
      <c r="AF1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159" t="s">
        <v>942</v>
      </c>
      <c r="AH159">
        <v>62.5</v>
      </c>
      <c r="AI159" t="s">
        <v>939</v>
      </c>
      <c r="AJ159">
        <v>1</v>
      </c>
      <c r="AK1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MIN(AJ159/8, 1) +
  Merge1[[#This Row],[index_defensive_effort]],
  2
)</f>
        <v>0.79</v>
      </c>
    </row>
    <row r="160" spans="1:37" x14ac:dyDescent="0.25">
      <c r="A160" t="s">
        <v>76</v>
      </c>
      <c r="B160" t="s">
        <v>77</v>
      </c>
      <c r="C160">
        <v>27</v>
      </c>
      <c r="D160" t="s">
        <v>56</v>
      </c>
      <c r="E160">
        <v>71</v>
      </c>
      <c r="F160">
        <v>196</v>
      </c>
      <c r="G160" t="s">
        <v>78</v>
      </c>
      <c r="H160">
        <v>2020</v>
      </c>
      <c r="I160" t="s">
        <v>33</v>
      </c>
      <c r="J160">
        <v>8</v>
      </c>
      <c r="K160">
        <v>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64</v>
      </c>
      <c r="T160">
        <v>64</v>
      </c>
      <c r="U160" s="5">
        <f>IF(Merge1[[#This Row],[team_defense_snaps]]=0, "", Merge1[[#This Row],[defense_snaps]] / Merge1[[#This Row],[team_defense_snaps]])</f>
        <v>1</v>
      </c>
      <c r="V160">
        <v>64</v>
      </c>
      <c r="W160">
        <v>0</v>
      </c>
      <c r="X160" s="5" t="s">
        <v>29</v>
      </c>
      <c r="Y160">
        <v>4</v>
      </c>
      <c r="Z160">
        <v>0</v>
      </c>
      <c r="AA160" t="s">
        <v>25</v>
      </c>
      <c r="AB160" t="s">
        <v>26</v>
      </c>
      <c r="AC160" t="s">
        <v>27</v>
      </c>
      <c r="AD160" t="s">
        <v>42</v>
      </c>
      <c r="AE160" t="s">
        <v>25</v>
      </c>
      <c r="AF1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160" t="s">
        <v>942</v>
      </c>
      <c r="AH160">
        <v>62.5</v>
      </c>
      <c r="AI160" t="s">
        <v>939</v>
      </c>
      <c r="AJ160">
        <v>2</v>
      </c>
      <c r="AK1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MIN(AJ160/8, 1) +
  Merge1[[#This Row],[index_defensive_effort]],
  2
)</f>
        <v>0.91</v>
      </c>
    </row>
    <row r="161" spans="1:37" x14ac:dyDescent="0.25">
      <c r="A161" t="s">
        <v>76</v>
      </c>
      <c r="B161" t="s">
        <v>77</v>
      </c>
      <c r="C161">
        <v>27</v>
      </c>
      <c r="D161" t="s">
        <v>56</v>
      </c>
      <c r="E161">
        <v>71</v>
      </c>
      <c r="F161">
        <v>196</v>
      </c>
      <c r="G161" t="s">
        <v>78</v>
      </c>
      <c r="H161">
        <v>2020</v>
      </c>
      <c r="I161" t="s">
        <v>33</v>
      </c>
      <c r="J161">
        <v>9</v>
      </c>
      <c r="K161">
        <v>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69</v>
      </c>
      <c r="T161">
        <v>69</v>
      </c>
      <c r="U161" s="5">
        <f>IF(Merge1[[#This Row],[team_defense_snaps]]=0, "", Merge1[[#This Row],[defense_snaps]] / Merge1[[#This Row],[team_defense_snaps]])</f>
        <v>1</v>
      </c>
      <c r="V161">
        <v>69</v>
      </c>
      <c r="W161">
        <v>0</v>
      </c>
      <c r="X161" s="5" t="s">
        <v>29</v>
      </c>
      <c r="Y161">
        <v>4</v>
      </c>
      <c r="Z161">
        <v>0</v>
      </c>
      <c r="AA161" t="s">
        <v>25</v>
      </c>
      <c r="AB161" t="s">
        <v>26</v>
      </c>
      <c r="AC161" t="s">
        <v>27</v>
      </c>
      <c r="AD161" t="s">
        <v>42</v>
      </c>
      <c r="AE161" t="s">
        <v>25</v>
      </c>
      <c r="AF1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7.2463768115942032E-2</v>
      </c>
      <c r="AG161" t="s">
        <v>942</v>
      </c>
      <c r="AH161">
        <v>74.5</v>
      </c>
      <c r="AI161" t="s">
        <v>939</v>
      </c>
      <c r="AJ161">
        <v>1</v>
      </c>
      <c r="AK1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MIN(AJ161/8, 1) +
  Merge1[[#This Row],[index_defensive_effort]],
  2
)</f>
        <v>0.8</v>
      </c>
    </row>
    <row r="162" spans="1:37" x14ac:dyDescent="0.25">
      <c r="A162" t="s">
        <v>76</v>
      </c>
      <c r="B162" t="s">
        <v>77</v>
      </c>
      <c r="C162">
        <v>27</v>
      </c>
      <c r="D162" t="s">
        <v>56</v>
      </c>
      <c r="E162">
        <v>71</v>
      </c>
      <c r="F162">
        <v>196</v>
      </c>
      <c r="G162" t="s">
        <v>78</v>
      </c>
      <c r="H162">
        <v>2020</v>
      </c>
      <c r="I162" t="s">
        <v>33</v>
      </c>
      <c r="J162">
        <v>9</v>
      </c>
      <c r="K162">
        <v>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69</v>
      </c>
      <c r="T162">
        <v>69</v>
      </c>
      <c r="U162" s="5">
        <f>IF(Merge1[[#This Row],[team_defense_snaps]]=0, "", Merge1[[#This Row],[defense_snaps]] / Merge1[[#This Row],[team_defense_snaps]])</f>
        <v>1</v>
      </c>
      <c r="V162">
        <v>69</v>
      </c>
      <c r="W162">
        <v>0</v>
      </c>
      <c r="X162" s="5" t="s">
        <v>29</v>
      </c>
      <c r="Y162">
        <v>4</v>
      </c>
      <c r="Z162">
        <v>0</v>
      </c>
      <c r="AA162" t="s">
        <v>25</v>
      </c>
      <c r="AB162" t="s">
        <v>26</v>
      </c>
      <c r="AC162" t="s">
        <v>27</v>
      </c>
      <c r="AD162" t="s">
        <v>42</v>
      </c>
      <c r="AE162" t="s">
        <v>25</v>
      </c>
      <c r="AF1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7.2463768115942032E-2</v>
      </c>
      <c r="AG162" t="s">
        <v>942</v>
      </c>
      <c r="AH162">
        <v>74.5</v>
      </c>
      <c r="AI162" t="s">
        <v>939</v>
      </c>
      <c r="AJ162">
        <v>1</v>
      </c>
      <c r="AK1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MIN(AJ162/8, 1) +
  Merge1[[#This Row],[index_defensive_effort]],
  2
)</f>
        <v>0.8</v>
      </c>
    </row>
    <row r="163" spans="1:37" x14ac:dyDescent="0.25">
      <c r="A163" t="s">
        <v>76</v>
      </c>
      <c r="B163" t="s">
        <v>77</v>
      </c>
      <c r="C163">
        <v>27</v>
      </c>
      <c r="D163" t="s">
        <v>56</v>
      </c>
      <c r="E163">
        <v>71</v>
      </c>
      <c r="F163">
        <v>196</v>
      </c>
      <c r="G163" t="s">
        <v>78</v>
      </c>
      <c r="H163">
        <v>2020</v>
      </c>
      <c r="I163" t="s">
        <v>33</v>
      </c>
      <c r="J163">
        <v>11</v>
      </c>
      <c r="K163">
        <v>2</v>
      </c>
      <c r="L163">
        <v>1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43</v>
      </c>
      <c r="T163">
        <v>43</v>
      </c>
      <c r="U163" s="5">
        <f>IF(Merge1[[#This Row],[team_defense_snaps]]=0, "", Merge1[[#This Row],[defense_snaps]] / Merge1[[#This Row],[team_defense_snaps]])</f>
        <v>0.65151515151515149</v>
      </c>
      <c r="V163">
        <v>66</v>
      </c>
      <c r="W163">
        <v>0</v>
      </c>
      <c r="X163" s="5" t="s">
        <v>29</v>
      </c>
      <c r="Y163">
        <v>4</v>
      </c>
      <c r="Z163">
        <v>0</v>
      </c>
      <c r="AA163" t="s">
        <v>25</v>
      </c>
      <c r="AB163" t="s">
        <v>26</v>
      </c>
      <c r="AC163" t="s">
        <v>27</v>
      </c>
      <c r="AD163" t="s">
        <v>42</v>
      </c>
      <c r="AE163" t="s">
        <v>25</v>
      </c>
      <c r="AF1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5.8139534883720929E-2</v>
      </c>
      <c r="AG163" t="s">
        <v>942</v>
      </c>
      <c r="AH163">
        <v>73</v>
      </c>
      <c r="AI163" t="s">
        <v>939</v>
      </c>
      <c r="AJ163">
        <v>1</v>
      </c>
      <c r="AK1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MIN(AJ163/8, 1) +
  Merge1[[#This Row],[index_defensive_effort]],
  2
)</f>
        <v>0.78</v>
      </c>
    </row>
    <row r="164" spans="1:37" x14ac:dyDescent="0.25">
      <c r="A164" t="s">
        <v>76</v>
      </c>
      <c r="B164" t="s">
        <v>77</v>
      </c>
      <c r="C164">
        <v>27</v>
      </c>
      <c r="D164" t="s">
        <v>56</v>
      </c>
      <c r="E164">
        <v>71</v>
      </c>
      <c r="F164">
        <v>196</v>
      </c>
      <c r="G164" t="s">
        <v>78</v>
      </c>
      <c r="H164">
        <v>2020</v>
      </c>
      <c r="I164" t="s">
        <v>33</v>
      </c>
      <c r="J164">
        <v>11</v>
      </c>
      <c r="K164">
        <v>2</v>
      </c>
      <c r="L164">
        <v>1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43</v>
      </c>
      <c r="T164">
        <v>43</v>
      </c>
      <c r="U164" s="5">
        <f>IF(Merge1[[#This Row],[team_defense_snaps]]=0, "", Merge1[[#This Row],[defense_snaps]] / Merge1[[#This Row],[team_defense_snaps]])</f>
        <v>0.65151515151515149</v>
      </c>
      <c r="V164">
        <v>66</v>
      </c>
      <c r="W164">
        <v>0</v>
      </c>
      <c r="X164" s="5" t="s">
        <v>29</v>
      </c>
      <c r="Y164">
        <v>4</v>
      </c>
      <c r="Z164">
        <v>0</v>
      </c>
      <c r="AA164" t="s">
        <v>25</v>
      </c>
      <c r="AB164" t="s">
        <v>26</v>
      </c>
      <c r="AC164" t="s">
        <v>27</v>
      </c>
      <c r="AD164" t="s">
        <v>42</v>
      </c>
      <c r="AE164" t="s">
        <v>25</v>
      </c>
      <c r="AF1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5.8139534883720929E-2</v>
      </c>
      <c r="AG164" t="s">
        <v>942</v>
      </c>
      <c r="AH164">
        <v>73</v>
      </c>
      <c r="AI164" t="s">
        <v>939</v>
      </c>
      <c r="AJ164">
        <v>1</v>
      </c>
      <c r="AK1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MIN(AJ164/8, 1) +
  Merge1[[#This Row],[index_defensive_effort]],
  2
)</f>
        <v>0.78</v>
      </c>
    </row>
    <row r="165" spans="1:37" x14ac:dyDescent="0.25">
      <c r="A165" t="s">
        <v>76</v>
      </c>
      <c r="B165" t="s">
        <v>77</v>
      </c>
      <c r="C165">
        <v>27</v>
      </c>
      <c r="D165" t="s">
        <v>56</v>
      </c>
      <c r="E165">
        <v>71</v>
      </c>
      <c r="F165">
        <v>196</v>
      </c>
      <c r="G165" t="s">
        <v>78</v>
      </c>
      <c r="H165">
        <v>2020</v>
      </c>
      <c r="I165" t="s">
        <v>33</v>
      </c>
      <c r="J165">
        <v>15</v>
      </c>
      <c r="K165">
        <v>6</v>
      </c>
      <c r="L165">
        <v>3</v>
      </c>
      <c r="M165">
        <v>0</v>
      </c>
      <c r="N165">
        <v>3</v>
      </c>
      <c r="O165">
        <v>0</v>
      </c>
      <c r="P165">
        <v>2</v>
      </c>
      <c r="Q165">
        <v>2</v>
      </c>
      <c r="R165">
        <v>0</v>
      </c>
      <c r="S165">
        <v>43</v>
      </c>
      <c r="T165">
        <v>43</v>
      </c>
      <c r="U165" s="5">
        <f>IF(Merge1[[#This Row],[team_defense_snaps]]=0, "", Merge1[[#This Row],[defense_snaps]] / Merge1[[#This Row],[team_defense_snaps]])</f>
        <v>0.51190476190476186</v>
      </c>
      <c r="V165">
        <v>84</v>
      </c>
      <c r="W165">
        <v>0</v>
      </c>
      <c r="X165" s="5" t="s">
        <v>29</v>
      </c>
      <c r="Y165">
        <v>4</v>
      </c>
      <c r="Z165">
        <v>0</v>
      </c>
      <c r="AA165" t="s">
        <v>25</v>
      </c>
      <c r="AB165" t="s">
        <v>26</v>
      </c>
      <c r="AC165" t="s">
        <v>27</v>
      </c>
      <c r="AD165" t="s">
        <v>42</v>
      </c>
      <c r="AE165" t="s">
        <v>25</v>
      </c>
      <c r="AF1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0.45348837209302323</v>
      </c>
      <c r="AG165" t="s">
        <v>942</v>
      </c>
      <c r="AH165">
        <v>70</v>
      </c>
      <c r="AI165" t="s">
        <v>939</v>
      </c>
      <c r="AJ165">
        <v>1</v>
      </c>
      <c r="AK1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MIN(AJ165/8, 1) +
  Merge1[[#This Row],[index_defensive_effort]],
  2
)</f>
        <v>1.18</v>
      </c>
    </row>
    <row r="166" spans="1:37" x14ac:dyDescent="0.25">
      <c r="A166" t="s">
        <v>76</v>
      </c>
      <c r="B166" t="s">
        <v>77</v>
      </c>
      <c r="C166">
        <v>27</v>
      </c>
      <c r="D166" t="s">
        <v>56</v>
      </c>
      <c r="E166">
        <v>71</v>
      </c>
      <c r="F166">
        <v>196</v>
      </c>
      <c r="G166" t="s">
        <v>78</v>
      </c>
      <c r="H166">
        <v>2020</v>
      </c>
      <c r="I166" t="s">
        <v>33</v>
      </c>
      <c r="J166">
        <v>15</v>
      </c>
      <c r="K166">
        <v>6</v>
      </c>
      <c r="L166">
        <v>3</v>
      </c>
      <c r="M166">
        <v>0</v>
      </c>
      <c r="N166">
        <v>3</v>
      </c>
      <c r="O166">
        <v>0</v>
      </c>
      <c r="P166">
        <v>2</v>
      </c>
      <c r="Q166">
        <v>2</v>
      </c>
      <c r="R166">
        <v>0</v>
      </c>
      <c r="S166">
        <v>43</v>
      </c>
      <c r="T166">
        <v>43</v>
      </c>
      <c r="U166" s="5">
        <f>IF(Merge1[[#This Row],[team_defense_snaps]]=0, "", Merge1[[#This Row],[defense_snaps]] / Merge1[[#This Row],[team_defense_snaps]])</f>
        <v>0.51190476190476186</v>
      </c>
      <c r="V166">
        <v>84</v>
      </c>
      <c r="W166">
        <v>0</v>
      </c>
      <c r="X166" s="5" t="s">
        <v>29</v>
      </c>
      <c r="Y166">
        <v>4</v>
      </c>
      <c r="Z166">
        <v>0</v>
      </c>
      <c r="AA166" t="s">
        <v>25</v>
      </c>
      <c r="AB166" t="s">
        <v>26</v>
      </c>
      <c r="AC166" t="s">
        <v>27</v>
      </c>
      <c r="AD166" t="s">
        <v>42</v>
      </c>
      <c r="AE166" t="s">
        <v>25</v>
      </c>
      <c r="AF1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0.45348837209302323</v>
      </c>
      <c r="AG166" t="s">
        <v>942</v>
      </c>
      <c r="AH166">
        <v>70</v>
      </c>
      <c r="AI166" t="s">
        <v>939</v>
      </c>
      <c r="AJ166">
        <v>2</v>
      </c>
      <c r="AK1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MIN(AJ166/8, 1) +
  Merge1[[#This Row],[index_defensive_effort]],
  2
)</f>
        <v>1.3</v>
      </c>
    </row>
    <row r="167" spans="1:37" x14ac:dyDescent="0.25">
      <c r="A167" t="s">
        <v>76</v>
      </c>
      <c r="B167" t="s">
        <v>77</v>
      </c>
      <c r="C167">
        <v>27</v>
      </c>
      <c r="D167" t="s">
        <v>56</v>
      </c>
      <c r="E167">
        <v>71</v>
      </c>
      <c r="F167">
        <v>196</v>
      </c>
      <c r="G167" t="s">
        <v>78</v>
      </c>
      <c r="H167">
        <v>2020</v>
      </c>
      <c r="I167" t="s">
        <v>33</v>
      </c>
      <c r="J167">
        <v>16</v>
      </c>
      <c r="K167">
        <v>2</v>
      </c>
      <c r="L167">
        <v>1</v>
      </c>
      <c r="M167">
        <v>0</v>
      </c>
      <c r="N167">
        <v>1</v>
      </c>
      <c r="O167">
        <v>0</v>
      </c>
      <c r="P167">
        <v>0</v>
      </c>
      <c r="Q167">
        <v>2</v>
      </c>
      <c r="R167">
        <v>0</v>
      </c>
      <c r="S167">
        <v>55</v>
      </c>
      <c r="T167">
        <v>55</v>
      </c>
      <c r="U167" s="5">
        <f>IF(Merge1[[#This Row],[team_defense_snaps]]=0, "", Merge1[[#This Row],[defense_snaps]] / Merge1[[#This Row],[team_defense_snaps]])</f>
        <v>0.75342465753424659</v>
      </c>
      <c r="V167">
        <v>73</v>
      </c>
      <c r="W167">
        <v>0</v>
      </c>
      <c r="X167" s="5" t="s">
        <v>29</v>
      </c>
      <c r="Y167">
        <v>4</v>
      </c>
      <c r="Z167">
        <v>0</v>
      </c>
      <c r="AA167" t="s">
        <v>25</v>
      </c>
      <c r="AB167" t="s">
        <v>26</v>
      </c>
      <c r="AC167" t="s">
        <v>27</v>
      </c>
      <c r="AD167" t="s">
        <v>42</v>
      </c>
      <c r="AE167" t="s">
        <v>25</v>
      </c>
      <c r="AF1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0.19090909090909092</v>
      </c>
      <c r="AG167" t="s">
        <v>942</v>
      </c>
      <c r="AH167">
        <v>85</v>
      </c>
      <c r="AI167" t="s">
        <v>939</v>
      </c>
      <c r="AJ167">
        <v>1</v>
      </c>
      <c r="AK1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MIN(AJ167/8, 1) +
  Merge1[[#This Row],[index_defensive_effort]],
  2
)</f>
        <v>0.92</v>
      </c>
    </row>
    <row r="168" spans="1:37" x14ac:dyDescent="0.25">
      <c r="A168" t="s">
        <v>76</v>
      </c>
      <c r="B168" t="s">
        <v>77</v>
      </c>
      <c r="C168">
        <v>27</v>
      </c>
      <c r="D168" t="s">
        <v>56</v>
      </c>
      <c r="E168">
        <v>71</v>
      </c>
      <c r="F168">
        <v>196</v>
      </c>
      <c r="G168" t="s">
        <v>78</v>
      </c>
      <c r="H168">
        <v>2020</v>
      </c>
      <c r="I168" t="s">
        <v>33</v>
      </c>
      <c r="J168">
        <v>16</v>
      </c>
      <c r="K168">
        <v>2</v>
      </c>
      <c r="L168">
        <v>1</v>
      </c>
      <c r="M168">
        <v>0</v>
      </c>
      <c r="N168">
        <v>1</v>
      </c>
      <c r="O168">
        <v>0</v>
      </c>
      <c r="P168">
        <v>0</v>
      </c>
      <c r="Q168">
        <v>2</v>
      </c>
      <c r="R168">
        <v>0</v>
      </c>
      <c r="S168">
        <v>55</v>
      </c>
      <c r="T168">
        <v>55</v>
      </c>
      <c r="U168" s="5">
        <f>IF(Merge1[[#This Row],[team_defense_snaps]]=0, "", Merge1[[#This Row],[defense_snaps]] / Merge1[[#This Row],[team_defense_snaps]])</f>
        <v>0.75342465753424659</v>
      </c>
      <c r="V168">
        <v>73</v>
      </c>
      <c r="W168">
        <v>0</v>
      </c>
      <c r="X168" s="5" t="s">
        <v>29</v>
      </c>
      <c r="Y168">
        <v>4</v>
      </c>
      <c r="Z168">
        <v>0</v>
      </c>
      <c r="AA168" t="s">
        <v>25</v>
      </c>
      <c r="AB168" t="s">
        <v>26</v>
      </c>
      <c r="AC168" t="s">
        <v>27</v>
      </c>
      <c r="AD168" t="s">
        <v>42</v>
      </c>
      <c r="AE168" t="s">
        <v>25</v>
      </c>
      <c r="AF1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0.19090909090909092</v>
      </c>
      <c r="AG168" t="s">
        <v>942</v>
      </c>
      <c r="AH168">
        <v>85</v>
      </c>
      <c r="AI168" t="s">
        <v>939</v>
      </c>
      <c r="AJ168">
        <v>2</v>
      </c>
      <c r="AK1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MIN(AJ168/8, 1) +
  Merge1[[#This Row],[index_defensive_effort]],
  2
)</f>
        <v>1.04</v>
      </c>
    </row>
    <row r="169" spans="1:37" x14ac:dyDescent="0.25">
      <c r="A169" t="s">
        <v>76</v>
      </c>
      <c r="B169" t="s">
        <v>77</v>
      </c>
      <c r="C169">
        <v>27</v>
      </c>
      <c r="D169" t="s">
        <v>56</v>
      </c>
      <c r="E169">
        <v>71</v>
      </c>
      <c r="F169">
        <v>196</v>
      </c>
      <c r="G169" t="s">
        <v>78</v>
      </c>
      <c r="H169">
        <v>2020</v>
      </c>
      <c r="I169" t="s">
        <v>33</v>
      </c>
      <c r="J169">
        <v>17</v>
      </c>
      <c r="K169">
        <v>3</v>
      </c>
      <c r="L169">
        <v>1</v>
      </c>
      <c r="M169">
        <v>0</v>
      </c>
      <c r="N169">
        <v>1</v>
      </c>
      <c r="O169">
        <v>0</v>
      </c>
      <c r="P169">
        <v>1</v>
      </c>
      <c r="Q169">
        <v>0</v>
      </c>
      <c r="R169">
        <v>0</v>
      </c>
      <c r="S169">
        <v>37</v>
      </c>
      <c r="T169">
        <v>37</v>
      </c>
      <c r="U169" s="5">
        <f>IF(Merge1[[#This Row],[team_defense_snaps]]=0, "", Merge1[[#This Row],[defense_snaps]] / Merge1[[#This Row],[team_defense_snaps]])</f>
        <v>0.6271186440677966</v>
      </c>
      <c r="V169">
        <v>59</v>
      </c>
      <c r="W169">
        <v>0</v>
      </c>
      <c r="X169" s="5" t="s">
        <v>29</v>
      </c>
      <c r="Y169">
        <v>4</v>
      </c>
      <c r="Z169">
        <v>0</v>
      </c>
      <c r="AA169" t="s">
        <v>25</v>
      </c>
      <c r="AB169" t="s">
        <v>26</v>
      </c>
      <c r="AC169" t="s">
        <v>27</v>
      </c>
      <c r="AD169" t="s">
        <v>42</v>
      </c>
      <c r="AE169" t="s">
        <v>25</v>
      </c>
      <c r="AF1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0.14864864864864866</v>
      </c>
      <c r="AG169" t="s">
        <v>942</v>
      </c>
      <c r="AH169">
        <v>76</v>
      </c>
      <c r="AI169" t="s">
        <v>939</v>
      </c>
      <c r="AJ169">
        <v>1</v>
      </c>
      <c r="AK1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MIN(AJ169/8, 1) +
  Merge1[[#This Row],[index_defensive_effort]],
  2
)</f>
        <v>0.87</v>
      </c>
    </row>
    <row r="170" spans="1:37" x14ac:dyDescent="0.25">
      <c r="A170" t="s">
        <v>76</v>
      </c>
      <c r="B170" t="s">
        <v>77</v>
      </c>
      <c r="C170">
        <v>27</v>
      </c>
      <c r="D170" t="s">
        <v>56</v>
      </c>
      <c r="E170">
        <v>71</v>
      </c>
      <c r="F170">
        <v>196</v>
      </c>
      <c r="G170" t="s">
        <v>78</v>
      </c>
      <c r="H170">
        <v>2020</v>
      </c>
      <c r="I170" t="s">
        <v>33</v>
      </c>
      <c r="J170">
        <v>17</v>
      </c>
      <c r="K170">
        <v>3</v>
      </c>
      <c r="L170">
        <v>1</v>
      </c>
      <c r="M170">
        <v>0</v>
      </c>
      <c r="N170">
        <v>1</v>
      </c>
      <c r="O170">
        <v>0</v>
      </c>
      <c r="P170">
        <v>1</v>
      </c>
      <c r="Q170">
        <v>0</v>
      </c>
      <c r="R170">
        <v>0</v>
      </c>
      <c r="S170">
        <v>37</v>
      </c>
      <c r="T170">
        <v>37</v>
      </c>
      <c r="U170" s="5">
        <f>IF(Merge1[[#This Row],[team_defense_snaps]]=0, "", Merge1[[#This Row],[defense_snaps]] / Merge1[[#This Row],[team_defense_snaps]])</f>
        <v>0.6271186440677966</v>
      </c>
      <c r="V170">
        <v>59</v>
      </c>
      <c r="W170">
        <v>0</v>
      </c>
      <c r="X170" s="5" t="s">
        <v>29</v>
      </c>
      <c r="Y170">
        <v>4</v>
      </c>
      <c r="Z170">
        <v>0</v>
      </c>
      <c r="AA170" t="s">
        <v>25</v>
      </c>
      <c r="AB170" t="s">
        <v>26</v>
      </c>
      <c r="AC170" t="s">
        <v>27</v>
      </c>
      <c r="AD170" t="s">
        <v>42</v>
      </c>
      <c r="AE170" t="s">
        <v>25</v>
      </c>
      <c r="AF1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0.14864864864864866</v>
      </c>
      <c r="AG170" t="s">
        <v>942</v>
      </c>
      <c r="AH170">
        <v>76</v>
      </c>
      <c r="AI170" t="s">
        <v>939</v>
      </c>
      <c r="AJ170">
        <v>1</v>
      </c>
      <c r="AK1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MIN(AJ170/8, 1) +
  Merge1[[#This Row],[index_defensive_effort]],
  2
)</f>
        <v>0.87</v>
      </c>
    </row>
    <row r="171" spans="1:37" x14ac:dyDescent="0.25">
      <c r="A171" t="s">
        <v>115</v>
      </c>
      <c r="B171" t="s">
        <v>116</v>
      </c>
      <c r="C171">
        <v>28</v>
      </c>
      <c r="D171" t="s">
        <v>22</v>
      </c>
      <c r="E171">
        <v>73</v>
      </c>
      <c r="F171">
        <v>202</v>
      </c>
      <c r="G171" t="s">
        <v>117</v>
      </c>
      <c r="H171">
        <v>2020</v>
      </c>
      <c r="I171" t="s">
        <v>33</v>
      </c>
      <c r="J171">
        <v>1</v>
      </c>
      <c r="K171">
        <v>5</v>
      </c>
      <c r="L171">
        <v>3</v>
      </c>
      <c r="M171">
        <v>1</v>
      </c>
      <c r="N171">
        <v>4</v>
      </c>
      <c r="O171">
        <v>0</v>
      </c>
      <c r="P171">
        <v>0</v>
      </c>
      <c r="Q171">
        <v>0</v>
      </c>
      <c r="R171">
        <v>0</v>
      </c>
      <c r="S171">
        <v>85</v>
      </c>
      <c r="T171">
        <v>78</v>
      </c>
      <c r="U171" s="5">
        <f>IF(Merge1[[#This Row],[team_defense_snaps]]=0, "", Merge1[[#This Row],[defense_snaps]] / Merge1[[#This Row],[team_defense_snaps]])</f>
        <v>1</v>
      </c>
      <c r="V171">
        <v>78</v>
      </c>
      <c r="W171">
        <v>7</v>
      </c>
      <c r="X171" s="5" t="s">
        <v>136</v>
      </c>
      <c r="Y171">
        <v>5</v>
      </c>
      <c r="Z171">
        <v>0</v>
      </c>
      <c r="AA171" t="s">
        <v>25</v>
      </c>
      <c r="AB171" t="s">
        <v>26</v>
      </c>
      <c r="AC171" t="s">
        <v>27</v>
      </c>
      <c r="AD171" t="s">
        <v>42</v>
      </c>
      <c r="AE171" t="s">
        <v>25</v>
      </c>
      <c r="AF1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8.2352941176470587E-2</v>
      </c>
      <c r="AG171" t="s">
        <v>942</v>
      </c>
      <c r="AH171">
        <v>70</v>
      </c>
      <c r="AI171" t="s">
        <v>939</v>
      </c>
      <c r="AJ171">
        <v>2</v>
      </c>
      <c r="AK1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MIN(AJ171/8, 1) +
  Merge1[[#This Row],[index_defensive_effort]],
  2
)</f>
        <v>0.83</v>
      </c>
    </row>
    <row r="172" spans="1:37" x14ac:dyDescent="0.25">
      <c r="A172" t="s">
        <v>115</v>
      </c>
      <c r="B172" t="s">
        <v>116</v>
      </c>
      <c r="C172">
        <v>28</v>
      </c>
      <c r="D172" t="s">
        <v>22</v>
      </c>
      <c r="E172">
        <v>73</v>
      </c>
      <c r="F172">
        <v>202</v>
      </c>
      <c r="G172" t="s">
        <v>117</v>
      </c>
      <c r="H172">
        <v>2020</v>
      </c>
      <c r="I172" t="s">
        <v>33</v>
      </c>
      <c r="J172">
        <v>2</v>
      </c>
      <c r="K172">
        <v>3</v>
      </c>
      <c r="L172">
        <v>3</v>
      </c>
      <c r="M172">
        <v>3</v>
      </c>
      <c r="N172">
        <v>6</v>
      </c>
      <c r="O172">
        <v>0</v>
      </c>
      <c r="P172">
        <v>1</v>
      </c>
      <c r="Q172">
        <v>0</v>
      </c>
      <c r="R172">
        <v>0</v>
      </c>
      <c r="S172">
        <v>80</v>
      </c>
      <c r="T172">
        <v>73</v>
      </c>
      <c r="U172" s="5">
        <f>IF(Merge1[[#This Row],[team_defense_snaps]]=0, "", Merge1[[#This Row],[defense_snaps]] / Merge1[[#This Row],[team_defense_snaps]])</f>
        <v>1</v>
      </c>
      <c r="V172">
        <v>73</v>
      </c>
      <c r="W172">
        <v>7</v>
      </c>
      <c r="X172" s="5" t="s">
        <v>261</v>
      </c>
      <c r="Y172">
        <v>5</v>
      </c>
      <c r="Z172">
        <v>0</v>
      </c>
      <c r="AA172" t="s">
        <v>25</v>
      </c>
      <c r="AB172" t="s">
        <v>26</v>
      </c>
      <c r="AC172" t="s">
        <v>27</v>
      </c>
      <c r="AD172" t="s">
        <v>42</v>
      </c>
      <c r="AE172" t="s">
        <v>25</v>
      </c>
      <c r="AF1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172" t="s">
        <v>942</v>
      </c>
      <c r="AH172">
        <v>68.5</v>
      </c>
      <c r="AI172" t="s">
        <v>939</v>
      </c>
      <c r="AJ172">
        <v>3</v>
      </c>
      <c r="AK1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MIN(AJ172/8, 1) +
  Merge1[[#This Row],[index_defensive_effort]],
  2
)</f>
        <v>0.98</v>
      </c>
    </row>
    <row r="173" spans="1:37" x14ac:dyDescent="0.25">
      <c r="A173" t="s">
        <v>115</v>
      </c>
      <c r="B173" t="s">
        <v>116</v>
      </c>
      <c r="C173">
        <v>28</v>
      </c>
      <c r="D173" t="s">
        <v>22</v>
      </c>
      <c r="E173">
        <v>73</v>
      </c>
      <c r="F173">
        <v>202</v>
      </c>
      <c r="G173" t="s">
        <v>117</v>
      </c>
      <c r="H173">
        <v>2020</v>
      </c>
      <c r="I173" t="s">
        <v>33</v>
      </c>
      <c r="J173">
        <v>3</v>
      </c>
      <c r="K173">
        <v>6</v>
      </c>
      <c r="L173">
        <v>2</v>
      </c>
      <c r="M173">
        <v>0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83</v>
      </c>
      <c r="T173">
        <v>75</v>
      </c>
      <c r="U173" s="5">
        <f>IF(Merge1[[#This Row],[team_defense_snaps]]=0, "", Merge1[[#This Row],[defense_snaps]] / Merge1[[#This Row],[team_defense_snaps]])</f>
        <v>1</v>
      </c>
      <c r="V173">
        <v>75</v>
      </c>
      <c r="W173">
        <v>8</v>
      </c>
      <c r="X173" s="5" t="s">
        <v>133</v>
      </c>
      <c r="Y173">
        <v>5</v>
      </c>
      <c r="Z173">
        <v>0</v>
      </c>
      <c r="AA173" t="s">
        <v>25</v>
      </c>
      <c r="AB173" t="s">
        <v>26</v>
      </c>
      <c r="AC173" t="s">
        <v>27</v>
      </c>
      <c r="AD173" t="s">
        <v>42</v>
      </c>
      <c r="AE173" t="s">
        <v>25</v>
      </c>
      <c r="AF1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8.4337349397590355E-2</v>
      </c>
      <c r="AG173" t="s">
        <v>942</v>
      </c>
      <c r="AH173">
        <v>67</v>
      </c>
      <c r="AI173" t="s">
        <v>939</v>
      </c>
      <c r="AJ173">
        <v>4</v>
      </c>
      <c r="AK1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MIN(AJ173/8, 1) +
  Merge1[[#This Row],[index_defensive_effort]],
  2
)</f>
        <v>1.08</v>
      </c>
    </row>
    <row r="174" spans="1:37" x14ac:dyDescent="0.25">
      <c r="A174" t="s">
        <v>115</v>
      </c>
      <c r="B174" t="s">
        <v>116</v>
      </c>
      <c r="C174">
        <v>28</v>
      </c>
      <c r="D174" t="s">
        <v>22</v>
      </c>
      <c r="E174">
        <v>73</v>
      </c>
      <c r="F174">
        <v>202</v>
      </c>
      <c r="G174" t="s">
        <v>117</v>
      </c>
      <c r="H174">
        <v>2020</v>
      </c>
      <c r="I174" t="s">
        <v>33</v>
      </c>
      <c r="J174">
        <v>4</v>
      </c>
      <c r="K174">
        <v>3</v>
      </c>
      <c r="L174">
        <v>2</v>
      </c>
      <c r="M174">
        <v>0</v>
      </c>
      <c r="N174">
        <v>2</v>
      </c>
      <c r="O174">
        <v>0</v>
      </c>
      <c r="P174">
        <v>0</v>
      </c>
      <c r="Q174">
        <v>0</v>
      </c>
      <c r="R174">
        <v>0</v>
      </c>
      <c r="S174">
        <v>71</v>
      </c>
      <c r="T174">
        <v>65</v>
      </c>
      <c r="U174" s="5">
        <f>IF(Merge1[[#This Row],[team_defense_snaps]]=0, "", Merge1[[#This Row],[defense_snaps]] / Merge1[[#This Row],[team_defense_snaps]])</f>
        <v>1</v>
      </c>
      <c r="V174">
        <v>65</v>
      </c>
      <c r="W174">
        <v>6</v>
      </c>
      <c r="X174" s="5" t="s">
        <v>59</v>
      </c>
      <c r="Y174">
        <v>5</v>
      </c>
      <c r="Z174">
        <v>0</v>
      </c>
      <c r="AA174" t="s">
        <v>25</v>
      </c>
      <c r="AB174" t="s">
        <v>26</v>
      </c>
      <c r="AC174" t="s">
        <v>27</v>
      </c>
      <c r="AD174" t="s">
        <v>42</v>
      </c>
      <c r="AE174" t="s">
        <v>25</v>
      </c>
      <c r="AF1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5.6338028169014086E-2</v>
      </c>
      <c r="AG174" t="s">
        <v>942</v>
      </c>
      <c r="AH174">
        <v>65.5</v>
      </c>
      <c r="AI174" t="s">
        <v>939</v>
      </c>
      <c r="AJ174">
        <v>5</v>
      </c>
      <c r="AK1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MIN(AJ174/8, 1) +
  Merge1[[#This Row],[index_defensive_effort]],
  2
)</f>
        <v>1.18</v>
      </c>
    </row>
    <row r="175" spans="1:37" x14ac:dyDescent="0.25">
      <c r="A175" t="s">
        <v>115</v>
      </c>
      <c r="B175" t="s">
        <v>116</v>
      </c>
      <c r="C175">
        <v>28</v>
      </c>
      <c r="D175" t="s">
        <v>22</v>
      </c>
      <c r="E175">
        <v>73</v>
      </c>
      <c r="F175">
        <v>202</v>
      </c>
      <c r="G175" t="s">
        <v>117</v>
      </c>
      <c r="H175">
        <v>2020</v>
      </c>
      <c r="I175" t="s">
        <v>33</v>
      </c>
      <c r="J175">
        <v>5</v>
      </c>
      <c r="K175">
        <v>3</v>
      </c>
      <c r="L175">
        <v>1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60</v>
      </c>
      <c r="T175">
        <v>54</v>
      </c>
      <c r="U175" s="5">
        <f>IF(Merge1[[#This Row],[team_defense_snaps]]=0, "", Merge1[[#This Row],[defense_snaps]] / Merge1[[#This Row],[team_defense_snaps]])</f>
        <v>1</v>
      </c>
      <c r="V175">
        <v>54</v>
      </c>
      <c r="W175">
        <v>6</v>
      </c>
      <c r="X175" s="5" t="s">
        <v>133</v>
      </c>
      <c r="Y175">
        <v>5</v>
      </c>
      <c r="Z175">
        <v>0</v>
      </c>
      <c r="AA175" t="s">
        <v>25</v>
      </c>
      <c r="AB175" t="s">
        <v>26</v>
      </c>
      <c r="AC175" t="s">
        <v>27</v>
      </c>
      <c r="AD175" t="s">
        <v>42</v>
      </c>
      <c r="AE175" t="s">
        <v>25</v>
      </c>
      <c r="AF1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5.8333333333333334E-2</v>
      </c>
      <c r="AG175" t="s">
        <v>942</v>
      </c>
      <c r="AH175">
        <v>64</v>
      </c>
      <c r="AI175" t="s">
        <v>939</v>
      </c>
      <c r="AJ175">
        <v>6</v>
      </c>
      <c r="AK1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MIN(AJ175/8, 1) +
  Merge1[[#This Row],[index_defensive_effort]],
  2
)</f>
        <v>1.31</v>
      </c>
    </row>
    <row r="176" spans="1:37" x14ac:dyDescent="0.25">
      <c r="A176" t="s">
        <v>115</v>
      </c>
      <c r="B176" t="s">
        <v>116</v>
      </c>
      <c r="C176">
        <v>28</v>
      </c>
      <c r="D176" t="s">
        <v>22</v>
      </c>
      <c r="E176">
        <v>73</v>
      </c>
      <c r="F176">
        <v>202</v>
      </c>
      <c r="G176" t="s">
        <v>117</v>
      </c>
      <c r="H176">
        <v>2020</v>
      </c>
      <c r="I176" t="s">
        <v>33</v>
      </c>
      <c r="J176">
        <v>6</v>
      </c>
      <c r="K176">
        <v>4</v>
      </c>
      <c r="L176">
        <v>5</v>
      </c>
      <c r="M176">
        <v>2</v>
      </c>
      <c r="N176">
        <v>7</v>
      </c>
      <c r="O176">
        <v>0</v>
      </c>
      <c r="P176">
        <v>0</v>
      </c>
      <c r="Q176">
        <v>0</v>
      </c>
      <c r="R176">
        <v>0</v>
      </c>
      <c r="S176">
        <v>88</v>
      </c>
      <c r="T176">
        <v>80</v>
      </c>
      <c r="U176" s="5">
        <f>IF(Merge1[[#This Row],[team_defense_snaps]]=0, "", Merge1[[#This Row],[defense_snaps]] / Merge1[[#This Row],[team_defense_snaps]])</f>
        <v>0.98765432098765427</v>
      </c>
      <c r="V176">
        <v>81</v>
      </c>
      <c r="W176">
        <v>8</v>
      </c>
      <c r="X176" s="5" t="s">
        <v>113</v>
      </c>
      <c r="Y176">
        <v>5</v>
      </c>
      <c r="Z176">
        <v>0</v>
      </c>
      <c r="AA176" t="s">
        <v>25</v>
      </c>
      <c r="AB176" t="s">
        <v>26</v>
      </c>
      <c r="AC176" t="s">
        <v>27</v>
      </c>
      <c r="AD176" t="s">
        <v>42</v>
      </c>
      <c r="AE176" t="s">
        <v>25</v>
      </c>
      <c r="AF1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8.5227272727272721E-2</v>
      </c>
      <c r="AG176" t="s">
        <v>942</v>
      </c>
      <c r="AH176">
        <v>62.5</v>
      </c>
      <c r="AI176" t="s">
        <v>939</v>
      </c>
      <c r="AJ176">
        <v>1</v>
      </c>
      <c r="AK1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MIN(AJ176/8, 1) +
  Merge1[[#This Row],[index_defensive_effort]],
  2
)</f>
        <v>0.71</v>
      </c>
    </row>
    <row r="177" spans="1:37" x14ac:dyDescent="0.25">
      <c r="A177" t="s">
        <v>115</v>
      </c>
      <c r="B177" t="s">
        <v>116</v>
      </c>
      <c r="C177">
        <v>28</v>
      </c>
      <c r="D177" t="s">
        <v>22</v>
      </c>
      <c r="E177">
        <v>73</v>
      </c>
      <c r="F177">
        <v>202</v>
      </c>
      <c r="G177" t="s">
        <v>117</v>
      </c>
      <c r="H177">
        <v>2020</v>
      </c>
      <c r="I177" t="s">
        <v>33</v>
      </c>
      <c r="J177">
        <v>8</v>
      </c>
      <c r="K177">
        <v>4</v>
      </c>
      <c r="L177">
        <v>2</v>
      </c>
      <c r="M177">
        <v>2</v>
      </c>
      <c r="N177">
        <v>4</v>
      </c>
      <c r="O177">
        <v>0</v>
      </c>
      <c r="P177">
        <v>0</v>
      </c>
      <c r="Q177">
        <v>0</v>
      </c>
      <c r="R177">
        <v>0</v>
      </c>
      <c r="S177">
        <v>77</v>
      </c>
      <c r="T177">
        <v>74</v>
      </c>
      <c r="U177" s="5">
        <f>IF(Merge1[[#This Row],[team_defense_snaps]]=0, "", Merge1[[#This Row],[defense_snaps]] / Merge1[[#This Row],[team_defense_snaps]])</f>
        <v>1</v>
      </c>
      <c r="V177">
        <v>74</v>
      </c>
      <c r="W177">
        <v>3</v>
      </c>
      <c r="X177" s="5" t="s">
        <v>159</v>
      </c>
      <c r="Y177">
        <v>5</v>
      </c>
      <c r="Z177">
        <v>0</v>
      </c>
      <c r="AA177" t="s">
        <v>25</v>
      </c>
      <c r="AB177" t="s">
        <v>26</v>
      </c>
      <c r="AC177" t="s">
        <v>27</v>
      </c>
      <c r="AD177" t="s">
        <v>42</v>
      </c>
      <c r="AE177" t="s">
        <v>25</v>
      </c>
      <c r="AF1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7.792207792207792E-2</v>
      </c>
      <c r="AG177" t="s">
        <v>942</v>
      </c>
      <c r="AH177">
        <v>59.5</v>
      </c>
      <c r="AI177" t="s">
        <v>939</v>
      </c>
      <c r="AJ177">
        <v>2</v>
      </c>
      <c r="AK1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MIN(AJ177/8, 1) +
  Merge1[[#This Row],[index_defensive_effort]],
  2
)</f>
        <v>0.83</v>
      </c>
    </row>
    <row r="178" spans="1:37" x14ac:dyDescent="0.25">
      <c r="A178" t="s">
        <v>115</v>
      </c>
      <c r="B178" t="s">
        <v>116</v>
      </c>
      <c r="C178">
        <v>28</v>
      </c>
      <c r="D178" t="s">
        <v>22</v>
      </c>
      <c r="E178">
        <v>73</v>
      </c>
      <c r="F178">
        <v>202</v>
      </c>
      <c r="G178" t="s">
        <v>117</v>
      </c>
      <c r="H178">
        <v>2020</v>
      </c>
      <c r="I178" t="s">
        <v>33</v>
      </c>
      <c r="J178">
        <v>9</v>
      </c>
      <c r="K178">
        <v>3</v>
      </c>
      <c r="L178">
        <v>2</v>
      </c>
      <c r="M178">
        <v>0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81</v>
      </c>
      <c r="T178">
        <v>75</v>
      </c>
      <c r="U178" s="5">
        <f>IF(Merge1[[#This Row],[team_defense_snaps]]=0, "", Merge1[[#This Row],[defense_snaps]] / Merge1[[#This Row],[team_defense_snaps]])</f>
        <v>1</v>
      </c>
      <c r="V178">
        <v>75</v>
      </c>
      <c r="W178">
        <v>6</v>
      </c>
      <c r="X178" s="5" t="s">
        <v>293</v>
      </c>
      <c r="Y178">
        <v>5</v>
      </c>
      <c r="Z178">
        <v>0</v>
      </c>
      <c r="AA178" t="s">
        <v>25</v>
      </c>
      <c r="AB178" t="s">
        <v>26</v>
      </c>
      <c r="AC178" t="s">
        <v>27</v>
      </c>
      <c r="AD178" t="s">
        <v>42</v>
      </c>
      <c r="AE178" t="s">
        <v>25</v>
      </c>
      <c r="AF1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4.9382716049382713E-2</v>
      </c>
      <c r="AG178" t="s">
        <v>942</v>
      </c>
      <c r="AH178">
        <v>58</v>
      </c>
      <c r="AI178" t="s">
        <v>939</v>
      </c>
      <c r="AJ178">
        <v>3</v>
      </c>
      <c r="AK1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MIN(AJ178/8, 1) +
  Merge1[[#This Row],[index_defensive_effort]],
  2
)</f>
        <v>0.92</v>
      </c>
    </row>
    <row r="179" spans="1:37" x14ac:dyDescent="0.25">
      <c r="A179" t="s">
        <v>115</v>
      </c>
      <c r="B179" t="s">
        <v>116</v>
      </c>
      <c r="C179">
        <v>28</v>
      </c>
      <c r="D179" t="s">
        <v>22</v>
      </c>
      <c r="E179">
        <v>73</v>
      </c>
      <c r="F179">
        <v>202</v>
      </c>
      <c r="G179" t="s">
        <v>117</v>
      </c>
      <c r="H179">
        <v>2020</v>
      </c>
      <c r="I179" t="s">
        <v>33</v>
      </c>
      <c r="J179">
        <v>10</v>
      </c>
      <c r="K179">
        <v>4</v>
      </c>
      <c r="L179">
        <v>1</v>
      </c>
      <c r="M179">
        <v>0</v>
      </c>
      <c r="N179">
        <v>1</v>
      </c>
      <c r="O179">
        <v>0</v>
      </c>
      <c r="P179">
        <v>2</v>
      </c>
      <c r="Q179">
        <v>0</v>
      </c>
      <c r="R179">
        <v>0</v>
      </c>
      <c r="S179">
        <v>54</v>
      </c>
      <c r="T179">
        <v>50</v>
      </c>
      <c r="U179" s="5">
        <f>IF(Merge1[[#This Row],[team_defense_snaps]]=0, "", Merge1[[#This Row],[defense_snaps]] / Merge1[[#This Row],[team_defense_snaps]])</f>
        <v>1</v>
      </c>
      <c r="V179">
        <v>50</v>
      </c>
      <c r="W179">
        <v>4</v>
      </c>
      <c r="X179" s="5" t="s">
        <v>168</v>
      </c>
      <c r="Y179">
        <v>5</v>
      </c>
      <c r="Z179">
        <v>0</v>
      </c>
      <c r="AA179" t="s">
        <v>25</v>
      </c>
      <c r="AB179" t="s">
        <v>26</v>
      </c>
      <c r="AC179" t="s">
        <v>27</v>
      </c>
      <c r="AD179" t="s">
        <v>42</v>
      </c>
      <c r="AE179" t="s">
        <v>25</v>
      </c>
      <c r="AF1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0.15740740740740741</v>
      </c>
      <c r="AG179" t="s">
        <v>942</v>
      </c>
      <c r="AH179">
        <v>56.5</v>
      </c>
      <c r="AI179" t="s">
        <v>939</v>
      </c>
      <c r="AJ179">
        <v>4</v>
      </c>
      <c r="AK1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MIN(AJ179/8, 1) +
  Merge1[[#This Row],[index_defensive_effort]],
  2
)</f>
        <v>1.1599999999999999</v>
      </c>
    </row>
    <row r="180" spans="1:37" x14ac:dyDescent="0.25">
      <c r="A180" t="s">
        <v>115</v>
      </c>
      <c r="B180" t="s">
        <v>116</v>
      </c>
      <c r="C180">
        <v>28</v>
      </c>
      <c r="D180" t="s">
        <v>22</v>
      </c>
      <c r="E180">
        <v>73</v>
      </c>
      <c r="F180">
        <v>202</v>
      </c>
      <c r="G180" t="s">
        <v>117</v>
      </c>
      <c r="H180">
        <v>2020</v>
      </c>
      <c r="I180" t="s">
        <v>33</v>
      </c>
      <c r="J180">
        <v>11</v>
      </c>
      <c r="K180">
        <v>3</v>
      </c>
      <c r="L180">
        <v>4</v>
      </c>
      <c r="M180">
        <v>0</v>
      </c>
      <c r="N180">
        <v>4</v>
      </c>
      <c r="O180">
        <v>0</v>
      </c>
      <c r="P180">
        <v>0</v>
      </c>
      <c r="Q180">
        <v>0</v>
      </c>
      <c r="R180">
        <v>0</v>
      </c>
      <c r="S180">
        <v>71</v>
      </c>
      <c r="T180">
        <v>66</v>
      </c>
      <c r="U180" s="5">
        <f>IF(Merge1[[#This Row],[team_defense_snaps]]=0, "", Merge1[[#This Row],[defense_snaps]] / Merge1[[#This Row],[team_defense_snaps]])</f>
        <v>1</v>
      </c>
      <c r="V180">
        <v>66</v>
      </c>
      <c r="W180">
        <v>5</v>
      </c>
      <c r="X180" s="5" t="s">
        <v>59</v>
      </c>
      <c r="Y180">
        <v>5</v>
      </c>
      <c r="Z180">
        <v>0</v>
      </c>
      <c r="AA180" t="s">
        <v>25</v>
      </c>
      <c r="AB180" t="s">
        <v>26</v>
      </c>
      <c r="AC180" t="s">
        <v>27</v>
      </c>
      <c r="AD180" t="s">
        <v>42</v>
      </c>
      <c r="AE180" t="s">
        <v>25</v>
      </c>
      <c r="AF1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7.0422535211267609E-2</v>
      </c>
      <c r="AG180" t="s">
        <v>942</v>
      </c>
      <c r="AH180">
        <v>55</v>
      </c>
      <c r="AI180" t="s">
        <v>939</v>
      </c>
      <c r="AJ180">
        <v>5</v>
      </c>
      <c r="AK1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MIN(AJ180/8, 1) +
  Merge1[[#This Row],[index_defensive_effort]],
  2
)</f>
        <v>1.2</v>
      </c>
    </row>
    <row r="181" spans="1:37" x14ac:dyDescent="0.25">
      <c r="A181" t="s">
        <v>115</v>
      </c>
      <c r="B181" t="s">
        <v>116</v>
      </c>
      <c r="C181">
        <v>28</v>
      </c>
      <c r="D181" t="s">
        <v>22</v>
      </c>
      <c r="E181">
        <v>73</v>
      </c>
      <c r="F181">
        <v>202</v>
      </c>
      <c r="G181" t="s">
        <v>117</v>
      </c>
      <c r="H181">
        <v>2020</v>
      </c>
      <c r="I181" t="s">
        <v>33</v>
      </c>
      <c r="J181">
        <v>12</v>
      </c>
      <c r="K181">
        <v>2</v>
      </c>
      <c r="L181">
        <v>9</v>
      </c>
      <c r="M181">
        <v>1</v>
      </c>
      <c r="N181">
        <v>10</v>
      </c>
      <c r="O181">
        <v>0</v>
      </c>
      <c r="P181">
        <v>1</v>
      </c>
      <c r="Q181">
        <v>0</v>
      </c>
      <c r="R181">
        <v>0</v>
      </c>
      <c r="S181">
        <v>72</v>
      </c>
      <c r="T181">
        <v>65</v>
      </c>
      <c r="U181" s="5">
        <f>IF(Merge1[[#This Row],[team_defense_snaps]]=0, "", Merge1[[#This Row],[defense_snaps]] / Merge1[[#This Row],[team_defense_snaps]])</f>
        <v>0.98484848484848486</v>
      </c>
      <c r="V181">
        <v>66</v>
      </c>
      <c r="W181">
        <v>7</v>
      </c>
      <c r="X181" s="5" t="s">
        <v>133</v>
      </c>
      <c r="Y181">
        <v>5</v>
      </c>
      <c r="Z181">
        <v>0</v>
      </c>
      <c r="AA181" t="s">
        <v>25</v>
      </c>
      <c r="AB181" t="s">
        <v>26</v>
      </c>
      <c r="AC181" t="s">
        <v>27</v>
      </c>
      <c r="AD181" t="s">
        <v>42</v>
      </c>
      <c r="AE181" t="s">
        <v>25</v>
      </c>
      <c r="AF1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181" t="s">
        <v>942</v>
      </c>
      <c r="AH181">
        <v>53.5</v>
      </c>
      <c r="AI181" t="s">
        <v>939</v>
      </c>
      <c r="AJ181">
        <v>6</v>
      </c>
      <c r="AK1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MIN(AJ181/8, 1) +
  Merge1[[#This Row],[index_defensive_effort]],
  2
)</f>
        <v>1.38</v>
      </c>
    </row>
    <row r="182" spans="1:37" x14ac:dyDescent="0.25">
      <c r="A182" t="s">
        <v>115</v>
      </c>
      <c r="B182" t="s">
        <v>116</v>
      </c>
      <c r="C182">
        <v>28</v>
      </c>
      <c r="D182" t="s">
        <v>22</v>
      </c>
      <c r="E182">
        <v>73</v>
      </c>
      <c r="F182">
        <v>202</v>
      </c>
      <c r="G182" t="s">
        <v>117</v>
      </c>
      <c r="H182">
        <v>2020</v>
      </c>
      <c r="I182" t="s">
        <v>33</v>
      </c>
      <c r="J182">
        <v>13</v>
      </c>
      <c r="K182">
        <v>3</v>
      </c>
      <c r="L182">
        <v>3</v>
      </c>
      <c r="M182">
        <v>0</v>
      </c>
      <c r="N182">
        <v>3</v>
      </c>
      <c r="O182">
        <v>0</v>
      </c>
      <c r="P182">
        <v>0</v>
      </c>
      <c r="Q182">
        <v>0</v>
      </c>
      <c r="R182">
        <v>0</v>
      </c>
      <c r="S182">
        <v>77</v>
      </c>
      <c r="T182">
        <v>71</v>
      </c>
      <c r="U182" s="5">
        <f>IF(Merge1[[#This Row],[team_defense_snaps]]=0, "", Merge1[[#This Row],[defense_snaps]] / Merge1[[#This Row],[team_defense_snaps]])</f>
        <v>1</v>
      </c>
      <c r="V182">
        <v>71</v>
      </c>
      <c r="W182">
        <v>6</v>
      </c>
      <c r="X182" s="5" t="s">
        <v>181</v>
      </c>
      <c r="Y182">
        <v>5</v>
      </c>
      <c r="Z182">
        <v>0</v>
      </c>
      <c r="AA182" t="s">
        <v>25</v>
      </c>
      <c r="AB182" t="s">
        <v>26</v>
      </c>
      <c r="AC182" t="s">
        <v>27</v>
      </c>
      <c r="AD182" t="s">
        <v>42</v>
      </c>
      <c r="AE182" t="s">
        <v>25</v>
      </c>
      <c r="AF1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5.844155844155844E-2</v>
      </c>
      <c r="AG182" t="s">
        <v>942</v>
      </c>
      <c r="AH182">
        <v>52</v>
      </c>
      <c r="AI182" t="s">
        <v>939</v>
      </c>
      <c r="AJ182">
        <v>7</v>
      </c>
      <c r="AK1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MIN(AJ182/8, 1) +
  Merge1[[#This Row],[index_defensive_effort]],
  2
)</f>
        <v>1.43</v>
      </c>
    </row>
    <row r="183" spans="1:37" x14ac:dyDescent="0.25">
      <c r="A183" t="s">
        <v>115</v>
      </c>
      <c r="B183" t="s">
        <v>116</v>
      </c>
      <c r="C183">
        <v>28</v>
      </c>
      <c r="D183" t="s">
        <v>22</v>
      </c>
      <c r="E183">
        <v>73</v>
      </c>
      <c r="F183">
        <v>202</v>
      </c>
      <c r="G183" t="s">
        <v>117</v>
      </c>
      <c r="H183">
        <v>2020</v>
      </c>
      <c r="I183" t="s">
        <v>33</v>
      </c>
      <c r="J183">
        <v>14</v>
      </c>
      <c r="K183">
        <v>2</v>
      </c>
      <c r="L183">
        <v>1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56</v>
      </c>
      <c r="T183">
        <v>51</v>
      </c>
      <c r="U183" s="5">
        <f>IF(Merge1[[#This Row],[team_defense_snaps]]=0, "", Merge1[[#This Row],[defense_snaps]] / Merge1[[#This Row],[team_defense_snaps]])</f>
        <v>1</v>
      </c>
      <c r="V183">
        <v>51</v>
      </c>
      <c r="W183">
        <v>5</v>
      </c>
      <c r="X183" s="5" t="s">
        <v>132</v>
      </c>
      <c r="Y183">
        <v>5</v>
      </c>
      <c r="Z183">
        <v>0</v>
      </c>
      <c r="AA183" t="s">
        <v>25</v>
      </c>
      <c r="AB183" t="s">
        <v>26</v>
      </c>
      <c r="AC183" t="s">
        <v>27</v>
      </c>
      <c r="AD183" t="s">
        <v>42</v>
      </c>
      <c r="AE183" t="s">
        <v>25</v>
      </c>
      <c r="AF1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4.4642857142857144E-2</v>
      </c>
      <c r="AG183" t="s">
        <v>942</v>
      </c>
      <c r="AH183">
        <v>50.5</v>
      </c>
      <c r="AI183" t="s">
        <v>939</v>
      </c>
      <c r="AJ183">
        <v>8</v>
      </c>
      <c r="AK1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MIN(AJ183/8, 1) +
  Merge1[[#This Row],[index_defensive_effort]],
  2
)</f>
        <v>1.54</v>
      </c>
    </row>
    <row r="184" spans="1:37" x14ac:dyDescent="0.25">
      <c r="A184" t="s">
        <v>115</v>
      </c>
      <c r="B184" t="s">
        <v>116</v>
      </c>
      <c r="C184">
        <v>28</v>
      </c>
      <c r="D184" t="s">
        <v>22</v>
      </c>
      <c r="E184">
        <v>73</v>
      </c>
      <c r="F184">
        <v>202</v>
      </c>
      <c r="G184" t="s">
        <v>117</v>
      </c>
      <c r="H184">
        <v>2020</v>
      </c>
      <c r="I184" t="s">
        <v>33</v>
      </c>
      <c r="J184">
        <v>15</v>
      </c>
      <c r="K184">
        <v>4</v>
      </c>
      <c r="L184">
        <v>3</v>
      </c>
      <c r="M184">
        <v>0</v>
      </c>
      <c r="N184">
        <v>3</v>
      </c>
      <c r="O184">
        <v>0</v>
      </c>
      <c r="P184">
        <v>0</v>
      </c>
      <c r="Q184">
        <v>0</v>
      </c>
      <c r="R184">
        <v>0</v>
      </c>
      <c r="S184">
        <v>72</v>
      </c>
      <c r="T184">
        <v>64</v>
      </c>
      <c r="U184" s="5">
        <f>IF(Merge1[[#This Row],[team_defense_snaps]]=0, "", Merge1[[#This Row],[defense_snaps]] / Merge1[[#This Row],[team_defense_snaps]])</f>
        <v>0.98461538461538467</v>
      </c>
      <c r="V184">
        <v>65</v>
      </c>
      <c r="W184">
        <v>8</v>
      </c>
      <c r="X184" s="5" t="s">
        <v>261</v>
      </c>
      <c r="Y184">
        <v>5</v>
      </c>
      <c r="Z184">
        <v>0</v>
      </c>
      <c r="AA184" t="s">
        <v>25</v>
      </c>
      <c r="AB184" t="s">
        <v>26</v>
      </c>
      <c r="AC184" t="s">
        <v>27</v>
      </c>
      <c r="AD184" t="s">
        <v>42</v>
      </c>
      <c r="AE184" t="s">
        <v>25</v>
      </c>
      <c r="AF1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7.6388888888888895E-2</v>
      </c>
      <c r="AG184" t="s">
        <v>942</v>
      </c>
      <c r="AH184">
        <v>49</v>
      </c>
      <c r="AI184" t="s">
        <v>939</v>
      </c>
      <c r="AJ184">
        <v>9</v>
      </c>
      <c r="AK1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MIN(AJ184/8, 1) +
  Merge1[[#This Row],[index_defensive_effort]],
  2
)</f>
        <v>1.58</v>
      </c>
    </row>
    <row r="185" spans="1:37" x14ac:dyDescent="0.25">
      <c r="A185" t="s">
        <v>115</v>
      </c>
      <c r="B185" t="s">
        <v>116</v>
      </c>
      <c r="C185">
        <v>28</v>
      </c>
      <c r="D185" t="s">
        <v>22</v>
      </c>
      <c r="E185">
        <v>73</v>
      </c>
      <c r="F185">
        <v>202</v>
      </c>
      <c r="G185" t="s">
        <v>117</v>
      </c>
      <c r="H185">
        <v>2020</v>
      </c>
      <c r="I185" t="s">
        <v>33</v>
      </c>
      <c r="J185">
        <v>16</v>
      </c>
      <c r="K185">
        <v>1</v>
      </c>
      <c r="L185">
        <v>7</v>
      </c>
      <c r="M185">
        <v>0</v>
      </c>
      <c r="N185">
        <v>7</v>
      </c>
      <c r="O185">
        <v>0</v>
      </c>
      <c r="P185">
        <v>0</v>
      </c>
      <c r="Q185">
        <v>0</v>
      </c>
      <c r="R185">
        <v>0</v>
      </c>
      <c r="S185">
        <v>83</v>
      </c>
      <c r="T185">
        <v>75</v>
      </c>
      <c r="U185" s="5">
        <f>IF(Merge1[[#This Row],[team_defense_snaps]]=0, "", Merge1[[#This Row],[defense_snaps]] / Merge1[[#This Row],[team_defense_snaps]])</f>
        <v>0.98684210526315785</v>
      </c>
      <c r="V185">
        <v>76</v>
      </c>
      <c r="W185">
        <v>8</v>
      </c>
      <c r="X185" s="5" t="s">
        <v>137</v>
      </c>
      <c r="Y185">
        <v>5</v>
      </c>
      <c r="Z185">
        <v>0</v>
      </c>
      <c r="AA185" t="s">
        <v>25</v>
      </c>
      <c r="AB185" t="s">
        <v>26</v>
      </c>
      <c r="AC185" t="s">
        <v>27</v>
      </c>
      <c r="AD185" t="s">
        <v>42</v>
      </c>
      <c r="AE185" t="s">
        <v>25</v>
      </c>
      <c r="AF1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5.4216867469879519E-2</v>
      </c>
      <c r="AG185" t="s">
        <v>942</v>
      </c>
      <c r="AH185">
        <v>47.5</v>
      </c>
      <c r="AI185" t="s">
        <v>939</v>
      </c>
      <c r="AJ185">
        <v>10</v>
      </c>
      <c r="AK1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MIN(AJ185/8, 1) +
  Merge1[[#This Row],[index_defensive_effort]],
  2
)</f>
        <v>1.55</v>
      </c>
    </row>
    <row r="186" spans="1:37" x14ac:dyDescent="0.25">
      <c r="A186" t="s">
        <v>115</v>
      </c>
      <c r="B186" t="s">
        <v>116</v>
      </c>
      <c r="C186">
        <v>28</v>
      </c>
      <c r="D186" t="s">
        <v>22</v>
      </c>
      <c r="E186">
        <v>73</v>
      </c>
      <c r="F186">
        <v>202</v>
      </c>
      <c r="G186" t="s">
        <v>117</v>
      </c>
      <c r="H186">
        <v>2020</v>
      </c>
      <c r="I186" t="s">
        <v>33</v>
      </c>
      <c r="J186">
        <v>17</v>
      </c>
      <c r="K186">
        <v>6</v>
      </c>
      <c r="L186">
        <v>2</v>
      </c>
      <c r="M186">
        <v>1</v>
      </c>
      <c r="N186">
        <v>3</v>
      </c>
      <c r="O186">
        <v>0</v>
      </c>
      <c r="P186">
        <v>0</v>
      </c>
      <c r="Q186">
        <v>0</v>
      </c>
      <c r="R186">
        <v>0</v>
      </c>
      <c r="S186">
        <v>62</v>
      </c>
      <c r="T186">
        <v>58</v>
      </c>
      <c r="U186" s="5">
        <f>IF(Merge1[[#This Row],[team_defense_snaps]]=0, "", Merge1[[#This Row],[defense_snaps]] / Merge1[[#This Row],[team_defense_snaps]])</f>
        <v>1</v>
      </c>
      <c r="V186">
        <v>58</v>
      </c>
      <c r="W186">
        <v>4</v>
      </c>
      <c r="X186" s="5" t="s">
        <v>209</v>
      </c>
      <c r="Y186">
        <v>5</v>
      </c>
      <c r="Z186">
        <v>0</v>
      </c>
      <c r="AA186" t="s">
        <v>25</v>
      </c>
      <c r="AB186" t="s">
        <v>26</v>
      </c>
      <c r="AC186" t="s">
        <v>27</v>
      </c>
      <c r="AD186" t="s">
        <v>42</v>
      </c>
      <c r="AE186" t="s">
        <v>25</v>
      </c>
      <c r="AF1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0.12096774193548387</v>
      </c>
      <c r="AG186" t="s">
        <v>942</v>
      </c>
      <c r="AH186">
        <v>46</v>
      </c>
      <c r="AI186" t="s">
        <v>939</v>
      </c>
      <c r="AJ186">
        <v>1</v>
      </c>
      <c r="AK1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MIN(AJ186/8, 1) +
  Merge1[[#This Row],[index_defensive_effort]],
  2
)</f>
        <v>0.75</v>
      </c>
    </row>
    <row r="187" spans="1:37" x14ac:dyDescent="0.25">
      <c r="A187" t="s">
        <v>30</v>
      </c>
      <c r="B187" t="s">
        <v>31</v>
      </c>
      <c r="C187">
        <v>33</v>
      </c>
      <c r="D187" t="s">
        <v>22</v>
      </c>
      <c r="E187">
        <v>71</v>
      </c>
      <c r="F187">
        <v>207</v>
      </c>
      <c r="G187" t="s">
        <v>32</v>
      </c>
      <c r="H187">
        <v>2020</v>
      </c>
      <c r="I187" t="s">
        <v>33</v>
      </c>
      <c r="J187">
        <v>11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23</v>
      </c>
      <c r="T187">
        <v>0</v>
      </c>
      <c r="U187" s="5">
        <f>IF(Merge1[[#This Row],[team_defense_snaps]]=0, "", Merge1[[#This Row],[defense_snaps]] / Merge1[[#This Row],[team_defense_snaps]])</f>
        <v>0</v>
      </c>
      <c r="V187">
        <v>70</v>
      </c>
      <c r="W187">
        <v>23</v>
      </c>
      <c r="X187" s="5" t="s">
        <v>331</v>
      </c>
      <c r="Y187">
        <v>9</v>
      </c>
      <c r="Z187">
        <v>0</v>
      </c>
      <c r="AA187" t="s">
        <v>25</v>
      </c>
      <c r="AB187" t="s">
        <v>26</v>
      </c>
      <c r="AC187" t="s">
        <v>27</v>
      </c>
      <c r="AD187" t="s">
        <v>28</v>
      </c>
      <c r="AE187" t="s">
        <v>25</v>
      </c>
      <c r="AF1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4.3478260869565216E-2</v>
      </c>
      <c r="AG187" t="s">
        <v>941</v>
      </c>
      <c r="AH187">
        <v>57</v>
      </c>
      <c r="AI187" t="s">
        <v>939</v>
      </c>
      <c r="AJ187">
        <v>1</v>
      </c>
      <c r="AK1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MIN(AJ187/8, 1) +
  Merge1[[#This Row],[index_defensive_effort]],
  2
)</f>
        <v>0.87</v>
      </c>
    </row>
    <row r="188" spans="1:37" x14ac:dyDescent="0.25">
      <c r="A188" t="s">
        <v>30</v>
      </c>
      <c r="B188" t="s">
        <v>31</v>
      </c>
      <c r="C188">
        <v>33</v>
      </c>
      <c r="D188" t="s">
        <v>22</v>
      </c>
      <c r="E188">
        <v>71</v>
      </c>
      <c r="F188">
        <v>207</v>
      </c>
      <c r="G188" t="s">
        <v>32</v>
      </c>
      <c r="H188">
        <v>2020</v>
      </c>
      <c r="I188" t="s">
        <v>33</v>
      </c>
      <c r="J188">
        <v>13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23</v>
      </c>
      <c r="T188">
        <v>4</v>
      </c>
      <c r="U188" s="5">
        <f>IF(Merge1[[#This Row],[team_defense_snaps]]=0, "", Merge1[[#This Row],[defense_snaps]] / Merge1[[#This Row],[team_defense_snaps]])</f>
        <v>0.05</v>
      </c>
      <c r="V188">
        <v>80</v>
      </c>
      <c r="W188">
        <v>19</v>
      </c>
      <c r="X188" s="5" t="s">
        <v>87</v>
      </c>
      <c r="Y188">
        <v>9</v>
      </c>
      <c r="Z188">
        <v>0</v>
      </c>
      <c r="AA188" t="s">
        <v>25</v>
      </c>
      <c r="AB188" t="s">
        <v>26</v>
      </c>
      <c r="AC188" t="s">
        <v>27</v>
      </c>
      <c r="AD188" t="s">
        <v>28</v>
      </c>
      <c r="AE188" t="s">
        <v>25</v>
      </c>
      <c r="AF1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4.3478260869565216E-2</v>
      </c>
      <c r="AG188" t="s">
        <v>941</v>
      </c>
      <c r="AH188">
        <v>54</v>
      </c>
      <c r="AI188" t="s">
        <v>938</v>
      </c>
      <c r="AJ188">
        <v>2</v>
      </c>
      <c r="AK1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MIN(AJ188/8, 1) +
  Merge1[[#This Row],[index_defensive_effort]],
  2
)</f>
        <v>0.99</v>
      </c>
    </row>
    <row r="189" spans="1:37" x14ac:dyDescent="0.25">
      <c r="A189" t="s">
        <v>30</v>
      </c>
      <c r="B189" t="s">
        <v>31</v>
      </c>
      <c r="C189">
        <v>33</v>
      </c>
      <c r="D189" t="s">
        <v>22</v>
      </c>
      <c r="E189">
        <v>71</v>
      </c>
      <c r="F189">
        <v>207</v>
      </c>
      <c r="G189" t="s">
        <v>32</v>
      </c>
      <c r="H189">
        <v>2020</v>
      </c>
      <c r="I189" t="s">
        <v>33</v>
      </c>
      <c r="J189">
        <v>14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36</v>
      </c>
      <c r="T189">
        <v>9</v>
      </c>
      <c r="U189" s="5">
        <f>IF(Merge1[[#This Row],[team_defense_snaps]]=0, "", Merge1[[#This Row],[defense_snaps]] / Merge1[[#This Row],[team_defense_snaps]])</f>
        <v>0.10588235294117647</v>
      </c>
      <c r="V189">
        <v>85</v>
      </c>
      <c r="W189">
        <v>27</v>
      </c>
      <c r="X189" s="5" t="s">
        <v>244</v>
      </c>
      <c r="Y189">
        <v>9</v>
      </c>
      <c r="Z189">
        <v>0</v>
      </c>
      <c r="AA189" t="s">
        <v>25</v>
      </c>
      <c r="AB189" t="s">
        <v>36</v>
      </c>
      <c r="AC189" t="s">
        <v>37</v>
      </c>
      <c r="AD189" t="s">
        <v>28</v>
      </c>
      <c r="AE189" t="s">
        <v>25</v>
      </c>
      <c r="AF1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2.7777777777777776E-2</v>
      </c>
      <c r="AG189" t="s">
        <v>941</v>
      </c>
      <c r="AH189">
        <v>52.5</v>
      </c>
      <c r="AI189" t="s">
        <v>27</v>
      </c>
      <c r="AJ189">
        <v>1</v>
      </c>
      <c r="AK1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MIN(AJ189/8, 1) +
  Merge1[[#This Row],[index_defensive_effort]],
  2
)</f>
        <v>0.85</v>
      </c>
    </row>
    <row r="190" spans="1:37" x14ac:dyDescent="0.25">
      <c r="A190" t="s">
        <v>72</v>
      </c>
      <c r="B190" t="s">
        <v>73</v>
      </c>
      <c r="C190">
        <v>22</v>
      </c>
      <c r="D190" t="s">
        <v>56</v>
      </c>
      <c r="E190">
        <v>71</v>
      </c>
      <c r="F190">
        <v>215</v>
      </c>
      <c r="G190" t="s">
        <v>74</v>
      </c>
      <c r="H190">
        <v>2020</v>
      </c>
      <c r="I190" t="s">
        <v>33</v>
      </c>
      <c r="J190">
        <v>10</v>
      </c>
      <c r="K190">
        <v>1</v>
      </c>
      <c r="L190">
        <v>1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s="5">
        <f>IF(Merge1[[#This Row],[team_defense_snaps]]=0, "", Merge1[[#This Row],[defense_snaps]] / Merge1[[#This Row],[team_defense_snaps]])</f>
        <v>0</v>
      </c>
      <c r="V190">
        <v>65</v>
      </c>
      <c r="W190">
        <v>0</v>
      </c>
      <c r="X190" s="5" t="s">
        <v>29</v>
      </c>
      <c r="Y190">
        <v>0</v>
      </c>
      <c r="Z190">
        <v>0</v>
      </c>
      <c r="AA190" t="s">
        <v>25</v>
      </c>
      <c r="AB190" t="s">
        <v>26</v>
      </c>
      <c r="AC190" t="s">
        <v>27</v>
      </c>
      <c r="AD190" t="s">
        <v>28</v>
      </c>
      <c r="AE190" t="s">
        <v>25</v>
      </c>
      <c r="AF1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190" t="s">
        <v>941</v>
      </c>
      <c r="AH190">
        <v>57.5</v>
      </c>
      <c r="AI190" t="s">
        <v>939</v>
      </c>
      <c r="AJ190">
        <v>1</v>
      </c>
      <c r="AK1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MIN(AJ190/8, 1) +
  Merge1[[#This Row],[index_defensive_effort]],
  2
)</f>
        <v>0.63</v>
      </c>
    </row>
    <row r="191" spans="1:37" x14ac:dyDescent="0.25">
      <c r="A191" t="s">
        <v>184</v>
      </c>
      <c r="B191" t="s">
        <v>185</v>
      </c>
      <c r="C191">
        <v>22</v>
      </c>
      <c r="D191" t="s">
        <v>22</v>
      </c>
      <c r="E191">
        <v>69</v>
      </c>
      <c r="F191">
        <v>203</v>
      </c>
      <c r="G191" t="s">
        <v>23</v>
      </c>
      <c r="H191">
        <v>2020</v>
      </c>
      <c r="I191" t="s">
        <v>33</v>
      </c>
      <c r="J191">
        <v>1</v>
      </c>
      <c r="K191">
        <v>3</v>
      </c>
      <c r="L191">
        <v>3</v>
      </c>
      <c r="M191">
        <v>0</v>
      </c>
      <c r="N191">
        <v>3</v>
      </c>
      <c r="O191">
        <v>0</v>
      </c>
      <c r="P191">
        <v>1</v>
      </c>
      <c r="Q191">
        <v>0</v>
      </c>
      <c r="R191">
        <v>0</v>
      </c>
      <c r="S191">
        <v>7</v>
      </c>
      <c r="T191">
        <v>0</v>
      </c>
      <c r="U191" s="5">
        <f>IF(Merge1[[#This Row],[team_defense_snaps]]=0, "", Merge1[[#This Row],[defense_snaps]] / Merge1[[#This Row],[team_defense_snaps]])</f>
        <v>0</v>
      </c>
      <c r="V191">
        <v>69</v>
      </c>
      <c r="W191">
        <v>7</v>
      </c>
      <c r="X191" s="5" t="s">
        <v>293</v>
      </c>
      <c r="Y191">
        <v>0</v>
      </c>
      <c r="Z191">
        <v>0</v>
      </c>
      <c r="AA191" t="s">
        <v>25</v>
      </c>
      <c r="AB191" t="s">
        <v>26</v>
      </c>
      <c r="AC191" t="s">
        <v>27</v>
      </c>
      <c r="AD191" t="s">
        <v>42</v>
      </c>
      <c r="AE191" t="s">
        <v>25</v>
      </c>
      <c r="AF1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0.9285714285714286</v>
      </c>
      <c r="AG191" t="s">
        <v>941</v>
      </c>
      <c r="AH191">
        <v>72.5</v>
      </c>
      <c r="AI191" t="s">
        <v>939</v>
      </c>
      <c r="AJ191">
        <v>2</v>
      </c>
      <c r="AK1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MIN(AJ191/8, 1) +
  Merge1[[#This Row],[index_defensive_effort]],
  2
)</f>
        <v>1.68</v>
      </c>
    </row>
    <row r="192" spans="1:37" x14ac:dyDescent="0.25">
      <c r="A192" t="s">
        <v>184</v>
      </c>
      <c r="B192" t="s">
        <v>185</v>
      </c>
      <c r="C192">
        <v>22</v>
      </c>
      <c r="D192" t="s">
        <v>22</v>
      </c>
      <c r="E192">
        <v>69</v>
      </c>
      <c r="F192">
        <v>203</v>
      </c>
      <c r="G192" t="s">
        <v>23</v>
      </c>
      <c r="H192">
        <v>2020</v>
      </c>
      <c r="I192" t="s">
        <v>33</v>
      </c>
      <c r="J192">
        <v>2</v>
      </c>
      <c r="K192">
        <v>10</v>
      </c>
      <c r="L192">
        <v>6</v>
      </c>
      <c r="M192">
        <v>0</v>
      </c>
      <c r="N192">
        <v>6</v>
      </c>
      <c r="O192">
        <v>3</v>
      </c>
      <c r="P192">
        <v>3</v>
      </c>
      <c r="Q192">
        <v>0</v>
      </c>
      <c r="R192">
        <v>4</v>
      </c>
      <c r="S192">
        <v>5</v>
      </c>
      <c r="T192">
        <v>0</v>
      </c>
      <c r="U192" s="5">
        <f>IF(Merge1[[#This Row],[team_defense_snaps]]=0, "", Merge1[[#This Row],[defense_snaps]] / Merge1[[#This Row],[team_defense_snaps]])</f>
        <v>0</v>
      </c>
      <c r="V192">
        <v>73</v>
      </c>
      <c r="W192">
        <v>5</v>
      </c>
      <c r="X192" s="5" t="s">
        <v>58</v>
      </c>
      <c r="Y192">
        <v>0</v>
      </c>
      <c r="Z192">
        <v>0</v>
      </c>
      <c r="AA192" t="s">
        <v>25</v>
      </c>
      <c r="AB192" t="s">
        <v>26</v>
      </c>
      <c r="AC192" t="s">
        <v>27</v>
      </c>
      <c r="AD192" t="s">
        <v>42</v>
      </c>
      <c r="AE192" t="s">
        <v>25</v>
      </c>
      <c r="AF1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192" t="s">
        <v>941</v>
      </c>
      <c r="AH192">
        <v>62</v>
      </c>
      <c r="AI192" t="s">
        <v>939</v>
      </c>
      <c r="AJ192">
        <v>3</v>
      </c>
      <c r="AK1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MIN(AJ192/8, 1) +
  Merge1[[#This Row],[index_defensive_effort]],
  2
)</f>
        <v>1.88</v>
      </c>
    </row>
    <row r="193" spans="1:37" x14ac:dyDescent="0.25">
      <c r="A193" t="s">
        <v>184</v>
      </c>
      <c r="B193" t="s">
        <v>185</v>
      </c>
      <c r="C193">
        <v>22</v>
      </c>
      <c r="D193" t="s">
        <v>22</v>
      </c>
      <c r="E193">
        <v>69</v>
      </c>
      <c r="F193">
        <v>203</v>
      </c>
      <c r="G193" t="s">
        <v>23</v>
      </c>
      <c r="H193">
        <v>2020</v>
      </c>
      <c r="I193" t="s">
        <v>33</v>
      </c>
      <c r="J193">
        <v>3</v>
      </c>
      <c r="K193">
        <v>7</v>
      </c>
      <c r="L193">
        <v>2</v>
      </c>
      <c r="M193">
        <v>0</v>
      </c>
      <c r="N193">
        <v>2</v>
      </c>
      <c r="O193">
        <v>4</v>
      </c>
      <c r="P193">
        <v>4</v>
      </c>
      <c r="Q193">
        <v>0</v>
      </c>
      <c r="R193">
        <v>0</v>
      </c>
      <c r="S193">
        <v>8</v>
      </c>
      <c r="T193">
        <v>0</v>
      </c>
      <c r="U193" s="5">
        <f>IF(Merge1[[#This Row],[team_defense_snaps]]=0, "", Merge1[[#This Row],[defense_snaps]] / Merge1[[#This Row],[team_defense_snaps]])</f>
        <v>0</v>
      </c>
      <c r="V193">
        <v>63</v>
      </c>
      <c r="W193">
        <v>8</v>
      </c>
      <c r="X193" s="5" t="s">
        <v>113</v>
      </c>
      <c r="Y193">
        <v>0</v>
      </c>
      <c r="Z193">
        <v>0</v>
      </c>
      <c r="AA193" t="s">
        <v>25</v>
      </c>
      <c r="AB193" t="s">
        <v>26</v>
      </c>
      <c r="AC193" t="s">
        <v>27</v>
      </c>
      <c r="AD193" t="s">
        <v>42</v>
      </c>
      <c r="AE193" t="s">
        <v>25</v>
      </c>
      <c r="AF1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193" t="s">
        <v>941</v>
      </c>
      <c r="AH193">
        <v>77</v>
      </c>
      <c r="AI193" t="s">
        <v>939</v>
      </c>
      <c r="AJ193">
        <v>4</v>
      </c>
      <c r="AK1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MIN(AJ193/8, 1) +
  Merge1[[#This Row],[index_defensive_effort]],
  2
)</f>
        <v>2</v>
      </c>
    </row>
    <row r="194" spans="1:37" x14ac:dyDescent="0.25">
      <c r="A194" t="s">
        <v>184</v>
      </c>
      <c r="B194" t="s">
        <v>185</v>
      </c>
      <c r="C194">
        <v>22</v>
      </c>
      <c r="D194" t="s">
        <v>22</v>
      </c>
      <c r="E194">
        <v>69</v>
      </c>
      <c r="F194">
        <v>203</v>
      </c>
      <c r="G194" t="s">
        <v>23</v>
      </c>
      <c r="H194">
        <v>2020</v>
      </c>
      <c r="I194" t="s">
        <v>33</v>
      </c>
      <c r="J194">
        <v>4</v>
      </c>
      <c r="K194">
        <v>2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6</v>
      </c>
      <c r="T194">
        <v>0</v>
      </c>
      <c r="U194" s="5">
        <f>IF(Merge1[[#This Row],[team_defense_snaps]]=0, "", Merge1[[#This Row],[defense_snaps]] / Merge1[[#This Row],[team_defense_snaps]])</f>
        <v>0</v>
      </c>
      <c r="V194">
        <v>53</v>
      </c>
      <c r="W194">
        <v>6</v>
      </c>
      <c r="X194" s="5" t="s">
        <v>59</v>
      </c>
      <c r="Y194">
        <v>0</v>
      </c>
      <c r="Z194">
        <v>0</v>
      </c>
      <c r="AA194" t="s">
        <v>25</v>
      </c>
      <c r="AB194" t="s">
        <v>26</v>
      </c>
      <c r="AC194" t="s">
        <v>27</v>
      </c>
      <c r="AD194" t="s">
        <v>42</v>
      </c>
      <c r="AE194" t="s">
        <v>25</v>
      </c>
      <c r="AF1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0.66666666666666663</v>
      </c>
      <c r="AG194" t="s">
        <v>941</v>
      </c>
      <c r="AH194">
        <v>66</v>
      </c>
      <c r="AI194" t="s">
        <v>939</v>
      </c>
      <c r="AJ194">
        <v>5</v>
      </c>
      <c r="AK1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MIN(AJ194/8, 1) +
  Merge1[[#This Row],[index_defensive_effort]],
  2
)</f>
        <v>1.79</v>
      </c>
    </row>
    <row r="195" spans="1:37" x14ac:dyDescent="0.25">
      <c r="A195" t="s">
        <v>184</v>
      </c>
      <c r="B195" t="s">
        <v>185</v>
      </c>
      <c r="C195">
        <v>22</v>
      </c>
      <c r="D195" t="s">
        <v>22</v>
      </c>
      <c r="E195">
        <v>69</v>
      </c>
      <c r="F195">
        <v>203</v>
      </c>
      <c r="G195" t="s">
        <v>23</v>
      </c>
      <c r="H195">
        <v>2020</v>
      </c>
      <c r="I195" t="s">
        <v>33</v>
      </c>
      <c r="J195">
        <v>5</v>
      </c>
      <c r="K195">
        <v>3</v>
      </c>
      <c r="L195">
        <v>2</v>
      </c>
      <c r="M195">
        <v>1</v>
      </c>
      <c r="N195">
        <v>3</v>
      </c>
      <c r="O195">
        <v>0</v>
      </c>
      <c r="P195">
        <v>0</v>
      </c>
      <c r="Q195">
        <v>0</v>
      </c>
      <c r="R195">
        <v>0</v>
      </c>
      <c r="S195">
        <v>7</v>
      </c>
      <c r="T195">
        <v>0</v>
      </c>
      <c r="U195" s="5">
        <f>IF(Merge1[[#This Row],[team_defense_snaps]]=0, "", Merge1[[#This Row],[defense_snaps]] / Merge1[[#This Row],[team_defense_snaps]])</f>
        <v>0</v>
      </c>
      <c r="V195">
        <v>63</v>
      </c>
      <c r="W195">
        <v>7</v>
      </c>
      <c r="X195" s="5" t="s">
        <v>135</v>
      </c>
      <c r="Y195">
        <v>0</v>
      </c>
      <c r="Z195">
        <v>0</v>
      </c>
      <c r="AA195" t="s">
        <v>25</v>
      </c>
      <c r="AB195" t="s">
        <v>26</v>
      </c>
      <c r="AC195" t="s">
        <v>27</v>
      </c>
      <c r="AD195" t="s">
        <v>42</v>
      </c>
      <c r="AE195" t="s">
        <v>25</v>
      </c>
      <c r="AF1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0.6428571428571429</v>
      </c>
      <c r="AG195" t="s">
        <v>941</v>
      </c>
      <c r="AH195">
        <v>66.5</v>
      </c>
      <c r="AI195" t="s">
        <v>939</v>
      </c>
      <c r="AJ195">
        <v>6</v>
      </c>
      <c r="AK1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MIN(AJ195/8, 1) +
  Merge1[[#This Row],[index_defensive_effort]],
  2
)</f>
        <v>1.89</v>
      </c>
    </row>
    <row r="196" spans="1:37" x14ac:dyDescent="0.25">
      <c r="A196" t="s">
        <v>184</v>
      </c>
      <c r="B196" t="s">
        <v>185</v>
      </c>
      <c r="C196">
        <v>22</v>
      </c>
      <c r="D196" t="s">
        <v>22</v>
      </c>
      <c r="E196">
        <v>69</v>
      </c>
      <c r="F196">
        <v>203</v>
      </c>
      <c r="G196" t="s">
        <v>23</v>
      </c>
      <c r="H196">
        <v>2020</v>
      </c>
      <c r="I196" t="s">
        <v>33</v>
      </c>
      <c r="J196">
        <v>6</v>
      </c>
      <c r="K196">
        <v>3</v>
      </c>
      <c r="L196">
        <v>2</v>
      </c>
      <c r="M196">
        <v>0</v>
      </c>
      <c r="N196">
        <v>2</v>
      </c>
      <c r="O196">
        <v>0</v>
      </c>
      <c r="P196">
        <v>0</v>
      </c>
      <c r="Q196">
        <v>0</v>
      </c>
      <c r="R196">
        <v>0</v>
      </c>
      <c r="S196">
        <v>2</v>
      </c>
      <c r="T196">
        <v>0</v>
      </c>
      <c r="U196" s="5">
        <f>IF(Merge1[[#This Row],[team_defense_snaps]]=0, "", Merge1[[#This Row],[defense_snaps]] / Merge1[[#This Row],[team_defense_snaps]])</f>
        <v>0</v>
      </c>
      <c r="V196">
        <v>63</v>
      </c>
      <c r="W196">
        <v>2</v>
      </c>
      <c r="X196" s="5" t="s">
        <v>208</v>
      </c>
      <c r="Y196">
        <v>0</v>
      </c>
      <c r="Z196">
        <v>0</v>
      </c>
      <c r="AA196" t="s">
        <v>25</v>
      </c>
      <c r="AB196" t="s">
        <v>26</v>
      </c>
      <c r="AC196" t="s">
        <v>27</v>
      </c>
      <c r="AD196" t="s">
        <v>42</v>
      </c>
      <c r="AE196" t="s">
        <v>25</v>
      </c>
      <c r="AF1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196" t="s">
        <v>941</v>
      </c>
      <c r="AH196">
        <v>69.5</v>
      </c>
      <c r="AI196" t="s">
        <v>939</v>
      </c>
      <c r="AJ196">
        <v>7</v>
      </c>
      <c r="AK1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MIN(AJ196/8, 1) +
  Merge1[[#This Row],[index_defensive_effort]],
  2
)</f>
        <v>2.38</v>
      </c>
    </row>
    <row r="197" spans="1:37" x14ac:dyDescent="0.25">
      <c r="A197" t="s">
        <v>184</v>
      </c>
      <c r="B197" t="s">
        <v>185</v>
      </c>
      <c r="C197">
        <v>22</v>
      </c>
      <c r="D197" t="s">
        <v>22</v>
      </c>
      <c r="E197">
        <v>69</v>
      </c>
      <c r="F197">
        <v>203</v>
      </c>
      <c r="G197" t="s">
        <v>23</v>
      </c>
      <c r="H197">
        <v>2020</v>
      </c>
      <c r="I197" t="s">
        <v>33</v>
      </c>
      <c r="J197">
        <v>7</v>
      </c>
      <c r="K197">
        <v>1</v>
      </c>
      <c r="L197">
        <v>3</v>
      </c>
      <c r="M197">
        <v>0</v>
      </c>
      <c r="N197">
        <v>3</v>
      </c>
      <c r="O197">
        <v>0</v>
      </c>
      <c r="P197">
        <v>0</v>
      </c>
      <c r="Q197">
        <v>2</v>
      </c>
      <c r="R197">
        <v>0</v>
      </c>
      <c r="S197">
        <v>4</v>
      </c>
      <c r="T197">
        <v>0</v>
      </c>
      <c r="U197" s="5">
        <f>IF(Merge1[[#This Row],[team_defense_snaps]]=0, "", Merge1[[#This Row],[defense_snaps]] / Merge1[[#This Row],[team_defense_snaps]])</f>
        <v>0</v>
      </c>
      <c r="V197">
        <v>65</v>
      </c>
      <c r="W197">
        <v>4</v>
      </c>
      <c r="X197" s="5" t="s">
        <v>209</v>
      </c>
      <c r="Y197">
        <v>0</v>
      </c>
      <c r="Z197">
        <v>0</v>
      </c>
      <c r="AA197" t="s">
        <v>25</v>
      </c>
      <c r="AB197" t="s">
        <v>26</v>
      </c>
      <c r="AC197" t="s">
        <v>27</v>
      </c>
      <c r="AD197" t="s">
        <v>42</v>
      </c>
      <c r="AE197" t="s">
        <v>25</v>
      </c>
      <c r="AF1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197" t="s">
        <v>941</v>
      </c>
      <c r="AH197">
        <v>71</v>
      </c>
      <c r="AI197" t="s">
        <v>939</v>
      </c>
      <c r="AJ197">
        <v>8</v>
      </c>
      <c r="AK1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MIN(AJ197/8, 1) +
  Merge1[[#This Row],[index_defensive_effort]],
  2
)</f>
        <v>2.5</v>
      </c>
    </row>
    <row r="198" spans="1:37" x14ac:dyDescent="0.25">
      <c r="A198" t="s">
        <v>184</v>
      </c>
      <c r="B198" t="s">
        <v>185</v>
      </c>
      <c r="C198">
        <v>22</v>
      </c>
      <c r="D198" t="s">
        <v>22</v>
      </c>
      <c r="E198">
        <v>69</v>
      </c>
      <c r="F198">
        <v>203</v>
      </c>
      <c r="G198" t="s">
        <v>23</v>
      </c>
      <c r="H198">
        <v>2020</v>
      </c>
      <c r="I198" t="s">
        <v>33</v>
      </c>
      <c r="J198">
        <v>8</v>
      </c>
      <c r="K198">
        <v>5</v>
      </c>
      <c r="L198">
        <v>2</v>
      </c>
      <c r="M198">
        <v>1</v>
      </c>
      <c r="N198">
        <v>3</v>
      </c>
      <c r="O198">
        <v>0</v>
      </c>
      <c r="P198">
        <v>1</v>
      </c>
      <c r="Q198">
        <v>0</v>
      </c>
      <c r="R198">
        <v>0</v>
      </c>
      <c r="S198">
        <v>4</v>
      </c>
      <c r="T198">
        <v>0</v>
      </c>
      <c r="U198" s="5">
        <f>IF(Merge1[[#This Row],[team_defense_snaps]]=0, "", Merge1[[#This Row],[defense_snaps]] / Merge1[[#This Row],[team_defense_snaps]])</f>
        <v>0</v>
      </c>
      <c r="V198">
        <v>75</v>
      </c>
      <c r="W198">
        <v>4</v>
      </c>
      <c r="X198" s="5" t="s">
        <v>168</v>
      </c>
      <c r="Y198">
        <v>0</v>
      </c>
      <c r="Z198">
        <v>0</v>
      </c>
      <c r="AA198" t="s">
        <v>25</v>
      </c>
      <c r="AB198" t="s">
        <v>26</v>
      </c>
      <c r="AC198" t="s">
        <v>27</v>
      </c>
      <c r="AD198" t="s">
        <v>42</v>
      </c>
      <c r="AE198" t="s">
        <v>25</v>
      </c>
      <c r="AF1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198" t="s">
        <v>941</v>
      </c>
      <c r="AH198">
        <v>75.5</v>
      </c>
      <c r="AI198" t="s">
        <v>939</v>
      </c>
      <c r="AJ198">
        <v>9</v>
      </c>
      <c r="AK1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MIN(AJ198/8, 1) +
  Merge1[[#This Row],[index_defensive_effort]],
  2
)</f>
        <v>2.5</v>
      </c>
    </row>
    <row r="199" spans="1:37" x14ac:dyDescent="0.25">
      <c r="A199" t="s">
        <v>184</v>
      </c>
      <c r="B199" t="s">
        <v>185</v>
      </c>
      <c r="C199">
        <v>22</v>
      </c>
      <c r="D199" t="s">
        <v>22</v>
      </c>
      <c r="E199">
        <v>69</v>
      </c>
      <c r="F199">
        <v>203</v>
      </c>
      <c r="G199" t="s">
        <v>23</v>
      </c>
      <c r="H199">
        <v>2020</v>
      </c>
      <c r="I199" t="s">
        <v>33</v>
      </c>
      <c r="J199">
        <v>9</v>
      </c>
      <c r="K199">
        <v>3</v>
      </c>
      <c r="L199">
        <v>4</v>
      </c>
      <c r="M199">
        <v>0</v>
      </c>
      <c r="N199">
        <v>4</v>
      </c>
      <c r="O199">
        <v>0</v>
      </c>
      <c r="P199">
        <v>0</v>
      </c>
      <c r="Q199">
        <v>0</v>
      </c>
      <c r="R199">
        <v>0</v>
      </c>
      <c r="S199">
        <v>10</v>
      </c>
      <c r="T199">
        <v>0</v>
      </c>
      <c r="U199" s="5">
        <f>IF(Merge1[[#This Row],[team_defense_snaps]]=0, "", Merge1[[#This Row],[defense_snaps]] / Merge1[[#This Row],[team_defense_snaps]])</f>
        <v>0</v>
      </c>
      <c r="V199">
        <v>73</v>
      </c>
      <c r="W199">
        <v>10</v>
      </c>
      <c r="X199" s="5" t="s">
        <v>200</v>
      </c>
      <c r="Y199">
        <v>0</v>
      </c>
      <c r="Z199">
        <v>0</v>
      </c>
      <c r="AA199" t="s">
        <v>25</v>
      </c>
      <c r="AB199" t="s">
        <v>26</v>
      </c>
      <c r="AC199" t="s">
        <v>27</v>
      </c>
      <c r="AD199" t="s">
        <v>42</v>
      </c>
      <c r="AE199" t="s">
        <v>25</v>
      </c>
      <c r="AF1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</v>
      </c>
      <c r="AG199" t="s">
        <v>941</v>
      </c>
      <c r="AH199">
        <v>74</v>
      </c>
      <c r="AI199" t="s">
        <v>939</v>
      </c>
      <c r="AJ199">
        <v>10</v>
      </c>
      <c r="AK1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MIN(AJ199/8, 1) +
  Merge1[[#This Row],[index_defensive_effort]],
  2
)</f>
        <v>2</v>
      </c>
    </row>
    <row r="200" spans="1:37" x14ac:dyDescent="0.25">
      <c r="A200" t="s">
        <v>184</v>
      </c>
      <c r="B200" t="s">
        <v>185</v>
      </c>
      <c r="C200">
        <v>22</v>
      </c>
      <c r="D200" t="s">
        <v>22</v>
      </c>
      <c r="E200">
        <v>69</v>
      </c>
      <c r="F200">
        <v>203</v>
      </c>
      <c r="G200" t="s">
        <v>23</v>
      </c>
      <c r="H200">
        <v>2020</v>
      </c>
      <c r="I200" t="s">
        <v>33</v>
      </c>
      <c r="J200">
        <v>10</v>
      </c>
      <c r="K200">
        <v>0</v>
      </c>
      <c r="L200">
        <v>1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3</v>
      </c>
      <c r="T200">
        <v>0</v>
      </c>
      <c r="U200" s="5">
        <f>IF(Merge1[[#This Row],[team_defense_snaps]]=0, "", Merge1[[#This Row],[defense_snaps]] / Merge1[[#This Row],[team_defense_snaps]])</f>
        <v>0</v>
      </c>
      <c r="V200">
        <v>48</v>
      </c>
      <c r="W200">
        <v>3</v>
      </c>
      <c r="X200" s="5" t="s">
        <v>250</v>
      </c>
      <c r="Y200">
        <v>0</v>
      </c>
      <c r="Z200">
        <v>0</v>
      </c>
      <c r="AA200" t="s">
        <v>25</v>
      </c>
      <c r="AB200" t="s">
        <v>26</v>
      </c>
      <c r="AC200" t="s">
        <v>27</v>
      </c>
      <c r="AD200" t="s">
        <v>42</v>
      </c>
      <c r="AE200" t="s">
        <v>25</v>
      </c>
      <c r="AF2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AG200" t="s">
        <v>941</v>
      </c>
      <c r="AH200">
        <v>86</v>
      </c>
      <c r="AI200" t="s">
        <v>939</v>
      </c>
      <c r="AJ200">
        <v>11</v>
      </c>
      <c r="AK2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MIN(AJ200/8, 1) +
  Merge1[[#This Row],[index_defensive_effort]],
  2
)</f>
        <v>1.67</v>
      </c>
    </row>
    <row r="201" spans="1:37" x14ac:dyDescent="0.25">
      <c r="A201" t="s">
        <v>184</v>
      </c>
      <c r="B201" t="s">
        <v>185</v>
      </c>
      <c r="C201">
        <v>22</v>
      </c>
      <c r="D201" t="s">
        <v>22</v>
      </c>
      <c r="E201">
        <v>69</v>
      </c>
      <c r="F201">
        <v>203</v>
      </c>
      <c r="G201" t="s">
        <v>23</v>
      </c>
      <c r="H201">
        <v>2020</v>
      </c>
      <c r="I201" t="s">
        <v>33</v>
      </c>
      <c r="J201">
        <v>11</v>
      </c>
      <c r="K201">
        <v>3</v>
      </c>
      <c r="L201">
        <v>5</v>
      </c>
      <c r="M201">
        <v>2</v>
      </c>
      <c r="N201">
        <v>7</v>
      </c>
      <c r="O201">
        <v>0</v>
      </c>
      <c r="P201">
        <v>0</v>
      </c>
      <c r="Q201">
        <v>0</v>
      </c>
      <c r="R201">
        <v>0</v>
      </c>
      <c r="S201">
        <v>11</v>
      </c>
      <c r="T201">
        <v>0</v>
      </c>
      <c r="U201" s="5">
        <f>IF(Merge1[[#This Row],[team_defense_snaps]]=0, "", Merge1[[#This Row],[defense_snaps]] / Merge1[[#This Row],[team_defense_snaps]])</f>
        <v>0</v>
      </c>
      <c r="V201">
        <v>73</v>
      </c>
      <c r="W201">
        <v>11</v>
      </c>
      <c r="X201" s="5" t="s">
        <v>60</v>
      </c>
      <c r="Y201">
        <v>0</v>
      </c>
      <c r="Z201">
        <v>0</v>
      </c>
      <c r="AA201" t="s">
        <v>25</v>
      </c>
      <c r="AB201" t="s">
        <v>26</v>
      </c>
      <c r="AC201" t="s">
        <v>27</v>
      </c>
      <c r="AD201" t="s">
        <v>42</v>
      </c>
      <c r="AE201" t="s">
        <v>25</v>
      </c>
      <c r="AF2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0.59090909090909094</v>
      </c>
      <c r="AG201" t="s">
        <v>941</v>
      </c>
      <c r="AH201">
        <v>65</v>
      </c>
      <c r="AI201" t="s">
        <v>939</v>
      </c>
      <c r="AJ201">
        <v>12</v>
      </c>
      <c r="AK2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MIN(AJ201/8, 1) +
  Merge1[[#This Row],[index_defensive_effort]],
  2
)</f>
        <v>2.09</v>
      </c>
    </row>
    <row r="202" spans="1:37" x14ac:dyDescent="0.25">
      <c r="A202" t="s">
        <v>184</v>
      </c>
      <c r="B202" t="s">
        <v>185</v>
      </c>
      <c r="C202">
        <v>22</v>
      </c>
      <c r="D202" t="s">
        <v>22</v>
      </c>
      <c r="E202">
        <v>69</v>
      </c>
      <c r="F202">
        <v>203</v>
      </c>
      <c r="G202" t="s">
        <v>23</v>
      </c>
      <c r="H202">
        <v>2020</v>
      </c>
      <c r="I202" t="s">
        <v>33</v>
      </c>
      <c r="J202">
        <v>12</v>
      </c>
      <c r="K202">
        <v>5</v>
      </c>
      <c r="L202">
        <v>2</v>
      </c>
      <c r="M202">
        <v>1</v>
      </c>
      <c r="N202">
        <v>3</v>
      </c>
      <c r="O202">
        <v>0</v>
      </c>
      <c r="P202">
        <v>0</v>
      </c>
      <c r="Q202">
        <v>0</v>
      </c>
      <c r="R202">
        <v>0</v>
      </c>
      <c r="S202">
        <v>5</v>
      </c>
      <c r="T202">
        <v>0</v>
      </c>
      <c r="U202" s="5">
        <f>IF(Merge1[[#This Row],[team_defense_snaps]]=0, "", Merge1[[#This Row],[defense_snaps]] / Merge1[[#This Row],[team_defense_snaps]])</f>
        <v>0</v>
      </c>
      <c r="V202">
        <v>79</v>
      </c>
      <c r="W202">
        <v>5</v>
      </c>
      <c r="X202" s="5" t="s">
        <v>124</v>
      </c>
      <c r="Y202">
        <v>0</v>
      </c>
      <c r="Z202">
        <v>0</v>
      </c>
      <c r="AA202" t="s">
        <v>25</v>
      </c>
      <c r="AB202" t="s">
        <v>26</v>
      </c>
      <c r="AC202" t="s">
        <v>27</v>
      </c>
      <c r="AD202" t="s">
        <v>42</v>
      </c>
      <c r="AE202" t="s">
        <v>25</v>
      </c>
      <c r="AF2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202" t="s">
        <v>941</v>
      </c>
      <c r="AH202">
        <v>81.5</v>
      </c>
      <c r="AI202" t="s">
        <v>939</v>
      </c>
      <c r="AJ202">
        <v>1</v>
      </c>
      <c r="AK2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MIN(AJ202/8, 1) +
  Merge1[[#This Row],[index_defensive_effort]],
  2
)</f>
        <v>1.63</v>
      </c>
    </row>
    <row r="203" spans="1:37" x14ac:dyDescent="0.25">
      <c r="A203" t="s">
        <v>184</v>
      </c>
      <c r="B203" t="s">
        <v>185</v>
      </c>
      <c r="C203">
        <v>22</v>
      </c>
      <c r="D203" t="s">
        <v>22</v>
      </c>
      <c r="E203">
        <v>69</v>
      </c>
      <c r="F203">
        <v>203</v>
      </c>
      <c r="G203" t="s">
        <v>23</v>
      </c>
      <c r="H203">
        <v>2020</v>
      </c>
      <c r="I203" t="s">
        <v>33</v>
      </c>
      <c r="J203">
        <v>14</v>
      </c>
      <c r="K203">
        <v>11</v>
      </c>
      <c r="L203">
        <v>2</v>
      </c>
      <c r="M203">
        <v>0</v>
      </c>
      <c r="N203">
        <v>2</v>
      </c>
      <c r="O203">
        <v>3</v>
      </c>
      <c r="P203">
        <v>4</v>
      </c>
      <c r="Q203">
        <v>0</v>
      </c>
      <c r="R203">
        <v>4</v>
      </c>
      <c r="S203">
        <v>3</v>
      </c>
      <c r="T203">
        <v>0</v>
      </c>
      <c r="U203" s="5">
        <f>IF(Merge1[[#This Row],[team_defense_snaps]]=0, "", Merge1[[#This Row],[defense_snaps]] / Merge1[[#This Row],[team_defense_snaps]])</f>
        <v>0</v>
      </c>
      <c r="V203">
        <v>79</v>
      </c>
      <c r="W203">
        <v>3</v>
      </c>
      <c r="X203" s="5" t="s">
        <v>212</v>
      </c>
      <c r="Y203">
        <v>0</v>
      </c>
      <c r="Z203">
        <v>0</v>
      </c>
      <c r="AA203" t="s">
        <v>25</v>
      </c>
      <c r="AB203" t="s">
        <v>26</v>
      </c>
      <c r="AC203" t="s">
        <v>27</v>
      </c>
      <c r="AD203" t="s">
        <v>42</v>
      </c>
      <c r="AE203" t="s">
        <v>25</v>
      </c>
      <c r="AF2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203" t="s">
        <v>941</v>
      </c>
      <c r="AH203">
        <v>80</v>
      </c>
      <c r="AI203" t="s">
        <v>939</v>
      </c>
      <c r="AJ203">
        <v>2</v>
      </c>
      <c r="AK2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MIN(AJ203/8, 1) +
  Merge1[[#This Row],[index_defensive_effort]],
  2
)</f>
        <v>1.75</v>
      </c>
    </row>
    <row r="204" spans="1:37" x14ac:dyDescent="0.25">
      <c r="A204" t="s">
        <v>184</v>
      </c>
      <c r="B204" t="s">
        <v>185</v>
      </c>
      <c r="C204">
        <v>22</v>
      </c>
      <c r="D204" t="s">
        <v>22</v>
      </c>
      <c r="E204">
        <v>69</v>
      </c>
      <c r="F204">
        <v>203</v>
      </c>
      <c r="G204" t="s">
        <v>23</v>
      </c>
      <c r="H204">
        <v>2020</v>
      </c>
      <c r="I204" t="s">
        <v>33</v>
      </c>
      <c r="J204">
        <v>15</v>
      </c>
      <c r="K204">
        <v>1</v>
      </c>
      <c r="L204">
        <v>1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5</v>
      </c>
      <c r="T204">
        <v>0</v>
      </c>
      <c r="U204" s="5">
        <f>IF(Merge1[[#This Row],[team_defense_snaps]]=0, "", Merge1[[#This Row],[defense_snaps]] / Merge1[[#This Row],[team_defense_snaps]])</f>
        <v>0</v>
      </c>
      <c r="V204">
        <v>65</v>
      </c>
      <c r="W204">
        <v>5</v>
      </c>
      <c r="X204" s="5" t="s">
        <v>168</v>
      </c>
      <c r="Y204">
        <v>0</v>
      </c>
      <c r="Z204">
        <v>0</v>
      </c>
      <c r="AA204" t="s">
        <v>25</v>
      </c>
      <c r="AB204" t="s">
        <v>26</v>
      </c>
      <c r="AC204" t="s">
        <v>27</v>
      </c>
      <c r="AD204" t="s">
        <v>42</v>
      </c>
      <c r="AE204" t="s">
        <v>25</v>
      </c>
      <c r="AF2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</v>
      </c>
      <c r="AG204" t="s">
        <v>941</v>
      </c>
      <c r="AH204">
        <v>63.5</v>
      </c>
      <c r="AI204" t="s">
        <v>939</v>
      </c>
      <c r="AJ204">
        <v>3</v>
      </c>
      <c r="AK2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MIN(AJ204/8, 1) +
  Merge1[[#This Row],[index_defensive_effort]],
  2
)</f>
        <v>1.18</v>
      </c>
    </row>
    <row r="205" spans="1:37" x14ac:dyDescent="0.25">
      <c r="A205" t="s">
        <v>184</v>
      </c>
      <c r="B205" t="s">
        <v>185</v>
      </c>
      <c r="C205">
        <v>22</v>
      </c>
      <c r="D205" t="s">
        <v>22</v>
      </c>
      <c r="E205">
        <v>69</v>
      </c>
      <c r="F205">
        <v>203</v>
      </c>
      <c r="G205" t="s">
        <v>23</v>
      </c>
      <c r="H205">
        <v>2020</v>
      </c>
      <c r="I205" t="s">
        <v>33</v>
      </c>
      <c r="J205">
        <v>16</v>
      </c>
      <c r="K205">
        <v>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</v>
      </c>
      <c r="T205">
        <v>0</v>
      </c>
      <c r="U205" s="5">
        <f>IF(Merge1[[#This Row],[team_defense_snaps]]=0, "", Merge1[[#This Row],[defense_snaps]] / Merge1[[#This Row],[team_defense_snaps]])</f>
        <v>0</v>
      </c>
      <c r="V205">
        <v>54</v>
      </c>
      <c r="W205">
        <v>2</v>
      </c>
      <c r="X205" s="5" t="s">
        <v>208</v>
      </c>
      <c r="Y205">
        <v>0</v>
      </c>
      <c r="Z205">
        <v>0</v>
      </c>
      <c r="AA205" t="s">
        <v>25</v>
      </c>
      <c r="AB205" t="s">
        <v>26</v>
      </c>
      <c r="AC205" t="s">
        <v>27</v>
      </c>
      <c r="AD205" t="s">
        <v>42</v>
      </c>
      <c r="AE205" t="s">
        <v>25</v>
      </c>
      <c r="AF2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205" t="s">
        <v>941</v>
      </c>
      <c r="AH205">
        <v>83</v>
      </c>
      <c r="AI205" t="s">
        <v>939</v>
      </c>
      <c r="AJ205">
        <v>4</v>
      </c>
      <c r="AK2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MIN(AJ205/8, 1) +
  Merge1[[#This Row],[index_defensive_effort]],
  2
)</f>
        <v>2</v>
      </c>
    </row>
    <row r="206" spans="1:37" x14ac:dyDescent="0.25">
      <c r="A206" t="s">
        <v>184</v>
      </c>
      <c r="B206" t="s">
        <v>185</v>
      </c>
      <c r="C206">
        <v>22</v>
      </c>
      <c r="D206" t="s">
        <v>22</v>
      </c>
      <c r="E206">
        <v>69</v>
      </c>
      <c r="F206">
        <v>203</v>
      </c>
      <c r="G206" t="s">
        <v>23</v>
      </c>
      <c r="H206">
        <v>2020</v>
      </c>
      <c r="I206" t="s">
        <v>33</v>
      </c>
      <c r="J206">
        <v>17</v>
      </c>
      <c r="K206">
        <v>5</v>
      </c>
      <c r="L206">
        <v>2</v>
      </c>
      <c r="M206">
        <v>0</v>
      </c>
      <c r="N206">
        <v>2</v>
      </c>
      <c r="O206">
        <v>0</v>
      </c>
      <c r="P206">
        <v>2</v>
      </c>
      <c r="Q206">
        <v>0</v>
      </c>
      <c r="R206">
        <v>0</v>
      </c>
      <c r="S206">
        <v>1</v>
      </c>
      <c r="T206">
        <v>0</v>
      </c>
      <c r="U206" s="5">
        <f>IF(Merge1[[#This Row],[team_defense_snaps]]=0, "", Merge1[[#This Row],[defense_snaps]] / Merge1[[#This Row],[team_defense_snaps]])</f>
        <v>0</v>
      </c>
      <c r="V206">
        <v>72</v>
      </c>
      <c r="W206">
        <v>1</v>
      </c>
      <c r="X206" s="5" t="s">
        <v>193</v>
      </c>
      <c r="Y206">
        <v>0</v>
      </c>
      <c r="Z206">
        <v>0</v>
      </c>
      <c r="AA206" t="s">
        <v>25</v>
      </c>
      <c r="AB206" t="s">
        <v>26</v>
      </c>
      <c r="AC206" t="s">
        <v>27</v>
      </c>
      <c r="AD206" t="s">
        <v>42</v>
      </c>
      <c r="AE206" t="s">
        <v>25</v>
      </c>
      <c r="AF2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206" t="s">
        <v>941</v>
      </c>
      <c r="AH206">
        <v>66</v>
      </c>
      <c r="AI206" t="s">
        <v>939</v>
      </c>
      <c r="AJ206">
        <v>5</v>
      </c>
      <c r="AK2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MIN(AJ206/8, 1) +
  Merge1[[#This Row],[index_defensive_effort]],
  2
)</f>
        <v>2.13</v>
      </c>
    </row>
    <row r="207" spans="1:37" x14ac:dyDescent="0.25">
      <c r="A207" t="s">
        <v>184</v>
      </c>
      <c r="B207" t="s">
        <v>185</v>
      </c>
      <c r="C207">
        <v>22</v>
      </c>
      <c r="D207" t="s">
        <v>22</v>
      </c>
      <c r="E207">
        <v>69</v>
      </c>
      <c r="F207">
        <v>203</v>
      </c>
      <c r="G207" t="s">
        <v>23</v>
      </c>
      <c r="H207">
        <v>2020</v>
      </c>
      <c r="I207" t="s">
        <v>24</v>
      </c>
      <c r="J207">
        <v>18</v>
      </c>
      <c r="K207">
        <v>8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4</v>
      </c>
      <c r="T207">
        <v>0</v>
      </c>
      <c r="U207" s="5">
        <f>IF(Merge1[[#This Row],[team_defense_snaps]]=0, "", Merge1[[#This Row],[defense_snaps]] / Merge1[[#This Row],[team_defense_snaps]])</f>
        <v>0</v>
      </c>
      <c r="V207">
        <v>72</v>
      </c>
      <c r="W207">
        <v>4</v>
      </c>
      <c r="X207" s="5" t="s">
        <v>209</v>
      </c>
      <c r="Y207">
        <v>0</v>
      </c>
      <c r="Z207">
        <v>0</v>
      </c>
      <c r="AA207" t="s">
        <v>25</v>
      </c>
      <c r="AB207" t="s">
        <v>26</v>
      </c>
      <c r="AC207" t="s">
        <v>27</v>
      </c>
      <c r="AD207" t="s">
        <v>42</v>
      </c>
      <c r="AE207" t="s">
        <v>25</v>
      </c>
      <c r="AF2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207" t="s">
        <v>941</v>
      </c>
      <c r="AH207">
        <v>66</v>
      </c>
      <c r="AI207" t="s">
        <v>939</v>
      </c>
      <c r="AJ207">
        <v>6</v>
      </c>
      <c r="AK2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MIN(AJ207/8, 1) +
  Merge1[[#This Row],[index_defensive_effort]],
  2
)</f>
        <v>2.4500000000000002</v>
      </c>
    </row>
    <row r="208" spans="1:37" x14ac:dyDescent="0.25">
      <c r="A208" t="s">
        <v>184</v>
      </c>
      <c r="B208" t="s">
        <v>185</v>
      </c>
      <c r="C208">
        <v>22</v>
      </c>
      <c r="D208" t="s">
        <v>22</v>
      </c>
      <c r="E208">
        <v>69</v>
      </c>
      <c r="F208">
        <v>203</v>
      </c>
      <c r="G208" t="s">
        <v>23</v>
      </c>
      <c r="H208">
        <v>2020</v>
      </c>
      <c r="I208" t="s">
        <v>24</v>
      </c>
      <c r="J208">
        <v>19</v>
      </c>
      <c r="K208">
        <v>5</v>
      </c>
      <c r="L208">
        <v>1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2</v>
      </c>
      <c r="S208">
        <v>4</v>
      </c>
      <c r="T208">
        <v>0</v>
      </c>
      <c r="U208" s="5">
        <f>IF(Merge1[[#This Row],[team_defense_snaps]]=0, "", Merge1[[#This Row],[defense_snaps]] / Merge1[[#This Row],[team_defense_snaps]])</f>
        <v>0</v>
      </c>
      <c r="V208">
        <v>63</v>
      </c>
      <c r="W208">
        <v>4</v>
      </c>
      <c r="X208" s="5" t="s">
        <v>168</v>
      </c>
      <c r="Y208">
        <v>0</v>
      </c>
      <c r="Z208">
        <v>0</v>
      </c>
      <c r="AA208" t="s">
        <v>25</v>
      </c>
      <c r="AB208" t="s">
        <v>26</v>
      </c>
      <c r="AC208" t="s">
        <v>27</v>
      </c>
      <c r="AD208" t="s">
        <v>42</v>
      </c>
      <c r="AE208" t="s">
        <v>25</v>
      </c>
      <c r="AF2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208" t="s">
        <v>941</v>
      </c>
      <c r="AH208">
        <v>84.5</v>
      </c>
      <c r="AI208" t="s">
        <v>27</v>
      </c>
      <c r="AJ208">
        <v>1</v>
      </c>
      <c r="AK2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MIN(AJ208/8, 1) +
  Merge1[[#This Row],[index_defensive_effort]],
  2
)</f>
        <v>1.83</v>
      </c>
    </row>
    <row r="209" spans="1:37" x14ac:dyDescent="0.25">
      <c r="A209" t="s">
        <v>184</v>
      </c>
      <c r="B209" t="s">
        <v>185</v>
      </c>
      <c r="C209">
        <v>22</v>
      </c>
      <c r="D209" t="s">
        <v>22</v>
      </c>
      <c r="E209">
        <v>69</v>
      </c>
      <c r="F209">
        <v>203</v>
      </c>
      <c r="G209" t="s">
        <v>23</v>
      </c>
      <c r="H209">
        <v>2020</v>
      </c>
      <c r="I209" t="s">
        <v>24</v>
      </c>
      <c r="J209">
        <v>21</v>
      </c>
      <c r="K209">
        <v>6</v>
      </c>
      <c r="L209">
        <v>2</v>
      </c>
      <c r="M209">
        <v>0</v>
      </c>
      <c r="N209">
        <v>2</v>
      </c>
      <c r="O209">
        <v>0</v>
      </c>
      <c r="P209">
        <v>0</v>
      </c>
      <c r="Q209">
        <v>2</v>
      </c>
      <c r="R209">
        <v>0</v>
      </c>
      <c r="S209">
        <v>0</v>
      </c>
      <c r="T209">
        <v>0</v>
      </c>
      <c r="U209" s="5" t="str">
        <f>IF(Merge1[[#This Row],[team_defense_snaps]]=0, "", Merge1[[#This Row],[defense_snaps]] / Merge1[[#This Row],[team_defense_snaps]])</f>
        <v/>
      </c>
      <c r="V209">
        <v>0</v>
      </c>
      <c r="W209">
        <v>0</v>
      </c>
      <c r="X209" s="5" t="s">
        <v>29</v>
      </c>
      <c r="Y209">
        <v>0</v>
      </c>
      <c r="Z209">
        <v>0</v>
      </c>
      <c r="AA209" t="s">
        <v>25</v>
      </c>
      <c r="AB209" t="s">
        <v>26</v>
      </c>
      <c r="AC209" t="s">
        <v>27</v>
      </c>
      <c r="AD209" t="s">
        <v>42</v>
      </c>
      <c r="AE209" t="s">
        <v>25</v>
      </c>
      <c r="AF2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09" t="s">
        <v>941</v>
      </c>
      <c r="AH209">
        <v>78.5</v>
      </c>
      <c r="AI209" t="s">
        <v>939</v>
      </c>
      <c r="AJ209">
        <v>1</v>
      </c>
      <c r="AK2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MIN(AJ209/8, 1) +
  Merge1[[#This Row],[index_defensive_effort]],
  2
)</f>
        <v>0.83</v>
      </c>
    </row>
    <row r="210" spans="1:37" x14ac:dyDescent="0.25">
      <c r="A210" t="s">
        <v>121</v>
      </c>
      <c r="B210" t="s">
        <v>122</v>
      </c>
      <c r="C210">
        <v>27</v>
      </c>
      <c r="D210" t="s">
        <v>56</v>
      </c>
      <c r="E210">
        <v>72</v>
      </c>
      <c r="F210">
        <v>200</v>
      </c>
      <c r="G210" t="s">
        <v>86</v>
      </c>
      <c r="H210">
        <v>2020</v>
      </c>
      <c r="I210" t="s">
        <v>33</v>
      </c>
      <c r="J210">
        <v>1</v>
      </c>
      <c r="K210">
        <v>3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54</v>
      </c>
      <c r="T210">
        <v>38</v>
      </c>
      <c r="U210" s="5">
        <f>IF(Merge1[[#This Row],[team_defense_snaps]]=0, "", Merge1[[#This Row],[defense_snaps]] / Merge1[[#This Row],[team_defense_snaps]])</f>
        <v>0.64406779661016944</v>
      </c>
      <c r="V210">
        <v>59</v>
      </c>
      <c r="W210">
        <v>16</v>
      </c>
      <c r="X210" s="5" t="s">
        <v>80</v>
      </c>
      <c r="Y210">
        <v>4</v>
      </c>
      <c r="Z210">
        <v>0</v>
      </c>
      <c r="AA210" t="s">
        <v>25</v>
      </c>
      <c r="AB210" t="s">
        <v>26</v>
      </c>
      <c r="AC210" t="s">
        <v>27</v>
      </c>
      <c r="AD210" t="s">
        <v>28</v>
      </c>
      <c r="AE210" t="s">
        <v>25</v>
      </c>
      <c r="AF2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210" t="s">
        <v>941</v>
      </c>
      <c r="AH210">
        <v>80</v>
      </c>
      <c r="AI210" t="s">
        <v>939</v>
      </c>
      <c r="AJ210">
        <v>1</v>
      </c>
      <c r="AK2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MIN(AJ210/8, 1) +
  Merge1[[#This Row],[index_defensive_effort]],
  2
)</f>
        <v>0.78</v>
      </c>
    </row>
    <row r="211" spans="1:37" x14ac:dyDescent="0.25">
      <c r="A211" t="s">
        <v>121</v>
      </c>
      <c r="B211" t="s">
        <v>122</v>
      </c>
      <c r="C211">
        <v>27</v>
      </c>
      <c r="D211" t="s">
        <v>56</v>
      </c>
      <c r="E211">
        <v>72</v>
      </c>
      <c r="F211">
        <v>200</v>
      </c>
      <c r="G211" t="s">
        <v>86</v>
      </c>
      <c r="H211">
        <v>2020</v>
      </c>
      <c r="I211" t="s">
        <v>33</v>
      </c>
      <c r="J211">
        <v>4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43</v>
      </c>
      <c r="T211">
        <v>25</v>
      </c>
      <c r="U211" s="5">
        <f>IF(Merge1[[#This Row],[team_defense_snaps]]=0, "", Merge1[[#This Row],[defense_snaps]] / Merge1[[#This Row],[team_defense_snaps]])</f>
        <v>0.32894736842105265</v>
      </c>
      <c r="V211">
        <v>76</v>
      </c>
      <c r="W211">
        <v>18</v>
      </c>
      <c r="X211" s="5" t="s">
        <v>101</v>
      </c>
      <c r="Y211">
        <v>4</v>
      </c>
      <c r="Z211">
        <v>0</v>
      </c>
      <c r="AA211" t="s">
        <v>25</v>
      </c>
      <c r="AB211" t="s">
        <v>26</v>
      </c>
      <c r="AC211" t="s">
        <v>27</v>
      </c>
      <c r="AD211" t="s">
        <v>28</v>
      </c>
      <c r="AE211" t="s">
        <v>25</v>
      </c>
      <c r="AF2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6.9767441860465115E-2</v>
      </c>
      <c r="AG211" t="s">
        <v>941</v>
      </c>
      <c r="AH211">
        <v>75.5</v>
      </c>
      <c r="AI211" t="s">
        <v>939</v>
      </c>
      <c r="AJ211">
        <v>1</v>
      </c>
      <c r="AK2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MIN(AJ211/8, 1) +
  Merge1[[#This Row],[index_defensive_effort]],
  2
)</f>
        <v>0.79</v>
      </c>
    </row>
    <row r="212" spans="1:37" x14ac:dyDescent="0.25">
      <c r="A212" t="s">
        <v>121</v>
      </c>
      <c r="B212" t="s">
        <v>122</v>
      </c>
      <c r="C212">
        <v>27</v>
      </c>
      <c r="D212" t="s">
        <v>56</v>
      </c>
      <c r="E212">
        <v>72</v>
      </c>
      <c r="F212">
        <v>200</v>
      </c>
      <c r="G212" t="s">
        <v>86</v>
      </c>
      <c r="H212">
        <v>2020</v>
      </c>
      <c r="I212" t="s">
        <v>33</v>
      </c>
      <c r="J212">
        <v>7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35</v>
      </c>
      <c r="T212">
        <v>13</v>
      </c>
      <c r="U212" s="5">
        <f>IF(Merge1[[#This Row],[team_defense_snaps]]=0, "", Merge1[[#This Row],[defense_snaps]] / Merge1[[#This Row],[team_defense_snaps]])</f>
        <v>0.16250000000000001</v>
      </c>
      <c r="V212">
        <v>80</v>
      </c>
      <c r="W212">
        <v>22</v>
      </c>
      <c r="X212" s="5" t="s">
        <v>87</v>
      </c>
      <c r="Y212">
        <v>4</v>
      </c>
      <c r="Z212">
        <v>0</v>
      </c>
      <c r="AA212" t="s">
        <v>25</v>
      </c>
      <c r="AB212" t="s">
        <v>26</v>
      </c>
      <c r="AC212" t="s">
        <v>27</v>
      </c>
      <c r="AD212" t="s">
        <v>28</v>
      </c>
      <c r="AE212" t="s">
        <v>25</v>
      </c>
      <c r="AF2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2.8571428571428571E-2</v>
      </c>
      <c r="AG212" t="s">
        <v>941</v>
      </c>
      <c r="AH212">
        <v>68</v>
      </c>
      <c r="AI212" t="s">
        <v>939</v>
      </c>
      <c r="AJ212">
        <v>1</v>
      </c>
      <c r="AK2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MIN(AJ212/8, 1) +
  Merge1[[#This Row],[index_defensive_effort]],
  2
)</f>
        <v>0.75</v>
      </c>
    </row>
    <row r="213" spans="1:37" x14ac:dyDescent="0.25">
      <c r="A213" t="s">
        <v>121</v>
      </c>
      <c r="B213" t="s">
        <v>122</v>
      </c>
      <c r="C213">
        <v>27</v>
      </c>
      <c r="D213" t="s">
        <v>56</v>
      </c>
      <c r="E213">
        <v>72</v>
      </c>
      <c r="F213">
        <v>200</v>
      </c>
      <c r="G213" t="s">
        <v>86</v>
      </c>
      <c r="H213">
        <v>2020</v>
      </c>
      <c r="I213" t="s">
        <v>33</v>
      </c>
      <c r="J213">
        <v>9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17</v>
      </c>
      <c r="T213">
        <v>0</v>
      </c>
      <c r="U213" s="5">
        <f>IF(Merge1[[#This Row],[team_defense_snaps]]=0, "", Merge1[[#This Row],[defense_snaps]] / Merge1[[#This Row],[team_defense_snaps]])</f>
        <v>0</v>
      </c>
      <c r="V213">
        <v>83</v>
      </c>
      <c r="W213">
        <v>17</v>
      </c>
      <c r="X213" s="5" t="s">
        <v>182</v>
      </c>
      <c r="Y213">
        <v>4</v>
      </c>
      <c r="Z213">
        <v>0</v>
      </c>
      <c r="AA213" t="s">
        <v>25</v>
      </c>
      <c r="AB213" t="s">
        <v>26</v>
      </c>
      <c r="AC213" t="s">
        <v>27</v>
      </c>
      <c r="AD213" t="s">
        <v>28</v>
      </c>
      <c r="AE213" t="s">
        <v>25</v>
      </c>
      <c r="AF2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AG213" t="s">
        <v>941</v>
      </c>
      <c r="AH213">
        <v>71</v>
      </c>
      <c r="AI213" t="s">
        <v>939</v>
      </c>
      <c r="AJ213">
        <v>1</v>
      </c>
      <c r="AK2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MIN(AJ213/8, 1) +
  Merge1[[#This Row],[index_defensive_effort]],
  2
)</f>
        <v>0.78</v>
      </c>
    </row>
    <row r="214" spans="1:37" x14ac:dyDescent="0.25">
      <c r="A214" t="s">
        <v>121</v>
      </c>
      <c r="B214" t="s">
        <v>122</v>
      </c>
      <c r="C214">
        <v>27</v>
      </c>
      <c r="D214" t="s">
        <v>56</v>
      </c>
      <c r="E214">
        <v>72</v>
      </c>
      <c r="F214">
        <v>200</v>
      </c>
      <c r="G214" t="s">
        <v>86</v>
      </c>
      <c r="H214">
        <v>2020</v>
      </c>
      <c r="I214" t="s">
        <v>33</v>
      </c>
      <c r="J214">
        <v>17</v>
      </c>
      <c r="K214">
        <v>1</v>
      </c>
      <c r="L214">
        <v>1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63</v>
      </c>
      <c r="T214">
        <v>44</v>
      </c>
      <c r="U214" s="5">
        <f>IF(Merge1[[#This Row],[team_defense_snaps]]=0, "", Merge1[[#This Row],[defense_snaps]] / Merge1[[#This Row],[team_defense_snaps]])</f>
        <v>0.61111111111111116</v>
      </c>
      <c r="V214">
        <v>72</v>
      </c>
      <c r="W214">
        <v>19</v>
      </c>
      <c r="X214" s="5" t="s">
        <v>90</v>
      </c>
      <c r="Y214">
        <v>4</v>
      </c>
      <c r="Z214">
        <v>0</v>
      </c>
      <c r="AA214" t="s">
        <v>25</v>
      </c>
      <c r="AB214" t="s">
        <v>26</v>
      </c>
      <c r="AC214" t="s">
        <v>27</v>
      </c>
      <c r="AD214" t="s">
        <v>28</v>
      </c>
      <c r="AE214" t="s">
        <v>25</v>
      </c>
      <c r="AF2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2.3809523809523808E-2</v>
      </c>
      <c r="AG214" t="s">
        <v>941</v>
      </c>
      <c r="AH214">
        <v>56</v>
      </c>
      <c r="AI214" t="s">
        <v>939</v>
      </c>
      <c r="AJ214">
        <v>1</v>
      </c>
      <c r="AK2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MIN(AJ214/8, 1) +
  Merge1[[#This Row],[index_defensive_effort]],
  2
)</f>
        <v>0.75</v>
      </c>
    </row>
    <row r="215" spans="1:37" x14ac:dyDescent="0.25">
      <c r="A215" t="s">
        <v>169</v>
      </c>
      <c r="B215" t="s">
        <v>170</v>
      </c>
      <c r="C215">
        <v>24</v>
      </c>
      <c r="D215" t="s">
        <v>22</v>
      </c>
      <c r="E215">
        <v>71</v>
      </c>
      <c r="F215">
        <v>205</v>
      </c>
      <c r="G215" t="s">
        <v>86</v>
      </c>
      <c r="H215">
        <v>2020</v>
      </c>
      <c r="I215" t="s">
        <v>33</v>
      </c>
      <c r="J215">
        <v>7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30</v>
      </c>
      <c r="T215">
        <v>8</v>
      </c>
      <c r="U215" s="5">
        <f>IF(Merge1[[#This Row],[team_defense_snaps]]=0, "", Merge1[[#This Row],[defense_snaps]] / Merge1[[#This Row],[team_defense_snaps]])</f>
        <v>0.1</v>
      </c>
      <c r="V215">
        <v>80</v>
      </c>
      <c r="W215">
        <v>22</v>
      </c>
      <c r="X215" s="5" t="s">
        <v>87</v>
      </c>
      <c r="Y215">
        <v>2</v>
      </c>
      <c r="Z215">
        <v>0</v>
      </c>
      <c r="AA215" t="s">
        <v>25</v>
      </c>
      <c r="AB215" t="s">
        <v>26</v>
      </c>
      <c r="AC215" t="s">
        <v>27</v>
      </c>
      <c r="AD215" t="s">
        <v>28</v>
      </c>
      <c r="AE215" t="s">
        <v>25</v>
      </c>
      <c r="AF2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3.3333333333333333E-2</v>
      </c>
      <c r="AG215" t="s">
        <v>941</v>
      </c>
      <c r="AH215">
        <v>71</v>
      </c>
      <c r="AI215" t="s">
        <v>939</v>
      </c>
      <c r="AJ215">
        <v>2</v>
      </c>
      <c r="AK2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MIN(AJ215/8, 1) +
  Merge1[[#This Row],[index_defensive_effort]],
  2
)</f>
        <v>0.78</v>
      </c>
    </row>
    <row r="216" spans="1:37" x14ac:dyDescent="0.25">
      <c r="A216" t="s">
        <v>169</v>
      </c>
      <c r="B216" t="s">
        <v>170</v>
      </c>
      <c r="C216">
        <v>24</v>
      </c>
      <c r="D216" t="s">
        <v>22</v>
      </c>
      <c r="E216">
        <v>71</v>
      </c>
      <c r="F216">
        <v>205</v>
      </c>
      <c r="G216" t="s">
        <v>86</v>
      </c>
      <c r="H216">
        <v>2020</v>
      </c>
      <c r="I216" t="s">
        <v>33</v>
      </c>
      <c r="J216">
        <v>8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26</v>
      </c>
      <c r="T216">
        <v>3</v>
      </c>
      <c r="U216" s="5">
        <f>IF(Merge1[[#This Row],[team_defense_snaps]]=0, "", Merge1[[#This Row],[defense_snaps]] / Merge1[[#This Row],[team_defense_snaps]])</f>
        <v>0.05</v>
      </c>
      <c r="V216">
        <v>60</v>
      </c>
      <c r="W216">
        <v>23</v>
      </c>
      <c r="X216" s="5" t="s">
        <v>244</v>
      </c>
      <c r="Y216">
        <v>2</v>
      </c>
      <c r="Z216">
        <v>0</v>
      </c>
      <c r="AA216" t="s">
        <v>25</v>
      </c>
      <c r="AB216" t="s">
        <v>26</v>
      </c>
      <c r="AC216" t="s">
        <v>27</v>
      </c>
      <c r="AD216" t="s">
        <v>28</v>
      </c>
      <c r="AE216" t="s">
        <v>25</v>
      </c>
      <c r="AF2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3.8461538461538464E-2</v>
      </c>
      <c r="AG216" t="s">
        <v>941</v>
      </c>
      <c r="AH216">
        <v>69.5</v>
      </c>
      <c r="AI216" t="s">
        <v>939</v>
      </c>
      <c r="AJ216">
        <v>3</v>
      </c>
      <c r="AK2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MIN(AJ216/8, 1) +
  Merge1[[#This Row],[index_defensive_effort]],
  2
)</f>
        <v>0.91</v>
      </c>
    </row>
    <row r="217" spans="1:37" x14ac:dyDescent="0.25">
      <c r="A217" t="s">
        <v>169</v>
      </c>
      <c r="B217" t="s">
        <v>170</v>
      </c>
      <c r="C217">
        <v>24</v>
      </c>
      <c r="D217" t="s">
        <v>22</v>
      </c>
      <c r="E217">
        <v>71</v>
      </c>
      <c r="F217">
        <v>205</v>
      </c>
      <c r="G217" t="s">
        <v>86</v>
      </c>
      <c r="H217">
        <v>2020</v>
      </c>
      <c r="I217" t="s">
        <v>33</v>
      </c>
      <c r="J217">
        <v>9</v>
      </c>
      <c r="K217">
        <v>5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38</v>
      </c>
      <c r="T217">
        <v>14</v>
      </c>
      <c r="U217" s="5">
        <f>IF(Merge1[[#This Row],[team_defense_snaps]]=0, "", Merge1[[#This Row],[defense_snaps]] / Merge1[[#This Row],[team_defense_snaps]])</f>
        <v>0.16867469879518071</v>
      </c>
      <c r="V217">
        <v>83</v>
      </c>
      <c r="W217">
        <v>24</v>
      </c>
      <c r="X217" s="5" t="s">
        <v>218</v>
      </c>
      <c r="Y217">
        <v>2</v>
      </c>
      <c r="Z217">
        <v>0</v>
      </c>
      <c r="AA217" t="s">
        <v>25</v>
      </c>
      <c r="AB217" t="s">
        <v>26</v>
      </c>
      <c r="AC217" t="s">
        <v>27</v>
      </c>
      <c r="AD217" t="s">
        <v>28</v>
      </c>
      <c r="AE217" t="s">
        <v>25</v>
      </c>
      <c r="AF2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0.13157894736842105</v>
      </c>
      <c r="AG217" t="s">
        <v>941</v>
      </c>
      <c r="AH217">
        <v>68</v>
      </c>
      <c r="AI217" t="s">
        <v>939</v>
      </c>
      <c r="AJ217">
        <v>1</v>
      </c>
      <c r="AK2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MIN(AJ217/8, 1) +
  Merge1[[#This Row],[index_defensive_effort]],
  2
)</f>
        <v>0.76</v>
      </c>
    </row>
    <row r="218" spans="1:37" x14ac:dyDescent="0.25">
      <c r="A218" t="s">
        <v>169</v>
      </c>
      <c r="B218" t="s">
        <v>170</v>
      </c>
      <c r="C218">
        <v>24</v>
      </c>
      <c r="D218" t="s">
        <v>22</v>
      </c>
      <c r="E218">
        <v>71</v>
      </c>
      <c r="F218">
        <v>205</v>
      </c>
      <c r="G218" t="s">
        <v>86</v>
      </c>
      <c r="H218">
        <v>2020</v>
      </c>
      <c r="I218" t="s">
        <v>33</v>
      </c>
      <c r="J218">
        <v>17</v>
      </c>
      <c r="K218">
        <v>5</v>
      </c>
      <c r="L218">
        <v>2</v>
      </c>
      <c r="M218">
        <v>0</v>
      </c>
      <c r="N218">
        <v>2</v>
      </c>
      <c r="O218">
        <v>0</v>
      </c>
      <c r="P218">
        <v>1</v>
      </c>
      <c r="Q218">
        <v>0</v>
      </c>
      <c r="R218">
        <v>0</v>
      </c>
      <c r="S218">
        <v>91</v>
      </c>
      <c r="T218">
        <v>72</v>
      </c>
      <c r="U218" s="5">
        <f>IF(Merge1[[#This Row],[team_defense_snaps]]=0, "", Merge1[[#This Row],[defense_snaps]] / Merge1[[#This Row],[team_defense_snaps]])</f>
        <v>1</v>
      </c>
      <c r="V218">
        <v>72</v>
      </c>
      <c r="W218">
        <v>19</v>
      </c>
      <c r="X218" s="5" t="s">
        <v>90</v>
      </c>
      <c r="Y218">
        <v>2</v>
      </c>
      <c r="Z218">
        <v>0</v>
      </c>
      <c r="AA218" t="s">
        <v>25</v>
      </c>
      <c r="AB218" t="s">
        <v>26</v>
      </c>
      <c r="AC218" t="s">
        <v>27</v>
      </c>
      <c r="AD218" t="s">
        <v>42</v>
      </c>
      <c r="AE218" t="s">
        <v>25</v>
      </c>
      <c r="AF2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8.7912087912087919E-2</v>
      </c>
      <c r="AG218" t="s">
        <v>941</v>
      </c>
      <c r="AH218">
        <v>56</v>
      </c>
      <c r="AI218" t="s">
        <v>939</v>
      </c>
      <c r="AJ218">
        <v>1</v>
      </c>
      <c r="AK2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MIN(AJ218/8, 1) +
  Merge1[[#This Row],[index_defensive_effort]],
  2
)</f>
        <v>0.71</v>
      </c>
    </row>
    <row r="219" spans="1:37" x14ac:dyDescent="0.25">
      <c r="A219" t="s">
        <v>888</v>
      </c>
      <c r="B219" t="s">
        <v>889</v>
      </c>
      <c r="C219">
        <v>27</v>
      </c>
      <c r="D219" t="s">
        <v>56</v>
      </c>
      <c r="E219">
        <v>69</v>
      </c>
      <c r="F219">
        <v>190</v>
      </c>
      <c r="G219" t="s">
        <v>107</v>
      </c>
      <c r="H219">
        <v>2020</v>
      </c>
      <c r="I219" t="s">
        <v>33</v>
      </c>
      <c r="J219">
        <v>9</v>
      </c>
      <c r="K219">
        <v>3</v>
      </c>
      <c r="L219">
        <v>1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s="5">
        <f>IF(Merge1[[#This Row],[team_defense_snaps]]=0, "", Merge1[[#This Row],[defense_snaps]] / Merge1[[#This Row],[team_defense_snaps]])</f>
        <v>0</v>
      </c>
      <c r="V219">
        <v>81</v>
      </c>
      <c r="W219">
        <v>0</v>
      </c>
      <c r="X219" s="5">
        <v>0</v>
      </c>
      <c r="Y219">
        <v>3</v>
      </c>
      <c r="Z219">
        <v>0</v>
      </c>
      <c r="AA219" t="s">
        <v>25</v>
      </c>
      <c r="AB219" t="s">
        <v>26</v>
      </c>
      <c r="AC219" t="s">
        <v>27</v>
      </c>
      <c r="AD219" t="s">
        <v>42</v>
      </c>
      <c r="AE219" t="s">
        <v>25</v>
      </c>
      <c r="AF2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19" t="s">
        <v>942</v>
      </c>
      <c r="AH219">
        <v>60</v>
      </c>
      <c r="AI219" t="s">
        <v>27</v>
      </c>
      <c r="AJ219">
        <v>1</v>
      </c>
      <c r="AK2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MIN(AJ219/8, 1) +
  Merge1[[#This Row],[index_defensive_effort]],
  2
)</f>
        <v>0.73</v>
      </c>
    </row>
    <row r="220" spans="1:37" x14ac:dyDescent="0.25">
      <c r="A220" t="s">
        <v>888</v>
      </c>
      <c r="B220" t="s">
        <v>889</v>
      </c>
      <c r="C220">
        <v>27</v>
      </c>
      <c r="D220" t="s">
        <v>56</v>
      </c>
      <c r="E220">
        <v>69</v>
      </c>
      <c r="F220">
        <v>190</v>
      </c>
      <c r="G220" t="s">
        <v>107</v>
      </c>
      <c r="H220">
        <v>2020</v>
      </c>
      <c r="I220" t="s">
        <v>33</v>
      </c>
      <c r="J220">
        <v>11</v>
      </c>
      <c r="K220">
        <v>4</v>
      </c>
      <c r="L220">
        <v>0</v>
      </c>
      <c r="M220">
        <v>0</v>
      </c>
      <c r="N220">
        <v>0</v>
      </c>
      <c r="O220">
        <v>3</v>
      </c>
      <c r="P220">
        <v>4</v>
      </c>
      <c r="Q220">
        <v>0</v>
      </c>
      <c r="R220">
        <v>0</v>
      </c>
      <c r="S220">
        <v>0</v>
      </c>
      <c r="T220">
        <v>0</v>
      </c>
      <c r="U220" s="5">
        <f>IF(Merge1[[#This Row],[team_defense_snaps]]=0, "", Merge1[[#This Row],[defense_snaps]] / Merge1[[#This Row],[team_defense_snaps]])</f>
        <v>0</v>
      </c>
      <c r="V220">
        <v>82</v>
      </c>
      <c r="W220">
        <v>0</v>
      </c>
      <c r="X220" s="5">
        <v>0</v>
      </c>
      <c r="Y220">
        <v>3</v>
      </c>
      <c r="Z220">
        <v>0</v>
      </c>
      <c r="AA220" t="s">
        <v>25</v>
      </c>
      <c r="AB220" t="s">
        <v>26</v>
      </c>
      <c r="AC220" t="s">
        <v>27</v>
      </c>
      <c r="AD220" t="s">
        <v>42</v>
      </c>
      <c r="AE220" t="s">
        <v>25</v>
      </c>
      <c r="AF2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20" t="s">
        <v>942</v>
      </c>
      <c r="AH220">
        <v>57</v>
      </c>
      <c r="AI220" t="s">
        <v>27</v>
      </c>
      <c r="AJ220">
        <v>1</v>
      </c>
      <c r="AK2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MIN(AJ220/8, 1) +
  Merge1[[#This Row],[index_defensive_effort]],
  2
)</f>
        <v>0.73</v>
      </c>
    </row>
    <row r="221" spans="1:37" x14ac:dyDescent="0.25">
      <c r="A221" t="s">
        <v>888</v>
      </c>
      <c r="B221" t="s">
        <v>889</v>
      </c>
      <c r="C221">
        <v>27</v>
      </c>
      <c r="D221" t="s">
        <v>56</v>
      </c>
      <c r="E221">
        <v>69</v>
      </c>
      <c r="F221">
        <v>190</v>
      </c>
      <c r="G221" t="s">
        <v>107</v>
      </c>
      <c r="H221">
        <v>2020</v>
      </c>
      <c r="I221" t="s">
        <v>33</v>
      </c>
      <c r="J221">
        <v>12</v>
      </c>
      <c r="K221">
        <v>2</v>
      </c>
      <c r="L221">
        <v>3</v>
      </c>
      <c r="M221">
        <v>2</v>
      </c>
      <c r="N221">
        <v>5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 s="5">
        <f>IF(Merge1[[#This Row],[team_defense_snaps]]=0, "", Merge1[[#This Row],[defense_snaps]] / Merge1[[#This Row],[team_defense_snaps]])</f>
        <v>0</v>
      </c>
      <c r="V221">
        <v>71</v>
      </c>
      <c r="W221">
        <v>0</v>
      </c>
      <c r="X221" s="5">
        <v>0</v>
      </c>
      <c r="Y221">
        <v>3</v>
      </c>
      <c r="Z221">
        <v>0</v>
      </c>
      <c r="AA221" t="s">
        <v>25</v>
      </c>
      <c r="AB221" t="s">
        <v>26</v>
      </c>
      <c r="AC221" t="s">
        <v>27</v>
      </c>
      <c r="AD221" t="s">
        <v>42</v>
      </c>
      <c r="AE221" t="s">
        <v>25</v>
      </c>
      <c r="AF2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21" t="s">
        <v>942</v>
      </c>
      <c r="AH221">
        <v>55.5</v>
      </c>
      <c r="AI221" t="s">
        <v>27</v>
      </c>
      <c r="AJ221">
        <v>2</v>
      </c>
      <c r="AK2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MIN(AJ221/8, 1) +
  Merge1[[#This Row],[index_defensive_effort]],
  2
)</f>
        <v>0.85</v>
      </c>
    </row>
    <row r="222" spans="1:37" x14ac:dyDescent="0.25">
      <c r="A222" t="s">
        <v>888</v>
      </c>
      <c r="B222" t="s">
        <v>889</v>
      </c>
      <c r="C222">
        <v>27</v>
      </c>
      <c r="D222" t="s">
        <v>56</v>
      </c>
      <c r="E222">
        <v>69</v>
      </c>
      <c r="F222">
        <v>190</v>
      </c>
      <c r="G222" t="s">
        <v>107</v>
      </c>
      <c r="H222">
        <v>2020</v>
      </c>
      <c r="I222" t="s">
        <v>33</v>
      </c>
      <c r="J222">
        <v>13</v>
      </c>
      <c r="K222">
        <v>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</v>
      </c>
      <c r="R222">
        <v>0</v>
      </c>
      <c r="S222">
        <v>0</v>
      </c>
      <c r="T222">
        <v>0</v>
      </c>
      <c r="U222" s="5">
        <f>IF(Merge1[[#This Row],[team_defense_snaps]]=0, "", Merge1[[#This Row],[defense_snaps]] / Merge1[[#This Row],[team_defense_snaps]])</f>
        <v>0</v>
      </c>
      <c r="V222">
        <v>79</v>
      </c>
      <c r="W222">
        <v>0</v>
      </c>
      <c r="X222" s="5">
        <v>0</v>
      </c>
      <c r="Y222">
        <v>3</v>
      </c>
      <c r="Z222">
        <v>0</v>
      </c>
      <c r="AA222" t="s">
        <v>25</v>
      </c>
      <c r="AB222" t="s">
        <v>26</v>
      </c>
      <c r="AC222" t="s">
        <v>27</v>
      </c>
      <c r="AD222" t="s">
        <v>42</v>
      </c>
      <c r="AE222" t="s">
        <v>25</v>
      </c>
      <c r="AF2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22" t="s">
        <v>942</v>
      </c>
      <c r="AH222">
        <v>54</v>
      </c>
      <c r="AI222" t="s">
        <v>27</v>
      </c>
      <c r="AJ222">
        <v>3</v>
      </c>
      <c r="AK2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MIN(AJ222/8, 1) +
  Merge1[[#This Row],[index_defensive_effort]],
  2
)</f>
        <v>0.98</v>
      </c>
    </row>
    <row r="223" spans="1:37" x14ac:dyDescent="0.25">
      <c r="A223" t="s">
        <v>888</v>
      </c>
      <c r="B223" t="s">
        <v>889</v>
      </c>
      <c r="C223">
        <v>27</v>
      </c>
      <c r="D223" t="s">
        <v>56</v>
      </c>
      <c r="E223">
        <v>69</v>
      </c>
      <c r="F223">
        <v>190</v>
      </c>
      <c r="G223" t="s">
        <v>107</v>
      </c>
      <c r="H223">
        <v>2020</v>
      </c>
      <c r="I223" t="s">
        <v>33</v>
      </c>
      <c r="J223">
        <v>14</v>
      </c>
      <c r="K223">
        <v>3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s="5">
        <f>IF(Merge1[[#This Row],[team_defense_snaps]]=0, "", Merge1[[#This Row],[defense_snaps]] / Merge1[[#This Row],[team_defense_snaps]])</f>
        <v>0</v>
      </c>
      <c r="V223">
        <v>73</v>
      </c>
      <c r="W223">
        <v>0</v>
      </c>
      <c r="X223" s="5">
        <v>0</v>
      </c>
      <c r="Y223">
        <v>3</v>
      </c>
      <c r="Z223">
        <v>0</v>
      </c>
      <c r="AA223" t="s">
        <v>25</v>
      </c>
      <c r="AB223" t="s">
        <v>26</v>
      </c>
      <c r="AC223" t="s">
        <v>27</v>
      </c>
      <c r="AD223" t="s">
        <v>42</v>
      </c>
      <c r="AE223" t="s">
        <v>25</v>
      </c>
      <c r="AF2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23" t="s">
        <v>942</v>
      </c>
      <c r="AH223">
        <v>52.5</v>
      </c>
      <c r="AI223" t="s">
        <v>27</v>
      </c>
      <c r="AJ223">
        <v>4</v>
      </c>
      <c r="AK2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MIN(AJ223/8, 1) +
  Merge1[[#This Row],[index_defensive_effort]],
  2
)</f>
        <v>1.1000000000000001</v>
      </c>
    </row>
    <row r="224" spans="1:37" x14ac:dyDescent="0.25">
      <c r="A224" t="s">
        <v>888</v>
      </c>
      <c r="B224" t="s">
        <v>889</v>
      </c>
      <c r="C224">
        <v>27</v>
      </c>
      <c r="D224" t="s">
        <v>56</v>
      </c>
      <c r="E224">
        <v>69</v>
      </c>
      <c r="F224">
        <v>190</v>
      </c>
      <c r="G224" t="s">
        <v>107</v>
      </c>
      <c r="H224">
        <v>2020</v>
      </c>
      <c r="I224" t="s">
        <v>33</v>
      </c>
      <c r="J224">
        <v>15</v>
      </c>
      <c r="K224">
        <v>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s="5">
        <f>IF(Merge1[[#This Row],[team_defense_snaps]]=0, "", Merge1[[#This Row],[defense_snaps]] / Merge1[[#This Row],[team_defense_snaps]])</f>
        <v>0</v>
      </c>
      <c r="V224">
        <v>59</v>
      </c>
      <c r="W224">
        <v>0</v>
      </c>
      <c r="X224" s="5">
        <v>0</v>
      </c>
      <c r="Y224">
        <v>3</v>
      </c>
      <c r="Z224">
        <v>0</v>
      </c>
      <c r="AA224" t="s">
        <v>25</v>
      </c>
      <c r="AB224" t="s">
        <v>26</v>
      </c>
      <c r="AC224" t="s">
        <v>27</v>
      </c>
      <c r="AD224" t="s">
        <v>42</v>
      </c>
      <c r="AE224" t="s">
        <v>25</v>
      </c>
      <c r="AF2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24" t="s">
        <v>942</v>
      </c>
      <c r="AH224">
        <v>51</v>
      </c>
      <c r="AI224" t="s">
        <v>27</v>
      </c>
      <c r="AJ224">
        <v>5</v>
      </c>
      <c r="AK2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MIN(AJ224/8, 1) +
  Merge1[[#This Row],[index_defensive_effort]],
  2
)</f>
        <v>1.23</v>
      </c>
    </row>
    <row r="225" spans="1:37" x14ac:dyDescent="0.25">
      <c r="A225" t="s">
        <v>888</v>
      </c>
      <c r="B225" t="s">
        <v>889</v>
      </c>
      <c r="C225">
        <v>27</v>
      </c>
      <c r="D225" t="s">
        <v>56</v>
      </c>
      <c r="E225">
        <v>69</v>
      </c>
      <c r="F225">
        <v>190</v>
      </c>
      <c r="G225" t="s">
        <v>107</v>
      </c>
      <c r="H225">
        <v>2020</v>
      </c>
      <c r="I225" t="s">
        <v>33</v>
      </c>
      <c r="J225">
        <v>16</v>
      </c>
      <c r="K225">
        <v>3</v>
      </c>
      <c r="L225">
        <v>2</v>
      </c>
      <c r="M225">
        <v>1</v>
      </c>
      <c r="N225">
        <v>3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s="5">
        <f>IF(Merge1[[#This Row],[team_defense_snaps]]=0, "", Merge1[[#This Row],[defense_snaps]] / Merge1[[#This Row],[team_defense_snaps]])</f>
        <v>0</v>
      </c>
      <c r="V225">
        <v>81</v>
      </c>
      <c r="W225">
        <v>0</v>
      </c>
      <c r="X225" s="5">
        <v>0</v>
      </c>
      <c r="Y225">
        <v>3</v>
      </c>
      <c r="Z225">
        <v>0</v>
      </c>
      <c r="AA225" t="s">
        <v>25</v>
      </c>
      <c r="AB225" t="s">
        <v>26</v>
      </c>
      <c r="AC225" t="s">
        <v>27</v>
      </c>
      <c r="AD225" t="s">
        <v>42</v>
      </c>
      <c r="AE225" t="s">
        <v>25</v>
      </c>
      <c r="AF2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25" t="s">
        <v>942</v>
      </c>
      <c r="AH225">
        <v>49.5</v>
      </c>
      <c r="AI225" t="s">
        <v>27</v>
      </c>
      <c r="AJ225">
        <v>6</v>
      </c>
      <c r="AK2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MIN(AJ225/8, 1) +
  Merge1[[#This Row],[index_defensive_effort]],
  2
)</f>
        <v>1.35</v>
      </c>
    </row>
    <row r="226" spans="1:37" x14ac:dyDescent="0.25">
      <c r="A226" t="s">
        <v>888</v>
      </c>
      <c r="B226" t="s">
        <v>889</v>
      </c>
      <c r="C226">
        <v>27</v>
      </c>
      <c r="D226" t="s">
        <v>56</v>
      </c>
      <c r="E226">
        <v>69</v>
      </c>
      <c r="F226">
        <v>190</v>
      </c>
      <c r="G226" t="s">
        <v>107</v>
      </c>
      <c r="H226">
        <v>2020</v>
      </c>
      <c r="I226" t="s">
        <v>33</v>
      </c>
      <c r="J226">
        <v>17</v>
      </c>
      <c r="K226">
        <v>1</v>
      </c>
      <c r="L226">
        <v>1</v>
      </c>
      <c r="M226">
        <v>1</v>
      </c>
      <c r="N226">
        <v>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s="5">
        <f>IF(Merge1[[#This Row],[team_defense_snaps]]=0, "", Merge1[[#This Row],[defense_snaps]] / Merge1[[#This Row],[team_defense_snaps]])</f>
        <v>0</v>
      </c>
      <c r="V226">
        <v>65</v>
      </c>
      <c r="W226">
        <v>0</v>
      </c>
      <c r="X226" s="5">
        <v>0</v>
      </c>
      <c r="Y226">
        <v>3</v>
      </c>
      <c r="Z226">
        <v>0</v>
      </c>
      <c r="AA226" t="s">
        <v>25</v>
      </c>
      <c r="AB226" t="s">
        <v>26</v>
      </c>
      <c r="AC226" t="s">
        <v>27</v>
      </c>
      <c r="AD226" t="s">
        <v>42</v>
      </c>
      <c r="AE226" t="s">
        <v>25</v>
      </c>
      <c r="AF2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26" t="s">
        <v>942</v>
      </c>
      <c r="AH226">
        <v>48</v>
      </c>
      <c r="AI226" t="s">
        <v>938</v>
      </c>
      <c r="AJ226">
        <v>1</v>
      </c>
      <c r="AK2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MIN(AJ226/8, 1) +
  Merge1[[#This Row],[index_defensive_effort]],
  2
)</f>
        <v>0.73</v>
      </c>
    </row>
    <row r="227" spans="1:37" x14ac:dyDescent="0.25">
      <c r="A227" t="s">
        <v>105</v>
      </c>
      <c r="B227" t="s">
        <v>106</v>
      </c>
      <c r="C227">
        <v>24</v>
      </c>
      <c r="D227" t="s">
        <v>22</v>
      </c>
      <c r="E227">
        <v>73</v>
      </c>
      <c r="F227">
        <v>202</v>
      </c>
      <c r="G227" t="s">
        <v>107</v>
      </c>
      <c r="H227">
        <v>2020</v>
      </c>
      <c r="I227" t="s">
        <v>33</v>
      </c>
      <c r="J227">
        <v>5</v>
      </c>
      <c r="K227">
        <v>0</v>
      </c>
      <c r="L227">
        <v>2</v>
      </c>
      <c r="M227">
        <v>1</v>
      </c>
      <c r="N227">
        <v>3</v>
      </c>
      <c r="O227">
        <v>0</v>
      </c>
      <c r="P227">
        <v>0</v>
      </c>
      <c r="Q227">
        <v>0</v>
      </c>
      <c r="R227">
        <v>0</v>
      </c>
      <c r="S227">
        <v>25</v>
      </c>
      <c r="T227">
        <v>22</v>
      </c>
      <c r="U227" s="5">
        <f>IF(Merge1[[#This Row],[team_defense_snaps]]=0, "", Merge1[[#This Row],[defense_snaps]] / Merge1[[#This Row],[team_defense_snaps]])</f>
        <v>0.28947368421052633</v>
      </c>
      <c r="V227">
        <v>76</v>
      </c>
      <c r="W227">
        <v>3</v>
      </c>
      <c r="X227" s="5" t="s">
        <v>251</v>
      </c>
      <c r="Y227">
        <v>0</v>
      </c>
      <c r="Z227">
        <v>0</v>
      </c>
      <c r="AA227" t="s">
        <v>25</v>
      </c>
      <c r="AB227" t="s">
        <v>36</v>
      </c>
      <c r="AC227" t="s">
        <v>50</v>
      </c>
      <c r="AD227" t="s">
        <v>28</v>
      </c>
      <c r="AE227" t="s">
        <v>25</v>
      </c>
      <c r="AF2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0.06</v>
      </c>
      <c r="AG227" t="s">
        <v>942</v>
      </c>
      <c r="AH227">
        <v>63</v>
      </c>
      <c r="AI227" t="s">
        <v>939</v>
      </c>
      <c r="AJ227">
        <v>1</v>
      </c>
      <c r="AK2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MIN(AJ227/8, 1) +
  Merge1[[#This Row],[index_defensive_effort]],
  2
)</f>
        <v>0.59</v>
      </c>
    </row>
    <row r="228" spans="1:37" x14ac:dyDescent="0.25">
      <c r="A228" t="s">
        <v>105</v>
      </c>
      <c r="B228" t="s">
        <v>106</v>
      </c>
      <c r="C228">
        <v>24</v>
      </c>
      <c r="D228" t="s">
        <v>22</v>
      </c>
      <c r="E228">
        <v>73</v>
      </c>
      <c r="F228">
        <v>202</v>
      </c>
      <c r="G228" t="s">
        <v>107</v>
      </c>
      <c r="H228">
        <v>2020</v>
      </c>
      <c r="I228" t="s">
        <v>33</v>
      </c>
      <c r="J228">
        <v>7</v>
      </c>
      <c r="K228">
        <v>2</v>
      </c>
      <c r="L228">
        <v>1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33</v>
      </c>
      <c r="T228">
        <v>24</v>
      </c>
      <c r="U228" s="5">
        <f>IF(Merge1[[#This Row],[team_defense_snaps]]=0, "", Merge1[[#This Row],[defense_snaps]] / Merge1[[#This Row],[team_defense_snaps]])</f>
        <v>0.32</v>
      </c>
      <c r="V228">
        <v>75</v>
      </c>
      <c r="W228">
        <v>9</v>
      </c>
      <c r="X228" s="5" t="s">
        <v>57</v>
      </c>
      <c r="Y228">
        <v>0</v>
      </c>
      <c r="Z228">
        <v>0</v>
      </c>
      <c r="AA228" t="s">
        <v>25</v>
      </c>
      <c r="AB228" t="s">
        <v>26</v>
      </c>
      <c r="AC228" t="s">
        <v>27</v>
      </c>
      <c r="AD228" t="s">
        <v>28</v>
      </c>
      <c r="AE228" t="s">
        <v>25</v>
      </c>
      <c r="AF2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7.575757575757576E-2</v>
      </c>
      <c r="AG228" t="s">
        <v>942</v>
      </c>
      <c r="AH228">
        <v>55.5</v>
      </c>
      <c r="AI228" t="s">
        <v>939</v>
      </c>
      <c r="AJ228">
        <v>2</v>
      </c>
      <c r="AK2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MIN(AJ228/8, 1) +
  Merge1[[#This Row],[index_defensive_effort]],
  2
)</f>
        <v>0.73</v>
      </c>
    </row>
    <row r="229" spans="1:37" x14ac:dyDescent="0.25">
      <c r="A229" t="s">
        <v>105</v>
      </c>
      <c r="B229" t="s">
        <v>106</v>
      </c>
      <c r="C229">
        <v>24</v>
      </c>
      <c r="D229" t="s">
        <v>22</v>
      </c>
      <c r="E229">
        <v>73</v>
      </c>
      <c r="F229">
        <v>202</v>
      </c>
      <c r="G229" t="s">
        <v>107</v>
      </c>
      <c r="H229">
        <v>2020</v>
      </c>
      <c r="I229" t="s">
        <v>33</v>
      </c>
      <c r="J229">
        <v>8</v>
      </c>
      <c r="K229">
        <v>3</v>
      </c>
      <c r="L229">
        <v>1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66</v>
      </c>
      <c r="T229">
        <v>66</v>
      </c>
      <c r="U229" s="5">
        <f>IF(Merge1[[#This Row],[team_defense_snaps]]=0, "", Merge1[[#This Row],[defense_snaps]] / Merge1[[#This Row],[team_defense_snaps]])</f>
        <v>1</v>
      </c>
      <c r="V229">
        <v>66</v>
      </c>
      <c r="W229">
        <v>0</v>
      </c>
      <c r="X229" s="5" t="s">
        <v>29</v>
      </c>
      <c r="Y229">
        <v>0</v>
      </c>
      <c r="Z229">
        <v>0</v>
      </c>
      <c r="AA229" t="s">
        <v>25</v>
      </c>
      <c r="AB229" t="s">
        <v>26</v>
      </c>
      <c r="AC229" t="s">
        <v>27</v>
      </c>
      <c r="AD229" t="s">
        <v>42</v>
      </c>
      <c r="AE229" t="s">
        <v>25</v>
      </c>
      <c r="AF2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5.3030303030303032E-2</v>
      </c>
      <c r="AG229" t="s">
        <v>942</v>
      </c>
      <c r="AH229">
        <v>54</v>
      </c>
      <c r="AI229" t="s">
        <v>939</v>
      </c>
      <c r="AJ229">
        <v>3</v>
      </c>
      <c r="AK2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MIN(AJ229/8, 1) +
  Merge1[[#This Row],[index_defensive_effort]],
  2
)</f>
        <v>0.83</v>
      </c>
    </row>
    <row r="230" spans="1:37" x14ac:dyDescent="0.25">
      <c r="A230" t="s">
        <v>105</v>
      </c>
      <c r="B230" t="s">
        <v>106</v>
      </c>
      <c r="C230">
        <v>24</v>
      </c>
      <c r="D230" t="s">
        <v>22</v>
      </c>
      <c r="E230">
        <v>73</v>
      </c>
      <c r="F230">
        <v>202</v>
      </c>
      <c r="G230" t="s">
        <v>107</v>
      </c>
      <c r="H230">
        <v>2020</v>
      </c>
      <c r="I230" t="s">
        <v>33</v>
      </c>
      <c r="J230">
        <v>9</v>
      </c>
      <c r="K230">
        <v>4</v>
      </c>
      <c r="L230">
        <v>1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81</v>
      </c>
      <c r="T230">
        <v>81</v>
      </c>
      <c r="U230" s="5">
        <f>IF(Merge1[[#This Row],[team_defense_snaps]]=0, "", Merge1[[#This Row],[defense_snaps]] / Merge1[[#This Row],[team_defense_snaps]])</f>
        <v>1</v>
      </c>
      <c r="V230">
        <v>81</v>
      </c>
      <c r="W230">
        <v>0</v>
      </c>
      <c r="X230" s="5" t="s">
        <v>29</v>
      </c>
      <c r="Y230">
        <v>0</v>
      </c>
      <c r="Z230">
        <v>0</v>
      </c>
      <c r="AA230" t="s">
        <v>25</v>
      </c>
      <c r="AB230" t="s">
        <v>26</v>
      </c>
      <c r="AC230" t="s">
        <v>27</v>
      </c>
      <c r="AD230" t="s">
        <v>42</v>
      </c>
      <c r="AE230" t="s">
        <v>25</v>
      </c>
      <c r="AF2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230" t="s">
        <v>942</v>
      </c>
      <c r="AH230">
        <v>57</v>
      </c>
      <c r="AI230" t="s">
        <v>939</v>
      </c>
      <c r="AJ230">
        <v>1</v>
      </c>
      <c r="AK2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MIN(AJ230/8, 1) +
  Merge1[[#This Row],[index_defensive_effort]],
  2
)</f>
        <v>0.57999999999999996</v>
      </c>
    </row>
    <row r="231" spans="1:37" x14ac:dyDescent="0.25">
      <c r="A231" t="s">
        <v>105</v>
      </c>
      <c r="B231" t="s">
        <v>106</v>
      </c>
      <c r="C231">
        <v>24</v>
      </c>
      <c r="D231" t="s">
        <v>22</v>
      </c>
      <c r="E231">
        <v>73</v>
      </c>
      <c r="F231">
        <v>202</v>
      </c>
      <c r="G231" t="s">
        <v>107</v>
      </c>
      <c r="H231">
        <v>2020</v>
      </c>
      <c r="I231" t="s">
        <v>33</v>
      </c>
      <c r="J231">
        <v>11</v>
      </c>
      <c r="K231">
        <v>8</v>
      </c>
      <c r="L231">
        <v>6</v>
      </c>
      <c r="M231">
        <v>2</v>
      </c>
      <c r="N231">
        <v>8</v>
      </c>
      <c r="O231">
        <v>0</v>
      </c>
      <c r="P231">
        <v>0</v>
      </c>
      <c r="Q231">
        <v>0</v>
      </c>
      <c r="R231">
        <v>1</v>
      </c>
      <c r="S231">
        <v>81</v>
      </c>
      <c r="T231">
        <v>81</v>
      </c>
      <c r="U231" s="5">
        <f>IF(Merge1[[#This Row],[team_defense_snaps]]=0, "", Merge1[[#This Row],[defense_snaps]] / Merge1[[#This Row],[team_defense_snaps]])</f>
        <v>0.98780487804878048</v>
      </c>
      <c r="V231">
        <v>82</v>
      </c>
      <c r="W231">
        <v>0</v>
      </c>
      <c r="X231" s="5" t="s">
        <v>29</v>
      </c>
      <c r="Y231">
        <v>0</v>
      </c>
      <c r="Z231">
        <v>0</v>
      </c>
      <c r="AA231" t="s">
        <v>25</v>
      </c>
      <c r="AB231" t="s">
        <v>26</v>
      </c>
      <c r="AC231" t="s">
        <v>27</v>
      </c>
      <c r="AD231" t="s">
        <v>42</v>
      </c>
      <c r="AE231" t="s">
        <v>25</v>
      </c>
      <c r="AF2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0.1728395061728395</v>
      </c>
      <c r="AG231" t="s">
        <v>942</v>
      </c>
      <c r="AH231">
        <v>66</v>
      </c>
      <c r="AI231" t="s">
        <v>939</v>
      </c>
      <c r="AJ231">
        <v>2</v>
      </c>
      <c r="AK2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MIN(AJ231/8, 1) +
  Merge1[[#This Row],[index_defensive_effort]],
  2
)</f>
        <v>0.82</v>
      </c>
    </row>
    <row r="232" spans="1:37" x14ac:dyDescent="0.25">
      <c r="A232" t="s">
        <v>105</v>
      </c>
      <c r="B232" t="s">
        <v>106</v>
      </c>
      <c r="C232">
        <v>24</v>
      </c>
      <c r="D232" t="s">
        <v>22</v>
      </c>
      <c r="E232">
        <v>73</v>
      </c>
      <c r="F232">
        <v>202</v>
      </c>
      <c r="G232" t="s">
        <v>107</v>
      </c>
      <c r="H232">
        <v>2020</v>
      </c>
      <c r="I232" t="s">
        <v>33</v>
      </c>
      <c r="J232">
        <v>12</v>
      </c>
      <c r="K232">
        <v>2</v>
      </c>
      <c r="L232">
        <v>1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72</v>
      </c>
      <c r="T232">
        <v>71</v>
      </c>
      <c r="U232" s="5">
        <f>IF(Merge1[[#This Row],[team_defense_snaps]]=0, "", Merge1[[#This Row],[defense_snaps]] / Merge1[[#This Row],[team_defense_snaps]])</f>
        <v>1</v>
      </c>
      <c r="V232">
        <v>71</v>
      </c>
      <c r="W232">
        <v>1</v>
      </c>
      <c r="X232" s="5" t="s">
        <v>193</v>
      </c>
      <c r="Y232">
        <v>0</v>
      </c>
      <c r="Z232">
        <v>0</v>
      </c>
      <c r="AA232" t="s">
        <v>25</v>
      </c>
      <c r="AB232" t="s">
        <v>26</v>
      </c>
      <c r="AC232" t="s">
        <v>27</v>
      </c>
      <c r="AD232" t="s">
        <v>42</v>
      </c>
      <c r="AE232" t="s">
        <v>25</v>
      </c>
      <c r="AF2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3.4722222222222224E-2</v>
      </c>
      <c r="AG232" t="s">
        <v>942</v>
      </c>
      <c r="AH232">
        <v>60</v>
      </c>
      <c r="AI232" t="s">
        <v>939</v>
      </c>
      <c r="AJ232">
        <v>3</v>
      </c>
      <c r="AK2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MIN(AJ232/8, 1) +
  Merge1[[#This Row],[index_defensive_effort]],
  2
)</f>
        <v>0.81</v>
      </c>
    </row>
    <row r="233" spans="1:37" x14ac:dyDescent="0.25">
      <c r="A233" t="s">
        <v>105</v>
      </c>
      <c r="B233" t="s">
        <v>106</v>
      </c>
      <c r="C233">
        <v>24</v>
      </c>
      <c r="D233" t="s">
        <v>22</v>
      </c>
      <c r="E233">
        <v>73</v>
      </c>
      <c r="F233">
        <v>202</v>
      </c>
      <c r="G233" t="s">
        <v>107</v>
      </c>
      <c r="H233">
        <v>2020</v>
      </c>
      <c r="I233" t="s">
        <v>33</v>
      </c>
      <c r="J233">
        <v>13</v>
      </c>
      <c r="K233">
        <v>5</v>
      </c>
      <c r="L233">
        <v>1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44</v>
      </c>
      <c r="T233">
        <v>44</v>
      </c>
      <c r="U233" s="5">
        <f>IF(Merge1[[#This Row],[team_defense_snaps]]=0, "", Merge1[[#This Row],[defense_snaps]] / Merge1[[#This Row],[team_defense_snaps]])</f>
        <v>0.55696202531645567</v>
      </c>
      <c r="V233">
        <v>79</v>
      </c>
      <c r="W233">
        <v>0</v>
      </c>
      <c r="X233" s="5" t="s">
        <v>29</v>
      </c>
      <c r="Y233">
        <v>0</v>
      </c>
      <c r="Z233">
        <v>0</v>
      </c>
      <c r="AA233" t="s">
        <v>25</v>
      </c>
      <c r="AB233" t="s">
        <v>26</v>
      </c>
      <c r="AC233" t="s">
        <v>27</v>
      </c>
      <c r="AD233" t="s">
        <v>42</v>
      </c>
      <c r="AE233" t="s">
        <v>25</v>
      </c>
      <c r="AF2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233" t="s">
        <v>942</v>
      </c>
      <c r="AH233">
        <v>61.5</v>
      </c>
      <c r="AI233" t="s">
        <v>939</v>
      </c>
      <c r="AJ233">
        <v>1</v>
      </c>
      <c r="AK2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MIN(AJ233/8, 1) +
  Merge1[[#This Row],[index_defensive_effort]],
  2
)</f>
        <v>0.65</v>
      </c>
    </row>
    <row r="234" spans="1:37" x14ac:dyDescent="0.25">
      <c r="A234" t="s">
        <v>148</v>
      </c>
      <c r="B234" t="s">
        <v>149</v>
      </c>
      <c r="C234">
        <v>24</v>
      </c>
      <c r="D234" t="s">
        <v>56</v>
      </c>
      <c r="E234">
        <v>69</v>
      </c>
      <c r="F234">
        <v>184</v>
      </c>
      <c r="G234" t="s">
        <v>150</v>
      </c>
      <c r="H234">
        <v>2020</v>
      </c>
      <c r="I234" t="s">
        <v>33</v>
      </c>
      <c r="J234">
        <v>1</v>
      </c>
      <c r="K234">
        <v>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61</v>
      </c>
      <c r="T234">
        <v>61</v>
      </c>
      <c r="U234" s="5">
        <f>IF(Merge1[[#This Row],[team_defense_snaps]]=0, "", Merge1[[#This Row],[defense_snaps]] / Merge1[[#This Row],[team_defense_snaps]])</f>
        <v>0.81333333333333335</v>
      </c>
      <c r="V234">
        <v>75</v>
      </c>
      <c r="W234">
        <v>0</v>
      </c>
      <c r="X234" s="5" t="s">
        <v>29</v>
      </c>
      <c r="Y234">
        <v>2</v>
      </c>
      <c r="Z234">
        <v>0</v>
      </c>
      <c r="AA234" t="s">
        <v>25</v>
      </c>
      <c r="AB234" t="s">
        <v>26</v>
      </c>
      <c r="AC234" t="s">
        <v>27</v>
      </c>
      <c r="AD234" t="s">
        <v>42</v>
      </c>
      <c r="AE234" t="s">
        <v>25</v>
      </c>
      <c r="AF2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8.1967213114754092E-2</v>
      </c>
      <c r="AG234" t="s">
        <v>943</v>
      </c>
      <c r="AH234">
        <v>64</v>
      </c>
      <c r="AI234" t="s">
        <v>939</v>
      </c>
      <c r="AJ234">
        <v>2</v>
      </c>
      <c r="AK2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MIN(AJ234/8, 1) +
  Merge1[[#This Row],[index_defensive_effort]],
  2
)</f>
        <v>0.83</v>
      </c>
    </row>
    <row r="235" spans="1:37" x14ac:dyDescent="0.25">
      <c r="A235" t="s">
        <v>148</v>
      </c>
      <c r="B235" t="s">
        <v>149</v>
      </c>
      <c r="C235">
        <v>24</v>
      </c>
      <c r="D235" t="s">
        <v>56</v>
      </c>
      <c r="E235">
        <v>69</v>
      </c>
      <c r="F235">
        <v>184</v>
      </c>
      <c r="G235" t="s">
        <v>150</v>
      </c>
      <c r="H235">
        <v>2020</v>
      </c>
      <c r="I235" t="s">
        <v>33</v>
      </c>
      <c r="J235">
        <v>2</v>
      </c>
      <c r="K235">
        <v>8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70</v>
      </c>
      <c r="T235">
        <v>69</v>
      </c>
      <c r="U235" s="5">
        <f>IF(Merge1[[#This Row],[team_defense_snaps]]=0, "", Merge1[[#This Row],[defense_snaps]] / Merge1[[#This Row],[team_defense_snaps]])</f>
        <v>0.98571428571428577</v>
      </c>
      <c r="V235">
        <v>70</v>
      </c>
      <c r="W235">
        <v>1</v>
      </c>
      <c r="X235" s="5" t="s">
        <v>193</v>
      </c>
      <c r="Y235">
        <v>2</v>
      </c>
      <c r="Z235">
        <v>0</v>
      </c>
      <c r="AA235" t="s">
        <v>25</v>
      </c>
      <c r="AB235" t="s">
        <v>26</v>
      </c>
      <c r="AC235" t="s">
        <v>27</v>
      </c>
      <c r="AD235" t="s">
        <v>42</v>
      </c>
      <c r="AE235" t="s">
        <v>25</v>
      </c>
      <c r="AF2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0.11428571428571428</v>
      </c>
      <c r="AG235" t="s">
        <v>943</v>
      </c>
      <c r="AH235">
        <v>71.5</v>
      </c>
      <c r="AI235" t="s">
        <v>939</v>
      </c>
      <c r="AJ235">
        <v>3</v>
      </c>
      <c r="AK2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MIN(AJ235/8, 1) +
  Merge1[[#This Row],[index_defensive_effort]],
  2
)</f>
        <v>0.99</v>
      </c>
    </row>
    <row r="236" spans="1:37" x14ac:dyDescent="0.25">
      <c r="A236" t="s">
        <v>148</v>
      </c>
      <c r="B236" t="s">
        <v>149</v>
      </c>
      <c r="C236">
        <v>24</v>
      </c>
      <c r="D236" t="s">
        <v>56</v>
      </c>
      <c r="E236">
        <v>69</v>
      </c>
      <c r="F236">
        <v>184</v>
      </c>
      <c r="G236" t="s">
        <v>150</v>
      </c>
      <c r="H236">
        <v>2020</v>
      </c>
      <c r="I236" t="s">
        <v>33</v>
      </c>
      <c r="J236">
        <v>3</v>
      </c>
      <c r="K236">
        <v>7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41</v>
      </c>
      <c r="T236">
        <v>39</v>
      </c>
      <c r="U236" s="5">
        <f>IF(Merge1[[#This Row],[team_defense_snaps]]=0, "", Merge1[[#This Row],[defense_snaps]] / Merge1[[#This Row],[team_defense_snaps]])</f>
        <v>0.53424657534246578</v>
      </c>
      <c r="V236">
        <v>73</v>
      </c>
      <c r="W236">
        <v>2</v>
      </c>
      <c r="X236" s="5" t="s">
        <v>114</v>
      </c>
      <c r="Y236">
        <v>2</v>
      </c>
      <c r="Z236">
        <v>0</v>
      </c>
      <c r="AA236" t="s">
        <v>25</v>
      </c>
      <c r="AB236" t="s">
        <v>26</v>
      </c>
      <c r="AC236" t="s">
        <v>27</v>
      </c>
      <c r="AD236" t="s">
        <v>42</v>
      </c>
      <c r="AE236" t="s">
        <v>25</v>
      </c>
      <c r="AF2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0.17073170731707318</v>
      </c>
      <c r="AG236" t="s">
        <v>943</v>
      </c>
      <c r="AH236">
        <v>73</v>
      </c>
      <c r="AI236" t="s">
        <v>939</v>
      </c>
      <c r="AJ236">
        <v>1</v>
      </c>
      <c r="AK2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MIN(AJ236/8, 1) +
  Merge1[[#This Row],[index_defensive_effort]],
  2
)</f>
        <v>0.8</v>
      </c>
    </row>
    <row r="237" spans="1:37" x14ac:dyDescent="0.25">
      <c r="A237" t="s">
        <v>148</v>
      </c>
      <c r="B237" t="s">
        <v>149</v>
      </c>
      <c r="C237">
        <v>24</v>
      </c>
      <c r="D237" t="s">
        <v>56</v>
      </c>
      <c r="E237">
        <v>69</v>
      </c>
      <c r="F237">
        <v>184</v>
      </c>
      <c r="G237" t="s">
        <v>150</v>
      </c>
      <c r="H237">
        <v>2020</v>
      </c>
      <c r="I237" t="s">
        <v>33</v>
      </c>
      <c r="J237">
        <v>7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5</v>
      </c>
      <c r="T237">
        <v>3</v>
      </c>
      <c r="U237" s="5">
        <f>IF(Merge1[[#This Row],[team_defense_snaps]]=0, "", Merge1[[#This Row],[defense_snaps]] / Merge1[[#This Row],[team_defense_snaps]])</f>
        <v>4.9180327868852458E-2</v>
      </c>
      <c r="V237">
        <v>61</v>
      </c>
      <c r="W237">
        <v>2</v>
      </c>
      <c r="X237" s="5" t="s">
        <v>167</v>
      </c>
      <c r="Y237">
        <v>2</v>
      </c>
      <c r="Z237">
        <v>0</v>
      </c>
      <c r="AA237" t="s">
        <v>25</v>
      </c>
      <c r="AB237" t="s">
        <v>26</v>
      </c>
      <c r="AC237" t="s">
        <v>27</v>
      </c>
      <c r="AD237" t="s">
        <v>28</v>
      </c>
      <c r="AE237" t="s">
        <v>25</v>
      </c>
      <c r="AF2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</v>
      </c>
      <c r="AG237" t="s">
        <v>943</v>
      </c>
      <c r="AH237">
        <v>70</v>
      </c>
      <c r="AI237" t="s">
        <v>939</v>
      </c>
      <c r="AJ237">
        <v>2</v>
      </c>
      <c r="AK2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MIN(AJ237/8, 1) +
  Merge1[[#This Row],[index_defensive_effort]],
  2
)</f>
        <v>0.95</v>
      </c>
    </row>
    <row r="238" spans="1:37" x14ac:dyDescent="0.25">
      <c r="A238" t="s">
        <v>148</v>
      </c>
      <c r="B238" t="s">
        <v>149</v>
      </c>
      <c r="C238">
        <v>24</v>
      </c>
      <c r="D238" t="s">
        <v>56</v>
      </c>
      <c r="E238">
        <v>69</v>
      </c>
      <c r="F238">
        <v>184</v>
      </c>
      <c r="G238" t="s">
        <v>150</v>
      </c>
      <c r="H238">
        <v>2020</v>
      </c>
      <c r="I238" t="s">
        <v>33</v>
      </c>
      <c r="J238">
        <v>8</v>
      </c>
      <c r="K238">
        <v>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84</v>
      </c>
      <c r="T238">
        <v>79</v>
      </c>
      <c r="U238" s="5">
        <f>IF(Merge1[[#This Row],[team_defense_snaps]]=0, "", Merge1[[#This Row],[defense_snaps]] / Merge1[[#This Row],[team_defense_snaps]])</f>
        <v>0.98750000000000004</v>
      </c>
      <c r="V238">
        <v>80</v>
      </c>
      <c r="W238">
        <v>5</v>
      </c>
      <c r="X238" s="5" t="s">
        <v>135</v>
      </c>
      <c r="Y238">
        <v>2</v>
      </c>
      <c r="Z238">
        <v>0</v>
      </c>
      <c r="AA238" t="s">
        <v>25</v>
      </c>
      <c r="AB238" t="s">
        <v>26</v>
      </c>
      <c r="AC238" t="s">
        <v>27</v>
      </c>
      <c r="AD238" t="s">
        <v>42</v>
      </c>
      <c r="AE238" t="s">
        <v>25</v>
      </c>
      <c r="AF2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5.9523809523809521E-2</v>
      </c>
      <c r="AG238" t="s">
        <v>943</v>
      </c>
      <c r="AH238">
        <v>62.5</v>
      </c>
      <c r="AI238" t="s">
        <v>939</v>
      </c>
      <c r="AJ238">
        <v>1</v>
      </c>
      <c r="AK2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MIN(AJ238/8, 1) +
  Merge1[[#This Row],[index_defensive_effort]],
  2
)</f>
        <v>0.68</v>
      </c>
    </row>
    <row r="239" spans="1:37" x14ac:dyDescent="0.25">
      <c r="A239" t="s">
        <v>148</v>
      </c>
      <c r="B239" t="s">
        <v>149</v>
      </c>
      <c r="C239">
        <v>24</v>
      </c>
      <c r="D239" t="s">
        <v>56</v>
      </c>
      <c r="E239">
        <v>69</v>
      </c>
      <c r="F239">
        <v>184</v>
      </c>
      <c r="G239" t="s">
        <v>150</v>
      </c>
      <c r="H239">
        <v>2020</v>
      </c>
      <c r="I239" t="s">
        <v>33</v>
      </c>
      <c r="J239">
        <v>10</v>
      </c>
      <c r="K239">
        <v>4</v>
      </c>
      <c r="L239">
        <v>3</v>
      </c>
      <c r="M239">
        <v>2</v>
      </c>
      <c r="N239">
        <v>5</v>
      </c>
      <c r="O239">
        <v>0</v>
      </c>
      <c r="P239">
        <v>0</v>
      </c>
      <c r="Q239">
        <v>0</v>
      </c>
      <c r="R239">
        <v>0</v>
      </c>
      <c r="S239">
        <v>72</v>
      </c>
      <c r="T239">
        <v>64</v>
      </c>
      <c r="U239" s="5">
        <f>IF(Merge1[[#This Row],[team_defense_snaps]]=0, "", Merge1[[#This Row],[defense_snaps]] / Merge1[[#This Row],[team_defense_snaps]])</f>
        <v>0.90140845070422537</v>
      </c>
      <c r="V239">
        <v>71</v>
      </c>
      <c r="W239">
        <v>8</v>
      </c>
      <c r="X239" s="5" t="s">
        <v>108</v>
      </c>
      <c r="Y239">
        <v>2</v>
      </c>
      <c r="Z239">
        <v>0</v>
      </c>
      <c r="AA239" t="s">
        <v>25</v>
      </c>
      <c r="AB239" t="s">
        <v>26</v>
      </c>
      <c r="AC239" t="s">
        <v>27</v>
      </c>
      <c r="AD239" t="s">
        <v>42</v>
      </c>
      <c r="AE239" t="s">
        <v>25</v>
      </c>
      <c r="AF2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9.0277777777777776E-2</v>
      </c>
      <c r="AG239" t="s">
        <v>943</v>
      </c>
      <c r="AH239">
        <v>59.5</v>
      </c>
      <c r="AI239" t="s">
        <v>939</v>
      </c>
      <c r="AJ239">
        <v>2</v>
      </c>
      <c r="AK2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MIN(AJ239/8, 1) +
  Merge1[[#This Row],[index_defensive_effort]],
  2
)</f>
        <v>0.84</v>
      </c>
    </row>
    <row r="240" spans="1:37" x14ac:dyDescent="0.25">
      <c r="A240" t="s">
        <v>148</v>
      </c>
      <c r="B240" t="s">
        <v>149</v>
      </c>
      <c r="C240">
        <v>24</v>
      </c>
      <c r="D240" t="s">
        <v>56</v>
      </c>
      <c r="E240">
        <v>69</v>
      </c>
      <c r="F240">
        <v>184</v>
      </c>
      <c r="G240" t="s">
        <v>150</v>
      </c>
      <c r="H240">
        <v>2020</v>
      </c>
      <c r="I240" t="s">
        <v>33</v>
      </c>
      <c r="J240">
        <v>11</v>
      </c>
      <c r="K240">
        <v>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51</v>
      </c>
      <c r="T240">
        <v>44</v>
      </c>
      <c r="U240" s="5">
        <f>IF(Merge1[[#This Row],[team_defense_snaps]]=0, "", Merge1[[#This Row],[defense_snaps]] / Merge1[[#This Row],[team_defense_snaps]])</f>
        <v>0.6470588235294118</v>
      </c>
      <c r="V240">
        <v>68</v>
      </c>
      <c r="W240">
        <v>7</v>
      </c>
      <c r="X240" s="5" t="s">
        <v>133</v>
      </c>
      <c r="Y240">
        <v>2</v>
      </c>
      <c r="Z240">
        <v>0</v>
      </c>
      <c r="AA240" t="s">
        <v>25</v>
      </c>
      <c r="AB240" t="s">
        <v>26</v>
      </c>
      <c r="AC240" t="s">
        <v>27</v>
      </c>
      <c r="AD240" t="s">
        <v>28</v>
      </c>
      <c r="AE240" t="s">
        <v>25</v>
      </c>
      <c r="AF2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AG240" t="s">
        <v>943</v>
      </c>
      <c r="AH240">
        <v>58</v>
      </c>
      <c r="AI240" t="s">
        <v>939</v>
      </c>
      <c r="AJ240">
        <v>1</v>
      </c>
      <c r="AK2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MIN(AJ240/8, 1) +
  Merge1[[#This Row],[index_defensive_effort]],
  2
)</f>
        <v>0.68</v>
      </c>
    </row>
    <row r="241" spans="1:37" x14ac:dyDescent="0.25">
      <c r="A241" t="s">
        <v>148</v>
      </c>
      <c r="B241" t="s">
        <v>149</v>
      </c>
      <c r="C241">
        <v>24</v>
      </c>
      <c r="D241" t="s">
        <v>56</v>
      </c>
      <c r="E241">
        <v>69</v>
      </c>
      <c r="F241">
        <v>184</v>
      </c>
      <c r="G241" t="s">
        <v>150</v>
      </c>
      <c r="H241">
        <v>2020</v>
      </c>
      <c r="I241" t="s">
        <v>33</v>
      </c>
      <c r="J241">
        <v>13</v>
      </c>
      <c r="K241">
        <v>4</v>
      </c>
      <c r="L241">
        <v>1</v>
      </c>
      <c r="M241">
        <v>1</v>
      </c>
      <c r="N241">
        <v>2</v>
      </c>
      <c r="O241">
        <v>0</v>
      </c>
      <c r="P241">
        <v>1</v>
      </c>
      <c r="Q241">
        <v>0</v>
      </c>
      <c r="R241">
        <v>0</v>
      </c>
      <c r="S241">
        <v>69</v>
      </c>
      <c r="T241">
        <v>61</v>
      </c>
      <c r="U241" s="5">
        <f>IF(Merge1[[#This Row],[team_defense_snaps]]=0, "", Merge1[[#This Row],[defense_snaps]] / Merge1[[#This Row],[team_defense_snaps]])</f>
        <v>0.9838709677419355</v>
      </c>
      <c r="V241">
        <v>62</v>
      </c>
      <c r="W241">
        <v>8</v>
      </c>
      <c r="X241" s="5" t="s">
        <v>138</v>
      </c>
      <c r="Y241">
        <v>2</v>
      </c>
      <c r="Z241">
        <v>0</v>
      </c>
      <c r="AA241" t="s">
        <v>25</v>
      </c>
      <c r="AB241" t="s">
        <v>26</v>
      </c>
      <c r="AC241" t="s">
        <v>27</v>
      </c>
      <c r="AD241" t="s">
        <v>42</v>
      </c>
      <c r="AE241" t="s">
        <v>25</v>
      </c>
      <c r="AF2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0.10144927536231885</v>
      </c>
      <c r="AG241" t="s">
        <v>943</v>
      </c>
      <c r="AH241">
        <v>55</v>
      </c>
      <c r="AI241" t="s">
        <v>939</v>
      </c>
      <c r="AJ241">
        <v>1</v>
      </c>
      <c r="AK2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MIN(AJ241/8, 1) +
  Merge1[[#This Row],[index_defensive_effort]],
  2
)</f>
        <v>0.73</v>
      </c>
    </row>
    <row r="242" spans="1:37" x14ac:dyDescent="0.25">
      <c r="A242" t="s">
        <v>84</v>
      </c>
      <c r="B242" t="s">
        <v>85</v>
      </c>
      <c r="C242">
        <v>28</v>
      </c>
      <c r="D242" t="s">
        <v>56</v>
      </c>
      <c r="E242">
        <v>71</v>
      </c>
      <c r="F242">
        <v>195</v>
      </c>
      <c r="G242" t="s">
        <v>86</v>
      </c>
      <c r="H242">
        <v>2020</v>
      </c>
      <c r="I242" t="s">
        <v>33</v>
      </c>
      <c r="J242">
        <v>5</v>
      </c>
      <c r="K242">
        <v>4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2</v>
      </c>
      <c r="R242">
        <v>0</v>
      </c>
      <c r="S242">
        <v>51</v>
      </c>
      <c r="T242">
        <v>51</v>
      </c>
      <c r="U242" s="5">
        <f>IF(Merge1[[#This Row],[team_defense_snaps]]=0, "", Merge1[[#This Row],[defense_snaps]] / Merge1[[#This Row],[team_defense_snaps]])</f>
        <v>0.72857142857142854</v>
      </c>
      <c r="V242">
        <v>70</v>
      </c>
      <c r="W242">
        <v>0</v>
      </c>
      <c r="X242" s="5" t="s">
        <v>29</v>
      </c>
      <c r="Y242">
        <v>6</v>
      </c>
      <c r="Z242">
        <v>0</v>
      </c>
      <c r="AA242" t="s">
        <v>25</v>
      </c>
      <c r="AB242" t="s">
        <v>26</v>
      </c>
      <c r="AC242" t="s">
        <v>27</v>
      </c>
      <c r="AD242" t="s">
        <v>42</v>
      </c>
      <c r="AE242" t="s">
        <v>25</v>
      </c>
      <c r="AF2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0.23529411764705882</v>
      </c>
      <c r="AG242" t="s">
        <v>941</v>
      </c>
      <c r="AH242">
        <v>74</v>
      </c>
      <c r="AI242" t="s">
        <v>939</v>
      </c>
      <c r="AJ242">
        <v>2</v>
      </c>
      <c r="AK2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MIN(AJ242/8, 1) +
  Merge1[[#This Row],[index_defensive_effort]],
  2
)</f>
        <v>1.0900000000000001</v>
      </c>
    </row>
    <row r="243" spans="1:37" x14ac:dyDescent="0.25">
      <c r="A243" t="s">
        <v>84</v>
      </c>
      <c r="B243" t="s">
        <v>85</v>
      </c>
      <c r="C243">
        <v>28</v>
      </c>
      <c r="D243" t="s">
        <v>56</v>
      </c>
      <c r="E243">
        <v>71</v>
      </c>
      <c r="F243">
        <v>195</v>
      </c>
      <c r="G243" t="s">
        <v>86</v>
      </c>
      <c r="H243">
        <v>2020</v>
      </c>
      <c r="I243" t="s">
        <v>33</v>
      </c>
      <c r="J243">
        <v>6</v>
      </c>
      <c r="K243">
        <v>5</v>
      </c>
      <c r="L243">
        <v>1</v>
      </c>
      <c r="M243">
        <v>1</v>
      </c>
      <c r="N243">
        <v>2</v>
      </c>
      <c r="O243">
        <v>0</v>
      </c>
      <c r="P243">
        <v>0</v>
      </c>
      <c r="Q243">
        <v>0</v>
      </c>
      <c r="R243">
        <v>0</v>
      </c>
      <c r="S243">
        <v>53</v>
      </c>
      <c r="T243">
        <v>53</v>
      </c>
      <c r="U243" s="5">
        <f>IF(Merge1[[#This Row],[team_defense_snaps]]=0, "", Merge1[[#This Row],[defense_snaps]] / Merge1[[#This Row],[team_defense_snaps]])</f>
        <v>1</v>
      </c>
      <c r="V243">
        <v>53</v>
      </c>
      <c r="W243">
        <v>0</v>
      </c>
      <c r="X243" s="5" t="s">
        <v>29</v>
      </c>
      <c r="Y243">
        <v>6</v>
      </c>
      <c r="Z243">
        <v>0</v>
      </c>
      <c r="AA243" t="s">
        <v>25</v>
      </c>
      <c r="AB243" t="s">
        <v>26</v>
      </c>
      <c r="AC243" t="s">
        <v>27</v>
      </c>
      <c r="AD243" t="s">
        <v>42</v>
      </c>
      <c r="AE243" t="s">
        <v>25</v>
      </c>
      <c r="AF2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0.11320754716981132</v>
      </c>
      <c r="AG243" t="s">
        <v>941</v>
      </c>
      <c r="AH243">
        <v>72.5</v>
      </c>
      <c r="AI243" t="s">
        <v>939</v>
      </c>
      <c r="AJ243">
        <v>3</v>
      </c>
      <c r="AK2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MIN(AJ243/8, 1) +
  Merge1[[#This Row],[index_defensive_effort]],
  2
)</f>
        <v>1.0900000000000001</v>
      </c>
    </row>
    <row r="244" spans="1:37" x14ac:dyDescent="0.25">
      <c r="A244" t="s">
        <v>84</v>
      </c>
      <c r="B244" t="s">
        <v>85</v>
      </c>
      <c r="C244">
        <v>28</v>
      </c>
      <c r="D244" t="s">
        <v>56</v>
      </c>
      <c r="E244">
        <v>71</v>
      </c>
      <c r="F244">
        <v>195</v>
      </c>
      <c r="G244" t="s">
        <v>86</v>
      </c>
      <c r="H244">
        <v>2020</v>
      </c>
      <c r="I244" t="s">
        <v>33</v>
      </c>
      <c r="J244">
        <v>7</v>
      </c>
      <c r="K244">
        <v>2</v>
      </c>
      <c r="L244">
        <v>1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2</v>
      </c>
      <c r="S244">
        <v>69</v>
      </c>
      <c r="T244">
        <v>69</v>
      </c>
      <c r="U244" s="5">
        <f>IF(Merge1[[#This Row],[team_defense_snaps]]=0, "", Merge1[[#This Row],[defense_snaps]] / Merge1[[#This Row],[team_defense_snaps]])</f>
        <v>0.86250000000000004</v>
      </c>
      <c r="V244">
        <v>80</v>
      </c>
      <c r="W244">
        <v>0</v>
      </c>
      <c r="X244" s="5" t="s">
        <v>29</v>
      </c>
      <c r="Y244">
        <v>6</v>
      </c>
      <c r="Z244">
        <v>0</v>
      </c>
      <c r="AA244" t="s">
        <v>25</v>
      </c>
      <c r="AB244" t="s">
        <v>26</v>
      </c>
      <c r="AC244" t="s">
        <v>27</v>
      </c>
      <c r="AD244" t="s">
        <v>42</v>
      </c>
      <c r="AE244" t="s">
        <v>25</v>
      </c>
      <c r="AF2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9.420289855072464E-2</v>
      </c>
      <c r="AG244" t="s">
        <v>941</v>
      </c>
      <c r="AH244">
        <v>71</v>
      </c>
      <c r="AI244" t="s">
        <v>939</v>
      </c>
      <c r="AJ244">
        <v>4</v>
      </c>
      <c r="AK2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MIN(AJ244/8, 1) +
  Merge1[[#This Row],[index_defensive_effort]],
  2
)</f>
        <v>1.19</v>
      </c>
    </row>
    <row r="245" spans="1:37" x14ac:dyDescent="0.25">
      <c r="A245" t="s">
        <v>84</v>
      </c>
      <c r="B245" t="s">
        <v>85</v>
      </c>
      <c r="C245">
        <v>28</v>
      </c>
      <c r="D245" t="s">
        <v>56</v>
      </c>
      <c r="E245">
        <v>71</v>
      </c>
      <c r="F245">
        <v>195</v>
      </c>
      <c r="G245" t="s">
        <v>86</v>
      </c>
      <c r="H245">
        <v>2020</v>
      </c>
      <c r="I245" t="s">
        <v>33</v>
      </c>
      <c r="J245">
        <v>8</v>
      </c>
      <c r="K245">
        <v>2</v>
      </c>
      <c r="L245">
        <v>2</v>
      </c>
      <c r="M245">
        <v>0</v>
      </c>
      <c r="N245">
        <v>2</v>
      </c>
      <c r="O245">
        <v>0</v>
      </c>
      <c r="P245">
        <v>0</v>
      </c>
      <c r="Q245">
        <v>0</v>
      </c>
      <c r="R245">
        <v>0</v>
      </c>
      <c r="S245">
        <v>54</v>
      </c>
      <c r="T245">
        <v>54</v>
      </c>
      <c r="U245" s="5">
        <f>IF(Merge1[[#This Row],[team_defense_snaps]]=0, "", Merge1[[#This Row],[defense_snaps]] / Merge1[[#This Row],[team_defense_snaps]])</f>
        <v>0.9</v>
      </c>
      <c r="V245">
        <v>60</v>
      </c>
      <c r="W245">
        <v>0</v>
      </c>
      <c r="X245" s="5" t="s">
        <v>29</v>
      </c>
      <c r="Y245">
        <v>6</v>
      </c>
      <c r="Z245">
        <v>0</v>
      </c>
      <c r="AA245" t="s">
        <v>25</v>
      </c>
      <c r="AB245" t="s">
        <v>26</v>
      </c>
      <c r="AC245" t="s">
        <v>27</v>
      </c>
      <c r="AD245" t="s">
        <v>42</v>
      </c>
      <c r="AE245" t="s">
        <v>25</v>
      </c>
      <c r="AF2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245" t="s">
        <v>941</v>
      </c>
      <c r="AH245">
        <v>69.5</v>
      </c>
      <c r="AI245" t="s">
        <v>939</v>
      </c>
      <c r="AJ245">
        <v>5</v>
      </c>
      <c r="AK2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MIN(AJ245/8, 1) +
  Merge1[[#This Row],[index_defensive_effort]],
  2
)</f>
        <v>1.28</v>
      </c>
    </row>
    <row r="246" spans="1:37" x14ac:dyDescent="0.25">
      <c r="A246" t="s">
        <v>84</v>
      </c>
      <c r="B246" t="s">
        <v>85</v>
      </c>
      <c r="C246">
        <v>28</v>
      </c>
      <c r="D246" t="s">
        <v>56</v>
      </c>
      <c r="E246">
        <v>71</v>
      </c>
      <c r="F246">
        <v>195</v>
      </c>
      <c r="G246" t="s">
        <v>86</v>
      </c>
      <c r="H246">
        <v>2020</v>
      </c>
      <c r="I246" t="s">
        <v>33</v>
      </c>
      <c r="J246">
        <v>9</v>
      </c>
      <c r="K246">
        <v>7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81</v>
      </c>
      <c r="T246">
        <v>81</v>
      </c>
      <c r="U246" s="5">
        <f>IF(Merge1[[#This Row],[team_defense_snaps]]=0, "", Merge1[[#This Row],[defense_snaps]] / Merge1[[#This Row],[team_defense_snaps]])</f>
        <v>0.97590361445783136</v>
      </c>
      <c r="V246">
        <v>83</v>
      </c>
      <c r="W246">
        <v>0</v>
      </c>
      <c r="X246" s="5" t="s">
        <v>29</v>
      </c>
      <c r="Y246">
        <v>6</v>
      </c>
      <c r="Z246">
        <v>0</v>
      </c>
      <c r="AA246" t="s">
        <v>25</v>
      </c>
      <c r="AB246" t="s">
        <v>26</v>
      </c>
      <c r="AC246" t="s">
        <v>27</v>
      </c>
      <c r="AD246" t="s">
        <v>42</v>
      </c>
      <c r="AE246" t="s">
        <v>25</v>
      </c>
      <c r="AF2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0.1111111111111111</v>
      </c>
      <c r="AG246" t="s">
        <v>941</v>
      </c>
      <c r="AH246">
        <v>68</v>
      </c>
      <c r="AI246" t="s">
        <v>939</v>
      </c>
      <c r="AJ246">
        <v>1</v>
      </c>
      <c r="AK2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MIN(AJ246/8, 1) +
  Merge1[[#This Row],[index_defensive_effort]],
  2
)</f>
        <v>0.84</v>
      </c>
    </row>
    <row r="247" spans="1:37" x14ac:dyDescent="0.25">
      <c r="A247" t="s">
        <v>84</v>
      </c>
      <c r="B247" t="s">
        <v>85</v>
      </c>
      <c r="C247">
        <v>28</v>
      </c>
      <c r="D247" t="s">
        <v>56</v>
      </c>
      <c r="E247">
        <v>71</v>
      </c>
      <c r="F247">
        <v>195</v>
      </c>
      <c r="G247" t="s">
        <v>86</v>
      </c>
      <c r="H247">
        <v>2020</v>
      </c>
      <c r="I247" t="s">
        <v>33</v>
      </c>
      <c r="J247">
        <v>11</v>
      </c>
      <c r="K247">
        <v>3</v>
      </c>
      <c r="L247">
        <v>3</v>
      </c>
      <c r="M247">
        <v>0</v>
      </c>
      <c r="N247">
        <v>3</v>
      </c>
      <c r="O247">
        <v>0</v>
      </c>
      <c r="P247">
        <v>0</v>
      </c>
      <c r="Q247">
        <v>0</v>
      </c>
      <c r="R247">
        <v>0</v>
      </c>
      <c r="S247">
        <v>55</v>
      </c>
      <c r="T247">
        <v>55</v>
      </c>
      <c r="U247" s="5">
        <f>IF(Merge1[[#This Row],[team_defense_snaps]]=0, "", Merge1[[#This Row],[defense_snaps]] / Merge1[[#This Row],[team_defense_snaps]])</f>
        <v>0.93220338983050843</v>
      </c>
      <c r="V247">
        <v>59</v>
      </c>
      <c r="W247">
        <v>0</v>
      </c>
      <c r="X247" s="5" t="s">
        <v>29</v>
      </c>
      <c r="Y247">
        <v>6</v>
      </c>
      <c r="Z247">
        <v>0</v>
      </c>
      <c r="AA247" t="s">
        <v>25</v>
      </c>
      <c r="AB247" t="s">
        <v>26</v>
      </c>
      <c r="AC247" t="s">
        <v>27</v>
      </c>
      <c r="AD247" t="s">
        <v>42</v>
      </c>
      <c r="AE247" t="s">
        <v>25</v>
      </c>
      <c r="AF2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8.1818181818181818E-2</v>
      </c>
      <c r="AG247" t="s">
        <v>941</v>
      </c>
      <c r="AH247">
        <v>65</v>
      </c>
      <c r="AI247" t="s">
        <v>939</v>
      </c>
      <c r="AJ247">
        <v>2</v>
      </c>
      <c r="AK2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MIN(AJ247/8, 1) +
  Merge1[[#This Row],[index_defensive_effort]],
  2
)</f>
        <v>0.93</v>
      </c>
    </row>
    <row r="248" spans="1:37" x14ac:dyDescent="0.25">
      <c r="A248" t="s">
        <v>84</v>
      </c>
      <c r="B248" t="s">
        <v>85</v>
      </c>
      <c r="C248">
        <v>28</v>
      </c>
      <c r="D248" t="s">
        <v>56</v>
      </c>
      <c r="E248">
        <v>71</v>
      </c>
      <c r="F248">
        <v>195</v>
      </c>
      <c r="G248" t="s">
        <v>86</v>
      </c>
      <c r="H248">
        <v>2020</v>
      </c>
      <c r="I248" t="s">
        <v>33</v>
      </c>
      <c r="J248">
        <v>12</v>
      </c>
      <c r="K248">
        <v>3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2</v>
      </c>
      <c r="R248">
        <v>0</v>
      </c>
      <c r="S248">
        <v>59</v>
      </c>
      <c r="T248">
        <v>59</v>
      </c>
      <c r="U248" s="5">
        <f>IF(Merge1[[#This Row],[team_defense_snaps]]=0, "", Merge1[[#This Row],[defense_snaps]] / Merge1[[#This Row],[team_defense_snaps]])</f>
        <v>1</v>
      </c>
      <c r="V248">
        <v>59</v>
      </c>
      <c r="W248">
        <v>0</v>
      </c>
      <c r="X248" s="5" t="s">
        <v>29</v>
      </c>
      <c r="Y248">
        <v>6</v>
      </c>
      <c r="Z248">
        <v>0</v>
      </c>
      <c r="AA248" t="s">
        <v>25</v>
      </c>
      <c r="AB248" t="s">
        <v>26</v>
      </c>
      <c r="AC248" t="s">
        <v>27</v>
      </c>
      <c r="AD248" t="s">
        <v>42</v>
      </c>
      <c r="AE248" t="s">
        <v>25</v>
      </c>
      <c r="AF2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0.1864406779661017</v>
      </c>
      <c r="AG248" t="s">
        <v>941</v>
      </c>
      <c r="AH248">
        <v>63.5</v>
      </c>
      <c r="AI248" t="s">
        <v>939</v>
      </c>
      <c r="AJ248">
        <v>3</v>
      </c>
      <c r="AK2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MIN(AJ248/8, 1) +
  Merge1[[#This Row],[index_defensive_effort]],
  2
)</f>
        <v>1.1599999999999999</v>
      </c>
    </row>
    <row r="249" spans="1:37" x14ac:dyDescent="0.25">
      <c r="A249" t="s">
        <v>84</v>
      </c>
      <c r="B249" t="s">
        <v>85</v>
      </c>
      <c r="C249">
        <v>28</v>
      </c>
      <c r="D249" t="s">
        <v>56</v>
      </c>
      <c r="E249">
        <v>71</v>
      </c>
      <c r="F249">
        <v>195</v>
      </c>
      <c r="G249" t="s">
        <v>86</v>
      </c>
      <c r="H249">
        <v>2020</v>
      </c>
      <c r="I249" t="s">
        <v>33</v>
      </c>
      <c r="J249">
        <v>13</v>
      </c>
      <c r="K249">
        <v>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65</v>
      </c>
      <c r="T249">
        <v>65</v>
      </c>
      <c r="U249" s="5">
        <f>IF(Merge1[[#This Row],[team_defense_snaps]]=0, "", Merge1[[#This Row],[defense_snaps]] / Merge1[[#This Row],[team_defense_snaps]])</f>
        <v>0.97014925373134331</v>
      </c>
      <c r="V249">
        <v>67</v>
      </c>
      <c r="W249">
        <v>0</v>
      </c>
      <c r="X249" s="5" t="s">
        <v>29</v>
      </c>
      <c r="Y249">
        <v>6</v>
      </c>
      <c r="Z249">
        <v>0</v>
      </c>
      <c r="AA249" t="s">
        <v>25</v>
      </c>
      <c r="AB249" t="s">
        <v>26</v>
      </c>
      <c r="AC249" t="s">
        <v>27</v>
      </c>
      <c r="AD249" t="s">
        <v>42</v>
      </c>
      <c r="AE249" t="s">
        <v>25</v>
      </c>
      <c r="AF2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3.0769230769230771E-2</v>
      </c>
      <c r="AG249" t="s">
        <v>941</v>
      </c>
      <c r="AH249">
        <v>62</v>
      </c>
      <c r="AI249" t="s">
        <v>939</v>
      </c>
      <c r="AJ249">
        <v>4</v>
      </c>
      <c r="AK2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MIN(AJ249/8, 1) +
  Merge1[[#This Row],[index_defensive_effort]],
  2
)</f>
        <v>1.1299999999999999</v>
      </c>
    </row>
    <row r="250" spans="1:37" x14ac:dyDescent="0.25">
      <c r="A250" t="s">
        <v>84</v>
      </c>
      <c r="B250" t="s">
        <v>85</v>
      </c>
      <c r="C250">
        <v>28</v>
      </c>
      <c r="D250" t="s">
        <v>56</v>
      </c>
      <c r="E250">
        <v>71</v>
      </c>
      <c r="F250">
        <v>195</v>
      </c>
      <c r="G250" t="s">
        <v>86</v>
      </c>
      <c r="H250">
        <v>2020</v>
      </c>
      <c r="I250" t="s">
        <v>33</v>
      </c>
      <c r="J250">
        <v>14</v>
      </c>
      <c r="K250">
        <v>4</v>
      </c>
      <c r="L250">
        <v>1</v>
      </c>
      <c r="M250">
        <v>1</v>
      </c>
      <c r="N250">
        <v>2</v>
      </c>
      <c r="O250">
        <v>0</v>
      </c>
      <c r="P250">
        <v>0</v>
      </c>
      <c r="Q250">
        <v>0</v>
      </c>
      <c r="R250">
        <v>0</v>
      </c>
      <c r="S250">
        <v>80</v>
      </c>
      <c r="T250">
        <v>80</v>
      </c>
      <c r="U250" s="5">
        <f>IF(Merge1[[#This Row],[team_defense_snaps]]=0, "", Merge1[[#This Row],[defense_snaps]] / Merge1[[#This Row],[team_defense_snaps]])</f>
        <v>0.96385542168674698</v>
      </c>
      <c r="V250">
        <v>83</v>
      </c>
      <c r="W250">
        <v>0</v>
      </c>
      <c r="X250" s="5" t="s">
        <v>29</v>
      </c>
      <c r="Y250">
        <v>6</v>
      </c>
      <c r="Z250">
        <v>0</v>
      </c>
      <c r="AA250" t="s">
        <v>25</v>
      </c>
      <c r="AB250" t="s">
        <v>26</v>
      </c>
      <c r="AC250" t="s">
        <v>27</v>
      </c>
      <c r="AD250" t="s">
        <v>42</v>
      </c>
      <c r="AE250" t="s">
        <v>25</v>
      </c>
      <c r="AF2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250" t="s">
        <v>941</v>
      </c>
      <c r="AH250">
        <v>60.5</v>
      </c>
      <c r="AI250" t="s">
        <v>939</v>
      </c>
      <c r="AJ250">
        <v>5</v>
      </c>
      <c r="AK2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MIN(AJ250/8, 1) +
  Merge1[[#This Row],[index_defensive_effort]],
  2
)</f>
        <v>1.29</v>
      </c>
    </row>
    <row r="251" spans="1:37" x14ac:dyDescent="0.25">
      <c r="A251" t="s">
        <v>84</v>
      </c>
      <c r="B251" t="s">
        <v>85</v>
      </c>
      <c r="C251">
        <v>28</v>
      </c>
      <c r="D251" t="s">
        <v>56</v>
      </c>
      <c r="E251">
        <v>71</v>
      </c>
      <c r="F251">
        <v>195</v>
      </c>
      <c r="G251" t="s">
        <v>86</v>
      </c>
      <c r="H251">
        <v>2020</v>
      </c>
      <c r="I251" t="s">
        <v>33</v>
      </c>
      <c r="J251">
        <v>15</v>
      </c>
      <c r="K251">
        <v>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53</v>
      </c>
      <c r="T251">
        <v>53</v>
      </c>
      <c r="U251" s="5">
        <f>IF(Merge1[[#This Row],[team_defense_snaps]]=0, "", Merge1[[#This Row],[defense_snaps]] / Merge1[[#This Row],[team_defense_snaps]])</f>
        <v>0.8833333333333333</v>
      </c>
      <c r="V251">
        <v>60</v>
      </c>
      <c r="W251">
        <v>0</v>
      </c>
      <c r="X251" s="5" t="s">
        <v>29</v>
      </c>
      <c r="Y251">
        <v>6</v>
      </c>
      <c r="Z251">
        <v>0</v>
      </c>
      <c r="AA251" t="s">
        <v>25</v>
      </c>
      <c r="AB251" t="s">
        <v>26</v>
      </c>
      <c r="AC251" t="s">
        <v>27</v>
      </c>
      <c r="AD251" t="s">
        <v>42</v>
      </c>
      <c r="AE251" t="s">
        <v>25</v>
      </c>
      <c r="AF2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3.7735849056603772E-2</v>
      </c>
      <c r="AG251" t="s">
        <v>941</v>
      </c>
      <c r="AH251">
        <v>59</v>
      </c>
      <c r="AI251" t="s">
        <v>939</v>
      </c>
      <c r="AJ251">
        <v>6</v>
      </c>
      <c r="AK2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MIN(AJ251/8, 1) +
  Merge1[[#This Row],[index_defensive_effort]],
  2
)</f>
        <v>1.39</v>
      </c>
    </row>
    <row r="252" spans="1:37" x14ac:dyDescent="0.25">
      <c r="A252" t="s">
        <v>84</v>
      </c>
      <c r="B252" t="s">
        <v>85</v>
      </c>
      <c r="C252">
        <v>28</v>
      </c>
      <c r="D252" t="s">
        <v>56</v>
      </c>
      <c r="E252">
        <v>71</v>
      </c>
      <c r="F252">
        <v>195</v>
      </c>
      <c r="G252" t="s">
        <v>86</v>
      </c>
      <c r="H252">
        <v>2020</v>
      </c>
      <c r="I252" t="s">
        <v>33</v>
      </c>
      <c r="J252">
        <v>16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68</v>
      </c>
      <c r="T252">
        <v>68</v>
      </c>
      <c r="U252" s="5">
        <f>IF(Merge1[[#This Row],[team_defense_snaps]]=0, "", Merge1[[#This Row],[defense_snaps]] / Merge1[[#This Row],[team_defense_snaps]])</f>
        <v>0.98550724637681164</v>
      </c>
      <c r="V252">
        <v>69</v>
      </c>
      <c r="W252">
        <v>0</v>
      </c>
      <c r="X252" s="5" t="s">
        <v>29</v>
      </c>
      <c r="Y252">
        <v>6</v>
      </c>
      <c r="Z252">
        <v>0</v>
      </c>
      <c r="AA252" t="s">
        <v>25</v>
      </c>
      <c r="AB252" t="s">
        <v>26</v>
      </c>
      <c r="AC252" t="s">
        <v>27</v>
      </c>
      <c r="AD252" t="s">
        <v>42</v>
      </c>
      <c r="AE252" t="s">
        <v>25</v>
      </c>
      <c r="AF2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1.4705882352941176E-2</v>
      </c>
      <c r="AG252" t="s">
        <v>941</v>
      </c>
      <c r="AH252">
        <v>57.5</v>
      </c>
      <c r="AI252" t="s">
        <v>939</v>
      </c>
      <c r="AJ252">
        <v>1</v>
      </c>
      <c r="AK2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MIN(AJ252/8, 1) +
  Merge1[[#This Row],[index_defensive_effort]],
  2
)</f>
        <v>0.74</v>
      </c>
    </row>
    <row r="253" spans="1:37" x14ac:dyDescent="0.25">
      <c r="A253" t="s">
        <v>84</v>
      </c>
      <c r="B253" t="s">
        <v>85</v>
      </c>
      <c r="C253">
        <v>28</v>
      </c>
      <c r="D253" t="s">
        <v>56</v>
      </c>
      <c r="E253">
        <v>71</v>
      </c>
      <c r="F253">
        <v>195</v>
      </c>
      <c r="G253" t="s">
        <v>86</v>
      </c>
      <c r="H253">
        <v>2020</v>
      </c>
      <c r="I253" t="s">
        <v>24</v>
      </c>
      <c r="J253">
        <v>19</v>
      </c>
      <c r="K253">
        <v>5</v>
      </c>
      <c r="L253">
        <v>1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55</v>
      </c>
      <c r="T253">
        <v>55</v>
      </c>
      <c r="U253" s="5">
        <f>IF(Merge1[[#This Row],[team_defense_snaps]]=0, "", Merge1[[#This Row],[defense_snaps]] / Merge1[[#This Row],[team_defense_snaps]])</f>
        <v>0.859375</v>
      </c>
      <c r="V253">
        <v>64</v>
      </c>
      <c r="W253">
        <v>0</v>
      </c>
      <c r="X253" s="5" t="s">
        <v>29</v>
      </c>
      <c r="Y253">
        <v>6</v>
      </c>
      <c r="Z253">
        <v>0</v>
      </c>
      <c r="AA253" t="s">
        <v>25</v>
      </c>
      <c r="AB253" t="s">
        <v>26</v>
      </c>
      <c r="AC253" t="s">
        <v>27</v>
      </c>
      <c r="AD253" t="s">
        <v>42</v>
      </c>
      <c r="AE253" t="s">
        <v>25</v>
      </c>
      <c r="AF2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253" t="s">
        <v>941</v>
      </c>
      <c r="AH253">
        <v>60</v>
      </c>
      <c r="AI253" t="s">
        <v>939</v>
      </c>
      <c r="AJ253">
        <v>2</v>
      </c>
      <c r="AK2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MIN(AJ253/8, 1) +
  Merge1[[#This Row],[index_defensive_effort]],
  2
)</f>
        <v>1.1499999999999999</v>
      </c>
    </row>
    <row r="254" spans="1:37" x14ac:dyDescent="0.25">
      <c r="A254" t="s">
        <v>84</v>
      </c>
      <c r="B254" t="s">
        <v>85</v>
      </c>
      <c r="C254">
        <v>28</v>
      </c>
      <c r="D254" t="s">
        <v>56</v>
      </c>
      <c r="E254">
        <v>71</v>
      </c>
      <c r="F254">
        <v>195</v>
      </c>
      <c r="G254" t="s">
        <v>86</v>
      </c>
      <c r="H254">
        <v>2020</v>
      </c>
      <c r="I254" t="s">
        <v>24</v>
      </c>
      <c r="J254">
        <v>20</v>
      </c>
      <c r="K254">
        <v>8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69</v>
      </c>
      <c r="T254">
        <v>69</v>
      </c>
      <c r="U254" s="5">
        <f>IF(Merge1[[#This Row],[team_defense_snaps]]=0, "", Merge1[[#This Row],[defense_snaps]] / Merge1[[#This Row],[team_defense_snaps]])</f>
        <v>0.95833333333333337</v>
      </c>
      <c r="V254">
        <v>72</v>
      </c>
      <c r="W254">
        <v>0</v>
      </c>
      <c r="X254" s="5" t="s">
        <v>29</v>
      </c>
      <c r="Y254">
        <v>6</v>
      </c>
      <c r="Z254">
        <v>0</v>
      </c>
      <c r="AA254" t="s">
        <v>25</v>
      </c>
      <c r="AB254" t="s">
        <v>36</v>
      </c>
      <c r="AC254" t="s">
        <v>91</v>
      </c>
      <c r="AD254" t="s">
        <v>42</v>
      </c>
      <c r="AE254" t="s">
        <v>25</v>
      </c>
      <c r="AF2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0.17391304347826086</v>
      </c>
      <c r="AG254" t="s">
        <v>941</v>
      </c>
      <c r="AH254">
        <v>60</v>
      </c>
      <c r="AI254" t="s">
        <v>27</v>
      </c>
      <c r="AJ254">
        <v>3</v>
      </c>
      <c r="AK2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MIN(AJ254/8, 1) +
  Merge1[[#This Row],[index_defensive_effort]],
  2
)</f>
        <v>1.35</v>
      </c>
    </row>
    <row r="255" spans="1:37" x14ac:dyDescent="0.25">
      <c r="A255" t="s">
        <v>84</v>
      </c>
      <c r="B255" t="s">
        <v>85</v>
      </c>
      <c r="C255">
        <v>28</v>
      </c>
      <c r="D255" t="s">
        <v>56</v>
      </c>
      <c r="E255">
        <v>71</v>
      </c>
      <c r="F255">
        <v>195</v>
      </c>
      <c r="G255" t="s">
        <v>86</v>
      </c>
      <c r="H255">
        <v>2020</v>
      </c>
      <c r="I255" t="s">
        <v>24</v>
      </c>
      <c r="J255">
        <v>21</v>
      </c>
      <c r="K255">
        <v>3</v>
      </c>
      <c r="L255">
        <v>1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s="5" t="str">
        <f>IF(Merge1[[#This Row],[team_defense_snaps]]=0, "", Merge1[[#This Row],[defense_snaps]] / Merge1[[#This Row],[team_defense_snaps]])</f>
        <v/>
      </c>
      <c r="V255">
        <v>0</v>
      </c>
      <c r="W255">
        <v>0</v>
      </c>
      <c r="X255" s="5" t="s">
        <v>29</v>
      </c>
      <c r="Y255">
        <v>6</v>
      </c>
      <c r="Z255">
        <v>0</v>
      </c>
      <c r="AA255" t="s">
        <v>25</v>
      </c>
      <c r="AB255" t="s">
        <v>26</v>
      </c>
      <c r="AC255" t="s">
        <v>27</v>
      </c>
      <c r="AD255" t="s">
        <v>42</v>
      </c>
      <c r="AE255" t="s">
        <v>25</v>
      </c>
      <c r="AF2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55" t="s">
        <v>941</v>
      </c>
      <c r="AH255">
        <v>60</v>
      </c>
      <c r="AI255" t="s">
        <v>939</v>
      </c>
      <c r="AJ255">
        <v>1</v>
      </c>
      <c r="AK2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MIN(AJ255/8, 1) +
  Merge1[[#This Row],[index_defensive_effort]],
  2
)</f>
        <v>0.93</v>
      </c>
    </row>
    <row r="256" spans="1:37" x14ac:dyDescent="0.25">
      <c r="A256" t="s">
        <v>194</v>
      </c>
      <c r="B256" t="s">
        <v>195</v>
      </c>
      <c r="C256">
        <v>27</v>
      </c>
      <c r="D256" t="s">
        <v>22</v>
      </c>
      <c r="E256">
        <v>70</v>
      </c>
      <c r="F256">
        <v>191</v>
      </c>
      <c r="G256" t="s">
        <v>150</v>
      </c>
      <c r="H256">
        <v>2020</v>
      </c>
      <c r="I256" t="s">
        <v>33</v>
      </c>
      <c r="J256">
        <v>17</v>
      </c>
      <c r="K256">
        <v>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19</v>
      </c>
      <c r="T256">
        <v>6</v>
      </c>
      <c r="U256" s="5">
        <f>IF(Merge1[[#This Row],[team_defense_snaps]]=0, "", Merge1[[#This Row],[defense_snaps]] / Merge1[[#This Row],[team_defense_snaps]])</f>
        <v>9.5238095238095233E-2</v>
      </c>
      <c r="V256">
        <v>63</v>
      </c>
      <c r="W256">
        <v>13</v>
      </c>
      <c r="X256" s="5" t="s">
        <v>52</v>
      </c>
      <c r="Y256">
        <v>4</v>
      </c>
      <c r="Z256">
        <v>0</v>
      </c>
      <c r="AA256" t="s">
        <v>25</v>
      </c>
      <c r="AB256" t="s">
        <v>26</v>
      </c>
      <c r="AC256" t="s">
        <v>27</v>
      </c>
      <c r="AD256" t="s">
        <v>28</v>
      </c>
      <c r="AE256" t="s">
        <v>25</v>
      </c>
      <c r="AF2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0.15789473684210525</v>
      </c>
      <c r="AG256" t="s">
        <v>943</v>
      </c>
      <c r="AH256">
        <v>49</v>
      </c>
      <c r="AI256" t="s">
        <v>939</v>
      </c>
      <c r="AJ256">
        <v>1</v>
      </c>
      <c r="AK2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MIN(AJ256/8, 1) +
  Merge1[[#This Row],[index_defensive_effort]],
  2
)</f>
        <v>0.88</v>
      </c>
    </row>
    <row r="257" spans="1:37" x14ac:dyDescent="0.25">
      <c r="A257" t="s">
        <v>174</v>
      </c>
      <c r="B257" t="s">
        <v>175</v>
      </c>
      <c r="C257">
        <v>24</v>
      </c>
      <c r="D257" t="s">
        <v>56</v>
      </c>
      <c r="E257">
        <v>73</v>
      </c>
      <c r="F257">
        <v>198</v>
      </c>
      <c r="G257" t="s">
        <v>107</v>
      </c>
      <c r="H257">
        <v>2020</v>
      </c>
      <c r="I257" t="s">
        <v>33</v>
      </c>
      <c r="J257">
        <v>1</v>
      </c>
      <c r="K257">
        <v>7</v>
      </c>
      <c r="L257">
        <v>2</v>
      </c>
      <c r="M257">
        <v>1</v>
      </c>
      <c r="N257">
        <v>3</v>
      </c>
      <c r="O257">
        <v>0</v>
      </c>
      <c r="P257">
        <v>0</v>
      </c>
      <c r="Q257">
        <v>0</v>
      </c>
      <c r="R257">
        <v>2</v>
      </c>
      <c r="S257">
        <v>86</v>
      </c>
      <c r="T257">
        <v>86</v>
      </c>
      <c r="U257" s="5">
        <f>IF(Merge1[[#This Row],[team_defense_snaps]]=0, "", Merge1[[#This Row],[defense_snaps]] / Merge1[[#This Row],[team_defense_snaps]])</f>
        <v>0.97727272727272729</v>
      </c>
      <c r="V257">
        <v>88</v>
      </c>
      <c r="W257">
        <v>0</v>
      </c>
      <c r="X257" s="5" t="s">
        <v>29</v>
      </c>
      <c r="Y257">
        <v>1</v>
      </c>
      <c r="Z257">
        <v>0</v>
      </c>
      <c r="AA257" t="s">
        <v>25</v>
      </c>
      <c r="AB257" t="s">
        <v>26</v>
      </c>
      <c r="AC257" t="s">
        <v>27</v>
      </c>
      <c r="AD257" t="s">
        <v>42</v>
      </c>
      <c r="AE257" t="s">
        <v>25</v>
      </c>
      <c r="AF2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0.14534883720930233</v>
      </c>
      <c r="AG257" t="s">
        <v>942</v>
      </c>
      <c r="AH257">
        <v>72</v>
      </c>
      <c r="AI257" t="s">
        <v>939</v>
      </c>
      <c r="AJ257">
        <v>2</v>
      </c>
      <c r="AK2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MIN(AJ257/8, 1) +
  Merge1[[#This Row],[index_defensive_effort]],
  2
)</f>
        <v>0.8</v>
      </c>
    </row>
    <row r="258" spans="1:37" x14ac:dyDescent="0.25">
      <c r="A258" t="s">
        <v>174</v>
      </c>
      <c r="B258" t="s">
        <v>175</v>
      </c>
      <c r="C258">
        <v>24</v>
      </c>
      <c r="D258" t="s">
        <v>56</v>
      </c>
      <c r="E258">
        <v>73</v>
      </c>
      <c r="F258">
        <v>198</v>
      </c>
      <c r="G258" t="s">
        <v>107</v>
      </c>
      <c r="H258">
        <v>2020</v>
      </c>
      <c r="I258" t="s">
        <v>33</v>
      </c>
      <c r="J258">
        <v>2</v>
      </c>
      <c r="K258">
        <v>3</v>
      </c>
      <c r="L258">
        <v>0</v>
      </c>
      <c r="M258">
        <v>0</v>
      </c>
      <c r="N258">
        <v>0</v>
      </c>
      <c r="O258">
        <v>0</v>
      </c>
      <c r="P258">
        <v>2</v>
      </c>
      <c r="Q258">
        <v>0</v>
      </c>
      <c r="R258">
        <v>0</v>
      </c>
      <c r="S258">
        <v>64</v>
      </c>
      <c r="T258">
        <v>61</v>
      </c>
      <c r="U258" s="5">
        <f>IF(Merge1[[#This Row],[team_defense_snaps]]=0, "", Merge1[[#This Row],[defense_snaps]] / Merge1[[#This Row],[team_defense_snaps]])</f>
        <v>1</v>
      </c>
      <c r="V258">
        <v>61</v>
      </c>
      <c r="W258">
        <v>3</v>
      </c>
      <c r="X258" s="5" t="s">
        <v>35</v>
      </c>
      <c r="Y258">
        <v>1</v>
      </c>
      <c r="Z258">
        <v>0</v>
      </c>
      <c r="AA258" t="s">
        <v>25</v>
      </c>
      <c r="AB258" t="s">
        <v>26</v>
      </c>
      <c r="AC258" t="s">
        <v>27</v>
      </c>
      <c r="AD258" t="s">
        <v>42</v>
      </c>
      <c r="AE258" t="s">
        <v>25</v>
      </c>
      <c r="AF2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0.109375</v>
      </c>
      <c r="AG258" t="s">
        <v>942</v>
      </c>
      <c r="AH258">
        <v>70.5</v>
      </c>
      <c r="AI258" t="s">
        <v>939</v>
      </c>
      <c r="AJ258">
        <v>3</v>
      </c>
      <c r="AK2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MIN(AJ258/8, 1) +
  Merge1[[#This Row],[index_defensive_effort]],
  2
)</f>
        <v>0.88</v>
      </c>
    </row>
    <row r="259" spans="1:37" x14ac:dyDescent="0.25">
      <c r="A259" t="s">
        <v>174</v>
      </c>
      <c r="B259" t="s">
        <v>175</v>
      </c>
      <c r="C259">
        <v>24</v>
      </c>
      <c r="D259" t="s">
        <v>56</v>
      </c>
      <c r="E259">
        <v>73</v>
      </c>
      <c r="F259">
        <v>198</v>
      </c>
      <c r="G259" t="s">
        <v>107</v>
      </c>
      <c r="H259">
        <v>2020</v>
      </c>
      <c r="I259" t="s">
        <v>33</v>
      </c>
      <c r="J259">
        <v>3</v>
      </c>
      <c r="K259">
        <v>6</v>
      </c>
      <c r="L259">
        <v>1</v>
      </c>
      <c r="M259">
        <v>1</v>
      </c>
      <c r="N259">
        <v>2</v>
      </c>
      <c r="O259">
        <v>0</v>
      </c>
      <c r="P259">
        <v>1</v>
      </c>
      <c r="Q259">
        <v>0</v>
      </c>
      <c r="R259">
        <v>0</v>
      </c>
      <c r="S259">
        <v>58</v>
      </c>
      <c r="T259">
        <v>58</v>
      </c>
      <c r="U259" s="5">
        <f>IF(Merge1[[#This Row],[team_defense_snaps]]=0, "", Merge1[[#This Row],[defense_snaps]] / Merge1[[#This Row],[team_defense_snaps]])</f>
        <v>0.96666666666666667</v>
      </c>
      <c r="V259">
        <v>60</v>
      </c>
      <c r="W259">
        <v>0</v>
      </c>
      <c r="X259" s="5" t="s">
        <v>29</v>
      </c>
      <c r="Y259">
        <v>1</v>
      </c>
      <c r="Z259">
        <v>0</v>
      </c>
      <c r="AA259" t="s">
        <v>25</v>
      </c>
      <c r="AB259" t="s">
        <v>26</v>
      </c>
      <c r="AC259" t="s">
        <v>27</v>
      </c>
      <c r="AD259" t="s">
        <v>42</v>
      </c>
      <c r="AE259" t="s">
        <v>25</v>
      </c>
      <c r="AF2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0.15517241379310345</v>
      </c>
      <c r="AG259" t="s">
        <v>942</v>
      </c>
      <c r="AH259">
        <v>69</v>
      </c>
      <c r="AI259" t="s">
        <v>939</v>
      </c>
      <c r="AJ259">
        <v>4</v>
      </c>
      <c r="AK2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MIN(AJ259/8, 1) +
  Merge1[[#This Row],[index_defensive_effort]],
  2
)</f>
        <v>1.06</v>
      </c>
    </row>
    <row r="260" spans="1:37" x14ac:dyDescent="0.25">
      <c r="A260" t="s">
        <v>174</v>
      </c>
      <c r="B260" t="s">
        <v>175</v>
      </c>
      <c r="C260">
        <v>24</v>
      </c>
      <c r="D260" t="s">
        <v>56</v>
      </c>
      <c r="E260">
        <v>73</v>
      </c>
      <c r="F260">
        <v>198</v>
      </c>
      <c r="G260" t="s">
        <v>107</v>
      </c>
      <c r="H260">
        <v>2020</v>
      </c>
      <c r="I260" t="s">
        <v>33</v>
      </c>
      <c r="J260">
        <v>4</v>
      </c>
      <c r="K260">
        <v>0</v>
      </c>
      <c r="L260">
        <v>2</v>
      </c>
      <c r="M260">
        <v>0</v>
      </c>
      <c r="N260">
        <v>2</v>
      </c>
      <c r="O260">
        <v>0</v>
      </c>
      <c r="P260">
        <v>0</v>
      </c>
      <c r="Q260">
        <v>0</v>
      </c>
      <c r="R260">
        <v>0</v>
      </c>
      <c r="S260">
        <v>12</v>
      </c>
      <c r="T260">
        <v>11</v>
      </c>
      <c r="U260" s="5">
        <f>IF(Merge1[[#This Row],[team_defense_snaps]]=0, "", Merge1[[#This Row],[defense_snaps]] / Merge1[[#This Row],[team_defense_snaps]])</f>
        <v>0.15714285714285714</v>
      </c>
      <c r="V260">
        <v>70</v>
      </c>
      <c r="W260">
        <v>1</v>
      </c>
      <c r="X260" s="5" t="s">
        <v>303</v>
      </c>
      <c r="Y260">
        <v>1</v>
      </c>
      <c r="Z260">
        <v>0</v>
      </c>
      <c r="AA260" t="s">
        <v>25</v>
      </c>
      <c r="AB260" t="s">
        <v>26</v>
      </c>
      <c r="AC260" t="s">
        <v>27</v>
      </c>
      <c r="AD260" t="s">
        <v>42</v>
      </c>
      <c r="AE260" t="s">
        <v>25</v>
      </c>
      <c r="AF2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260" t="s">
        <v>942</v>
      </c>
      <c r="AH260">
        <v>67.5</v>
      </c>
      <c r="AI260" t="s">
        <v>938</v>
      </c>
      <c r="AJ260">
        <v>1</v>
      </c>
      <c r="AK2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MIN(AJ260/8, 1) +
  Merge1[[#This Row],[index_defensive_effort]],
  2
)</f>
        <v>0.61</v>
      </c>
    </row>
    <row r="261" spans="1:37" x14ac:dyDescent="0.25">
      <c r="A261" t="s">
        <v>174</v>
      </c>
      <c r="B261" t="s">
        <v>175</v>
      </c>
      <c r="C261">
        <v>24</v>
      </c>
      <c r="D261" t="s">
        <v>56</v>
      </c>
      <c r="E261">
        <v>73</v>
      </c>
      <c r="F261">
        <v>198</v>
      </c>
      <c r="G261" t="s">
        <v>107</v>
      </c>
      <c r="H261">
        <v>2020</v>
      </c>
      <c r="I261" t="s">
        <v>33</v>
      </c>
      <c r="J261">
        <v>6</v>
      </c>
      <c r="K261">
        <v>0</v>
      </c>
      <c r="L261">
        <v>1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38</v>
      </c>
      <c r="T261">
        <v>38</v>
      </c>
      <c r="U261" s="5">
        <f>IF(Merge1[[#This Row],[team_defense_snaps]]=0, "", Merge1[[#This Row],[defense_snaps]] / Merge1[[#This Row],[team_defense_snaps]])</f>
        <v>0.6785714285714286</v>
      </c>
      <c r="V261">
        <v>56</v>
      </c>
      <c r="W261">
        <v>0</v>
      </c>
      <c r="X261" s="5" t="s">
        <v>29</v>
      </c>
      <c r="Y261">
        <v>1</v>
      </c>
      <c r="Z261">
        <v>0</v>
      </c>
      <c r="AA261" t="s">
        <v>25</v>
      </c>
      <c r="AB261" t="s">
        <v>36</v>
      </c>
      <c r="AC261" t="s">
        <v>177</v>
      </c>
      <c r="AD261" t="s">
        <v>28</v>
      </c>
      <c r="AE261" t="s">
        <v>25</v>
      </c>
      <c r="AF2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1.3157894736842105E-2</v>
      </c>
      <c r="AG261" t="s">
        <v>942</v>
      </c>
      <c r="AH261">
        <v>64.5</v>
      </c>
      <c r="AI261" t="s">
        <v>939</v>
      </c>
      <c r="AJ261">
        <v>2</v>
      </c>
      <c r="AK2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MIN(AJ261/8, 1) +
  Merge1[[#This Row],[index_defensive_effort]],
  2
)</f>
        <v>0.66</v>
      </c>
    </row>
    <row r="262" spans="1:37" x14ac:dyDescent="0.25">
      <c r="A262" t="s">
        <v>174</v>
      </c>
      <c r="B262" t="s">
        <v>175</v>
      </c>
      <c r="C262">
        <v>24</v>
      </c>
      <c r="D262" t="s">
        <v>56</v>
      </c>
      <c r="E262">
        <v>73</v>
      </c>
      <c r="F262">
        <v>198</v>
      </c>
      <c r="G262" t="s">
        <v>107</v>
      </c>
      <c r="H262">
        <v>2020</v>
      </c>
      <c r="I262" t="s">
        <v>33</v>
      </c>
      <c r="J262">
        <v>7</v>
      </c>
      <c r="K262">
        <v>3</v>
      </c>
      <c r="L262">
        <v>2</v>
      </c>
      <c r="M262">
        <v>0</v>
      </c>
      <c r="N262">
        <v>2</v>
      </c>
      <c r="O262">
        <v>0</v>
      </c>
      <c r="P262">
        <v>0</v>
      </c>
      <c r="Q262">
        <v>0</v>
      </c>
      <c r="R262">
        <v>0</v>
      </c>
      <c r="S262">
        <v>74</v>
      </c>
      <c r="T262">
        <v>74</v>
      </c>
      <c r="U262" s="5">
        <f>IF(Merge1[[#This Row],[team_defense_snaps]]=0, "", Merge1[[#This Row],[defense_snaps]] / Merge1[[#This Row],[team_defense_snaps]])</f>
        <v>0.98666666666666669</v>
      </c>
      <c r="V262">
        <v>75</v>
      </c>
      <c r="W262">
        <v>0</v>
      </c>
      <c r="X262" s="5" t="s">
        <v>29</v>
      </c>
      <c r="Y262">
        <v>1</v>
      </c>
      <c r="Z262">
        <v>0</v>
      </c>
      <c r="AA262" t="s">
        <v>25</v>
      </c>
      <c r="AB262" t="s">
        <v>26</v>
      </c>
      <c r="AC262" t="s">
        <v>27</v>
      </c>
      <c r="AD262" t="s">
        <v>42</v>
      </c>
      <c r="AE262" t="s">
        <v>25</v>
      </c>
      <c r="AF2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5.4054054054054057E-2</v>
      </c>
      <c r="AG262" t="s">
        <v>942</v>
      </c>
      <c r="AH262">
        <v>63</v>
      </c>
      <c r="AI262" t="s">
        <v>939</v>
      </c>
      <c r="AJ262">
        <v>3</v>
      </c>
      <c r="AK2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MIN(AJ262/8, 1) +
  Merge1[[#This Row],[index_defensive_effort]],
  2
)</f>
        <v>0.83</v>
      </c>
    </row>
    <row r="263" spans="1:37" x14ac:dyDescent="0.25">
      <c r="A263" t="s">
        <v>174</v>
      </c>
      <c r="B263" t="s">
        <v>175</v>
      </c>
      <c r="C263">
        <v>24</v>
      </c>
      <c r="D263" t="s">
        <v>56</v>
      </c>
      <c r="E263">
        <v>73</v>
      </c>
      <c r="F263">
        <v>198</v>
      </c>
      <c r="G263" t="s">
        <v>107</v>
      </c>
      <c r="H263">
        <v>2020</v>
      </c>
      <c r="I263" t="s">
        <v>33</v>
      </c>
      <c r="J263">
        <v>8</v>
      </c>
      <c r="K263">
        <v>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66</v>
      </c>
      <c r="T263">
        <v>66</v>
      </c>
      <c r="U263" s="5">
        <f>IF(Merge1[[#This Row],[team_defense_snaps]]=0, "", Merge1[[#This Row],[defense_snaps]] / Merge1[[#This Row],[team_defense_snaps]])</f>
        <v>1</v>
      </c>
      <c r="V263">
        <v>66</v>
      </c>
      <c r="W263">
        <v>0</v>
      </c>
      <c r="X263" s="5" t="s">
        <v>29</v>
      </c>
      <c r="Y263">
        <v>1</v>
      </c>
      <c r="Z263">
        <v>0</v>
      </c>
      <c r="AA263" t="s">
        <v>25</v>
      </c>
      <c r="AB263" t="s">
        <v>26</v>
      </c>
      <c r="AC263" t="s">
        <v>27</v>
      </c>
      <c r="AD263" t="s">
        <v>42</v>
      </c>
      <c r="AE263" t="s">
        <v>25</v>
      </c>
      <c r="AF2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0.10606060606060606</v>
      </c>
      <c r="AG263" t="s">
        <v>942</v>
      </c>
      <c r="AH263">
        <v>61.5</v>
      </c>
      <c r="AI263" t="s">
        <v>939</v>
      </c>
      <c r="AJ263">
        <v>4</v>
      </c>
      <c r="AK2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MIN(AJ263/8, 1) +
  Merge1[[#This Row],[index_defensive_effort]],
  2
)</f>
        <v>1.01</v>
      </c>
    </row>
    <row r="264" spans="1:37" x14ac:dyDescent="0.25">
      <c r="A264" t="s">
        <v>174</v>
      </c>
      <c r="B264" t="s">
        <v>175</v>
      </c>
      <c r="C264">
        <v>24</v>
      </c>
      <c r="D264" t="s">
        <v>56</v>
      </c>
      <c r="E264">
        <v>73</v>
      </c>
      <c r="F264">
        <v>198</v>
      </c>
      <c r="G264" t="s">
        <v>107</v>
      </c>
      <c r="H264">
        <v>2020</v>
      </c>
      <c r="I264" t="s">
        <v>33</v>
      </c>
      <c r="J264">
        <v>9</v>
      </c>
      <c r="K264">
        <v>9</v>
      </c>
      <c r="L264">
        <v>3</v>
      </c>
      <c r="M264">
        <v>1</v>
      </c>
      <c r="N264">
        <v>4</v>
      </c>
      <c r="O264">
        <v>0</v>
      </c>
      <c r="P264">
        <v>0</v>
      </c>
      <c r="Q264">
        <v>0</v>
      </c>
      <c r="R264">
        <v>0</v>
      </c>
      <c r="S264">
        <v>79</v>
      </c>
      <c r="T264">
        <v>79</v>
      </c>
      <c r="U264" s="5">
        <f>IF(Merge1[[#This Row],[team_defense_snaps]]=0, "", Merge1[[#This Row],[defense_snaps]] / Merge1[[#This Row],[team_defense_snaps]])</f>
        <v>0.97530864197530864</v>
      </c>
      <c r="V264">
        <v>81</v>
      </c>
      <c r="W264">
        <v>0</v>
      </c>
      <c r="X264" s="5" t="s">
        <v>29</v>
      </c>
      <c r="Y264">
        <v>1</v>
      </c>
      <c r="Z264">
        <v>0</v>
      </c>
      <c r="AA264" t="s">
        <v>25</v>
      </c>
      <c r="AB264" t="s">
        <v>26</v>
      </c>
      <c r="AC264" t="s">
        <v>27</v>
      </c>
      <c r="AD264" t="s">
        <v>42</v>
      </c>
      <c r="AE264" t="s">
        <v>25</v>
      </c>
      <c r="AF2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0.13924050632911392</v>
      </c>
      <c r="AG264" t="s">
        <v>942</v>
      </c>
      <c r="AH264">
        <v>60</v>
      </c>
      <c r="AI264" t="s">
        <v>938</v>
      </c>
      <c r="AJ264">
        <v>1</v>
      </c>
      <c r="AK2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MIN(AJ264/8, 1) +
  Merge1[[#This Row],[index_defensive_effort]],
  2
)</f>
        <v>0.66</v>
      </c>
    </row>
    <row r="265" spans="1:37" x14ac:dyDescent="0.25">
      <c r="A265" t="s">
        <v>174</v>
      </c>
      <c r="B265" t="s">
        <v>175</v>
      </c>
      <c r="C265">
        <v>24</v>
      </c>
      <c r="D265" t="s">
        <v>56</v>
      </c>
      <c r="E265">
        <v>73</v>
      </c>
      <c r="F265">
        <v>198</v>
      </c>
      <c r="G265" t="s">
        <v>107</v>
      </c>
      <c r="H265">
        <v>2020</v>
      </c>
      <c r="I265" t="s">
        <v>33</v>
      </c>
      <c r="J265">
        <v>14</v>
      </c>
      <c r="K265">
        <v>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74</v>
      </c>
      <c r="T265">
        <v>68</v>
      </c>
      <c r="U265" s="5">
        <f>IF(Merge1[[#This Row],[team_defense_snaps]]=0, "", Merge1[[#This Row],[defense_snaps]] / Merge1[[#This Row],[team_defense_snaps]])</f>
        <v>0.93150684931506844</v>
      </c>
      <c r="V265">
        <v>73</v>
      </c>
      <c r="W265">
        <v>6</v>
      </c>
      <c r="X265" s="5" t="s">
        <v>293</v>
      </c>
      <c r="Y265">
        <v>1</v>
      </c>
      <c r="Z265">
        <v>0</v>
      </c>
      <c r="AA265" t="s">
        <v>25</v>
      </c>
      <c r="AB265" t="s">
        <v>62</v>
      </c>
      <c r="AC265" t="s">
        <v>27</v>
      </c>
      <c r="AD265" t="s">
        <v>42</v>
      </c>
      <c r="AE265" t="s">
        <v>25</v>
      </c>
      <c r="AF2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9.45945945945946E-2</v>
      </c>
      <c r="AG265" t="s">
        <v>942</v>
      </c>
      <c r="AH265">
        <v>52.5</v>
      </c>
      <c r="AI265" t="s">
        <v>939</v>
      </c>
      <c r="AJ265">
        <v>2</v>
      </c>
      <c r="AK2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MIN(AJ265/8, 1) +
  Merge1[[#This Row],[index_defensive_effort]],
  2
)</f>
        <v>0.74</v>
      </c>
    </row>
    <row r="266" spans="1:37" x14ac:dyDescent="0.25">
      <c r="A266" t="s">
        <v>174</v>
      </c>
      <c r="B266" t="s">
        <v>175</v>
      </c>
      <c r="C266">
        <v>24</v>
      </c>
      <c r="D266" t="s">
        <v>56</v>
      </c>
      <c r="E266">
        <v>73</v>
      </c>
      <c r="F266">
        <v>198</v>
      </c>
      <c r="G266" t="s">
        <v>107</v>
      </c>
      <c r="H266">
        <v>2020</v>
      </c>
      <c r="I266" t="s">
        <v>33</v>
      </c>
      <c r="J266">
        <v>15</v>
      </c>
      <c r="K266">
        <v>6</v>
      </c>
      <c r="L266">
        <v>1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64</v>
      </c>
      <c r="T266">
        <v>59</v>
      </c>
      <c r="U266" s="5">
        <f>IF(Merge1[[#This Row],[team_defense_snaps]]=0, "", Merge1[[#This Row],[defense_snaps]] / Merge1[[#This Row],[team_defense_snaps]])</f>
        <v>1</v>
      </c>
      <c r="V266">
        <v>59</v>
      </c>
      <c r="W266">
        <v>5</v>
      </c>
      <c r="X266" s="5" t="s">
        <v>124</v>
      </c>
      <c r="Y266">
        <v>1</v>
      </c>
      <c r="Z266">
        <v>0</v>
      </c>
      <c r="AA266" t="s">
        <v>25</v>
      </c>
      <c r="AB266" t="s">
        <v>26</v>
      </c>
      <c r="AC266" t="s">
        <v>27</v>
      </c>
      <c r="AD266" t="s">
        <v>42</v>
      </c>
      <c r="AE266" t="s">
        <v>25</v>
      </c>
      <c r="AF2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0.1015625</v>
      </c>
      <c r="AG266" t="s">
        <v>942</v>
      </c>
      <c r="AH266">
        <v>51</v>
      </c>
      <c r="AI266" t="s">
        <v>939</v>
      </c>
      <c r="AJ266">
        <v>3</v>
      </c>
      <c r="AK2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MIN(AJ266/8, 1) +
  Merge1[[#This Row],[index_defensive_effort]],
  2
)</f>
        <v>0.88</v>
      </c>
    </row>
    <row r="267" spans="1:37" x14ac:dyDescent="0.25">
      <c r="A267" t="s">
        <v>174</v>
      </c>
      <c r="B267" t="s">
        <v>175</v>
      </c>
      <c r="C267">
        <v>24</v>
      </c>
      <c r="D267" t="s">
        <v>56</v>
      </c>
      <c r="E267">
        <v>73</v>
      </c>
      <c r="F267">
        <v>198</v>
      </c>
      <c r="G267" t="s">
        <v>107</v>
      </c>
      <c r="H267">
        <v>2020</v>
      </c>
      <c r="I267" t="s">
        <v>33</v>
      </c>
      <c r="J267">
        <v>16</v>
      </c>
      <c r="K267">
        <v>4</v>
      </c>
      <c r="L267">
        <v>3</v>
      </c>
      <c r="M267">
        <v>1</v>
      </c>
      <c r="N267">
        <v>4</v>
      </c>
      <c r="O267">
        <v>0</v>
      </c>
      <c r="P267">
        <v>0</v>
      </c>
      <c r="Q267">
        <v>0</v>
      </c>
      <c r="R267">
        <v>0</v>
      </c>
      <c r="S267">
        <v>86</v>
      </c>
      <c r="T267">
        <v>81</v>
      </c>
      <c r="U267" s="5">
        <f>IF(Merge1[[#This Row],[team_defense_snaps]]=0, "", Merge1[[#This Row],[defense_snaps]] / Merge1[[#This Row],[team_defense_snaps]])</f>
        <v>1</v>
      </c>
      <c r="V267">
        <v>81</v>
      </c>
      <c r="W267">
        <v>5</v>
      </c>
      <c r="X267" s="5" t="s">
        <v>159</v>
      </c>
      <c r="Y267">
        <v>1</v>
      </c>
      <c r="Z267">
        <v>0</v>
      </c>
      <c r="AA267" t="s">
        <v>25</v>
      </c>
      <c r="AB267" t="s">
        <v>26</v>
      </c>
      <c r="AC267" t="s">
        <v>27</v>
      </c>
      <c r="AD267" t="s">
        <v>42</v>
      </c>
      <c r="AE267" t="s">
        <v>25</v>
      </c>
      <c r="AF2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6.9767441860465115E-2</v>
      </c>
      <c r="AG267" t="s">
        <v>942</v>
      </c>
      <c r="AH267">
        <v>49.5</v>
      </c>
      <c r="AI267" t="s">
        <v>939</v>
      </c>
      <c r="AJ267">
        <v>1</v>
      </c>
      <c r="AK2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MIN(AJ267/8, 1) +
  Merge1[[#This Row],[index_defensive_effort]],
  2
)</f>
        <v>0.59</v>
      </c>
    </row>
    <row r="268" spans="1:37" x14ac:dyDescent="0.25">
      <c r="A268" t="s">
        <v>236</v>
      </c>
      <c r="B268" t="s">
        <v>237</v>
      </c>
      <c r="C268">
        <v>31</v>
      </c>
      <c r="D268" t="s">
        <v>56</v>
      </c>
      <c r="E268">
        <v>73</v>
      </c>
      <c r="F268">
        <v>190</v>
      </c>
      <c r="G268" t="s">
        <v>173</v>
      </c>
      <c r="H268">
        <v>2020</v>
      </c>
      <c r="I268" t="s">
        <v>33</v>
      </c>
      <c r="J268">
        <v>3</v>
      </c>
      <c r="K268">
        <v>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2</v>
      </c>
      <c r="R268">
        <v>0</v>
      </c>
      <c r="S268">
        <v>68</v>
      </c>
      <c r="T268">
        <v>68</v>
      </c>
      <c r="U268" s="5">
        <f>IF(Merge1[[#This Row],[team_defense_snaps]]=0, "", Merge1[[#This Row],[defense_snaps]] / Merge1[[#This Row],[team_defense_snaps]])</f>
        <v>0.81927710843373491</v>
      </c>
      <c r="V268">
        <v>83</v>
      </c>
      <c r="W268">
        <v>0</v>
      </c>
      <c r="X268" s="5" t="s">
        <v>29</v>
      </c>
      <c r="Y268">
        <v>7</v>
      </c>
      <c r="Z268">
        <v>0</v>
      </c>
      <c r="AA268" t="s">
        <v>25</v>
      </c>
      <c r="AB268" t="s">
        <v>26</v>
      </c>
      <c r="AC268" t="s">
        <v>27</v>
      </c>
      <c r="AD268" t="s">
        <v>28</v>
      </c>
      <c r="AE268" t="s">
        <v>25</v>
      </c>
      <c r="AF2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0.14705882352941177</v>
      </c>
      <c r="AG268" t="s">
        <v>942</v>
      </c>
      <c r="AH268">
        <v>67.5</v>
      </c>
      <c r="AI268" t="s">
        <v>939</v>
      </c>
      <c r="AJ268">
        <v>1</v>
      </c>
      <c r="AK2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MIN(AJ268/8, 1) +
  Merge1[[#This Row],[index_defensive_effort]],
  2
)</f>
        <v>0.87</v>
      </c>
    </row>
    <row r="269" spans="1:37" x14ac:dyDescent="0.25">
      <c r="A269" t="s">
        <v>236</v>
      </c>
      <c r="B269" t="s">
        <v>237</v>
      </c>
      <c r="C269">
        <v>31</v>
      </c>
      <c r="D269" t="s">
        <v>56</v>
      </c>
      <c r="E269">
        <v>73</v>
      </c>
      <c r="F269">
        <v>190</v>
      </c>
      <c r="G269" t="s">
        <v>173</v>
      </c>
      <c r="H269">
        <v>2020</v>
      </c>
      <c r="I269" t="s">
        <v>33</v>
      </c>
      <c r="J269">
        <v>8</v>
      </c>
      <c r="K269">
        <v>4</v>
      </c>
      <c r="L269">
        <v>1</v>
      </c>
      <c r="M269">
        <v>0</v>
      </c>
      <c r="N269">
        <v>1</v>
      </c>
      <c r="O269">
        <v>0</v>
      </c>
      <c r="P269">
        <v>0</v>
      </c>
      <c r="Q269">
        <v>2</v>
      </c>
      <c r="R269">
        <v>0</v>
      </c>
      <c r="S269">
        <v>36</v>
      </c>
      <c r="T269">
        <v>30</v>
      </c>
      <c r="U269" s="5">
        <f>IF(Merge1[[#This Row],[team_defense_snaps]]=0, "", Merge1[[#This Row],[defense_snaps]] / Merge1[[#This Row],[team_defense_snaps]])</f>
        <v>0.55555555555555558</v>
      </c>
      <c r="V269">
        <v>54</v>
      </c>
      <c r="W269">
        <v>6</v>
      </c>
      <c r="X269" s="5" t="s">
        <v>137</v>
      </c>
      <c r="Y269">
        <v>7</v>
      </c>
      <c r="Z269">
        <v>0</v>
      </c>
      <c r="AA269" t="s">
        <v>25</v>
      </c>
      <c r="AB269" t="s">
        <v>26</v>
      </c>
      <c r="AC269" t="s">
        <v>27</v>
      </c>
      <c r="AD269" t="s">
        <v>28</v>
      </c>
      <c r="AE269" t="s">
        <v>25</v>
      </c>
      <c r="AF2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0.34722222222222221</v>
      </c>
      <c r="AG269" t="s">
        <v>942</v>
      </c>
      <c r="AH269">
        <v>63</v>
      </c>
      <c r="AI269" t="s">
        <v>939</v>
      </c>
      <c r="AJ269">
        <v>2</v>
      </c>
      <c r="AK2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MIN(AJ269/8, 1) +
  Merge1[[#This Row],[index_defensive_effort]],
  2
)</f>
        <v>1.2</v>
      </c>
    </row>
    <row r="270" spans="1:37" x14ac:dyDescent="0.25">
      <c r="A270" t="s">
        <v>236</v>
      </c>
      <c r="B270" t="s">
        <v>237</v>
      </c>
      <c r="C270">
        <v>31</v>
      </c>
      <c r="D270" t="s">
        <v>56</v>
      </c>
      <c r="E270">
        <v>73</v>
      </c>
      <c r="F270">
        <v>190</v>
      </c>
      <c r="G270" t="s">
        <v>173</v>
      </c>
      <c r="H270">
        <v>2020</v>
      </c>
      <c r="I270" t="s">
        <v>33</v>
      </c>
      <c r="J270">
        <v>9</v>
      </c>
      <c r="K270">
        <v>0</v>
      </c>
      <c r="L270">
        <v>1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40</v>
      </c>
      <c r="T270">
        <v>33</v>
      </c>
      <c r="U270" s="5">
        <f>IF(Merge1[[#This Row],[team_defense_snaps]]=0, "", Merge1[[#This Row],[defense_snaps]] / Merge1[[#This Row],[team_defense_snaps]])</f>
        <v>0.33</v>
      </c>
      <c r="V270">
        <v>100</v>
      </c>
      <c r="W270">
        <v>7</v>
      </c>
      <c r="X270" s="5" t="s">
        <v>293</v>
      </c>
      <c r="Y270">
        <v>7</v>
      </c>
      <c r="Z270">
        <v>0</v>
      </c>
      <c r="AA270" t="s">
        <v>25</v>
      </c>
      <c r="AB270" t="s">
        <v>26</v>
      </c>
      <c r="AC270" t="s">
        <v>27</v>
      </c>
      <c r="AD270" t="s">
        <v>28</v>
      </c>
      <c r="AE270" t="s">
        <v>25</v>
      </c>
      <c r="AF2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1.2500000000000001E-2</v>
      </c>
      <c r="AG270" t="s">
        <v>942</v>
      </c>
      <c r="AH270">
        <v>66</v>
      </c>
      <c r="AI270" t="s">
        <v>939</v>
      </c>
      <c r="AJ270">
        <v>1</v>
      </c>
      <c r="AK2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MIN(AJ270/8, 1) +
  Merge1[[#This Row],[index_defensive_effort]],
  2
)</f>
        <v>0.74</v>
      </c>
    </row>
    <row r="271" spans="1:37" x14ac:dyDescent="0.25">
      <c r="A271" t="s">
        <v>236</v>
      </c>
      <c r="B271" t="s">
        <v>237</v>
      </c>
      <c r="C271">
        <v>31</v>
      </c>
      <c r="D271" t="s">
        <v>56</v>
      </c>
      <c r="E271">
        <v>73</v>
      </c>
      <c r="F271">
        <v>190</v>
      </c>
      <c r="G271" t="s">
        <v>173</v>
      </c>
      <c r="H271">
        <v>2020</v>
      </c>
      <c r="I271" t="s">
        <v>33</v>
      </c>
      <c r="J271">
        <v>11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24</v>
      </c>
      <c r="T271">
        <v>17</v>
      </c>
      <c r="U271" s="5">
        <f>IF(Merge1[[#This Row],[team_defense_snaps]]=0, "", Merge1[[#This Row],[defense_snaps]] / Merge1[[#This Row],[team_defense_snaps]])</f>
        <v>0.25</v>
      </c>
      <c r="V271">
        <v>68</v>
      </c>
      <c r="W271">
        <v>7</v>
      </c>
      <c r="X271" s="5" t="s">
        <v>136</v>
      </c>
      <c r="Y271">
        <v>7</v>
      </c>
      <c r="Z271">
        <v>0</v>
      </c>
      <c r="AA271" t="s">
        <v>25</v>
      </c>
      <c r="AB271" t="s">
        <v>26</v>
      </c>
      <c r="AC271" t="s">
        <v>27</v>
      </c>
      <c r="AD271" t="s">
        <v>28</v>
      </c>
      <c r="AE271" t="s">
        <v>25</v>
      </c>
      <c r="AF2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271" t="s">
        <v>942</v>
      </c>
      <c r="AH271">
        <v>58.5</v>
      </c>
      <c r="AI271" t="s">
        <v>939</v>
      </c>
      <c r="AJ271">
        <v>1</v>
      </c>
      <c r="AK2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MIN(AJ271/8, 1) +
  Merge1[[#This Row],[index_defensive_effort]],
  2
)</f>
        <v>0.77</v>
      </c>
    </row>
    <row r="272" spans="1:37" x14ac:dyDescent="0.25">
      <c r="A272" t="s">
        <v>236</v>
      </c>
      <c r="B272" t="s">
        <v>237</v>
      </c>
      <c r="C272">
        <v>31</v>
      </c>
      <c r="D272" t="s">
        <v>56</v>
      </c>
      <c r="E272">
        <v>73</v>
      </c>
      <c r="F272">
        <v>190</v>
      </c>
      <c r="G272" t="s">
        <v>173</v>
      </c>
      <c r="H272">
        <v>2020</v>
      </c>
      <c r="I272" t="s">
        <v>33</v>
      </c>
      <c r="J272">
        <v>14</v>
      </c>
      <c r="K272">
        <v>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2</v>
      </c>
      <c r="R272">
        <v>0</v>
      </c>
      <c r="S272">
        <v>19</v>
      </c>
      <c r="T272">
        <v>11</v>
      </c>
      <c r="U272" s="5">
        <f>IF(Merge1[[#This Row],[team_defense_snaps]]=0, "", Merge1[[#This Row],[defense_snaps]] / Merge1[[#This Row],[team_defense_snaps]])</f>
        <v>0.15068493150684931</v>
      </c>
      <c r="V272">
        <v>73</v>
      </c>
      <c r="W272">
        <v>8</v>
      </c>
      <c r="X272" s="5" t="s">
        <v>158</v>
      </c>
      <c r="Y272">
        <v>7</v>
      </c>
      <c r="Z272">
        <v>0</v>
      </c>
      <c r="AA272" t="s">
        <v>25</v>
      </c>
      <c r="AB272" t="s">
        <v>26</v>
      </c>
      <c r="AC272" t="s">
        <v>27</v>
      </c>
      <c r="AD272" t="s">
        <v>28</v>
      </c>
      <c r="AE272" t="s">
        <v>25</v>
      </c>
      <c r="AF2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0.52631578947368418</v>
      </c>
      <c r="AG272" t="s">
        <v>942</v>
      </c>
      <c r="AH272">
        <v>54</v>
      </c>
      <c r="AI272" t="s">
        <v>939</v>
      </c>
      <c r="AJ272">
        <v>1</v>
      </c>
      <c r="AK2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MIN(AJ272/8, 1) +
  Merge1[[#This Row],[index_defensive_effort]],
  2
)</f>
        <v>1.25</v>
      </c>
    </row>
    <row r="273" spans="1:37" x14ac:dyDescent="0.25">
      <c r="A273" t="s">
        <v>236</v>
      </c>
      <c r="B273" t="s">
        <v>237</v>
      </c>
      <c r="C273">
        <v>31</v>
      </c>
      <c r="D273" t="s">
        <v>56</v>
      </c>
      <c r="E273">
        <v>73</v>
      </c>
      <c r="F273">
        <v>190</v>
      </c>
      <c r="G273" t="s">
        <v>173</v>
      </c>
      <c r="H273">
        <v>2020</v>
      </c>
      <c r="I273" t="s">
        <v>33</v>
      </c>
      <c r="J273">
        <v>17</v>
      </c>
      <c r="K273">
        <v>1</v>
      </c>
      <c r="L273">
        <v>1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17</v>
      </c>
      <c r="T273">
        <v>11</v>
      </c>
      <c r="U273" s="5">
        <f>IF(Merge1[[#This Row],[team_defense_snaps]]=0, "", Merge1[[#This Row],[defense_snaps]] / Merge1[[#This Row],[team_defense_snaps]])</f>
        <v>0.15942028985507245</v>
      </c>
      <c r="V273">
        <v>69</v>
      </c>
      <c r="W273">
        <v>6</v>
      </c>
      <c r="X273" s="5" t="s">
        <v>293</v>
      </c>
      <c r="Y273">
        <v>7</v>
      </c>
      <c r="Z273">
        <v>0</v>
      </c>
      <c r="AA273" t="s">
        <v>25</v>
      </c>
      <c r="AB273" t="s">
        <v>26</v>
      </c>
      <c r="AC273" t="s">
        <v>27</v>
      </c>
      <c r="AD273" t="s">
        <v>28</v>
      </c>
      <c r="AE273" t="s">
        <v>25</v>
      </c>
      <c r="AF2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8.8235294117647065E-2</v>
      </c>
      <c r="AG273" t="s">
        <v>942</v>
      </c>
      <c r="AH273">
        <v>75</v>
      </c>
      <c r="AI273" t="s">
        <v>939</v>
      </c>
      <c r="AJ273">
        <v>1</v>
      </c>
      <c r="AK2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MIN(AJ273/8, 1) +
  Merge1[[#This Row],[index_defensive_effort]],
  2
)</f>
        <v>0.81</v>
      </c>
    </row>
    <row r="274" spans="1:37" x14ac:dyDescent="0.25">
      <c r="A274" t="s">
        <v>213</v>
      </c>
      <c r="B274" t="s">
        <v>214</v>
      </c>
      <c r="C274">
        <v>27</v>
      </c>
      <c r="D274" t="s">
        <v>22</v>
      </c>
      <c r="E274">
        <v>70</v>
      </c>
      <c r="F274">
        <v>194</v>
      </c>
      <c r="G274" t="s">
        <v>203</v>
      </c>
      <c r="H274">
        <v>2020</v>
      </c>
      <c r="I274" t="s">
        <v>33</v>
      </c>
      <c r="J274">
        <v>1</v>
      </c>
      <c r="K274">
        <v>3</v>
      </c>
      <c r="L274">
        <v>1</v>
      </c>
      <c r="M274">
        <v>1</v>
      </c>
      <c r="N274">
        <v>2</v>
      </c>
      <c r="O274">
        <v>0</v>
      </c>
      <c r="P274">
        <v>0</v>
      </c>
      <c r="Q274">
        <v>0</v>
      </c>
      <c r="R274">
        <v>0</v>
      </c>
      <c r="S274">
        <v>58</v>
      </c>
      <c r="T274">
        <v>58</v>
      </c>
      <c r="U274" s="5">
        <f>IF(Merge1[[#This Row],[team_defense_snaps]]=0, "", Merge1[[#This Row],[defense_snaps]] / Merge1[[#This Row],[team_defense_snaps]])</f>
        <v>0.89230769230769236</v>
      </c>
      <c r="V274">
        <v>65</v>
      </c>
      <c r="W274">
        <v>0</v>
      </c>
      <c r="X274" s="5" t="s">
        <v>29</v>
      </c>
      <c r="Y274">
        <v>5</v>
      </c>
      <c r="Z274">
        <v>0</v>
      </c>
      <c r="AA274" t="s">
        <v>25</v>
      </c>
      <c r="AB274" t="s">
        <v>26</v>
      </c>
      <c r="AC274" t="s">
        <v>27</v>
      </c>
      <c r="AD274" t="s">
        <v>42</v>
      </c>
      <c r="AE274" t="s">
        <v>25</v>
      </c>
      <c r="AF2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6.8965517241379309E-2</v>
      </c>
      <c r="AG274" t="s">
        <v>941</v>
      </c>
      <c r="AH274">
        <v>70</v>
      </c>
      <c r="AI274" t="s">
        <v>939</v>
      </c>
      <c r="AJ274">
        <v>2</v>
      </c>
      <c r="AK2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MIN(AJ274/8, 1) +
  Merge1[[#This Row],[index_defensive_effort]],
  2
)</f>
        <v>0.92</v>
      </c>
    </row>
    <row r="275" spans="1:37" x14ac:dyDescent="0.25">
      <c r="A275" t="s">
        <v>213</v>
      </c>
      <c r="B275" t="s">
        <v>214</v>
      </c>
      <c r="C275">
        <v>27</v>
      </c>
      <c r="D275" t="s">
        <v>22</v>
      </c>
      <c r="E275">
        <v>70</v>
      </c>
      <c r="F275">
        <v>194</v>
      </c>
      <c r="G275" t="s">
        <v>203</v>
      </c>
      <c r="H275">
        <v>2020</v>
      </c>
      <c r="I275" t="s">
        <v>33</v>
      </c>
      <c r="J275">
        <v>2</v>
      </c>
      <c r="K275">
        <v>2</v>
      </c>
      <c r="L275">
        <v>1</v>
      </c>
      <c r="M275">
        <v>1</v>
      </c>
      <c r="N275">
        <v>2</v>
      </c>
      <c r="O275">
        <v>0</v>
      </c>
      <c r="P275">
        <v>0</v>
      </c>
      <c r="Q275">
        <v>0</v>
      </c>
      <c r="R275">
        <v>0</v>
      </c>
      <c r="S275">
        <v>59</v>
      </c>
      <c r="T275">
        <v>59</v>
      </c>
      <c r="U275" s="5">
        <f>IF(Merge1[[#This Row],[team_defense_snaps]]=0, "", Merge1[[#This Row],[defense_snaps]] / Merge1[[#This Row],[team_defense_snaps]])</f>
        <v>0.95161290322580649</v>
      </c>
      <c r="V275">
        <v>62</v>
      </c>
      <c r="W275">
        <v>0</v>
      </c>
      <c r="X275" s="5" t="s">
        <v>29</v>
      </c>
      <c r="Y275">
        <v>5</v>
      </c>
      <c r="Z275">
        <v>0</v>
      </c>
      <c r="AA275" t="s">
        <v>25</v>
      </c>
      <c r="AB275" t="s">
        <v>26</v>
      </c>
      <c r="AC275" t="s">
        <v>27</v>
      </c>
      <c r="AD275" t="s">
        <v>42</v>
      </c>
      <c r="AE275" t="s">
        <v>25</v>
      </c>
      <c r="AF2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5.0847457627118647E-2</v>
      </c>
      <c r="AG275" t="s">
        <v>941</v>
      </c>
      <c r="AH275">
        <v>76</v>
      </c>
      <c r="AI275" t="s">
        <v>939</v>
      </c>
      <c r="AJ275">
        <v>3</v>
      </c>
      <c r="AK2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MIN(AJ275/8, 1) +
  Merge1[[#This Row],[index_defensive_effort]],
  2
)</f>
        <v>1.03</v>
      </c>
    </row>
    <row r="276" spans="1:37" x14ac:dyDescent="0.25">
      <c r="A276" t="s">
        <v>213</v>
      </c>
      <c r="B276" t="s">
        <v>214</v>
      </c>
      <c r="C276">
        <v>27</v>
      </c>
      <c r="D276" t="s">
        <v>22</v>
      </c>
      <c r="E276">
        <v>70</v>
      </c>
      <c r="F276">
        <v>194</v>
      </c>
      <c r="G276" t="s">
        <v>203</v>
      </c>
      <c r="H276">
        <v>2020</v>
      </c>
      <c r="I276" t="s">
        <v>33</v>
      </c>
      <c r="J276">
        <v>3</v>
      </c>
      <c r="K276">
        <v>2</v>
      </c>
      <c r="L276">
        <v>1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65</v>
      </c>
      <c r="T276">
        <v>64</v>
      </c>
      <c r="U276" s="5">
        <f>IF(Merge1[[#This Row],[team_defense_snaps]]=0, "", Merge1[[#This Row],[defense_snaps]] / Merge1[[#This Row],[team_defense_snaps]])</f>
        <v>0.95522388059701491</v>
      </c>
      <c r="V276">
        <v>67</v>
      </c>
      <c r="W276">
        <v>1</v>
      </c>
      <c r="X276" s="5" t="s">
        <v>193</v>
      </c>
      <c r="Y276">
        <v>5</v>
      </c>
      <c r="Z276">
        <v>0</v>
      </c>
      <c r="AA276" t="s">
        <v>25</v>
      </c>
      <c r="AB276" t="s">
        <v>26</v>
      </c>
      <c r="AC276" t="s">
        <v>27</v>
      </c>
      <c r="AD276" t="s">
        <v>42</v>
      </c>
      <c r="AE276" t="s">
        <v>25</v>
      </c>
      <c r="AF2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3.8461538461538464E-2</v>
      </c>
      <c r="AG276" t="s">
        <v>941</v>
      </c>
      <c r="AH276">
        <v>86.5</v>
      </c>
      <c r="AI276" t="s">
        <v>939</v>
      </c>
      <c r="AJ276">
        <v>4</v>
      </c>
      <c r="AK2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MIN(AJ276/8, 1) +
  Merge1[[#This Row],[index_defensive_effort]],
  2
)</f>
        <v>1.1399999999999999</v>
      </c>
    </row>
    <row r="277" spans="1:37" x14ac:dyDescent="0.25">
      <c r="A277" t="s">
        <v>213</v>
      </c>
      <c r="B277" t="s">
        <v>214</v>
      </c>
      <c r="C277">
        <v>27</v>
      </c>
      <c r="D277" t="s">
        <v>22</v>
      </c>
      <c r="E277">
        <v>70</v>
      </c>
      <c r="F277">
        <v>194</v>
      </c>
      <c r="G277" t="s">
        <v>203</v>
      </c>
      <c r="H277">
        <v>2020</v>
      </c>
      <c r="I277" t="s">
        <v>33</v>
      </c>
      <c r="J277">
        <v>4</v>
      </c>
      <c r="K277">
        <v>4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40</v>
      </c>
      <c r="T277">
        <v>40</v>
      </c>
      <c r="U277" s="5">
        <f>IF(Merge1[[#This Row],[team_defense_snaps]]=0, "", Merge1[[#This Row],[defense_snaps]] / Merge1[[#This Row],[team_defense_snaps]])</f>
        <v>0.625</v>
      </c>
      <c r="V277">
        <v>64</v>
      </c>
      <c r="W277">
        <v>0</v>
      </c>
      <c r="X277" s="5" t="s">
        <v>29</v>
      </c>
      <c r="Y277">
        <v>5</v>
      </c>
      <c r="Z277">
        <v>0</v>
      </c>
      <c r="AA277" t="s">
        <v>25</v>
      </c>
      <c r="AB277" t="s">
        <v>26</v>
      </c>
      <c r="AC277" t="s">
        <v>27</v>
      </c>
      <c r="AD277" t="s">
        <v>42</v>
      </c>
      <c r="AE277" t="s">
        <v>25</v>
      </c>
      <c r="AF2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</v>
      </c>
      <c r="AG277" t="s">
        <v>941</v>
      </c>
      <c r="AH277">
        <v>85</v>
      </c>
      <c r="AI277" t="s">
        <v>939</v>
      </c>
      <c r="AJ277">
        <v>5</v>
      </c>
      <c r="AK2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MIN(AJ277/8, 1) +
  Merge1[[#This Row],[index_defensive_effort]],
  2
)</f>
        <v>1.38</v>
      </c>
    </row>
    <row r="278" spans="1:37" x14ac:dyDescent="0.25">
      <c r="A278" t="s">
        <v>213</v>
      </c>
      <c r="B278" t="s">
        <v>214</v>
      </c>
      <c r="C278">
        <v>27</v>
      </c>
      <c r="D278" t="s">
        <v>22</v>
      </c>
      <c r="E278">
        <v>70</v>
      </c>
      <c r="F278">
        <v>194</v>
      </c>
      <c r="G278" t="s">
        <v>203</v>
      </c>
      <c r="H278">
        <v>2020</v>
      </c>
      <c r="I278" t="s">
        <v>33</v>
      </c>
      <c r="J278">
        <v>5</v>
      </c>
      <c r="K278">
        <v>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2</v>
      </c>
      <c r="R278">
        <v>0</v>
      </c>
      <c r="S278">
        <v>56</v>
      </c>
      <c r="T278">
        <v>56</v>
      </c>
      <c r="U278" s="5">
        <f>IF(Merge1[[#This Row],[team_defense_snaps]]=0, "", Merge1[[#This Row],[defense_snaps]] / Merge1[[#This Row],[team_defense_snaps]])</f>
        <v>0.875</v>
      </c>
      <c r="V278">
        <v>64</v>
      </c>
      <c r="W278">
        <v>0</v>
      </c>
      <c r="X278" s="5" t="s">
        <v>29</v>
      </c>
      <c r="Y278">
        <v>5</v>
      </c>
      <c r="Z278">
        <v>0</v>
      </c>
      <c r="AA278" t="s">
        <v>25</v>
      </c>
      <c r="AB278" t="s">
        <v>26</v>
      </c>
      <c r="AC278" t="s">
        <v>27</v>
      </c>
      <c r="AD278" t="s">
        <v>42</v>
      </c>
      <c r="AE278" t="s">
        <v>25</v>
      </c>
      <c r="AF2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0.23214285714285715</v>
      </c>
      <c r="AG278" t="s">
        <v>941</v>
      </c>
      <c r="AH278">
        <v>68.5</v>
      </c>
      <c r="AI278" t="s">
        <v>939</v>
      </c>
      <c r="AJ278">
        <v>6</v>
      </c>
      <c r="AK2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MIN(AJ278/8, 1) +
  Merge1[[#This Row],[index_defensive_effort]],
  2
)</f>
        <v>1.58</v>
      </c>
    </row>
    <row r="279" spans="1:37" x14ac:dyDescent="0.25">
      <c r="A279" t="s">
        <v>213</v>
      </c>
      <c r="B279" t="s">
        <v>214</v>
      </c>
      <c r="C279">
        <v>27</v>
      </c>
      <c r="D279" t="s">
        <v>22</v>
      </c>
      <c r="E279">
        <v>70</v>
      </c>
      <c r="F279">
        <v>194</v>
      </c>
      <c r="G279" t="s">
        <v>203</v>
      </c>
      <c r="H279">
        <v>2020</v>
      </c>
      <c r="I279" t="s">
        <v>33</v>
      </c>
      <c r="J279">
        <v>6</v>
      </c>
      <c r="K279">
        <v>2</v>
      </c>
      <c r="L279">
        <v>2</v>
      </c>
      <c r="M279">
        <v>0</v>
      </c>
      <c r="N279">
        <v>2</v>
      </c>
      <c r="O279">
        <v>0</v>
      </c>
      <c r="P279">
        <v>1</v>
      </c>
      <c r="Q279">
        <v>0</v>
      </c>
      <c r="R279">
        <v>0</v>
      </c>
      <c r="S279">
        <v>70</v>
      </c>
      <c r="T279">
        <v>70</v>
      </c>
      <c r="U279" s="5">
        <f>IF(Merge1[[#This Row],[team_defense_snaps]]=0, "", Merge1[[#This Row],[defense_snaps]] / Merge1[[#This Row],[team_defense_snaps]])</f>
        <v>0.7</v>
      </c>
      <c r="V279">
        <v>100</v>
      </c>
      <c r="W279">
        <v>0</v>
      </c>
      <c r="X279" s="5" t="s">
        <v>29</v>
      </c>
      <c r="Y279">
        <v>5</v>
      </c>
      <c r="Z279">
        <v>0</v>
      </c>
      <c r="AA279" t="s">
        <v>25</v>
      </c>
      <c r="AB279" t="s">
        <v>26</v>
      </c>
      <c r="AC279" t="s">
        <v>27</v>
      </c>
      <c r="AD279" t="s">
        <v>42</v>
      </c>
      <c r="AE279" t="s">
        <v>25</v>
      </c>
      <c r="AF2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279" t="s">
        <v>941</v>
      </c>
      <c r="AH279">
        <v>64</v>
      </c>
      <c r="AI279" t="s">
        <v>939</v>
      </c>
      <c r="AJ279">
        <v>1</v>
      </c>
      <c r="AK2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MIN(AJ279/8, 1) +
  Merge1[[#This Row],[index_defensive_effort]],
  2
)</f>
        <v>0.8</v>
      </c>
    </row>
    <row r="280" spans="1:37" x14ac:dyDescent="0.25">
      <c r="A280" t="s">
        <v>213</v>
      </c>
      <c r="B280" t="s">
        <v>214</v>
      </c>
      <c r="C280">
        <v>27</v>
      </c>
      <c r="D280" t="s">
        <v>22</v>
      </c>
      <c r="E280">
        <v>70</v>
      </c>
      <c r="F280">
        <v>194</v>
      </c>
      <c r="G280" t="s">
        <v>203</v>
      </c>
      <c r="H280">
        <v>2020</v>
      </c>
      <c r="I280" t="s">
        <v>33</v>
      </c>
      <c r="J280">
        <v>8</v>
      </c>
      <c r="K280">
        <v>2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96</v>
      </c>
      <c r="T280">
        <v>95</v>
      </c>
      <c r="U280" s="5">
        <f>IF(Merge1[[#This Row],[team_defense_snaps]]=0, "", Merge1[[#This Row],[defense_snaps]] / Merge1[[#This Row],[team_defense_snaps]])</f>
        <v>0.98958333333333337</v>
      </c>
      <c r="V280">
        <v>96</v>
      </c>
      <c r="W280">
        <v>1</v>
      </c>
      <c r="X280" s="5" t="s">
        <v>303</v>
      </c>
      <c r="Y280">
        <v>5</v>
      </c>
      <c r="Z280">
        <v>0</v>
      </c>
      <c r="AA280" t="s">
        <v>25</v>
      </c>
      <c r="AB280" t="s">
        <v>26</v>
      </c>
      <c r="AC280" t="s">
        <v>27</v>
      </c>
      <c r="AD280" t="s">
        <v>42</v>
      </c>
      <c r="AE280" t="s">
        <v>25</v>
      </c>
      <c r="AF2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280" t="s">
        <v>941</v>
      </c>
      <c r="AH280">
        <v>82</v>
      </c>
      <c r="AI280" t="s">
        <v>939</v>
      </c>
      <c r="AJ280">
        <v>2</v>
      </c>
      <c r="AK2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MIN(AJ280/8, 1) +
  Merge1[[#This Row],[index_defensive_effort]],
  2
)</f>
        <v>0.89</v>
      </c>
    </row>
    <row r="281" spans="1:37" x14ac:dyDescent="0.25">
      <c r="A281" t="s">
        <v>213</v>
      </c>
      <c r="B281" t="s">
        <v>214</v>
      </c>
      <c r="C281">
        <v>27</v>
      </c>
      <c r="D281" t="s">
        <v>22</v>
      </c>
      <c r="E281">
        <v>70</v>
      </c>
      <c r="F281">
        <v>194</v>
      </c>
      <c r="G281" t="s">
        <v>203</v>
      </c>
      <c r="H281">
        <v>2020</v>
      </c>
      <c r="I281" t="s">
        <v>33</v>
      </c>
      <c r="J281">
        <v>9</v>
      </c>
      <c r="K281">
        <v>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69</v>
      </c>
      <c r="T281">
        <v>69</v>
      </c>
      <c r="U281" s="5">
        <f>IF(Merge1[[#This Row],[team_defense_snaps]]=0, "", Merge1[[#This Row],[defense_snaps]] / Merge1[[#This Row],[team_defense_snaps]])</f>
        <v>1</v>
      </c>
      <c r="V281">
        <v>69</v>
      </c>
      <c r="W281">
        <v>0</v>
      </c>
      <c r="X281" s="5" t="s">
        <v>29</v>
      </c>
      <c r="Y281">
        <v>5</v>
      </c>
      <c r="Z281">
        <v>0</v>
      </c>
      <c r="AA281" t="s">
        <v>25</v>
      </c>
      <c r="AB281" t="s">
        <v>26</v>
      </c>
      <c r="AC281" t="s">
        <v>27</v>
      </c>
      <c r="AD281" t="s">
        <v>42</v>
      </c>
      <c r="AE281" t="s">
        <v>25</v>
      </c>
      <c r="AF2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5.7971014492753624E-2</v>
      </c>
      <c r="AG281" t="s">
        <v>941</v>
      </c>
      <c r="AH281">
        <v>80.5</v>
      </c>
      <c r="AI281" t="s">
        <v>939</v>
      </c>
      <c r="AJ281">
        <v>3</v>
      </c>
      <c r="AK2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MIN(AJ281/8, 1) +
  Merge1[[#This Row],[index_defensive_effort]],
  2
)</f>
        <v>1.03</v>
      </c>
    </row>
    <row r="282" spans="1:37" x14ac:dyDescent="0.25">
      <c r="A282" t="s">
        <v>213</v>
      </c>
      <c r="B282" t="s">
        <v>214</v>
      </c>
      <c r="C282">
        <v>27</v>
      </c>
      <c r="D282" t="s">
        <v>22</v>
      </c>
      <c r="E282">
        <v>70</v>
      </c>
      <c r="F282">
        <v>194</v>
      </c>
      <c r="G282" t="s">
        <v>203</v>
      </c>
      <c r="H282">
        <v>2020</v>
      </c>
      <c r="I282" t="s">
        <v>33</v>
      </c>
      <c r="J282">
        <v>10</v>
      </c>
      <c r="K282">
        <v>2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61</v>
      </c>
      <c r="T282">
        <v>60</v>
      </c>
      <c r="U282" s="5">
        <f>IF(Merge1[[#This Row],[team_defense_snaps]]=0, "", Merge1[[#This Row],[defense_snaps]] / Merge1[[#This Row],[team_defense_snaps]])</f>
        <v>0.9375</v>
      </c>
      <c r="V282">
        <v>64</v>
      </c>
      <c r="W282">
        <v>1</v>
      </c>
      <c r="X282" s="5" t="s">
        <v>193</v>
      </c>
      <c r="Y282">
        <v>5</v>
      </c>
      <c r="Z282">
        <v>0</v>
      </c>
      <c r="AA282" t="s">
        <v>25</v>
      </c>
      <c r="AB282" t="s">
        <v>26</v>
      </c>
      <c r="AC282" t="s">
        <v>27</v>
      </c>
      <c r="AD282" t="s">
        <v>42</v>
      </c>
      <c r="AE282" t="s">
        <v>25</v>
      </c>
      <c r="AF2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6.5573770491803282E-2</v>
      </c>
      <c r="AG282" t="s">
        <v>941</v>
      </c>
      <c r="AH282">
        <v>73</v>
      </c>
      <c r="AI282" t="s">
        <v>939</v>
      </c>
      <c r="AJ282">
        <v>4</v>
      </c>
      <c r="AK2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MIN(AJ282/8, 1) +
  Merge1[[#This Row],[index_defensive_effort]],
  2
)</f>
        <v>1.17</v>
      </c>
    </row>
    <row r="283" spans="1:37" x14ac:dyDescent="0.25">
      <c r="A283" t="s">
        <v>213</v>
      </c>
      <c r="B283" t="s">
        <v>214</v>
      </c>
      <c r="C283">
        <v>27</v>
      </c>
      <c r="D283" t="s">
        <v>22</v>
      </c>
      <c r="E283">
        <v>70</v>
      </c>
      <c r="F283">
        <v>194</v>
      </c>
      <c r="G283" t="s">
        <v>203</v>
      </c>
      <c r="H283">
        <v>2020</v>
      </c>
      <c r="I283" t="s">
        <v>33</v>
      </c>
      <c r="J283">
        <v>11</v>
      </c>
      <c r="K283">
        <v>3</v>
      </c>
      <c r="L283">
        <v>3</v>
      </c>
      <c r="M283">
        <v>0</v>
      </c>
      <c r="N283">
        <v>3</v>
      </c>
      <c r="O283">
        <v>0</v>
      </c>
      <c r="P283">
        <v>0</v>
      </c>
      <c r="Q283">
        <v>0</v>
      </c>
      <c r="R283">
        <v>0</v>
      </c>
      <c r="S283">
        <v>64</v>
      </c>
      <c r="T283">
        <v>64</v>
      </c>
      <c r="U283" s="5">
        <f>IF(Merge1[[#This Row],[team_defense_snaps]]=0, "", Merge1[[#This Row],[defense_snaps]] / Merge1[[#This Row],[team_defense_snaps]])</f>
        <v>0.95522388059701491</v>
      </c>
      <c r="V283">
        <v>67</v>
      </c>
      <c r="W283">
        <v>0</v>
      </c>
      <c r="X283" s="5" t="s">
        <v>29</v>
      </c>
      <c r="Y283">
        <v>5</v>
      </c>
      <c r="Z283">
        <v>0</v>
      </c>
      <c r="AA283" t="s">
        <v>25</v>
      </c>
      <c r="AB283" t="s">
        <v>26</v>
      </c>
      <c r="AC283" t="s">
        <v>27</v>
      </c>
      <c r="AD283" t="s">
        <v>42</v>
      </c>
      <c r="AE283" t="s">
        <v>25</v>
      </c>
      <c r="AF2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7.03125E-2</v>
      </c>
      <c r="AG283" t="s">
        <v>941</v>
      </c>
      <c r="AH283">
        <v>77.5</v>
      </c>
      <c r="AI283" t="s">
        <v>939</v>
      </c>
      <c r="AJ283">
        <v>1</v>
      </c>
      <c r="AK2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MIN(AJ283/8, 1) +
  Merge1[[#This Row],[index_defensive_effort]],
  2
)</f>
        <v>0.8</v>
      </c>
    </row>
    <row r="284" spans="1:37" x14ac:dyDescent="0.25">
      <c r="A284" t="s">
        <v>213</v>
      </c>
      <c r="B284" t="s">
        <v>214</v>
      </c>
      <c r="C284">
        <v>27</v>
      </c>
      <c r="D284" t="s">
        <v>22</v>
      </c>
      <c r="E284">
        <v>70</v>
      </c>
      <c r="F284">
        <v>194</v>
      </c>
      <c r="G284" t="s">
        <v>203</v>
      </c>
      <c r="H284">
        <v>2020</v>
      </c>
      <c r="I284" t="s">
        <v>33</v>
      </c>
      <c r="J284">
        <v>13</v>
      </c>
      <c r="K284">
        <v>3</v>
      </c>
      <c r="L284">
        <v>0</v>
      </c>
      <c r="M284">
        <v>0</v>
      </c>
      <c r="N284">
        <v>0</v>
      </c>
      <c r="O284">
        <v>0</v>
      </c>
      <c r="P284">
        <v>2</v>
      </c>
      <c r="Q284">
        <v>0</v>
      </c>
      <c r="R284">
        <v>0</v>
      </c>
      <c r="S284">
        <v>52</v>
      </c>
      <c r="T284">
        <v>52</v>
      </c>
      <c r="U284" s="5">
        <f>IF(Merge1[[#This Row],[team_defense_snaps]]=0, "", Merge1[[#This Row],[defense_snaps]] / Merge1[[#This Row],[team_defense_snaps]])</f>
        <v>1</v>
      </c>
      <c r="V284">
        <v>52</v>
      </c>
      <c r="W284">
        <v>0</v>
      </c>
      <c r="X284" s="5" t="s">
        <v>29</v>
      </c>
      <c r="Y284">
        <v>5</v>
      </c>
      <c r="Z284">
        <v>0</v>
      </c>
      <c r="AA284" t="s">
        <v>25</v>
      </c>
      <c r="AB284" t="s">
        <v>26</v>
      </c>
      <c r="AC284" t="s">
        <v>27</v>
      </c>
      <c r="AD284" t="s">
        <v>42</v>
      </c>
      <c r="AE284" t="s">
        <v>25</v>
      </c>
      <c r="AF2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0.13461538461538461</v>
      </c>
      <c r="AG284" t="s">
        <v>941</v>
      </c>
      <c r="AH284">
        <v>65.5</v>
      </c>
      <c r="AI284" t="s">
        <v>939</v>
      </c>
      <c r="AJ284">
        <v>2</v>
      </c>
      <c r="AK2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MIN(AJ284/8, 1) +
  Merge1[[#This Row],[index_defensive_effort]],
  2
)</f>
        <v>0.98</v>
      </c>
    </row>
    <row r="285" spans="1:37" x14ac:dyDescent="0.25">
      <c r="A285" t="s">
        <v>213</v>
      </c>
      <c r="B285" t="s">
        <v>214</v>
      </c>
      <c r="C285">
        <v>27</v>
      </c>
      <c r="D285" t="s">
        <v>22</v>
      </c>
      <c r="E285">
        <v>70</v>
      </c>
      <c r="F285">
        <v>194</v>
      </c>
      <c r="G285" t="s">
        <v>203</v>
      </c>
      <c r="H285">
        <v>2020</v>
      </c>
      <c r="I285" t="s">
        <v>33</v>
      </c>
      <c r="J285">
        <v>14</v>
      </c>
      <c r="K285">
        <v>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35</v>
      </c>
      <c r="T285">
        <v>32</v>
      </c>
      <c r="U285" s="5">
        <f>IF(Merge1[[#This Row],[team_defense_snaps]]=0, "", Merge1[[#This Row],[defense_snaps]] / Merge1[[#This Row],[team_defense_snaps]])</f>
        <v>0.5161290322580645</v>
      </c>
      <c r="V285">
        <v>62</v>
      </c>
      <c r="W285">
        <v>3</v>
      </c>
      <c r="X285" s="5" t="s">
        <v>250</v>
      </c>
      <c r="Y285">
        <v>5</v>
      </c>
      <c r="Z285">
        <v>0</v>
      </c>
      <c r="AA285" t="s">
        <v>25</v>
      </c>
      <c r="AB285" t="s">
        <v>26</v>
      </c>
      <c r="AC285" t="s">
        <v>27</v>
      </c>
      <c r="AD285" t="s">
        <v>42</v>
      </c>
      <c r="AE285" t="s">
        <v>25</v>
      </c>
      <c r="AF2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5.7142857142857141E-2</v>
      </c>
      <c r="AG285" t="s">
        <v>941</v>
      </c>
      <c r="AH285">
        <v>83.5</v>
      </c>
      <c r="AI285" t="s">
        <v>939</v>
      </c>
      <c r="AJ285">
        <v>1</v>
      </c>
      <c r="AK2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MIN(AJ285/8, 1) +
  Merge1[[#This Row],[index_defensive_effort]],
  2
)</f>
        <v>0.78</v>
      </c>
    </row>
    <row r="286" spans="1:37" x14ac:dyDescent="0.25">
      <c r="A286" t="s">
        <v>213</v>
      </c>
      <c r="B286" t="s">
        <v>214</v>
      </c>
      <c r="C286">
        <v>27</v>
      </c>
      <c r="D286" t="s">
        <v>22</v>
      </c>
      <c r="E286">
        <v>70</v>
      </c>
      <c r="F286">
        <v>194</v>
      </c>
      <c r="G286" t="s">
        <v>203</v>
      </c>
      <c r="H286">
        <v>2020</v>
      </c>
      <c r="I286" t="s">
        <v>33</v>
      </c>
      <c r="J286">
        <v>16</v>
      </c>
      <c r="K286">
        <v>3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63</v>
      </c>
      <c r="T286">
        <v>63</v>
      </c>
      <c r="U286" s="5">
        <f>IF(Merge1[[#This Row],[team_defense_snaps]]=0, "", Merge1[[#This Row],[defense_snaps]] / Merge1[[#This Row],[team_defense_snaps]])</f>
        <v>0.984375</v>
      </c>
      <c r="V286">
        <v>64</v>
      </c>
      <c r="W286">
        <v>0</v>
      </c>
      <c r="X286" s="5" t="s">
        <v>29</v>
      </c>
      <c r="Y286">
        <v>5</v>
      </c>
      <c r="Z286">
        <v>0</v>
      </c>
      <c r="AA286" t="s">
        <v>25</v>
      </c>
      <c r="AB286" t="s">
        <v>26</v>
      </c>
      <c r="AC286" t="s">
        <v>27</v>
      </c>
      <c r="AD286" t="s">
        <v>42</v>
      </c>
      <c r="AE286" t="s">
        <v>25</v>
      </c>
      <c r="AF2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4.7619047619047616E-2</v>
      </c>
      <c r="AG286" t="s">
        <v>941</v>
      </c>
      <c r="AH286">
        <v>88</v>
      </c>
      <c r="AI286" t="s">
        <v>939</v>
      </c>
      <c r="AJ286">
        <v>2</v>
      </c>
      <c r="AK2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MIN(AJ286/8, 1) +
  Merge1[[#This Row],[index_defensive_effort]],
  2
)</f>
        <v>0.9</v>
      </c>
    </row>
    <row r="287" spans="1:37" x14ac:dyDescent="0.25">
      <c r="A287" t="s">
        <v>213</v>
      </c>
      <c r="B287" t="s">
        <v>214</v>
      </c>
      <c r="C287">
        <v>27</v>
      </c>
      <c r="D287" t="s">
        <v>22</v>
      </c>
      <c r="E287">
        <v>70</v>
      </c>
      <c r="F287">
        <v>194</v>
      </c>
      <c r="G287" t="s">
        <v>203</v>
      </c>
      <c r="H287">
        <v>2020</v>
      </c>
      <c r="I287" t="s">
        <v>33</v>
      </c>
      <c r="J287">
        <v>17</v>
      </c>
      <c r="K287">
        <v>3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55</v>
      </c>
      <c r="T287">
        <v>55</v>
      </c>
      <c r="U287" s="5">
        <f>IF(Merge1[[#This Row],[team_defense_snaps]]=0, "", Merge1[[#This Row],[defense_snaps]] / Merge1[[#This Row],[team_defense_snaps]])</f>
        <v>0.84615384615384615</v>
      </c>
      <c r="V287">
        <v>65</v>
      </c>
      <c r="W287">
        <v>0</v>
      </c>
      <c r="X287" s="5" t="s">
        <v>29</v>
      </c>
      <c r="Y287">
        <v>5</v>
      </c>
      <c r="Z287">
        <v>0</v>
      </c>
      <c r="AA287" t="s">
        <v>25</v>
      </c>
      <c r="AB287" t="s">
        <v>26</v>
      </c>
      <c r="AC287" t="s">
        <v>27</v>
      </c>
      <c r="AD287" t="s">
        <v>42</v>
      </c>
      <c r="AE287" t="s">
        <v>25</v>
      </c>
      <c r="AF2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5.4545454545454543E-2</v>
      </c>
      <c r="AG287" t="s">
        <v>941</v>
      </c>
      <c r="AH287">
        <v>74.5</v>
      </c>
      <c r="AI287" t="s">
        <v>939</v>
      </c>
      <c r="AJ287">
        <v>1</v>
      </c>
      <c r="AK2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MIN(AJ287/8, 1) +
  Merge1[[#This Row],[index_defensive_effort]],
  2
)</f>
        <v>0.78</v>
      </c>
    </row>
    <row r="288" spans="1:37" x14ac:dyDescent="0.25">
      <c r="A288" t="s">
        <v>216</v>
      </c>
      <c r="B288" t="s">
        <v>217</v>
      </c>
      <c r="C288">
        <v>30</v>
      </c>
      <c r="D288" t="s">
        <v>22</v>
      </c>
      <c r="E288">
        <v>73</v>
      </c>
      <c r="F288">
        <v>215</v>
      </c>
      <c r="G288" t="s">
        <v>107</v>
      </c>
      <c r="H288">
        <v>2020</v>
      </c>
      <c r="I288" t="s">
        <v>33</v>
      </c>
      <c r="J288">
        <v>1</v>
      </c>
      <c r="K288">
        <v>5</v>
      </c>
      <c r="L288">
        <v>3</v>
      </c>
      <c r="M288">
        <v>1</v>
      </c>
      <c r="N288">
        <v>4</v>
      </c>
      <c r="O288">
        <v>0</v>
      </c>
      <c r="P288">
        <v>0</v>
      </c>
      <c r="Q288">
        <v>0</v>
      </c>
      <c r="R288">
        <v>0</v>
      </c>
      <c r="S288">
        <v>93</v>
      </c>
      <c r="T288">
        <v>86</v>
      </c>
      <c r="U288" s="5">
        <f>IF(Merge1[[#This Row],[team_defense_snaps]]=0, "", Merge1[[#This Row],[defense_snaps]] / Merge1[[#This Row],[team_defense_snaps]])</f>
        <v>0.97727272727272729</v>
      </c>
      <c r="V288">
        <v>88</v>
      </c>
      <c r="W288">
        <v>7</v>
      </c>
      <c r="X288" s="5" t="s">
        <v>136</v>
      </c>
      <c r="Y288">
        <v>7</v>
      </c>
      <c r="Z288">
        <v>0</v>
      </c>
      <c r="AA288" t="s">
        <v>25</v>
      </c>
      <c r="AB288" t="s">
        <v>26</v>
      </c>
      <c r="AC288" t="s">
        <v>27</v>
      </c>
      <c r="AD288" t="s">
        <v>42</v>
      </c>
      <c r="AE288" t="s">
        <v>25</v>
      </c>
      <c r="AF2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7.5268817204301078E-2</v>
      </c>
      <c r="AG288" t="s">
        <v>942</v>
      </c>
      <c r="AH288">
        <v>70.5</v>
      </c>
      <c r="AI288" t="s">
        <v>939</v>
      </c>
      <c r="AJ288">
        <v>2</v>
      </c>
      <c r="AK2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MIN(AJ288/8, 1) +
  Merge1[[#This Row],[index_defensive_effort]],
  2
)</f>
        <v>0.93</v>
      </c>
    </row>
    <row r="289" spans="1:37" x14ac:dyDescent="0.25">
      <c r="A289" t="s">
        <v>216</v>
      </c>
      <c r="B289" t="s">
        <v>217</v>
      </c>
      <c r="C289">
        <v>30</v>
      </c>
      <c r="D289" t="s">
        <v>22</v>
      </c>
      <c r="E289">
        <v>73</v>
      </c>
      <c r="F289">
        <v>215</v>
      </c>
      <c r="G289" t="s">
        <v>107</v>
      </c>
      <c r="H289">
        <v>2020</v>
      </c>
      <c r="I289" t="s">
        <v>33</v>
      </c>
      <c r="J289">
        <v>2</v>
      </c>
      <c r="K289">
        <v>4</v>
      </c>
      <c r="L289">
        <v>1</v>
      </c>
      <c r="M289">
        <v>0</v>
      </c>
      <c r="N289">
        <v>1</v>
      </c>
      <c r="O289">
        <v>0</v>
      </c>
      <c r="P289">
        <v>1</v>
      </c>
      <c r="Q289">
        <v>0</v>
      </c>
      <c r="R289">
        <v>0</v>
      </c>
      <c r="S289">
        <v>58</v>
      </c>
      <c r="T289">
        <v>57</v>
      </c>
      <c r="U289" s="5">
        <f>IF(Merge1[[#This Row],[team_defense_snaps]]=0, "", Merge1[[#This Row],[defense_snaps]] / Merge1[[#This Row],[team_defense_snaps]])</f>
        <v>0.93442622950819676</v>
      </c>
      <c r="V289">
        <v>61</v>
      </c>
      <c r="W289">
        <v>1</v>
      </c>
      <c r="X289" s="5" t="s">
        <v>193</v>
      </c>
      <c r="Y289">
        <v>7</v>
      </c>
      <c r="Z289">
        <v>0</v>
      </c>
      <c r="AA289" t="s">
        <v>25</v>
      </c>
      <c r="AB289" t="s">
        <v>26</v>
      </c>
      <c r="AC289" t="s">
        <v>27</v>
      </c>
      <c r="AD289" t="s">
        <v>42</v>
      </c>
      <c r="AE289" t="s">
        <v>25</v>
      </c>
      <c r="AF2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0.11206896551724138</v>
      </c>
      <c r="AG289" t="s">
        <v>942</v>
      </c>
      <c r="AH289">
        <v>63</v>
      </c>
      <c r="AI289" t="s">
        <v>939</v>
      </c>
      <c r="AJ289">
        <v>3</v>
      </c>
      <c r="AK2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MIN(AJ289/8, 1) +
  Merge1[[#This Row],[index_defensive_effort]],
  2
)</f>
        <v>1.0900000000000001</v>
      </c>
    </row>
    <row r="290" spans="1:37" x14ac:dyDescent="0.25">
      <c r="A290" t="s">
        <v>216</v>
      </c>
      <c r="B290" t="s">
        <v>217</v>
      </c>
      <c r="C290">
        <v>30</v>
      </c>
      <c r="D290" t="s">
        <v>22</v>
      </c>
      <c r="E290">
        <v>73</v>
      </c>
      <c r="F290">
        <v>215</v>
      </c>
      <c r="G290" t="s">
        <v>107</v>
      </c>
      <c r="H290">
        <v>2020</v>
      </c>
      <c r="I290" t="s">
        <v>33</v>
      </c>
      <c r="J290">
        <v>3</v>
      </c>
      <c r="K290">
        <v>5</v>
      </c>
      <c r="L290">
        <v>5</v>
      </c>
      <c r="M290">
        <v>2</v>
      </c>
      <c r="N290">
        <v>7</v>
      </c>
      <c r="O290">
        <v>0</v>
      </c>
      <c r="P290">
        <v>0</v>
      </c>
      <c r="Q290">
        <v>0</v>
      </c>
      <c r="R290">
        <v>0</v>
      </c>
      <c r="S290">
        <v>57</v>
      </c>
      <c r="T290">
        <v>55</v>
      </c>
      <c r="U290" s="5">
        <f>IF(Merge1[[#This Row],[team_defense_snaps]]=0, "", Merge1[[#This Row],[defense_snaps]] / Merge1[[#This Row],[team_defense_snaps]])</f>
        <v>0.91666666666666663</v>
      </c>
      <c r="V290">
        <v>60</v>
      </c>
      <c r="W290">
        <v>2</v>
      </c>
      <c r="X290" s="5" t="s">
        <v>208</v>
      </c>
      <c r="Y290">
        <v>7</v>
      </c>
      <c r="Z290">
        <v>0</v>
      </c>
      <c r="AA290" t="s">
        <v>25</v>
      </c>
      <c r="AB290" t="s">
        <v>26</v>
      </c>
      <c r="AC290" t="s">
        <v>27</v>
      </c>
      <c r="AD290" t="s">
        <v>42</v>
      </c>
      <c r="AE290" t="s">
        <v>25</v>
      </c>
      <c r="AF2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0.14912280701754385</v>
      </c>
      <c r="AG290" t="s">
        <v>942</v>
      </c>
      <c r="AH290">
        <v>66</v>
      </c>
      <c r="AI290" t="s">
        <v>939</v>
      </c>
      <c r="AJ290">
        <v>4</v>
      </c>
      <c r="AK2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MIN(AJ290/8, 1) +
  Merge1[[#This Row],[index_defensive_effort]],
  2
)</f>
        <v>1.25</v>
      </c>
    </row>
    <row r="291" spans="1:37" x14ac:dyDescent="0.25">
      <c r="A291" t="s">
        <v>216</v>
      </c>
      <c r="B291" t="s">
        <v>217</v>
      </c>
      <c r="C291">
        <v>30</v>
      </c>
      <c r="D291" t="s">
        <v>22</v>
      </c>
      <c r="E291">
        <v>73</v>
      </c>
      <c r="F291">
        <v>215</v>
      </c>
      <c r="G291" t="s">
        <v>107</v>
      </c>
      <c r="H291">
        <v>2020</v>
      </c>
      <c r="I291" t="s">
        <v>33</v>
      </c>
      <c r="J291">
        <v>4</v>
      </c>
      <c r="K291">
        <v>4</v>
      </c>
      <c r="L291">
        <v>1</v>
      </c>
      <c r="M291">
        <v>1</v>
      </c>
      <c r="N291">
        <v>2</v>
      </c>
      <c r="O291">
        <v>0</v>
      </c>
      <c r="P291">
        <v>2</v>
      </c>
      <c r="Q291">
        <v>0</v>
      </c>
      <c r="R291">
        <v>0</v>
      </c>
      <c r="S291">
        <v>70</v>
      </c>
      <c r="T291">
        <v>70</v>
      </c>
      <c r="U291" s="5">
        <f>IF(Merge1[[#This Row],[team_defense_snaps]]=0, "", Merge1[[#This Row],[defense_snaps]] / Merge1[[#This Row],[team_defense_snaps]])</f>
        <v>1</v>
      </c>
      <c r="V291">
        <v>70</v>
      </c>
      <c r="W291">
        <v>0</v>
      </c>
      <c r="X291" s="5" t="s">
        <v>29</v>
      </c>
      <c r="Y291">
        <v>7</v>
      </c>
      <c r="Z291">
        <v>0</v>
      </c>
      <c r="AA291" t="s">
        <v>25</v>
      </c>
      <c r="AB291" t="s">
        <v>26</v>
      </c>
      <c r="AC291" t="s">
        <v>27</v>
      </c>
      <c r="AD291" t="s">
        <v>42</v>
      </c>
      <c r="AE291" t="s">
        <v>25</v>
      </c>
      <c r="AF2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0.12857142857142856</v>
      </c>
      <c r="AG291" t="s">
        <v>942</v>
      </c>
      <c r="AH291">
        <v>72</v>
      </c>
      <c r="AI291" t="s">
        <v>939</v>
      </c>
      <c r="AJ291">
        <v>5</v>
      </c>
      <c r="AK2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MIN(AJ291/8, 1) +
  Merge1[[#This Row],[index_defensive_effort]],
  2
)</f>
        <v>1.35</v>
      </c>
    </row>
    <row r="292" spans="1:37" x14ac:dyDescent="0.25">
      <c r="A292" t="s">
        <v>216</v>
      </c>
      <c r="B292" t="s">
        <v>217</v>
      </c>
      <c r="C292">
        <v>30</v>
      </c>
      <c r="D292" t="s">
        <v>22</v>
      </c>
      <c r="E292">
        <v>73</v>
      </c>
      <c r="F292">
        <v>215</v>
      </c>
      <c r="G292" t="s">
        <v>107</v>
      </c>
      <c r="H292">
        <v>2020</v>
      </c>
      <c r="I292" t="s">
        <v>33</v>
      </c>
      <c r="J292">
        <v>5</v>
      </c>
      <c r="K292">
        <v>1</v>
      </c>
      <c r="L292">
        <v>2</v>
      </c>
      <c r="M292">
        <v>0</v>
      </c>
      <c r="N292">
        <v>2</v>
      </c>
      <c r="O292">
        <v>0</v>
      </c>
      <c r="P292">
        <v>0</v>
      </c>
      <c r="Q292">
        <v>0</v>
      </c>
      <c r="R292">
        <v>0</v>
      </c>
      <c r="S292">
        <v>62</v>
      </c>
      <c r="T292">
        <v>58</v>
      </c>
      <c r="U292" s="5">
        <f>IF(Merge1[[#This Row],[team_defense_snaps]]=0, "", Merge1[[#This Row],[defense_snaps]] / Merge1[[#This Row],[team_defense_snaps]])</f>
        <v>0.76315789473684215</v>
      </c>
      <c r="V292">
        <v>76</v>
      </c>
      <c r="W292">
        <v>4</v>
      </c>
      <c r="X292" s="5" t="s">
        <v>159</v>
      </c>
      <c r="Y292">
        <v>7</v>
      </c>
      <c r="Z292">
        <v>0</v>
      </c>
      <c r="AA292" t="s">
        <v>25</v>
      </c>
      <c r="AB292" t="s">
        <v>26</v>
      </c>
      <c r="AC292" t="s">
        <v>27</v>
      </c>
      <c r="AD292" t="s">
        <v>42</v>
      </c>
      <c r="AE292" t="s">
        <v>25</v>
      </c>
      <c r="AF2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3.2258064516129031E-2</v>
      </c>
      <c r="AG292" t="s">
        <v>942</v>
      </c>
      <c r="AH292">
        <v>64.5</v>
      </c>
      <c r="AI292" t="s">
        <v>939</v>
      </c>
      <c r="AJ292">
        <v>6</v>
      </c>
      <c r="AK2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MIN(AJ292/8, 1) +
  Merge1[[#This Row],[index_defensive_effort]],
  2
)</f>
        <v>1.38</v>
      </c>
    </row>
    <row r="293" spans="1:37" x14ac:dyDescent="0.25">
      <c r="A293" t="s">
        <v>216</v>
      </c>
      <c r="B293" t="s">
        <v>217</v>
      </c>
      <c r="C293">
        <v>30</v>
      </c>
      <c r="D293" t="s">
        <v>22</v>
      </c>
      <c r="E293">
        <v>73</v>
      </c>
      <c r="F293">
        <v>215</v>
      </c>
      <c r="G293" t="s">
        <v>107</v>
      </c>
      <c r="H293">
        <v>2020</v>
      </c>
      <c r="I293" t="s">
        <v>33</v>
      </c>
      <c r="J293">
        <v>6</v>
      </c>
      <c r="K293">
        <v>0</v>
      </c>
      <c r="L293">
        <v>2</v>
      </c>
      <c r="M293">
        <v>0</v>
      </c>
      <c r="N293">
        <v>2</v>
      </c>
      <c r="O293">
        <v>0</v>
      </c>
      <c r="P293">
        <v>0</v>
      </c>
      <c r="Q293">
        <v>0</v>
      </c>
      <c r="R293">
        <v>0</v>
      </c>
      <c r="S293">
        <v>57</v>
      </c>
      <c r="T293">
        <v>56</v>
      </c>
      <c r="U293" s="5">
        <f>IF(Merge1[[#This Row],[team_defense_snaps]]=0, "", Merge1[[#This Row],[defense_snaps]] / Merge1[[#This Row],[team_defense_snaps]])</f>
        <v>1</v>
      </c>
      <c r="V293">
        <v>56</v>
      </c>
      <c r="W293">
        <v>1</v>
      </c>
      <c r="X293" s="5" t="s">
        <v>193</v>
      </c>
      <c r="Y293">
        <v>7</v>
      </c>
      <c r="Z293">
        <v>0</v>
      </c>
      <c r="AA293" t="s">
        <v>25</v>
      </c>
      <c r="AB293" t="s">
        <v>26</v>
      </c>
      <c r="AC293" t="s">
        <v>27</v>
      </c>
      <c r="AD293" t="s">
        <v>42</v>
      </c>
      <c r="AE293" t="s">
        <v>25</v>
      </c>
      <c r="AF2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1.7543859649122806E-2</v>
      </c>
      <c r="AG293" t="s">
        <v>942</v>
      </c>
      <c r="AH293">
        <v>67.5</v>
      </c>
      <c r="AI293" t="s">
        <v>939</v>
      </c>
      <c r="AJ293">
        <v>7</v>
      </c>
      <c r="AK2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MIN(AJ293/8, 1) +
  Merge1[[#This Row],[index_defensive_effort]],
  2
)</f>
        <v>1.49</v>
      </c>
    </row>
    <row r="294" spans="1:37" x14ac:dyDescent="0.25">
      <c r="A294" t="s">
        <v>216</v>
      </c>
      <c r="B294" t="s">
        <v>217</v>
      </c>
      <c r="C294">
        <v>30</v>
      </c>
      <c r="D294" t="s">
        <v>22</v>
      </c>
      <c r="E294">
        <v>73</v>
      </c>
      <c r="F294">
        <v>215</v>
      </c>
      <c r="G294" t="s">
        <v>107</v>
      </c>
      <c r="H294">
        <v>2020</v>
      </c>
      <c r="I294" t="s">
        <v>33</v>
      </c>
      <c r="J294">
        <v>7</v>
      </c>
      <c r="K294">
        <v>1</v>
      </c>
      <c r="L294">
        <v>1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50</v>
      </c>
      <c r="T294">
        <v>50</v>
      </c>
      <c r="U294" s="5">
        <f>IF(Merge1[[#This Row],[team_defense_snaps]]=0, "", Merge1[[#This Row],[defense_snaps]] / Merge1[[#This Row],[team_defense_snaps]])</f>
        <v>0.66666666666666663</v>
      </c>
      <c r="V294">
        <v>75</v>
      </c>
      <c r="W294">
        <v>0</v>
      </c>
      <c r="X294" s="5" t="s">
        <v>29</v>
      </c>
      <c r="Y294">
        <v>7</v>
      </c>
      <c r="Z294">
        <v>0</v>
      </c>
      <c r="AA294" t="s">
        <v>25</v>
      </c>
      <c r="AB294" t="s">
        <v>26</v>
      </c>
      <c r="AC294" t="s">
        <v>27</v>
      </c>
      <c r="AD294" t="s">
        <v>42</v>
      </c>
      <c r="AE294" t="s">
        <v>25</v>
      </c>
      <c r="AF2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0.03</v>
      </c>
      <c r="AG294" t="s">
        <v>942</v>
      </c>
      <c r="AH294">
        <v>69</v>
      </c>
      <c r="AI294" t="s">
        <v>939</v>
      </c>
      <c r="AJ294">
        <v>1</v>
      </c>
      <c r="AK2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MIN(AJ294/8, 1) +
  Merge1[[#This Row],[index_defensive_effort]],
  2
)</f>
        <v>0.76</v>
      </c>
    </row>
    <row r="295" spans="1:37" x14ac:dyDescent="0.25">
      <c r="A295" t="s">
        <v>224</v>
      </c>
      <c r="B295" t="s">
        <v>225</v>
      </c>
      <c r="C295">
        <v>28</v>
      </c>
      <c r="D295" t="s">
        <v>56</v>
      </c>
      <c r="E295">
        <v>71</v>
      </c>
      <c r="F295">
        <v>194</v>
      </c>
      <c r="G295" t="s">
        <v>157</v>
      </c>
      <c r="H295">
        <v>2020</v>
      </c>
      <c r="I295" t="s">
        <v>33</v>
      </c>
      <c r="J295">
        <v>1</v>
      </c>
      <c r="K295">
        <v>7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69</v>
      </c>
      <c r="T295">
        <v>69</v>
      </c>
      <c r="U295" s="5">
        <f>IF(Merge1[[#This Row],[team_defense_snaps]]=0, "", Merge1[[#This Row],[defense_snaps]] / Merge1[[#This Row],[team_defense_snaps]])</f>
        <v>0.98571428571428577</v>
      </c>
      <c r="V295">
        <v>70</v>
      </c>
      <c r="W295">
        <v>0</v>
      </c>
      <c r="X295" s="5" t="s">
        <v>29</v>
      </c>
      <c r="Y295">
        <v>6</v>
      </c>
      <c r="Z295">
        <v>0</v>
      </c>
      <c r="AA295" t="s">
        <v>25</v>
      </c>
      <c r="AB295" t="s">
        <v>26</v>
      </c>
      <c r="AC295" t="s">
        <v>27</v>
      </c>
      <c r="AD295" t="s">
        <v>42</v>
      </c>
      <c r="AE295" t="s">
        <v>25</v>
      </c>
      <c r="AF2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0.10144927536231885</v>
      </c>
      <c r="AG295" t="s">
        <v>942</v>
      </c>
      <c r="AH295">
        <v>86.5</v>
      </c>
      <c r="AI295" t="s">
        <v>939</v>
      </c>
      <c r="AJ295">
        <v>2</v>
      </c>
      <c r="AK2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MIN(AJ295/8, 1) +
  Merge1[[#This Row],[index_defensive_effort]],
  2
)</f>
        <v>0.95</v>
      </c>
    </row>
    <row r="296" spans="1:37" x14ac:dyDescent="0.25">
      <c r="A296" t="s">
        <v>224</v>
      </c>
      <c r="B296" t="s">
        <v>225</v>
      </c>
      <c r="C296">
        <v>28</v>
      </c>
      <c r="D296" t="s">
        <v>56</v>
      </c>
      <c r="E296">
        <v>71</v>
      </c>
      <c r="F296">
        <v>194</v>
      </c>
      <c r="G296" t="s">
        <v>157</v>
      </c>
      <c r="H296">
        <v>2020</v>
      </c>
      <c r="I296" t="s">
        <v>33</v>
      </c>
      <c r="J296">
        <v>2</v>
      </c>
      <c r="K296">
        <v>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65</v>
      </c>
      <c r="T296">
        <v>65</v>
      </c>
      <c r="U296" s="5">
        <f>IF(Merge1[[#This Row],[team_defense_snaps]]=0, "", Merge1[[#This Row],[defense_snaps]] / Merge1[[#This Row],[team_defense_snaps]])</f>
        <v>1</v>
      </c>
      <c r="V296">
        <v>65</v>
      </c>
      <c r="W296">
        <v>0</v>
      </c>
      <c r="X296" s="5" t="s">
        <v>29</v>
      </c>
      <c r="Y296">
        <v>6</v>
      </c>
      <c r="Z296">
        <v>0</v>
      </c>
      <c r="AA296" t="s">
        <v>25</v>
      </c>
      <c r="AB296" t="s">
        <v>26</v>
      </c>
      <c r="AC296" t="s">
        <v>27</v>
      </c>
      <c r="AD296" t="s">
        <v>42</v>
      </c>
      <c r="AE296" t="s">
        <v>25</v>
      </c>
      <c r="AF2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3.0769230769230771E-2</v>
      </c>
      <c r="AG296" t="s">
        <v>942</v>
      </c>
      <c r="AH296">
        <v>83.5</v>
      </c>
      <c r="AI296" t="s">
        <v>939</v>
      </c>
      <c r="AJ296">
        <v>3</v>
      </c>
      <c r="AK2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MIN(AJ296/8, 1) +
  Merge1[[#This Row],[index_defensive_effort]],
  2
)</f>
        <v>1.01</v>
      </c>
    </row>
    <row r="297" spans="1:37" x14ac:dyDescent="0.25">
      <c r="A297" t="s">
        <v>224</v>
      </c>
      <c r="B297" t="s">
        <v>225</v>
      </c>
      <c r="C297">
        <v>28</v>
      </c>
      <c r="D297" t="s">
        <v>56</v>
      </c>
      <c r="E297">
        <v>71</v>
      </c>
      <c r="F297">
        <v>194</v>
      </c>
      <c r="G297" t="s">
        <v>157</v>
      </c>
      <c r="H297">
        <v>2020</v>
      </c>
      <c r="I297" t="s">
        <v>33</v>
      </c>
      <c r="J297">
        <v>3</v>
      </c>
      <c r="K297">
        <v>2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69</v>
      </c>
      <c r="T297">
        <v>69</v>
      </c>
      <c r="U297" s="5">
        <f>IF(Merge1[[#This Row],[team_defense_snaps]]=0, "", Merge1[[#This Row],[defense_snaps]] / Merge1[[#This Row],[team_defense_snaps]])</f>
        <v>0.85185185185185186</v>
      </c>
      <c r="V297">
        <v>81</v>
      </c>
      <c r="W297">
        <v>0</v>
      </c>
      <c r="X297" s="5" t="s">
        <v>29</v>
      </c>
      <c r="Y297">
        <v>6</v>
      </c>
      <c r="Z297">
        <v>0</v>
      </c>
      <c r="AA297" t="s">
        <v>25</v>
      </c>
      <c r="AB297" t="s">
        <v>26</v>
      </c>
      <c r="AC297" t="s">
        <v>27</v>
      </c>
      <c r="AD297" t="s">
        <v>42</v>
      </c>
      <c r="AE297" t="s">
        <v>25</v>
      </c>
      <c r="AF2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5.7971014492753624E-2</v>
      </c>
      <c r="AG297" t="s">
        <v>942</v>
      </c>
      <c r="AH297">
        <v>85</v>
      </c>
      <c r="AI297" t="s">
        <v>939</v>
      </c>
      <c r="AJ297">
        <v>4</v>
      </c>
      <c r="AK2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MIN(AJ297/8, 1) +
  Merge1[[#This Row],[index_defensive_effort]],
  2
)</f>
        <v>1.1599999999999999</v>
      </c>
    </row>
    <row r="298" spans="1:37" x14ac:dyDescent="0.25">
      <c r="A298" t="s">
        <v>224</v>
      </c>
      <c r="B298" t="s">
        <v>225</v>
      </c>
      <c r="C298">
        <v>28</v>
      </c>
      <c r="D298" t="s">
        <v>56</v>
      </c>
      <c r="E298">
        <v>71</v>
      </c>
      <c r="F298">
        <v>194</v>
      </c>
      <c r="G298" t="s">
        <v>157</v>
      </c>
      <c r="H298">
        <v>2020</v>
      </c>
      <c r="I298" t="s">
        <v>33</v>
      </c>
      <c r="J298">
        <v>4</v>
      </c>
      <c r="K298">
        <v>6</v>
      </c>
      <c r="L298">
        <v>1</v>
      </c>
      <c r="M298">
        <v>0</v>
      </c>
      <c r="N298">
        <v>1</v>
      </c>
      <c r="O298">
        <v>0</v>
      </c>
      <c r="P298">
        <v>3</v>
      </c>
      <c r="Q298">
        <v>0</v>
      </c>
      <c r="R298">
        <v>0</v>
      </c>
      <c r="S298">
        <v>66</v>
      </c>
      <c r="T298">
        <v>66</v>
      </c>
      <c r="U298" s="5">
        <f>IF(Merge1[[#This Row],[team_defense_snaps]]=0, "", Merge1[[#This Row],[defense_snaps]] / Merge1[[#This Row],[team_defense_snaps]])</f>
        <v>0.9850746268656716</v>
      </c>
      <c r="V298">
        <v>67</v>
      </c>
      <c r="W298">
        <v>0</v>
      </c>
      <c r="X298" s="5" t="s">
        <v>29</v>
      </c>
      <c r="Y298">
        <v>6</v>
      </c>
      <c r="Z298">
        <v>0</v>
      </c>
      <c r="AA298" t="s">
        <v>25</v>
      </c>
      <c r="AB298" t="s">
        <v>26</v>
      </c>
      <c r="AC298" t="s">
        <v>27</v>
      </c>
      <c r="AD298" t="s">
        <v>42</v>
      </c>
      <c r="AE298" t="s">
        <v>25</v>
      </c>
      <c r="AF2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0.18939393939393939</v>
      </c>
      <c r="AG298" t="s">
        <v>942</v>
      </c>
      <c r="AH298">
        <v>73</v>
      </c>
      <c r="AI298" t="s">
        <v>939</v>
      </c>
      <c r="AJ298">
        <v>5</v>
      </c>
      <c r="AK2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MIN(AJ298/8, 1) +
  Merge1[[#This Row],[index_defensive_effort]],
  2
)</f>
        <v>1.41</v>
      </c>
    </row>
    <row r="299" spans="1:37" x14ac:dyDescent="0.25">
      <c r="A299" t="s">
        <v>224</v>
      </c>
      <c r="B299" t="s">
        <v>225</v>
      </c>
      <c r="C299">
        <v>28</v>
      </c>
      <c r="D299" t="s">
        <v>56</v>
      </c>
      <c r="E299">
        <v>71</v>
      </c>
      <c r="F299">
        <v>194</v>
      </c>
      <c r="G299" t="s">
        <v>157</v>
      </c>
      <c r="H299">
        <v>2020</v>
      </c>
      <c r="I299" t="s">
        <v>33</v>
      </c>
      <c r="J299">
        <v>5</v>
      </c>
      <c r="K299">
        <v>4</v>
      </c>
      <c r="L299">
        <v>1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75</v>
      </c>
      <c r="T299">
        <v>75</v>
      </c>
      <c r="U299" s="5">
        <f>IF(Merge1[[#This Row],[team_defense_snaps]]=0, "", Merge1[[#This Row],[defense_snaps]] / Merge1[[#This Row],[team_defense_snaps]])</f>
        <v>0.98684210526315785</v>
      </c>
      <c r="V299">
        <v>76</v>
      </c>
      <c r="W299">
        <v>0</v>
      </c>
      <c r="X299" s="5" t="s">
        <v>29</v>
      </c>
      <c r="Y299">
        <v>6</v>
      </c>
      <c r="Z299">
        <v>0</v>
      </c>
      <c r="AA299" t="s">
        <v>25</v>
      </c>
      <c r="AB299" t="s">
        <v>26</v>
      </c>
      <c r="AC299" t="s">
        <v>27</v>
      </c>
      <c r="AD299" t="s">
        <v>42</v>
      </c>
      <c r="AE299" t="s">
        <v>25</v>
      </c>
      <c r="AF2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0.06</v>
      </c>
      <c r="AG299" t="s">
        <v>942</v>
      </c>
      <c r="AH299">
        <v>74.5</v>
      </c>
      <c r="AI299" t="s">
        <v>939</v>
      </c>
      <c r="AJ299">
        <v>6</v>
      </c>
      <c r="AK2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MIN(AJ299/8, 1) +
  Merge1[[#This Row],[index_defensive_effort]],
  2
)</f>
        <v>1.41</v>
      </c>
    </row>
    <row r="300" spans="1:37" x14ac:dyDescent="0.25">
      <c r="A300" t="s">
        <v>224</v>
      </c>
      <c r="B300" t="s">
        <v>225</v>
      </c>
      <c r="C300">
        <v>28</v>
      </c>
      <c r="D300" t="s">
        <v>56</v>
      </c>
      <c r="E300">
        <v>71</v>
      </c>
      <c r="F300">
        <v>194</v>
      </c>
      <c r="G300" t="s">
        <v>157</v>
      </c>
      <c r="H300">
        <v>2020</v>
      </c>
      <c r="I300" t="s">
        <v>33</v>
      </c>
      <c r="J300">
        <v>6</v>
      </c>
      <c r="K300">
        <v>7</v>
      </c>
      <c r="L300">
        <v>2</v>
      </c>
      <c r="M300">
        <v>1</v>
      </c>
      <c r="N300">
        <v>3</v>
      </c>
      <c r="O300">
        <v>0</v>
      </c>
      <c r="P300">
        <v>0</v>
      </c>
      <c r="Q300">
        <v>2</v>
      </c>
      <c r="R300">
        <v>0</v>
      </c>
      <c r="S300">
        <v>75</v>
      </c>
      <c r="T300">
        <v>75</v>
      </c>
      <c r="U300" s="5">
        <f>IF(Merge1[[#This Row],[team_defense_snaps]]=0, "", Merge1[[#This Row],[defense_snaps]] / Merge1[[#This Row],[team_defense_snaps]])</f>
        <v>1</v>
      </c>
      <c r="V300">
        <v>75</v>
      </c>
      <c r="W300">
        <v>0</v>
      </c>
      <c r="X300" s="5" t="s">
        <v>29</v>
      </c>
      <c r="Y300">
        <v>6</v>
      </c>
      <c r="Z300">
        <v>0</v>
      </c>
      <c r="AA300" t="s">
        <v>25</v>
      </c>
      <c r="AB300" t="s">
        <v>26</v>
      </c>
      <c r="AC300" t="s">
        <v>27</v>
      </c>
      <c r="AD300" t="s">
        <v>42</v>
      </c>
      <c r="AE300" t="s">
        <v>25</v>
      </c>
      <c r="AF3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0.22</v>
      </c>
      <c r="AG300" t="s">
        <v>942</v>
      </c>
      <c r="AH300">
        <v>82</v>
      </c>
      <c r="AI300" t="s">
        <v>939</v>
      </c>
      <c r="AJ300">
        <v>1</v>
      </c>
      <c r="AK3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MIN(AJ300/8, 1) +
  Merge1[[#This Row],[index_defensive_effort]],
  2
)</f>
        <v>0.95</v>
      </c>
    </row>
    <row r="301" spans="1:37" x14ac:dyDescent="0.25">
      <c r="A301" t="s">
        <v>224</v>
      </c>
      <c r="B301" t="s">
        <v>225</v>
      </c>
      <c r="C301">
        <v>28</v>
      </c>
      <c r="D301" t="s">
        <v>56</v>
      </c>
      <c r="E301">
        <v>71</v>
      </c>
      <c r="F301">
        <v>194</v>
      </c>
      <c r="G301" t="s">
        <v>157</v>
      </c>
      <c r="H301">
        <v>2020</v>
      </c>
      <c r="I301" t="s">
        <v>33</v>
      </c>
      <c r="J301">
        <v>10</v>
      </c>
      <c r="K301">
        <v>3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65</v>
      </c>
      <c r="T301">
        <v>65</v>
      </c>
      <c r="U301" s="5">
        <f>IF(Merge1[[#This Row],[team_defense_snaps]]=0, "", Merge1[[#This Row],[defense_snaps]] / Merge1[[#This Row],[team_defense_snaps]])</f>
        <v>1</v>
      </c>
      <c r="V301">
        <v>65</v>
      </c>
      <c r="W301">
        <v>0</v>
      </c>
      <c r="X301" s="5" t="s">
        <v>29</v>
      </c>
      <c r="Y301">
        <v>6</v>
      </c>
      <c r="Z301">
        <v>0</v>
      </c>
      <c r="AA301" t="s">
        <v>25</v>
      </c>
      <c r="AB301" t="s">
        <v>26</v>
      </c>
      <c r="AC301" t="s">
        <v>27</v>
      </c>
      <c r="AD301" t="s">
        <v>42</v>
      </c>
      <c r="AE301" t="s">
        <v>25</v>
      </c>
      <c r="AF3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4.6153846153846156E-2</v>
      </c>
      <c r="AG301" t="s">
        <v>942</v>
      </c>
      <c r="AH301">
        <v>88</v>
      </c>
      <c r="AI301" t="s">
        <v>939</v>
      </c>
      <c r="AJ301">
        <v>2</v>
      </c>
      <c r="AK3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MIN(AJ301/8, 1) +
  Merge1[[#This Row],[index_defensive_effort]],
  2
)</f>
        <v>0.9</v>
      </c>
    </row>
    <row r="302" spans="1:37" x14ac:dyDescent="0.25">
      <c r="A302" t="s">
        <v>224</v>
      </c>
      <c r="B302" t="s">
        <v>225</v>
      </c>
      <c r="C302">
        <v>28</v>
      </c>
      <c r="D302" t="s">
        <v>56</v>
      </c>
      <c r="E302">
        <v>71</v>
      </c>
      <c r="F302">
        <v>194</v>
      </c>
      <c r="G302" t="s">
        <v>157</v>
      </c>
      <c r="H302">
        <v>2020</v>
      </c>
      <c r="I302" t="s">
        <v>33</v>
      </c>
      <c r="J302">
        <v>11</v>
      </c>
      <c r="K302">
        <v>3</v>
      </c>
      <c r="L302">
        <v>3</v>
      </c>
      <c r="M302">
        <v>2</v>
      </c>
      <c r="N302">
        <v>5</v>
      </c>
      <c r="O302">
        <v>0</v>
      </c>
      <c r="P302">
        <v>0</v>
      </c>
      <c r="Q302">
        <v>0</v>
      </c>
      <c r="R302">
        <v>0</v>
      </c>
      <c r="S302">
        <v>69</v>
      </c>
      <c r="T302">
        <v>69</v>
      </c>
      <c r="U302" s="5">
        <f>IF(Merge1[[#This Row],[team_defense_snaps]]=0, "", Merge1[[#This Row],[defense_snaps]] / Merge1[[#This Row],[team_defense_snaps]])</f>
        <v>0.92</v>
      </c>
      <c r="V302">
        <v>75</v>
      </c>
      <c r="W302">
        <v>0</v>
      </c>
      <c r="X302" s="5" t="s">
        <v>29</v>
      </c>
      <c r="Y302">
        <v>6</v>
      </c>
      <c r="Z302">
        <v>0</v>
      </c>
      <c r="AA302" t="s">
        <v>25</v>
      </c>
      <c r="AB302" t="s">
        <v>26</v>
      </c>
      <c r="AC302" t="s">
        <v>27</v>
      </c>
      <c r="AD302" t="s">
        <v>42</v>
      </c>
      <c r="AE302" t="s">
        <v>25</v>
      </c>
      <c r="AF3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7.9710144927536225E-2</v>
      </c>
      <c r="AG302" t="s">
        <v>942</v>
      </c>
      <c r="AH302">
        <v>71.5</v>
      </c>
      <c r="AI302" t="s">
        <v>939</v>
      </c>
      <c r="AJ302">
        <v>3</v>
      </c>
      <c r="AK3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MIN(AJ302/8, 1) +
  Merge1[[#This Row],[index_defensive_effort]],
  2
)</f>
        <v>1.05</v>
      </c>
    </row>
    <row r="303" spans="1:37" x14ac:dyDescent="0.25">
      <c r="A303" t="s">
        <v>224</v>
      </c>
      <c r="B303" t="s">
        <v>225</v>
      </c>
      <c r="C303">
        <v>28</v>
      </c>
      <c r="D303" t="s">
        <v>56</v>
      </c>
      <c r="E303">
        <v>71</v>
      </c>
      <c r="F303">
        <v>194</v>
      </c>
      <c r="G303" t="s">
        <v>157</v>
      </c>
      <c r="H303">
        <v>2020</v>
      </c>
      <c r="I303" t="s">
        <v>33</v>
      </c>
      <c r="J303">
        <v>12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57</v>
      </c>
      <c r="T303">
        <v>57</v>
      </c>
      <c r="U303" s="5">
        <f>IF(Merge1[[#This Row],[team_defense_snaps]]=0, "", Merge1[[#This Row],[defense_snaps]] / Merge1[[#This Row],[team_defense_snaps]])</f>
        <v>0.69512195121951215</v>
      </c>
      <c r="V303">
        <v>82</v>
      </c>
      <c r="W303">
        <v>0</v>
      </c>
      <c r="X303" s="5" t="s">
        <v>29</v>
      </c>
      <c r="Y303">
        <v>6</v>
      </c>
      <c r="Z303">
        <v>0</v>
      </c>
      <c r="AA303" t="s">
        <v>25</v>
      </c>
      <c r="AB303" t="s">
        <v>26</v>
      </c>
      <c r="AC303" t="s">
        <v>27</v>
      </c>
      <c r="AD303" t="s">
        <v>42</v>
      </c>
      <c r="AE303" t="s">
        <v>25</v>
      </c>
      <c r="AF3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03" t="s">
        <v>942</v>
      </c>
      <c r="AH303">
        <v>80.5</v>
      </c>
      <c r="AI303" t="s">
        <v>939</v>
      </c>
      <c r="AJ303">
        <v>1</v>
      </c>
      <c r="AK3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MIN(AJ303/8, 1) +
  Merge1[[#This Row],[index_defensive_effort]],
  2
)</f>
        <v>0.73</v>
      </c>
    </row>
    <row r="304" spans="1:37" x14ac:dyDescent="0.25">
      <c r="A304" t="s">
        <v>191</v>
      </c>
      <c r="B304" t="s">
        <v>192</v>
      </c>
      <c r="C304">
        <v>34</v>
      </c>
      <c r="D304" t="s">
        <v>56</v>
      </c>
      <c r="E304">
        <v>72</v>
      </c>
      <c r="F304">
        <v>210</v>
      </c>
      <c r="G304" t="s">
        <v>78</v>
      </c>
      <c r="H304">
        <v>2020</v>
      </c>
      <c r="I304" t="s">
        <v>33</v>
      </c>
      <c r="J304">
        <v>3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3</v>
      </c>
      <c r="T304">
        <v>3</v>
      </c>
      <c r="U304" s="5">
        <f>IF(Merge1[[#This Row],[team_defense_snaps]]=0, "", Merge1[[#This Row],[defense_snaps]] / Merge1[[#This Row],[team_defense_snaps]])</f>
        <v>3.9473684210526314E-2</v>
      </c>
      <c r="V304">
        <v>76</v>
      </c>
      <c r="W304">
        <v>0</v>
      </c>
      <c r="X304" s="5" t="s">
        <v>29</v>
      </c>
      <c r="Y304">
        <v>12</v>
      </c>
      <c r="Z304">
        <v>0</v>
      </c>
      <c r="AA304" t="s">
        <v>25</v>
      </c>
      <c r="AB304" t="s">
        <v>26</v>
      </c>
      <c r="AC304" t="s">
        <v>27</v>
      </c>
      <c r="AD304" t="s">
        <v>28</v>
      </c>
      <c r="AE304" t="s">
        <v>25</v>
      </c>
      <c r="AF3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0.33333333333333331</v>
      </c>
      <c r="AG304" t="s">
        <v>942</v>
      </c>
      <c r="AH304">
        <v>82</v>
      </c>
      <c r="AI304" t="s">
        <v>939</v>
      </c>
      <c r="AJ304">
        <v>1</v>
      </c>
      <c r="AK3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MIN(AJ304/8, 1) +
  Merge1[[#This Row],[index_defensive_effort]],
  2
)</f>
        <v>1.1599999999999999</v>
      </c>
    </row>
    <row r="305" spans="1:37" x14ac:dyDescent="0.25">
      <c r="A305" t="s">
        <v>196</v>
      </c>
      <c r="B305" t="s">
        <v>197</v>
      </c>
      <c r="C305">
        <v>26</v>
      </c>
      <c r="D305" t="s">
        <v>56</v>
      </c>
      <c r="E305">
        <v>74</v>
      </c>
      <c r="F305">
        <v>197</v>
      </c>
      <c r="G305" t="s">
        <v>120</v>
      </c>
      <c r="H305">
        <v>2020</v>
      </c>
      <c r="I305" t="s">
        <v>33</v>
      </c>
      <c r="J305">
        <v>5</v>
      </c>
      <c r="K305">
        <v>4</v>
      </c>
      <c r="L305">
        <v>1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2</v>
      </c>
      <c r="S305">
        <v>58</v>
      </c>
      <c r="T305">
        <v>25</v>
      </c>
      <c r="U305" s="5">
        <f>IF(Merge1[[#This Row],[team_defense_snaps]]=0, "", Merge1[[#This Row],[defense_snaps]] / Merge1[[#This Row],[team_defense_snaps]])</f>
        <v>0.32894736842105265</v>
      </c>
      <c r="V305">
        <v>76</v>
      </c>
      <c r="W305">
        <v>33</v>
      </c>
      <c r="X305" s="5" t="s">
        <v>51</v>
      </c>
      <c r="Y305">
        <v>2</v>
      </c>
      <c r="Z305">
        <v>0</v>
      </c>
      <c r="AA305" t="s">
        <v>25</v>
      </c>
      <c r="AB305" t="s">
        <v>26</v>
      </c>
      <c r="AC305" t="s">
        <v>27</v>
      </c>
      <c r="AD305" t="s">
        <v>28</v>
      </c>
      <c r="AE305" t="s">
        <v>25</v>
      </c>
      <c r="AF3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0.14655172413793102</v>
      </c>
      <c r="AG305" t="s">
        <v>942</v>
      </c>
      <c r="AH305">
        <v>76</v>
      </c>
      <c r="AI305" t="s">
        <v>939</v>
      </c>
      <c r="AJ305">
        <v>1</v>
      </c>
      <c r="AK3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MIN(AJ305/8, 1) +
  Merge1[[#This Row],[index_defensive_effort]],
  2
)</f>
        <v>0.77</v>
      </c>
    </row>
    <row r="306" spans="1:37" x14ac:dyDescent="0.25">
      <c r="A306" t="s">
        <v>196</v>
      </c>
      <c r="B306" t="s">
        <v>197</v>
      </c>
      <c r="C306">
        <v>26</v>
      </c>
      <c r="D306" t="s">
        <v>56</v>
      </c>
      <c r="E306">
        <v>74</v>
      </c>
      <c r="F306">
        <v>197</v>
      </c>
      <c r="G306" t="s">
        <v>120</v>
      </c>
      <c r="H306">
        <v>2020</v>
      </c>
      <c r="I306" t="s">
        <v>33</v>
      </c>
      <c r="J306">
        <v>8</v>
      </c>
      <c r="K306">
        <v>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41</v>
      </c>
      <c r="T306">
        <v>15</v>
      </c>
      <c r="U306" s="5">
        <f>IF(Merge1[[#This Row],[team_defense_snaps]]=0, "", Merge1[[#This Row],[defense_snaps]] / Merge1[[#This Row],[team_defense_snaps]])</f>
        <v>0.23076923076923078</v>
      </c>
      <c r="V306">
        <v>65</v>
      </c>
      <c r="W306">
        <v>26</v>
      </c>
      <c r="X306" s="5" t="s">
        <v>43</v>
      </c>
      <c r="Y306">
        <v>2</v>
      </c>
      <c r="Z306">
        <v>0</v>
      </c>
      <c r="AA306" t="s">
        <v>25</v>
      </c>
      <c r="AB306" t="s">
        <v>26</v>
      </c>
      <c r="AC306" t="s">
        <v>27</v>
      </c>
      <c r="AD306" t="s">
        <v>28</v>
      </c>
      <c r="AE306" t="s">
        <v>25</v>
      </c>
      <c r="AF3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4.878048780487805E-2</v>
      </c>
      <c r="AG306" t="s">
        <v>942</v>
      </c>
      <c r="AH306">
        <v>71.5</v>
      </c>
      <c r="AI306" t="s">
        <v>939</v>
      </c>
      <c r="AJ306">
        <v>1</v>
      </c>
      <c r="AK3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MIN(AJ306/8, 1) +
  Merge1[[#This Row],[index_defensive_effort]],
  2
)</f>
        <v>0.67</v>
      </c>
    </row>
    <row r="307" spans="1:37" x14ac:dyDescent="0.25">
      <c r="A307" t="s">
        <v>205</v>
      </c>
      <c r="B307" t="s">
        <v>206</v>
      </c>
      <c r="C307">
        <v>22</v>
      </c>
      <c r="D307" t="s">
        <v>22</v>
      </c>
      <c r="E307">
        <v>72</v>
      </c>
      <c r="F307">
        <v>191</v>
      </c>
      <c r="G307" t="s">
        <v>203</v>
      </c>
      <c r="H307">
        <v>2020</v>
      </c>
      <c r="I307" t="s">
        <v>33</v>
      </c>
      <c r="J307">
        <v>1</v>
      </c>
      <c r="K307">
        <v>5</v>
      </c>
      <c r="L307">
        <v>4</v>
      </c>
      <c r="M307">
        <v>4</v>
      </c>
      <c r="N307">
        <v>8</v>
      </c>
      <c r="O307">
        <v>0</v>
      </c>
      <c r="P307">
        <v>0</v>
      </c>
      <c r="Q307">
        <v>0</v>
      </c>
      <c r="R307">
        <v>0</v>
      </c>
      <c r="S307">
        <v>34</v>
      </c>
      <c r="T307">
        <v>34</v>
      </c>
      <c r="U307" s="5">
        <f>IF(Merge1[[#This Row],[team_defense_snaps]]=0, "", Merge1[[#This Row],[defense_snaps]] / Merge1[[#This Row],[team_defense_snaps]])</f>
        <v>0.52307692307692311</v>
      </c>
      <c r="V307">
        <v>65</v>
      </c>
      <c r="W307">
        <v>0</v>
      </c>
      <c r="X307" s="5" t="s">
        <v>29</v>
      </c>
      <c r="Y307">
        <v>0</v>
      </c>
      <c r="Z307">
        <v>0</v>
      </c>
      <c r="AA307" t="s">
        <v>25</v>
      </c>
      <c r="AB307" t="s">
        <v>26</v>
      </c>
      <c r="AC307" t="s">
        <v>27</v>
      </c>
      <c r="AD307" t="s">
        <v>204</v>
      </c>
      <c r="AE307" t="s">
        <v>25</v>
      </c>
      <c r="AF3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0.26470588235294118</v>
      </c>
      <c r="AG307" t="s">
        <v>941</v>
      </c>
      <c r="AH307">
        <v>88</v>
      </c>
      <c r="AI307" t="s">
        <v>939</v>
      </c>
      <c r="AJ307">
        <v>2</v>
      </c>
      <c r="AK3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MIN(AJ307/8, 1) +
  Merge1[[#This Row],[index_defensive_effort]],
  2
)</f>
        <v>0.91</v>
      </c>
    </row>
    <row r="308" spans="1:37" x14ac:dyDescent="0.25">
      <c r="A308" t="s">
        <v>205</v>
      </c>
      <c r="B308" t="s">
        <v>206</v>
      </c>
      <c r="C308">
        <v>22</v>
      </c>
      <c r="D308" t="s">
        <v>22</v>
      </c>
      <c r="E308">
        <v>72</v>
      </c>
      <c r="F308">
        <v>191</v>
      </c>
      <c r="G308" t="s">
        <v>203</v>
      </c>
      <c r="H308">
        <v>2020</v>
      </c>
      <c r="I308" t="s">
        <v>33</v>
      </c>
      <c r="J308">
        <v>2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18</v>
      </c>
      <c r="T308">
        <v>18</v>
      </c>
      <c r="U308" s="5">
        <f>IF(Merge1[[#This Row],[team_defense_snaps]]=0, "", Merge1[[#This Row],[defense_snaps]] / Merge1[[#This Row],[team_defense_snaps]])</f>
        <v>0.29032258064516131</v>
      </c>
      <c r="V308">
        <v>62</v>
      </c>
      <c r="W308">
        <v>0</v>
      </c>
      <c r="X308" s="5" t="s">
        <v>29</v>
      </c>
      <c r="Y308">
        <v>0</v>
      </c>
      <c r="Z308">
        <v>0</v>
      </c>
      <c r="AA308" t="s">
        <v>25</v>
      </c>
      <c r="AB308" t="s">
        <v>26</v>
      </c>
      <c r="AC308" t="s">
        <v>27</v>
      </c>
      <c r="AD308" t="s">
        <v>204</v>
      </c>
      <c r="AE308" t="s">
        <v>25</v>
      </c>
      <c r="AF3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AG308" t="s">
        <v>941</v>
      </c>
      <c r="AH308">
        <v>85</v>
      </c>
      <c r="AI308" t="s">
        <v>940</v>
      </c>
      <c r="AJ308">
        <v>3</v>
      </c>
      <c r="AK3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MIN(AJ308/8, 1) +
  Merge1[[#This Row],[index_defensive_effort]],
  2
)</f>
        <v>0.94</v>
      </c>
    </row>
    <row r="309" spans="1:37" x14ac:dyDescent="0.25">
      <c r="A309" t="s">
        <v>205</v>
      </c>
      <c r="B309" t="s">
        <v>206</v>
      </c>
      <c r="C309">
        <v>22</v>
      </c>
      <c r="D309" t="s">
        <v>22</v>
      </c>
      <c r="E309">
        <v>72</v>
      </c>
      <c r="F309">
        <v>191</v>
      </c>
      <c r="G309" t="s">
        <v>203</v>
      </c>
      <c r="H309">
        <v>2020</v>
      </c>
      <c r="I309" t="s">
        <v>33</v>
      </c>
      <c r="J309">
        <v>3</v>
      </c>
      <c r="K309">
        <v>3</v>
      </c>
      <c r="L309">
        <v>2</v>
      </c>
      <c r="M309">
        <v>0</v>
      </c>
      <c r="N309">
        <v>2</v>
      </c>
      <c r="O309">
        <v>0</v>
      </c>
      <c r="P309">
        <v>0</v>
      </c>
      <c r="Q309">
        <v>0</v>
      </c>
      <c r="R309">
        <v>0</v>
      </c>
      <c r="S309">
        <v>39</v>
      </c>
      <c r="T309">
        <v>39</v>
      </c>
      <c r="U309" s="5">
        <f>IF(Merge1[[#This Row],[team_defense_snaps]]=0, "", Merge1[[#This Row],[defense_snaps]] / Merge1[[#This Row],[team_defense_snaps]])</f>
        <v>0.58208955223880599</v>
      </c>
      <c r="V309">
        <v>67</v>
      </c>
      <c r="W309">
        <v>0</v>
      </c>
      <c r="X309" s="5" t="s">
        <v>29</v>
      </c>
      <c r="Y309">
        <v>0</v>
      </c>
      <c r="Z309">
        <v>0</v>
      </c>
      <c r="AA309" t="s">
        <v>207</v>
      </c>
      <c r="AB309" t="s">
        <v>207</v>
      </c>
      <c r="AC309" t="s">
        <v>50</v>
      </c>
      <c r="AD309" t="s">
        <v>204</v>
      </c>
      <c r="AE309" t="s">
        <v>25</v>
      </c>
      <c r="AF3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0.10256410256410256</v>
      </c>
      <c r="AG309" t="s">
        <v>941</v>
      </c>
      <c r="AH309">
        <v>86.5</v>
      </c>
      <c r="AI309" t="s">
        <v>940</v>
      </c>
      <c r="AJ309">
        <v>4</v>
      </c>
      <c r="AK3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MIN(AJ309/8, 1) +
  Merge1[[#This Row],[index_defensive_effort]],
  2
)</f>
        <v>1</v>
      </c>
    </row>
    <row r="310" spans="1:37" x14ac:dyDescent="0.25">
      <c r="A310" t="s">
        <v>205</v>
      </c>
      <c r="B310" t="s">
        <v>206</v>
      </c>
      <c r="C310">
        <v>22</v>
      </c>
      <c r="D310" t="s">
        <v>22</v>
      </c>
      <c r="E310">
        <v>72</v>
      </c>
      <c r="F310">
        <v>191</v>
      </c>
      <c r="G310" t="s">
        <v>203</v>
      </c>
      <c r="H310">
        <v>2020</v>
      </c>
      <c r="I310" t="s">
        <v>33</v>
      </c>
      <c r="J310">
        <v>4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19</v>
      </c>
      <c r="T310">
        <v>19</v>
      </c>
      <c r="U310" s="5">
        <f>IF(Merge1[[#This Row],[team_defense_snaps]]=0, "", Merge1[[#This Row],[defense_snaps]] / Merge1[[#This Row],[team_defense_snaps]])</f>
        <v>0.296875</v>
      </c>
      <c r="V310">
        <v>64</v>
      </c>
      <c r="W310">
        <v>0</v>
      </c>
      <c r="X310" s="5" t="s">
        <v>29</v>
      </c>
      <c r="Y310">
        <v>0</v>
      </c>
      <c r="Z310">
        <v>0</v>
      </c>
      <c r="AA310" t="s">
        <v>207</v>
      </c>
      <c r="AB310" t="s">
        <v>211</v>
      </c>
      <c r="AC310" t="s">
        <v>50</v>
      </c>
      <c r="AD310" t="s">
        <v>204</v>
      </c>
      <c r="AE310" t="s">
        <v>25</v>
      </c>
      <c r="AF3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5.2631578947368418E-2</v>
      </c>
      <c r="AG310" t="s">
        <v>941</v>
      </c>
      <c r="AH310">
        <v>80.5</v>
      </c>
      <c r="AI310" t="s">
        <v>939</v>
      </c>
      <c r="AJ310">
        <v>5</v>
      </c>
      <c r="AK3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MIN(AJ310/8, 1) +
  Merge1[[#This Row],[index_defensive_effort]],
  2
)</f>
        <v>1.08</v>
      </c>
    </row>
    <row r="311" spans="1:37" x14ac:dyDescent="0.25">
      <c r="A311" t="s">
        <v>205</v>
      </c>
      <c r="B311" t="s">
        <v>206</v>
      </c>
      <c r="C311">
        <v>22</v>
      </c>
      <c r="D311" t="s">
        <v>22</v>
      </c>
      <c r="E311">
        <v>72</v>
      </c>
      <c r="F311">
        <v>191</v>
      </c>
      <c r="G311" t="s">
        <v>203</v>
      </c>
      <c r="H311">
        <v>2020</v>
      </c>
      <c r="I311" t="s">
        <v>33</v>
      </c>
      <c r="J311">
        <v>5</v>
      </c>
      <c r="K311">
        <v>1</v>
      </c>
      <c r="L311">
        <v>1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9</v>
      </c>
      <c r="T311">
        <v>9</v>
      </c>
      <c r="U311" s="5">
        <f>IF(Merge1[[#This Row],[team_defense_snaps]]=0, "", Merge1[[#This Row],[defense_snaps]] / Merge1[[#This Row],[team_defense_snaps]])</f>
        <v>0.140625</v>
      </c>
      <c r="V311">
        <v>64</v>
      </c>
      <c r="W311">
        <v>0</v>
      </c>
      <c r="X311" s="5" t="s">
        <v>29</v>
      </c>
      <c r="Y311">
        <v>0</v>
      </c>
      <c r="Z311">
        <v>0</v>
      </c>
      <c r="AA311" t="s">
        <v>25</v>
      </c>
      <c r="AB311" t="s">
        <v>26</v>
      </c>
      <c r="AC311" t="s">
        <v>27</v>
      </c>
      <c r="AD311" t="s">
        <v>204</v>
      </c>
      <c r="AE311" t="s">
        <v>25</v>
      </c>
      <c r="AF3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AG311" t="s">
        <v>941</v>
      </c>
      <c r="AH311">
        <v>70</v>
      </c>
      <c r="AI311" t="s">
        <v>939</v>
      </c>
      <c r="AJ311">
        <v>6</v>
      </c>
      <c r="AK3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MIN(AJ311/8, 1) +
  Merge1[[#This Row],[index_defensive_effort]],
  2
)</f>
        <v>1.32</v>
      </c>
    </row>
    <row r="312" spans="1:37" x14ac:dyDescent="0.25">
      <c r="A312" t="s">
        <v>205</v>
      </c>
      <c r="B312" t="s">
        <v>206</v>
      </c>
      <c r="C312">
        <v>22</v>
      </c>
      <c r="D312" t="s">
        <v>22</v>
      </c>
      <c r="E312">
        <v>72</v>
      </c>
      <c r="F312">
        <v>191</v>
      </c>
      <c r="G312" t="s">
        <v>203</v>
      </c>
      <c r="H312">
        <v>2020</v>
      </c>
      <c r="I312" t="s">
        <v>33</v>
      </c>
      <c r="J312">
        <v>6</v>
      </c>
      <c r="K312">
        <v>4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22</v>
      </c>
      <c r="T312">
        <v>21</v>
      </c>
      <c r="U312" s="5">
        <f>IF(Merge1[[#This Row],[team_defense_snaps]]=0, "", Merge1[[#This Row],[defense_snaps]] / Merge1[[#This Row],[team_defense_snaps]])</f>
        <v>0.21</v>
      </c>
      <c r="V312">
        <v>100</v>
      </c>
      <c r="W312">
        <v>1</v>
      </c>
      <c r="X312" s="5" t="s">
        <v>193</v>
      </c>
      <c r="Y312">
        <v>0</v>
      </c>
      <c r="Z312">
        <v>0</v>
      </c>
      <c r="AA312" t="s">
        <v>25</v>
      </c>
      <c r="AB312" t="s">
        <v>26</v>
      </c>
      <c r="AC312" t="s">
        <v>27</v>
      </c>
      <c r="AD312" t="s">
        <v>28</v>
      </c>
      <c r="AE312" t="s">
        <v>25</v>
      </c>
      <c r="AF3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0.18181818181818182</v>
      </c>
      <c r="AG312" t="s">
        <v>941</v>
      </c>
      <c r="AH312">
        <v>73</v>
      </c>
      <c r="AI312" t="s">
        <v>939</v>
      </c>
      <c r="AJ312">
        <v>1</v>
      </c>
      <c r="AK3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MIN(AJ312/8, 1) +
  Merge1[[#This Row],[index_defensive_effort]],
  2
)</f>
        <v>0.71</v>
      </c>
    </row>
    <row r="313" spans="1:37" x14ac:dyDescent="0.25">
      <c r="A313" t="s">
        <v>205</v>
      </c>
      <c r="B313" t="s">
        <v>206</v>
      </c>
      <c r="C313">
        <v>22</v>
      </c>
      <c r="D313" t="s">
        <v>22</v>
      </c>
      <c r="E313">
        <v>72</v>
      </c>
      <c r="F313">
        <v>191</v>
      </c>
      <c r="G313" t="s">
        <v>203</v>
      </c>
      <c r="H313">
        <v>2020</v>
      </c>
      <c r="I313" t="s">
        <v>33</v>
      </c>
      <c r="J313">
        <v>8</v>
      </c>
      <c r="K313">
        <v>2</v>
      </c>
      <c r="L313">
        <v>1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39</v>
      </c>
      <c r="T313">
        <v>39</v>
      </c>
      <c r="U313" s="5">
        <f>IF(Merge1[[#This Row],[team_defense_snaps]]=0, "", Merge1[[#This Row],[defense_snaps]] / Merge1[[#This Row],[team_defense_snaps]])</f>
        <v>0.40625</v>
      </c>
      <c r="V313">
        <v>96</v>
      </c>
      <c r="W313">
        <v>0</v>
      </c>
      <c r="X313" s="5" t="s">
        <v>29</v>
      </c>
      <c r="Y313">
        <v>0</v>
      </c>
      <c r="Z313">
        <v>0</v>
      </c>
      <c r="AA313" t="s">
        <v>25</v>
      </c>
      <c r="AB313" t="s">
        <v>26</v>
      </c>
      <c r="AC313" t="s">
        <v>27</v>
      </c>
      <c r="AD313" t="s">
        <v>28</v>
      </c>
      <c r="AE313" t="s">
        <v>25</v>
      </c>
      <c r="AF3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6.4102564102564097E-2</v>
      </c>
      <c r="AG313" t="s">
        <v>941</v>
      </c>
      <c r="AH313">
        <v>77.5</v>
      </c>
      <c r="AI313" t="s">
        <v>939</v>
      </c>
      <c r="AJ313">
        <v>2</v>
      </c>
      <c r="AK3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MIN(AJ313/8, 1) +
  Merge1[[#This Row],[index_defensive_effort]],
  2
)</f>
        <v>0.71</v>
      </c>
    </row>
    <row r="314" spans="1:37" x14ac:dyDescent="0.25">
      <c r="A314" t="s">
        <v>205</v>
      </c>
      <c r="B314" t="s">
        <v>206</v>
      </c>
      <c r="C314">
        <v>22</v>
      </c>
      <c r="D314" t="s">
        <v>22</v>
      </c>
      <c r="E314">
        <v>72</v>
      </c>
      <c r="F314">
        <v>191</v>
      </c>
      <c r="G314" t="s">
        <v>203</v>
      </c>
      <c r="H314">
        <v>2020</v>
      </c>
      <c r="I314" t="s">
        <v>33</v>
      </c>
      <c r="J314">
        <v>9</v>
      </c>
      <c r="K314">
        <v>3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15</v>
      </c>
      <c r="T314">
        <v>15</v>
      </c>
      <c r="U314" s="5">
        <f>IF(Merge1[[#This Row],[team_defense_snaps]]=0, "", Merge1[[#This Row],[defense_snaps]] / Merge1[[#This Row],[team_defense_snaps]])</f>
        <v>0.21739130434782608</v>
      </c>
      <c r="V314">
        <v>69</v>
      </c>
      <c r="W314">
        <v>0</v>
      </c>
      <c r="X314" s="5" t="s">
        <v>29</v>
      </c>
      <c r="Y314">
        <v>0</v>
      </c>
      <c r="Z314">
        <v>0</v>
      </c>
      <c r="AA314" t="s">
        <v>25</v>
      </c>
      <c r="AB314" t="s">
        <v>26</v>
      </c>
      <c r="AC314" t="s">
        <v>27</v>
      </c>
      <c r="AD314" t="s">
        <v>204</v>
      </c>
      <c r="AE314" t="s">
        <v>25</v>
      </c>
      <c r="AF3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</v>
      </c>
      <c r="AG314" t="s">
        <v>941</v>
      </c>
      <c r="AH314">
        <v>71.5</v>
      </c>
      <c r="AI314" t="s">
        <v>939</v>
      </c>
      <c r="AJ314">
        <v>3</v>
      </c>
      <c r="AK3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MIN(AJ314/8, 1) +
  Merge1[[#This Row],[index_defensive_effort]],
  2
)</f>
        <v>0.98</v>
      </c>
    </row>
    <row r="315" spans="1:37" x14ac:dyDescent="0.25">
      <c r="A315" t="s">
        <v>205</v>
      </c>
      <c r="B315" t="s">
        <v>206</v>
      </c>
      <c r="C315">
        <v>22</v>
      </c>
      <c r="D315" t="s">
        <v>22</v>
      </c>
      <c r="E315">
        <v>72</v>
      </c>
      <c r="F315">
        <v>191</v>
      </c>
      <c r="G315" t="s">
        <v>203</v>
      </c>
      <c r="H315">
        <v>2020</v>
      </c>
      <c r="I315" t="s">
        <v>33</v>
      </c>
      <c r="J315">
        <v>10</v>
      </c>
      <c r="K315">
        <v>3</v>
      </c>
      <c r="L315">
        <v>2</v>
      </c>
      <c r="M315">
        <v>0</v>
      </c>
      <c r="N315">
        <v>2</v>
      </c>
      <c r="O315">
        <v>0</v>
      </c>
      <c r="P315">
        <v>1</v>
      </c>
      <c r="Q315">
        <v>0</v>
      </c>
      <c r="R315">
        <v>0</v>
      </c>
      <c r="S315">
        <v>32</v>
      </c>
      <c r="T315">
        <v>27</v>
      </c>
      <c r="U315" s="5">
        <f>IF(Merge1[[#This Row],[team_defense_snaps]]=0, "", Merge1[[#This Row],[defense_snaps]] / Merge1[[#This Row],[team_defense_snaps]])</f>
        <v>0.421875</v>
      </c>
      <c r="V315">
        <v>64</v>
      </c>
      <c r="W315">
        <v>5</v>
      </c>
      <c r="X315" s="5" t="s">
        <v>181</v>
      </c>
      <c r="Y315">
        <v>0</v>
      </c>
      <c r="Z315">
        <v>0</v>
      </c>
      <c r="AA315" t="s">
        <v>25</v>
      </c>
      <c r="AB315" t="s">
        <v>26</v>
      </c>
      <c r="AC315" t="s">
        <v>27</v>
      </c>
      <c r="AD315" t="s">
        <v>28</v>
      </c>
      <c r="AE315" t="s">
        <v>25</v>
      </c>
      <c r="AF3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0.1875</v>
      </c>
      <c r="AG315" t="s">
        <v>941</v>
      </c>
      <c r="AH315">
        <v>65.5</v>
      </c>
      <c r="AI315" t="s">
        <v>939</v>
      </c>
      <c r="AJ315">
        <v>4</v>
      </c>
      <c r="AK3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MIN(AJ315/8, 1) +
  Merge1[[#This Row],[index_defensive_effort]],
  2
)</f>
        <v>1.0900000000000001</v>
      </c>
    </row>
    <row r="316" spans="1:37" x14ac:dyDescent="0.25">
      <c r="A316" t="s">
        <v>205</v>
      </c>
      <c r="B316" t="s">
        <v>206</v>
      </c>
      <c r="C316">
        <v>22</v>
      </c>
      <c r="D316" t="s">
        <v>22</v>
      </c>
      <c r="E316">
        <v>72</v>
      </c>
      <c r="F316">
        <v>191</v>
      </c>
      <c r="G316" t="s">
        <v>203</v>
      </c>
      <c r="H316">
        <v>2020</v>
      </c>
      <c r="I316" t="s">
        <v>33</v>
      </c>
      <c r="J316">
        <v>11</v>
      </c>
      <c r="K316">
        <v>2</v>
      </c>
      <c r="L316">
        <v>1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24</v>
      </c>
      <c r="T316">
        <v>19</v>
      </c>
      <c r="U316" s="5">
        <f>IF(Merge1[[#This Row],[team_defense_snaps]]=0, "", Merge1[[#This Row],[defense_snaps]] / Merge1[[#This Row],[team_defense_snaps]])</f>
        <v>0.28358208955223879</v>
      </c>
      <c r="V316">
        <v>67</v>
      </c>
      <c r="W316">
        <v>5</v>
      </c>
      <c r="X316" s="5" t="s">
        <v>293</v>
      </c>
      <c r="Y316">
        <v>0</v>
      </c>
      <c r="Z316">
        <v>0</v>
      </c>
      <c r="AA316" t="s">
        <v>25</v>
      </c>
      <c r="AB316" t="s">
        <v>26</v>
      </c>
      <c r="AC316" t="s">
        <v>27</v>
      </c>
      <c r="AD316" t="s">
        <v>28</v>
      </c>
      <c r="AE316" t="s">
        <v>25</v>
      </c>
      <c r="AF3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0.10416666666666667</v>
      </c>
      <c r="AG316" t="s">
        <v>941</v>
      </c>
      <c r="AH316">
        <v>74.5</v>
      </c>
      <c r="AI316" t="s">
        <v>939</v>
      </c>
      <c r="AJ316">
        <v>5</v>
      </c>
      <c r="AK3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MIN(AJ316/8, 1) +
  Merge1[[#This Row],[index_defensive_effort]],
  2
)</f>
        <v>1.1299999999999999</v>
      </c>
    </row>
    <row r="317" spans="1:37" x14ac:dyDescent="0.25">
      <c r="A317" t="s">
        <v>205</v>
      </c>
      <c r="B317" t="s">
        <v>206</v>
      </c>
      <c r="C317">
        <v>22</v>
      </c>
      <c r="D317" t="s">
        <v>22</v>
      </c>
      <c r="E317">
        <v>72</v>
      </c>
      <c r="F317">
        <v>191</v>
      </c>
      <c r="G317" t="s">
        <v>203</v>
      </c>
      <c r="H317">
        <v>2020</v>
      </c>
      <c r="I317" t="s">
        <v>33</v>
      </c>
      <c r="J317">
        <v>12</v>
      </c>
      <c r="K317">
        <v>5</v>
      </c>
      <c r="L317">
        <v>1</v>
      </c>
      <c r="M317">
        <v>1</v>
      </c>
      <c r="N317">
        <v>2</v>
      </c>
      <c r="O317">
        <v>4</v>
      </c>
      <c r="P317">
        <v>4</v>
      </c>
      <c r="Q317">
        <v>0</v>
      </c>
      <c r="R317">
        <v>0</v>
      </c>
      <c r="S317">
        <v>23</v>
      </c>
      <c r="T317">
        <v>23</v>
      </c>
      <c r="U317" s="5">
        <f>IF(Merge1[[#This Row],[team_defense_snaps]]=0, "", Merge1[[#This Row],[defense_snaps]] / Merge1[[#This Row],[team_defense_snaps]])</f>
        <v>0.41818181818181815</v>
      </c>
      <c r="V317">
        <v>55</v>
      </c>
      <c r="W317">
        <v>0</v>
      </c>
      <c r="X317" s="5" t="s">
        <v>29</v>
      </c>
      <c r="Y317">
        <v>0</v>
      </c>
      <c r="Z317">
        <v>0</v>
      </c>
      <c r="AA317" t="s">
        <v>25</v>
      </c>
      <c r="AB317" t="s">
        <v>26</v>
      </c>
      <c r="AC317" t="s">
        <v>27</v>
      </c>
      <c r="AD317" t="s">
        <v>28</v>
      </c>
      <c r="AE317" t="s">
        <v>25</v>
      </c>
      <c r="AF3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317" t="s">
        <v>941</v>
      </c>
      <c r="AH317">
        <v>83.5</v>
      </c>
      <c r="AI317" t="s">
        <v>939</v>
      </c>
      <c r="AJ317">
        <v>6</v>
      </c>
      <c r="AK3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MIN(AJ317/8, 1) +
  Merge1[[#This Row],[index_defensive_effort]],
  2
)</f>
        <v>2.15</v>
      </c>
    </row>
    <row r="318" spans="1:37" x14ac:dyDescent="0.25">
      <c r="A318" t="s">
        <v>205</v>
      </c>
      <c r="B318" t="s">
        <v>206</v>
      </c>
      <c r="C318">
        <v>22</v>
      </c>
      <c r="D318" t="s">
        <v>22</v>
      </c>
      <c r="E318">
        <v>72</v>
      </c>
      <c r="F318">
        <v>191</v>
      </c>
      <c r="G318" t="s">
        <v>203</v>
      </c>
      <c r="H318">
        <v>2020</v>
      </c>
      <c r="I318" t="s">
        <v>33</v>
      </c>
      <c r="J318">
        <v>13</v>
      </c>
      <c r="K318">
        <v>2</v>
      </c>
      <c r="L318">
        <v>2</v>
      </c>
      <c r="M318">
        <v>1</v>
      </c>
      <c r="N318">
        <v>3</v>
      </c>
      <c r="O318">
        <v>0</v>
      </c>
      <c r="P318">
        <v>0</v>
      </c>
      <c r="Q318">
        <v>0</v>
      </c>
      <c r="R318">
        <v>0</v>
      </c>
      <c r="S318">
        <v>28</v>
      </c>
      <c r="T318">
        <v>28</v>
      </c>
      <c r="U318" s="5">
        <f>IF(Merge1[[#This Row],[team_defense_snaps]]=0, "", Merge1[[#This Row],[defense_snaps]] / Merge1[[#This Row],[team_defense_snaps]])</f>
        <v>0.53846153846153844</v>
      </c>
      <c r="V318">
        <v>52</v>
      </c>
      <c r="W318">
        <v>0</v>
      </c>
      <c r="X318" s="5" t="s">
        <v>29</v>
      </c>
      <c r="Y318">
        <v>0</v>
      </c>
      <c r="Z318">
        <v>0</v>
      </c>
      <c r="AA318" t="s">
        <v>25</v>
      </c>
      <c r="AB318" t="s">
        <v>26</v>
      </c>
      <c r="AC318" t="s">
        <v>27</v>
      </c>
      <c r="AD318" t="s">
        <v>28</v>
      </c>
      <c r="AE318" t="s">
        <v>25</v>
      </c>
      <c r="AF3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318" t="s">
        <v>941</v>
      </c>
      <c r="AH318">
        <v>64</v>
      </c>
      <c r="AI318" t="s">
        <v>939</v>
      </c>
      <c r="AJ318">
        <v>7</v>
      </c>
      <c r="AK3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MIN(AJ318/8, 1) +
  Merge1[[#This Row],[index_defensive_effort]],
  2
)</f>
        <v>1.4</v>
      </c>
    </row>
    <row r="319" spans="1:37" x14ac:dyDescent="0.25">
      <c r="A319" t="s">
        <v>205</v>
      </c>
      <c r="B319" t="s">
        <v>206</v>
      </c>
      <c r="C319">
        <v>22</v>
      </c>
      <c r="D319" t="s">
        <v>22</v>
      </c>
      <c r="E319">
        <v>72</v>
      </c>
      <c r="F319">
        <v>191</v>
      </c>
      <c r="G319" t="s">
        <v>203</v>
      </c>
      <c r="H319">
        <v>2020</v>
      </c>
      <c r="I319" t="s">
        <v>33</v>
      </c>
      <c r="J319">
        <v>14</v>
      </c>
      <c r="K319">
        <v>4</v>
      </c>
      <c r="L319">
        <v>4</v>
      </c>
      <c r="M319">
        <v>1</v>
      </c>
      <c r="N319">
        <v>5</v>
      </c>
      <c r="O319">
        <v>0</v>
      </c>
      <c r="P319">
        <v>2</v>
      </c>
      <c r="Q319">
        <v>0</v>
      </c>
      <c r="R319">
        <v>0</v>
      </c>
      <c r="S319">
        <v>34</v>
      </c>
      <c r="T319">
        <v>34</v>
      </c>
      <c r="U319" s="5">
        <f>IF(Merge1[[#This Row],[team_defense_snaps]]=0, "", Merge1[[#This Row],[defense_snaps]] / Merge1[[#This Row],[team_defense_snaps]])</f>
        <v>0.54838709677419351</v>
      </c>
      <c r="V319">
        <v>62</v>
      </c>
      <c r="W319">
        <v>0</v>
      </c>
      <c r="X319" s="5" t="s">
        <v>29</v>
      </c>
      <c r="Y319">
        <v>0</v>
      </c>
      <c r="Z319">
        <v>0</v>
      </c>
      <c r="AA319" t="s">
        <v>25</v>
      </c>
      <c r="AB319" t="s">
        <v>26</v>
      </c>
      <c r="AC319" t="s">
        <v>27</v>
      </c>
      <c r="AD319" t="s">
        <v>28</v>
      </c>
      <c r="AE319" t="s">
        <v>25</v>
      </c>
      <c r="AF3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0.30882352941176472</v>
      </c>
      <c r="AG319" t="s">
        <v>941</v>
      </c>
      <c r="AH319">
        <v>76</v>
      </c>
      <c r="AI319" t="s">
        <v>939</v>
      </c>
      <c r="AJ319">
        <v>8</v>
      </c>
      <c r="AK3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MIN(AJ319/8, 1) +
  Merge1[[#This Row],[index_defensive_effort]],
  2
)</f>
        <v>1.71</v>
      </c>
    </row>
    <row r="320" spans="1:37" x14ac:dyDescent="0.25">
      <c r="A320" t="s">
        <v>205</v>
      </c>
      <c r="B320" t="s">
        <v>206</v>
      </c>
      <c r="C320">
        <v>22</v>
      </c>
      <c r="D320" t="s">
        <v>22</v>
      </c>
      <c r="E320">
        <v>72</v>
      </c>
      <c r="F320">
        <v>191</v>
      </c>
      <c r="G320" t="s">
        <v>203</v>
      </c>
      <c r="H320">
        <v>2020</v>
      </c>
      <c r="I320" t="s">
        <v>33</v>
      </c>
      <c r="J320">
        <v>15</v>
      </c>
      <c r="K320">
        <v>3</v>
      </c>
      <c r="L320">
        <v>3</v>
      </c>
      <c r="M320">
        <v>1</v>
      </c>
      <c r="N320">
        <v>4</v>
      </c>
      <c r="O320">
        <v>0</v>
      </c>
      <c r="P320">
        <v>0</v>
      </c>
      <c r="Q320">
        <v>0</v>
      </c>
      <c r="R320">
        <v>2</v>
      </c>
      <c r="S320">
        <v>33</v>
      </c>
      <c r="T320">
        <v>32</v>
      </c>
      <c r="U320" s="5">
        <f>IF(Merge1[[#This Row],[team_defense_snaps]]=0, "", Merge1[[#This Row],[defense_snaps]] / Merge1[[#This Row],[team_defense_snaps]])</f>
        <v>0.58181818181818179</v>
      </c>
      <c r="V320">
        <v>55</v>
      </c>
      <c r="W320">
        <v>1</v>
      </c>
      <c r="X320" s="5" t="s">
        <v>34</v>
      </c>
      <c r="Y320">
        <v>0</v>
      </c>
      <c r="Z320">
        <v>0</v>
      </c>
      <c r="AA320" t="s">
        <v>25</v>
      </c>
      <c r="AB320" t="s">
        <v>26</v>
      </c>
      <c r="AC320" t="s">
        <v>27</v>
      </c>
      <c r="AD320" t="s">
        <v>28</v>
      </c>
      <c r="AE320" t="s">
        <v>25</v>
      </c>
      <c r="AF3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0.27272727272727271</v>
      </c>
      <c r="AG320" t="s">
        <v>941</v>
      </c>
      <c r="AH320">
        <v>82</v>
      </c>
      <c r="AI320" t="s">
        <v>939</v>
      </c>
      <c r="AJ320">
        <v>9</v>
      </c>
      <c r="AK3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MIN(AJ320/8, 1) +
  Merge1[[#This Row],[index_defensive_effort]],
  2
)</f>
        <v>1.67</v>
      </c>
    </row>
    <row r="321" spans="1:37" x14ac:dyDescent="0.25">
      <c r="A321" t="s">
        <v>205</v>
      </c>
      <c r="B321" t="s">
        <v>206</v>
      </c>
      <c r="C321">
        <v>22</v>
      </c>
      <c r="D321" t="s">
        <v>22</v>
      </c>
      <c r="E321">
        <v>72</v>
      </c>
      <c r="F321">
        <v>191</v>
      </c>
      <c r="G321" t="s">
        <v>203</v>
      </c>
      <c r="H321">
        <v>2020</v>
      </c>
      <c r="I321" t="s">
        <v>33</v>
      </c>
      <c r="J321">
        <v>16</v>
      </c>
      <c r="K321">
        <v>2</v>
      </c>
      <c r="L321">
        <v>1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17</v>
      </c>
      <c r="T321">
        <v>16</v>
      </c>
      <c r="U321" s="5">
        <f>IF(Merge1[[#This Row],[team_defense_snaps]]=0, "", Merge1[[#This Row],[defense_snaps]] / Merge1[[#This Row],[team_defense_snaps]])</f>
        <v>0.25</v>
      </c>
      <c r="V321">
        <v>64</v>
      </c>
      <c r="W321">
        <v>1</v>
      </c>
      <c r="X321" s="5" t="s">
        <v>303</v>
      </c>
      <c r="Y321">
        <v>0</v>
      </c>
      <c r="Z321">
        <v>0</v>
      </c>
      <c r="AA321" t="s">
        <v>25</v>
      </c>
      <c r="AB321" t="s">
        <v>26</v>
      </c>
      <c r="AC321" t="s">
        <v>27</v>
      </c>
      <c r="AD321" t="s">
        <v>28</v>
      </c>
      <c r="AE321" t="s">
        <v>25</v>
      </c>
      <c r="AF3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0.14705882352941177</v>
      </c>
      <c r="AG321" t="s">
        <v>941</v>
      </c>
      <c r="AH321">
        <v>68.5</v>
      </c>
      <c r="AI321" t="s">
        <v>939</v>
      </c>
      <c r="AJ321">
        <v>10</v>
      </c>
      <c r="AK3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MIN(AJ321/8, 1) +
  Merge1[[#This Row],[index_defensive_effort]],
  2
)</f>
        <v>1.55</v>
      </c>
    </row>
    <row r="322" spans="1:37" x14ac:dyDescent="0.25">
      <c r="A322" t="s">
        <v>205</v>
      </c>
      <c r="B322" t="s">
        <v>206</v>
      </c>
      <c r="C322">
        <v>22</v>
      </c>
      <c r="D322" t="s">
        <v>22</v>
      </c>
      <c r="E322">
        <v>72</v>
      </c>
      <c r="F322">
        <v>191</v>
      </c>
      <c r="G322" t="s">
        <v>203</v>
      </c>
      <c r="H322">
        <v>2020</v>
      </c>
      <c r="I322" t="s">
        <v>33</v>
      </c>
      <c r="J322">
        <v>17</v>
      </c>
      <c r="K322">
        <v>0</v>
      </c>
      <c r="L322">
        <v>1</v>
      </c>
      <c r="M322">
        <v>1</v>
      </c>
      <c r="N322">
        <v>2</v>
      </c>
      <c r="O322">
        <v>0</v>
      </c>
      <c r="P322">
        <v>0</v>
      </c>
      <c r="Q322">
        <v>0</v>
      </c>
      <c r="R322">
        <v>0</v>
      </c>
      <c r="S322">
        <v>13</v>
      </c>
      <c r="T322">
        <v>13</v>
      </c>
      <c r="U322" s="5">
        <f>IF(Merge1[[#This Row],[team_defense_snaps]]=0, "", Merge1[[#This Row],[defense_snaps]] / Merge1[[#This Row],[team_defense_snaps]])</f>
        <v>0.2</v>
      </c>
      <c r="V322">
        <v>65</v>
      </c>
      <c r="W322">
        <v>0</v>
      </c>
      <c r="X322" s="5" t="s">
        <v>29</v>
      </c>
      <c r="Y322">
        <v>0</v>
      </c>
      <c r="Z322">
        <v>0</v>
      </c>
      <c r="AA322" t="s">
        <v>25</v>
      </c>
      <c r="AB322" t="s">
        <v>26</v>
      </c>
      <c r="AC322" t="s">
        <v>27</v>
      </c>
      <c r="AD322" t="s">
        <v>204</v>
      </c>
      <c r="AE322" t="s">
        <v>25</v>
      </c>
      <c r="AF3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7.6923076923076927E-2</v>
      </c>
      <c r="AG322" t="s">
        <v>941</v>
      </c>
      <c r="AH322">
        <v>67</v>
      </c>
      <c r="AI322" t="s">
        <v>27</v>
      </c>
      <c r="AJ322">
        <v>1</v>
      </c>
      <c r="AK3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MIN(AJ322/8, 1) +
  Merge1[[#This Row],[index_defensive_effort]],
  2
)</f>
        <v>0.6</v>
      </c>
    </row>
    <row r="323" spans="1:37" x14ac:dyDescent="0.25">
      <c r="A323" t="s">
        <v>912</v>
      </c>
      <c r="B323" t="s">
        <v>913</v>
      </c>
      <c r="C323">
        <v>25</v>
      </c>
      <c r="D323" t="s">
        <v>56</v>
      </c>
      <c r="E323">
        <v>71</v>
      </c>
      <c r="F323">
        <v>198</v>
      </c>
      <c r="G323" t="s">
        <v>180</v>
      </c>
      <c r="H323">
        <v>2020</v>
      </c>
      <c r="I323" t="s">
        <v>33</v>
      </c>
      <c r="J323">
        <v>3</v>
      </c>
      <c r="K323">
        <v>1</v>
      </c>
      <c r="L323">
        <v>2</v>
      </c>
      <c r="M323">
        <v>0</v>
      </c>
      <c r="N323">
        <v>2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s="5">
        <f>IF(Merge1[[#This Row],[team_defense_snaps]]=0, "", Merge1[[#This Row],[defense_snaps]] / Merge1[[#This Row],[team_defense_snaps]])</f>
        <v>0</v>
      </c>
      <c r="V323">
        <v>62</v>
      </c>
      <c r="W323">
        <v>0</v>
      </c>
      <c r="X323" s="5">
        <v>0</v>
      </c>
      <c r="Y323">
        <v>1</v>
      </c>
      <c r="Z323">
        <v>0</v>
      </c>
      <c r="AA323" t="s">
        <v>25</v>
      </c>
      <c r="AB323" t="s">
        <v>36</v>
      </c>
      <c r="AC323" t="s">
        <v>188</v>
      </c>
      <c r="AD323" t="s">
        <v>42</v>
      </c>
      <c r="AE323" t="s">
        <v>25</v>
      </c>
      <c r="AF3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23" t="s">
        <v>941</v>
      </c>
      <c r="AH323">
        <v>83</v>
      </c>
      <c r="AI323" t="s">
        <v>939</v>
      </c>
      <c r="AJ323">
        <v>1</v>
      </c>
      <c r="AK3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MIN(AJ323/8, 1) +
  Merge1[[#This Row],[index_defensive_effort]],
  2
)</f>
        <v>0.63</v>
      </c>
    </row>
    <row r="324" spans="1:37" x14ac:dyDescent="0.25">
      <c r="A324" t="s">
        <v>912</v>
      </c>
      <c r="B324" t="s">
        <v>913</v>
      </c>
      <c r="C324">
        <v>25</v>
      </c>
      <c r="D324" t="s">
        <v>56</v>
      </c>
      <c r="E324">
        <v>71</v>
      </c>
      <c r="F324">
        <v>198</v>
      </c>
      <c r="G324" t="s">
        <v>180</v>
      </c>
      <c r="H324">
        <v>2020</v>
      </c>
      <c r="I324" t="s">
        <v>33</v>
      </c>
      <c r="J324">
        <v>6</v>
      </c>
      <c r="K324">
        <v>4</v>
      </c>
      <c r="L324">
        <v>1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s="5">
        <f>IF(Merge1[[#This Row],[team_defense_snaps]]=0, "", Merge1[[#This Row],[defense_snaps]] / Merge1[[#This Row],[team_defense_snaps]])</f>
        <v>0</v>
      </c>
      <c r="V324">
        <v>77</v>
      </c>
      <c r="W324">
        <v>0</v>
      </c>
      <c r="X324" s="5">
        <v>0</v>
      </c>
      <c r="Y324">
        <v>1</v>
      </c>
      <c r="Z324">
        <v>0</v>
      </c>
      <c r="AA324" t="s">
        <v>25</v>
      </c>
      <c r="AB324" t="s">
        <v>26</v>
      </c>
      <c r="AC324" t="s">
        <v>27</v>
      </c>
      <c r="AD324" t="s">
        <v>42</v>
      </c>
      <c r="AE324" t="s">
        <v>25</v>
      </c>
      <c r="AF3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24" t="s">
        <v>941</v>
      </c>
      <c r="AH324">
        <v>78.5</v>
      </c>
      <c r="AI324" t="s">
        <v>27</v>
      </c>
      <c r="AJ324">
        <v>1</v>
      </c>
      <c r="AK3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MIN(AJ324/8, 1) +
  Merge1[[#This Row],[index_defensive_effort]],
  2
)</f>
        <v>0.63</v>
      </c>
    </row>
    <row r="325" spans="1:37" x14ac:dyDescent="0.25">
      <c r="A325" t="s">
        <v>912</v>
      </c>
      <c r="B325" t="s">
        <v>913</v>
      </c>
      <c r="C325">
        <v>25</v>
      </c>
      <c r="D325" t="s">
        <v>56</v>
      </c>
      <c r="E325">
        <v>71</v>
      </c>
      <c r="F325">
        <v>198</v>
      </c>
      <c r="G325" t="s">
        <v>180</v>
      </c>
      <c r="H325">
        <v>2020</v>
      </c>
      <c r="I325" t="s">
        <v>33</v>
      </c>
      <c r="J325">
        <v>7</v>
      </c>
      <c r="K325">
        <v>4</v>
      </c>
      <c r="L325">
        <v>3</v>
      </c>
      <c r="M325">
        <v>0</v>
      </c>
      <c r="N325">
        <v>3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s="5">
        <f>IF(Merge1[[#This Row],[team_defense_snaps]]=0, "", Merge1[[#This Row],[defense_snaps]] / Merge1[[#This Row],[team_defense_snaps]])</f>
        <v>0</v>
      </c>
      <c r="V325">
        <v>100</v>
      </c>
      <c r="W325">
        <v>0</v>
      </c>
      <c r="X325" s="5">
        <v>0</v>
      </c>
      <c r="Y325">
        <v>1</v>
      </c>
      <c r="Z325">
        <v>0</v>
      </c>
      <c r="AA325" t="s">
        <v>25</v>
      </c>
      <c r="AB325" t="s">
        <v>26</v>
      </c>
      <c r="AC325" t="s">
        <v>27</v>
      </c>
      <c r="AD325" t="s">
        <v>42</v>
      </c>
      <c r="AE325" t="s">
        <v>25</v>
      </c>
      <c r="AF3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25" t="s">
        <v>941</v>
      </c>
      <c r="AH325">
        <v>77</v>
      </c>
      <c r="AI325" t="s">
        <v>27</v>
      </c>
      <c r="AJ325">
        <v>2</v>
      </c>
      <c r="AK3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MIN(AJ325/8, 1) +
  Merge1[[#This Row],[index_defensive_effort]],
  2
)</f>
        <v>0.75</v>
      </c>
    </row>
    <row r="326" spans="1:37" x14ac:dyDescent="0.25">
      <c r="A326" t="s">
        <v>912</v>
      </c>
      <c r="B326" t="s">
        <v>913</v>
      </c>
      <c r="C326">
        <v>25</v>
      </c>
      <c r="D326" t="s">
        <v>56</v>
      </c>
      <c r="E326">
        <v>71</v>
      </c>
      <c r="F326">
        <v>198</v>
      </c>
      <c r="G326" t="s">
        <v>180</v>
      </c>
      <c r="H326">
        <v>2020</v>
      </c>
      <c r="I326" t="s">
        <v>33</v>
      </c>
      <c r="J326">
        <v>12</v>
      </c>
      <c r="K326">
        <v>3</v>
      </c>
      <c r="L326">
        <v>1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s="5">
        <f>IF(Merge1[[#This Row],[team_defense_snaps]]=0, "", Merge1[[#This Row],[defense_snaps]] / Merge1[[#This Row],[team_defense_snaps]])</f>
        <v>0</v>
      </c>
      <c r="V326">
        <v>67</v>
      </c>
      <c r="W326">
        <v>0</v>
      </c>
      <c r="X326" s="5">
        <v>0</v>
      </c>
      <c r="Y326">
        <v>1</v>
      </c>
      <c r="Z326">
        <v>0</v>
      </c>
      <c r="AA326" t="s">
        <v>25</v>
      </c>
      <c r="AB326" t="s">
        <v>36</v>
      </c>
      <c r="AC326" t="s">
        <v>188</v>
      </c>
      <c r="AD326" t="s">
        <v>42</v>
      </c>
      <c r="AE326" t="s">
        <v>25</v>
      </c>
      <c r="AF3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26" t="s">
        <v>941</v>
      </c>
      <c r="AH326">
        <v>69.5</v>
      </c>
      <c r="AI326" t="s">
        <v>939</v>
      </c>
      <c r="AJ326">
        <v>1</v>
      </c>
      <c r="AK3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MIN(AJ326/8, 1) +
  Merge1[[#This Row],[index_defensive_effort]],
  2
)</f>
        <v>0.63</v>
      </c>
    </row>
    <row r="327" spans="1:37" x14ac:dyDescent="0.25">
      <c r="A327" t="s">
        <v>233</v>
      </c>
      <c r="B327" t="s">
        <v>234</v>
      </c>
      <c r="C327">
        <v>26</v>
      </c>
      <c r="D327" t="s">
        <v>22</v>
      </c>
      <c r="E327">
        <v>70</v>
      </c>
      <c r="F327">
        <v>200</v>
      </c>
      <c r="G327" t="s">
        <v>235</v>
      </c>
      <c r="H327">
        <v>2020</v>
      </c>
      <c r="I327" t="s">
        <v>33</v>
      </c>
      <c r="J327">
        <v>11</v>
      </c>
      <c r="K327">
        <v>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</v>
      </c>
      <c r="S327">
        <v>27</v>
      </c>
      <c r="T327">
        <v>9</v>
      </c>
      <c r="U327" s="5">
        <f>IF(Merge1[[#This Row],[team_defense_snaps]]=0, "", Merge1[[#This Row],[defense_snaps]] / Merge1[[#This Row],[team_defense_snaps]])</f>
        <v>0.14516129032258066</v>
      </c>
      <c r="V327">
        <v>62</v>
      </c>
      <c r="W327">
        <v>18</v>
      </c>
      <c r="X327" s="5" t="s">
        <v>83</v>
      </c>
      <c r="Y327">
        <v>3</v>
      </c>
      <c r="Z327">
        <v>0</v>
      </c>
      <c r="AA327" t="s">
        <v>25</v>
      </c>
      <c r="AB327" t="s">
        <v>26</v>
      </c>
      <c r="AC327" t="s">
        <v>27</v>
      </c>
      <c r="AD327" t="s">
        <v>28</v>
      </c>
      <c r="AE327" t="s">
        <v>25</v>
      </c>
      <c r="AF3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0.22222222222222221</v>
      </c>
      <c r="AG327" t="s">
        <v>942</v>
      </c>
      <c r="AH327">
        <v>55.5</v>
      </c>
      <c r="AI327" t="s">
        <v>939</v>
      </c>
      <c r="AJ327">
        <v>2</v>
      </c>
      <c r="AK3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MIN(AJ327/8, 1) +
  Merge1[[#This Row],[index_defensive_effort]],
  2
)</f>
        <v>1.07</v>
      </c>
    </row>
    <row r="328" spans="1:37" x14ac:dyDescent="0.25">
      <c r="A328" t="s">
        <v>233</v>
      </c>
      <c r="B328" t="s">
        <v>234</v>
      </c>
      <c r="C328">
        <v>26</v>
      </c>
      <c r="D328" t="s">
        <v>22</v>
      </c>
      <c r="E328">
        <v>70</v>
      </c>
      <c r="F328">
        <v>200</v>
      </c>
      <c r="G328" t="s">
        <v>235</v>
      </c>
      <c r="H328">
        <v>2020</v>
      </c>
      <c r="I328" t="s">
        <v>33</v>
      </c>
      <c r="J328">
        <v>12</v>
      </c>
      <c r="K328">
        <v>2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30</v>
      </c>
      <c r="T328">
        <v>13</v>
      </c>
      <c r="U328" s="5">
        <f>IF(Merge1[[#This Row],[team_defense_snaps]]=0, "", Merge1[[#This Row],[defense_snaps]] / Merge1[[#This Row],[team_defense_snaps]])</f>
        <v>0.16049382716049382</v>
      </c>
      <c r="V328">
        <v>81</v>
      </c>
      <c r="W328">
        <v>17</v>
      </c>
      <c r="X328" s="5" t="s">
        <v>102</v>
      </c>
      <c r="Y328">
        <v>3</v>
      </c>
      <c r="Z328">
        <v>0</v>
      </c>
      <c r="AA328" t="s">
        <v>25</v>
      </c>
      <c r="AB328" t="s">
        <v>26</v>
      </c>
      <c r="AC328" t="s">
        <v>27</v>
      </c>
      <c r="AD328" t="s">
        <v>28</v>
      </c>
      <c r="AE328" t="s">
        <v>25</v>
      </c>
      <c r="AF3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328" t="s">
        <v>942</v>
      </c>
      <c r="AH328">
        <v>57</v>
      </c>
      <c r="AI328" t="s">
        <v>939</v>
      </c>
      <c r="AJ328">
        <v>1</v>
      </c>
      <c r="AK3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MIN(AJ328/8, 1) +
  Merge1[[#This Row],[index_defensive_effort]],
  2
)</f>
        <v>0.79</v>
      </c>
    </row>
    <row r="329" spans="1:37" x14ac:dyDescent="0.25">
      <c r="A329" t="s">
        <v>140</v>
      </c>
      <c r="B329" t="s">
        <v>141</v>
      </c>
      <c r="C329">
        <v>25</v>
      </c>
      <c r="D329" t="s">
        <v>56</v>
      </c>
      <c r="E329">
        <v>72</v>
      </c>
      <c r="F329">
        <v>189</v>
      </c>
      <c r="G329" t="s">
        <v>130</v>
      </c>
      <c r="H329">
        <v>2020</v>
      </c>
      <c r="I329" t="s">
        <v>33</v>
      </c>
      <c r="J329">
        <v>8</v>
      </c>
      <c r="K329">
        <v>2</v>
      </c>
      <c r="L329">
        <v>1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7</v>
      </c>
      <c r="T329">
        <v>7</v>
      </c>
      <c r="U329" s="5">
        <f>IF(Merge1[[#This Row],[team_defense_snaps]]=0, "", Merge1[[#This Row],[defense_snaps]] / Merge1[[#This Row],[team_defense_snaps]])</f>
        <v>9.45945945945946E-2</v>
      </c>
      <c r="V329">
        <v>74</v>
      </c>
      <c r="W329">
        <v>0</v>
      </c>
      <c r="X329" s="5" t="s">
        <v>29</v>
      </c>
      <c r="Y329">
        <v>3</v>
      </c>
      <c r="Z329">
        <v>0</v>
      </c>
      <c r="AA329" t="s">
        <v>25</v>
      </c>
      <c r="AB329" t="s">
        <v>26</v>
      </c>
      <c r="AC329" t="s">
        <v>27</v>
      </c>
      <c r="AD329" t="s">
        <v>28</v>
      </c>
      <c r="AE329" t="s">
        <v>25</v>
      </c>
      <c r="AF3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0.35714285714285715</v>
      </c>
      <c r="AG329" t="s">
        <v>941</v>
      </c>
      <c r="AH329">
        <v>67.5</v>
      </c>
      <c r="AI329" t="s">
        <v>939</v>
      </c>
      <c r="AJ329">
        <v>2</v>
      </c>
      <c r="AK3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MIN(AJ329/8, 1) +
  Merge1[[#This Row],[index_defensive_effort]],
  2
)</f>
        <v>1.01</v>
      </c>
    </row>
    <row r="330" spans="1:37" x14ac:dyDescent="0.25">
      <c r="A330" t="s">
        <v>140</v>
      </c>
      <c r="B330" t="s">
        <v>141</v>
      </c>
      <c r="C330">
        <v>25</v>
      </c>
      <c r="D330" t="s">
        <v>56</v>
      </c>
      <c r="E330">
        <v>72</v>
      </c>
      <c r="F330">
        <v>189</v>
      </c>
      <c r="G330" t="s">
        <v>130</v>
      </c>
      <c r="H330">
        <v>2020</v>
      </c>
      <c r="I330" t="s">
        <v>33</v>
      </c>
      <c r="J330">
        <v>9</v>
      </c>
      <c r="K330">
        <v>7</v>
      </c>
      <c r="L330">
        <v>2</v>
      </c>
      <c r="M330">
        <v>0</v>
      </c>
      <c r="N330">
        <v>2</v>
      </c>
      <c r="O330">
        <v>0</v>
      </c>
      <c r="P330">
        <v>0</v>
      </c>
      <c r="Q330">
        <v>0</v>
      </c>
      <c r="R330">
        <v>0</v>
      </c>
      <c r="S330">
        <v>79</v>
      </c>
      <c r="T330">
        <v>77</v>
      </c>
      <c r="U330" s="5">
        <f>IF(Merge1[[#This Row],[team_defense_snaps]]=0, "", Merge1[[#This Row],[defense_snaps]] / Merge1[[#This Row],[team_defense_snaps]])</f>
        <v>0.98717948717948723</v>
      </c>
      <c r="V330">
        <v>78</v>
      </c>
      <c r="W330">
        <v>2</v>
      </c>
      <c r="X330" s="5" t="s">
        <v>114</v>
      </c>
      <c r="Y330">
        <v>3</v>
      </c>
      <c r="Z330">
        <v>0</v>
      </c>
      <c r="AA330" t="s">
        <v>25</v>
      </c>
      <c r="AB330" t="s">
        <v>26</v>
      </c>
      <c r="AC330" t="s">
        <v>27</v>
      </c>
      <c r="AD330" t="s">
        <v>42</v>
      </c>
      <c r="AE330" t="s">
        <v>25</v>
      </c>
      <c r="AF3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0.10126582278481013</v>
      </c>
      <c r="AG330" t="s">
        <v>941</v>
      </c>
      <c r="AH330">
        <v>66</v>
      </c>
      <c r="AI330" t="s">
        <v>939</v>
      </c>
      <c r="AJ330">
        <v>3</v>
      </c>
      <c r="AK3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MIN(AJ330/8, 1) +
  Merge1[[#This Row],[index_defensive_effort]],
  2
)</f>
        <v>0.88</v>
      </c>
    </row>
    <row r="331" spans="1:37" x14ac:dyDescent="0.25">
      <c r="A331" t="s">
        <v>140</v>
      </c>
      <c r="B331" t="s">
        <v>141</v>
      </c>
      <c r="C331">
        <v>25</v>
      </c>
      <c r="D331" t="s">
        <v>56</v>
      </c>
      <c r="E331">
        <v>72</v>
      </c>
      <c r="F331">
        <v>189</v>
      </c>
      <c r="G331" t="s">
        <v>130</v>
      </c>
      <c r="H331">
        <v>2020</v>
      </c>
      <c r="I331" t="s">
        <v>33</v>
      </c>
      <c r="J331">
        <v>10</v>
      </c>
      <c r="K331">
        <v>5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76</v>
      </c>
      <c r="T331">
        <v>70</v>
      </c>
      <c r="U331" s="5">
        <f>IF(Merge1[[#This Row],[team_defense_snaps]]=0, "", Merge1[[#This Row],[defense_snaps]] / Merge1[[#This Row],[team_defense_snaps]])</f>
        <v>1</v>
      </c>
      <c r="V331">
        <v>70</v>
      </c>
      <c r="W331">
        <v>6</v>
      </c>
      <c r="X331" s="5" t="s">
        <v>135</v>
      </c>
      <c r="Y331">
        <v>3</v>
      </c>
      <c r="Z331">
        <v>0</v>
      </c>
      <c r="AA331" t="s">
        <v>25</v>
      </c>
      <c r="AB331" t="s">
        <v>26</v>
      </c>
      <c r="AC331" t="s">
        <v>27</v>
      </c>
      <c r="AD331" t="s">
        <v>42</v>
      </c>
      <c r="AE331" t="s">
        <v>25</v>
      </c>
      <c r="AF3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6.5789473684210523E-2</v>
      </c>
      <c r="AG331" t="s">
        <v>941</v>
      </c>
      <c r="AH331">
        <v>64.5</v>
      </c>
      <c r="AI331" t="s">
        <v>939</v>
      </c>
      <c r="AJ331">
        <v>4</v>
      </c>
      <c r="AK3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MIN(AJ331/8, 1) +
  Merge1[[#This Row],[index_defensive_effort]],
  2
)</f>
        <v>0.97</v>
      </c>
    </row>
    <row r="332" spans="1:37" x14ac:dyDescent="0.25">
      <c r="A332" t="s">
        <v>140</v>
      </c>
      <c r="B332" t="s">
        <v>141</v>
      </c>
      <c r="C332">
        <v>25</v>
      </c>
      <c r="D332" t="s">
        <v>56</v>
      </c>
      <c r="E332">
        <v>72</v>
      </c>
      <c r="F332">
        <v>189</v>
      </c>
      <c r="G332" t="s">
        <v>130</v>
      </c>
      <c r="H332">
        <v>2020</v>
      </c>
      <c r="I332" t="s">
        <v>33</v>
      </c>
      <c r="J332">
        <v>11</v>
      </c>
      <c r="K332">
        <v>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70</v>
      </c>
      <c r="T332">
        <v>64</v>
      </c>
      <c r="U332" s="5">
        <f>IF(Merge1[[#This Row],[team_defense_snaps]]=0, "", Merge1[[#This Row],[defense_snaps]] / Merge1[[#This Row],[team_defense_snaps]])</f>
        <v>0.98461538461538467</v>
      </c>
      <c r="V332">
        <v>65</v>
      </c>
      <c r="W332">
        <v>6</v>
      </c>
      <c r="X332" s="5" t="s">
        <v>139</v>
      </c>
      <c r="Y332">
        <v>3</v>
      </c>
      <c r="Z332">
        <v>0</v>
      </c>
      <c r="AA332" t="s">
        <v>25</v>
      </c>
      <c r="AB332" t="s">
        <v>26</v>
      </c>
      <c r="AC332" t="s">
        <v>27</v>
      </c>
      <c r="AD332" t="s">
        <v>42</v>
      </c>
      <c r="AE332" t="s">
        <v>25</v>
      </c>
      <c r="AF3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2.8571428571428571E-2</v>
      </c>
      <c r="AG332" t="s">
        <v>941</v>
      </c>
      <c r="AH332">
        <v>63</v>
      </c>
      <c r="AI332" t="s">
        <v>939</v>
      </c>
      <c r="AJ332">
        <v>5</v>
      </c>
      <c r="AK3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MIN(AJ332/8, 1) +
  Merge1[[#This Row],[index_defensive_effort]],
  2
)</f>
        <v>1.05</v>
      </c>
    </row>
    <row r="333" spans="1:37" x14ac:dyDescent="0.25">
      <c r="A333" t="s">
        <v>140</v>
      </c>
      <c r="B333" t="s">
        <v>141</v>
      </c>
      <c r="C333">
        <v>25</v>
      </c>
      <c r="D333" t="s">
        <v>56</v>
      </c>
      <c r="E333">
        <v>72</v>
      </c>
      <c r="F333">
        <v>189</v>
      </c>
      <c r="G333" t="s">
        <v>130</v>
      </c>
      <c r="H333">
        <v>2020</v>
      </c>
      <c r="I333" t="s">
        <v>33</v>
      </c>
      <c r="J333">
        <v>12</v>
      </c>
      <c r="K333">
        <v>4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2</v>
      </c>
      <c r="R333">
        <v>0</v>
      </c>
      <c r="S333">
        <v>74</v>
      </c>
      <c r="T333">
        <v>74</v>
      </c>
      <c r="U333" s="5">
        <f>IF(Merge1[[#This Row],[team_defense_snaps]]=0, "", Merge1[[#This Row],[defense_snaps]] / Merge1[[#This Row],[team_defense_snaps]])</f>
        <v>0.98666666666666669</v>
      </c>
      <c r="V333">
        <v>75</v>
      </c>
      <c r="W333">
        <v>0</v>
      </c>
      <c r="X333" s="5" t="s">
        <v>29</v>
      </c>
      <c r="Y333">
        <v>3</v>
      </c>
      <c r="Z333">
        <v>0</v>
      </c>
      <c r="AA333" t="s">
        <v>25</v>
      </c>
      <c r="AB333" t="s">
        <v>26</v>
      </c>
      <c r="AC333" t="s">
        <v>27</v>
      </c>
      <c r="AD333" t="s">
        <v>42</v>
      </c>
      <c r="AE333" t="s">
        <v>25</v>
      </c>
      <c r="AF3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0.1891891891891892</v>
      </c>
      <c r="AG333" t="s">
        <v>941</v>
      </c>
      <c r="AH333">
        <v>61.5</v>
      </c>
      <c r="AI333" t="s">
        <v>939</v>
      </c>
      <c r="AJ333">
        <v>6</v>
      </c>
      <c r="AK3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MIN(AJ333/8, 1) +
  Merge1[[#This Row],[index_defensive_effort]],
  2
)</f>
        <v>1.34</v>
      </c>
    </row>
    <row r="334" spans="1:37" x14ac:dyDescent="0.25">
      <c r="A334" t="s">
        <v>140</v>
      </c>
      <c r="B334" t="s">
        <v>141</v>
      </c>
      <c r="C334">
        <v>25</v>
      </c>
      <c r="D334" t="s">
        <v>56</v>
      </c>
      <c r="E334">
        <v>72</v>
      </c>
      <c r="F334">
        <v>189</v>
      </c>
      <c r="G334" t="s">
        <v>130</v>
      </c>
      <c r="H334">
        <v>2020</v>
      </c>
      <c r="I334" t="s">
        <v>33</v>
      </c>
      <c r="J334">
        <v>13</v>
      </c>
      <c r="K334">
        <v>4</v>
      </c>
      <c r="L334">
        <v>3</v>
      </c>
      <c r="M334">
        <v>2</v>
      </c>
      <c r="N334">
        <v>5</v>
      </c>
      <c r="O334">
        <v>0</v>
      </c>
      <c r="P334">
        <v>0</v>
      </c>
      <c r="Q334">
        <v>0</v>
      </c>
      <c r="R334">
        <v>0</v>
      </c>
      <c r="S334">
        <v>67</v>
      </c>
      <c r="T334">
        <v>67</v>
      </c>
      <c r="U334" s="5">
        <f>IF(Merge1[[#This Row],[team_defense_snaps]]=0, "", Merge1[[#This Row],[defense_snaps]] / Merge1[[#This Row],[team_defense_snaps]])</f>
        <v>0.90540540540540537</v>
      </c>
      <c r="V334">
        <v>74</v>
      </c>
      <c r="W334">
        <v>0</v>
      </c>
      <c r="X334" s="5" t="s">
        <v>29</v>
      </c>
      <c r="Y334">
        <v>3</v>
      </c>
      <c r="Z334">
        <v>0</v>
      </c>
      <c r="AA334" t="s">
        <v>25</v>
      </c>
      <c r="AB334" t="s">
        <v>26</v>
      </c>
      <c r="AC334" t="s">
        <v>27</v>
      </c>
      <c r="AD334" t="s">
        <v>42</v>
      </c>
      <c r="AE334" t="s">
        <v>25</v>
      </c>
      <c r="AF3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9.7014925373134331E-2</v>
      </c>
      <c r="AG334" t="s">
        <v>941</v>
      </c>
      <c r="AH334">
        <v>60</v>
      </c>
      <c r="AI334" t="s">
        <v>939</v>
      </c>
      <c r="AJ334">
        <v>1</v>
      </c>
      <c r="AK3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MIN(AJ334/8, 1) +
  Merge1[[#This Row],[index_defensive_effort]],
  2
)</f>
        <v>0.62</v>
      </c>
    </row>
    <row r="335" spans="1:37" x14ac:dyDescent="0.25">
      <c r="A335" t="s">
        <v>142</v>
      </c>
      <c r="B335" t="s">
        <v>143</v>
      </c>
      <c r="C335">
        <v>27</v>
      </c>
      <c r="D335" t="s">
        <v>56</v>
      </c>
      <c r="E335">
        <v>75</v>
      </c>
      <c r="F335">
        <v>215</v>
      </c>
      <c r="G335" t="s">
        <v>144</v>
      </c>
      <c r="H335">
        <v>2020</v>
      </c>
      <c r="I335" t="s">
        <v>33</v>
      </c>
      <c r="J335">
        <v>5</v>
      </c>
      <c r="K335">
        <v>3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24</v>
      </c>
      <c r="T335">
        <v>24</v>
      </c>
      <c r="U335" s="5">
        <f>IF(Merge1[[#This Row],[team_defense_snaps]]=0, "", Merge1[[#This Row],[defense_snaps]] / Merge1[[#This Row],[team_defense_snaps]])</f>
        <v>0.35820895522388058</v>
      </c>
      <c r="V335">
        <v>67</v>
      </c>
      <c r="W335">
        <v>0</v>
      </c>
      <c r="X335" s="5" t="s">
        <v>29</v>
      </c>
      <c r="Y335">
        <v>3</v>
      </c>
      <c r="Z335">
        <v>0</v>
      </c>
      <c r="AA335" t="s">
        <v>25</v>
      </c>
      <c r="AB335" t="s">
        <v>26</v>
      </c>
      <c r="AC335" t="s">
        <v>27</v>
      </c>
      <c r="AD335" t="s">
        <v>28</v>
      </c>
      <c r="AE335" t="s">
        <v>25</v>
      </c>
      <c r="AF3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335" t="s">
        <v>941</v>
      </c>
      <c r="AH335">
        <v>72</v>
      </c>
      <c r="AI335" t="s">
        <v>939</v>
      </c>
      <c r="AJ335">
        <v>1</v>
      </c>
      <c r="AK3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MIN(AJ335/8, 1) +
  Merge1[[#This Row],[index_defensive_effort]],
  2
)</f>
        <v>0.75</v>
      </c>
    </row>
    <row r="336" spans="1:37" x14ac:dyDescent="0.25">
      <c r="A336" t="s">
        <v>222</v>
      </c>
      <c r="B336" t="s">
        <v>223</v>
      </c>
      <c r="C336">
        <v>28</v>
      </c>
      <c r="D336" t="s">
        <v>56</v>
      </c>
      <c r="E336">
        <v>70</v>
      </c>
      <c r="F336">
        <v>213</v>
      </c>
      <c r="G336" t="s">
        <v>107</v>
      </c>
      <c r="H336">
        <v>2020</v>
      </c>
      <c r="I336" t="s">
        <v>33</v>
      </c>
      <c r="J336">
        <v>1</v>
      </c>
      <c r="K336">
        <v>8</v>
      </c>
      <c r="L336">
        <v>3</v>
      </c>
      <c r="M336">
        <v>2</v>
      </c>
      <c r="N336">
        <v>5</v>
      </c>
      <c r="O336">
        <v>2</v>
      </c>
      <c r="P336">
        <v>1</v>
      </c>
      <c r="Q336">
        <v>0</v>
      </c>
      <c r="R336">
        <v>0</v>
      </c>
      <c r="S336">
        <v>93</v>
      </c>
      <c r="T336">
        <v>86</v>
      </c>
      <c r="U336" s="5">
        <f>IF(Merge1[[#This Row],[team_defense_snaps]]=0, "", Merge1[[#This Row],[defense_snaps]] / Merge1[[#This Row],[team_defense_snaps]])</f>
        <v>0.97727272727272729</v>
      </c>
      <c r="V336">
        <v>88</v>
      </c>
      <c r="W336">
        <v>7</v>
      </c>
      <c r="X336" s="5" t="s">
        <v>136</v>
      </c>
      <c r="Y336">
        <v>4</v>
      </c>
      <c r="Z336">
        <v>0</v>
      </c>
      <c r="AA336" t="s">
        <v>25</v>
      </c>
      <c r="AB336" t="s">
        <v>26</v>
      </c>
      <c r="AC336" t="s">
        <v>27</v>
      </c>
      <c r="AD336" t="s">
        <v>42</v>
      </c>
      <c r="AE336" t="s">
        <v>25</v>
      </c>
      <c r="AF3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0.19892473118279569</v>
      </c>
      <c r="AG336" t="s">
        <v>942</v>
      </c>
      <c r="AH336">
        <v>61.5</v>
      </c>
      <c r="AI336" t="s">
        <v>939</v>
      </c>
      <c r="AJ336">
        <v>2</v>
      </c>
      <c r="AK3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MIN(AJ336/8, 1) +
  Merge1[[#This Row],[index_defensive_effort]],
  2
)</f>
        <v>1.05</v>
      </c>
    </row>
    <row r="337" spans="1:37" x14ac:dyDescent="0.25">
      <c r="A337" t="s">
        <v>222</v>
      </c>
      <c r="B337" t="s">
        <v>223</v>
      </c>
      <c r="C337">
        <v>28</v>
      </c>
      <c r="D337" t="s">
        <v>56</v>
      </c>
      <c r="E337">
        <v>70</v>
      </c>
      <c r="F337">
        <v>213</v>
      </c>
      <c r="G337" t="s">
        <v>107</v>
      </c>
      <c r="H337">
        <v>2020</v>
      </c>
      <c r="I337" t="s">
        <v>33</v>
      </c>
      <c r="J337">
        <v>2</v>
      </c>
      <c r="K337">
        <v>7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45</v>
      </c>
      <c r="T337">
        <v>36</v>
      </c>
      <c r="U337" s="5">
        <f>IF(Merge1[[#This Row],[team_defense_snaps]]=0, "", Merge1[[#This Row],[defense_snaps]] / Merge1[[#This Row],[team_defense_snaps]])</f>
        <v>0.5901639344262295</v>
      </c>
      <c r="V337">
        <v>61</v>
      </c>
      <c r="W337">
        <v>9</v>
      </c>
      <c r="X337" s="5" t="s">
        <v>123</v>
      </c>
      <c r="Y337">
        <v>4</v>
      </c>
      <c r="Z337">
        <v>0</v>
      </c>
      <c r="AA337" t="s">
        <v>25</v>
      </c>
      <c r="AB337" t="s">
        <v>26</v>
      </c>
      <c r="AC337" t="s">
        <v>27</v>
      </c>
      <c r="AD337" t="s">
        <v>28</v>
      </c>
      <c r="AE337" t="s">
        <v>25</v>
      </c>
      <c r="AF3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</v>
      </c>
      <c r="AG337" t="s">
        <v>942</v>
      </c>
      <c r="AH337">
        <v>64.5</v>
      </c>
      <c r="AI337" t="s">
        <v>939</v>
      </c>
      <c r="AJ337">
        <v>3</v>
      </c>
      <c r="AK3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MIN(AJ337/8, 1) +
  Merge1[[#This Row],[index_defensive_effort]],
  2
)</f>
        <v>1.18</v>
      </c>
    </row>
    <row r="338" spans="1:37" x14ac:dyDescent="0.25">
      <c r="A338" t="s">
        <v>222</v>
      </c>
      <c r="B338" t="s">
        <v>223</v>
      </c>
      <c r="C338">
        <v>28</v>
      </c>
      <c r="D338" t="s">
        <v>56</v>
      </c>
      <c r="E338">
        <v>70</v>
      </c>
      <c r="F338">
        <v>213</v>
      </c>
      <c r="G338" t="s">
        <v>107</v>
      </c>
      <c r="H338">
        <v>2020</v>
      </c>
      <c r="I338" t="s">
        <v>33</v>
      </c>
      <c r="J338">
        <v>3</v>
      </c>
      <c r="K338">
        <v>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60</v>
      </c>
      <c r="T338">
        <v>46</v>
      </c>
      <c r="U338" s="5">
        <f>IF(Merge1[[#This Row],[team_defense_snaps]]=0, "", Merge1[[#This Row],[defense_snaps]] / Merge1[[#This Row],[team_defense_snaps]])</f>
        <v>0.76666666666666672</v>
      </c>
      <c r="V338">
        <v>60</v>
      </c>
      <c r="W338">
        <v>14</v>
      </c>
      <c r="X338" s="5" t="s">
        <v>52</v>
      </c>
      <c r="Y338">
        <v>4</v>
      </c>
      <c r="Z338">
        <v>0</v>
      </c>
      <c r="AA338" t="s">
        <v>25</v>
      </c>
      <c r="AB338" t="s">
        <v>26</v>
      </c>
      <c r="AC338" t="s">
        <v>27</v>
      </c>
      <c r="AD338" t="s">
        <v>42</v>
      </c>
      <c r="AE338" t="s">
        <v>25</v>
      </c>
      <c r="AF3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338" t="s">
        <v>942</v>
      </c>
      <c r="AH338">
        <v>60</v>
      </c>
      <c r="AI338" t="s">
        <v>939</v>
      </c>
      <c r="AJ338">
        <v>4</v>
      </c>
      <c r="AK3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MIN(AJ338/8, 1) +
  Merge1[[#This Row],[index_defensive_effort]],
  2
)</f>
        <v>1.18</v>
      </c>
    </row>
    <row r="339" spans="1:37" x14ac:dyDescent="0.25">
      <c r="A339" t="s">
        <v>222</v>
      </c>
      <c r="B339" t="s">
        <v>223</v>
      </c>
      <c r="C339">
        <v>28</v>
      </c>
      <c r="D339" t="s">
        <v>56</v>
      </c>
      <c r="E339">
        <v>70</v>
      </c>
      <c r="F339">
        <v>213</v>
      </c>
      <c r="G339" t="s">
        <v>107</v>
      </c>
      <c r="H339">
        <v>2020</v>
      </c>
      <c r="I339" t="s">
        <v>33</v>
      </c>
      <c r="J339">
        <v>4</v>
      </c>
      <c r="K339">
        <v>6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2</v>
      </c>
      <c r="R339">
        <v>0</v>
      </c>
      <c r="S339">
        <v>72</v>
      </c>
      <c r="T339">
        <v>57</v>
      </c>
      <c r="U339" s="5">
        <f>IF(Merge1[[#This Row],[team_defense_snaps]]=0, "", Merge1[[#This Row],[defense_snaps]] / Merge1[[#This Row],[team_defense_snaps]])</f>
        <v>0.81428571428571428</v>
      </c>
      <c r="V339">
        <v>70</v>
      </c>
      <c r="W339">
        <v>15</v>
      </c>
      <c r="X339" s="5" t="s">
        <v>243</v>
      </c>
      <c r="Y339">
        <v>4</v>
      </c>
      <c r="Z339">
        <v>0</v>
      </c>
      <c r="AA339" t="s">
        <v>25</v>
      </c>
      <c r="AB339" t="s">
        <v>26</v>
      </c>
      <c r="AC339" t="s">
        <v>27</v>
      </c>
      <c r="AD339" t="s">
        <v>28</v>
      </c>
      <c r="AE339" t="s">
        <v>25</v>
      </c>
      <c r="AF3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0.19444444444444445</v>
      </c>
      <c r="AG339" t="s">
        <v>942</v>
      </c>
      <c r="AH339">
        <v>69</v>
      </c>
      <c r="AI339" t="s">
        <v>939</v>
      </c>
      <c r="AJ339">
        <v>5</v>
      </c>
      <c r="AK3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MIN(AJ339/8, 1) +
  Merge1[[#This Row],[index_defensive_effort]],
  2
)</f>
        <v>1.42</v>
      </c>
    </row>
    <row r="340" spans="1:37" x14ac:dyDescent="0.25">
      <c r="A340" t="s">
        <v>222</v>
      </c>
      <c r="B340" t="s">
        <v>223</v>
      </c>
      <c r="C340">
        <v>28</v>
      </c>
      <c r="D340" t="s">
        <v>56</v>
      </c>
      <c r="E340">
        <v>70</v>
      </c>
      <c r="F340">
        <v>213</v>
      </c>
      <c r="G340" t="s">
        <v>107</v>
      </c>
      <c r="H340">
        <v>2020</v>
      </c>
      <c r="I340" t="s">
        <v>33</v>
      </c>
      <c r="J340">
        <v>5</v>
      </c>
      <c r="K340">
        <v>2</v>
      </c>
      <c r="L340">
        <v>1</v>
      </c>
      <c r="M340">
        <v>1</v>
      </c>
      <c r="N340">
        <v>2</v>
      </c>
      <c r="O340">
        <v>0</v>
      </c>
      <c r="P340">
        <v>0</v>
      </c>
      <c r="Q340">
        <v>0</v>
      </c>
      <c r="R340">
        <v>0</v>
      </c>
      <c r="S340">
        <v>70</v>
      </c>
      <c r="T340">
        <v>61</v>
      </c>
      <c r="U340" s="5">
        <f>IF(Merge1[[#This Row],[team_defense_snaps]]=0, "", Merge1[[#This Row],[defense_snaps]] / Merge1[[#This Row],[team_defense_snaps]])</f>
        <v>0.80263157894736847</v>
      </c>
      <c r="V340">
        <v>76</v>
      </c>
      <c r="W340">
        <v>9</v>
      </c>
      <c r="X340" s="5" t="s">
        <v>134</v>
      </c>
      <c r="Y340">
        <v>4</v>
      </c>
      <c r="Z340">
        <v>0</v>
      </c>
      <c r="AA340" t="s">
        <v>25</v>
      </c>
      <c r="AB340" t="s">
        <v>26</v>
      </c>
      <c r="AC340" t="s">
        <v>27</v>
      </c>
      <c r="AD340" t="s">
        <v>42</v>
      </c>
      <c r="AE340" t="s">
        <v>25</v>
      </c>
      <c r="AF3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4.2857142857142858E-2</v>
      </c>
      <c r="AG340" t="s">
        <v>942</v>
      </c>
      <c r="AH340">
        <v>72</v>
      </c>
      <c r="AI340" t="s">
        <v>939</v>
      </c>
      <c r="AJ340">
        <v>6</v>
      </c>
      <c r="AK3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MIN(AJ340/8, 1) +
  Merge1[[#This Row],[index_defensive_effort]],
  2
)</f>
        <v>1.39</v>
      </c>
    </row>
    <row r="341" spans="1:37" x14ac:dyDescent="0.25">
      <c r="A341" t="s">
        <v>222</v>
      </c>
      <c r="B341" t="s">
        <v>223</v>
      </c>
      <c r="C341">
        <v>28</v>
      </c>
      <c r="D341" t="s">
        <v>56</v>
      </c>
      <c r="E341">
        <v>70</v>
      </c>
      <c r="F341">
        <v>213</v>
      </c>
      <c r="G341" t="s">
        <v>107</v>
      </c>
      <c r="H341">
        <v>2020</v>
      </c>
      <c r="I341" t="s">
        <v>33</v>
      </c>
      <c r="J341">
        <v>6</v>
      </c>
      <c r="K341">
        <v>5</v>
      </c>
      <c r="L341">
        <v>3</v>
      </c>
      <c r="M341">
        <v>0</v>
      </c>
      <c r="N341">
        <v>3</v>
      </c>
      <c r="O341">
        <v>0</v>
      </c>
      <c r="P341">
        <v>1</v>
      </c>
      <c r="Q341">
        <v>2</v>
      </c>
      <c r="R341">
        <v>0</v>
      </c>
      <c r="S341">
        <v>59</v>
      </c>
      <c r="T341">
        <v>52</v>
      </c>
      <c r="U341" s="5">
        <f>IF(Merge1[[#This Row],[team_defense_snaps]]=0, "", Merge1[[#This Row],[defense_snaps]] / Merge1[[#This Row],[team_defense_snaps]])</f>
        <v>0.9285714285714286</v>
      </c>
      <c r="V341">
        <v>56</v>
      </c>
      <c r="W341">
        <v>7</v>
      </c>
      <c r="X341" s="5" t="s">
        <v>135</v>
      </c>
      <c r="Y341">
        <v>4</v>
      </c>
      <c r="Z341">
        <v>0</v>
      </c>
      <c r="AA341" t="s">
        <v>25</v>
      </c>
      <c r="AB341" t="s">
        <v>26</v>
      </c>
      <c r="AC341" t="s">
        <v>27</v>
      </c>
      <c r="AD341" t="s">
        <v>42</v>
      </c>
      <c r="AE341" t="s">
        <v>25</v>
      </c>
      <c r="AF3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0.27966101694915252</v>
      </c>
      <c r="AG341" t="s">
        <v>942</v>
      </c>
      <c r="AH341">
        <v>70.5</v>
      </c>
      <c r="AI341" t="s">
        <v>939</v>
      </c>
      <c r="AJ341">
        <v>7</v>
      </c>
      <c r="AK3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MIN(AJ341/8, 1) +
  Merge1[[#This Row],[index_defensive_effort]],
  2
)</f>
        <v>1.75</v>
      </c>
    </row>
    <row r="342" spans="1:37" x14ac:dyDescent="0.25">
      <c r="A342" t="s">
        <v>222</v>
      </c>
      <c r="B342" t="s">
        <v>223</v>
      </c>
      <c r="C342">
        <v>28</v>
      </c>
      <c r="D342" t="s">
        <v>56</v>
      </c>
      <c r="E342">
        <v>70</v>
      </c>
      <c r="F342">
        <v>213</v>
      </c>
      <c r="G342" t="s">
        <v>107</v>
      </c>
      <c r="H342">
        <v>2020</v>
      </c>
      <c r="I342" t="s">
        <v>33</v>
      </c>
      <c r="J342">
        <v>7</v>
      </c>
      <c r="K342">
        <v>4</v>
      </c>
      <c r="L342">
        <v>1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80</v>
      </c>
      <c r="T342">
        <v>72</v>
      </c>
      <c r="U342" s="5">
        <f>IF(Merge1[[#This Row],[team_defense_snaps]]=0, "", Merge1[[#This Row],[defense_snaps]] / Merge1[[#This Row],[team_defense_snaps]])</f>
        <v>0.96</v>
      </c>
      <c r="V342">
        <v>75</v>
      </c>
      <c r="W342">
        <v>8</v>
      </c>
      <c r="X342" s="5" t="s">
        <v>70</v>
      </c>
      <c r="Y342">
        <v>4</v>
      </c>
      <c r="Z342">
        <v>0</v>
      </c>
      <c r="AA342" t="s">
        <v>25</v>
      </c>
      <c r="AB342" t="s">
        <v>26</v>
      </c>
      <c r="AC342" t="s">
        <v>27</v>
      </c>
      <c r="AD342" t="s">
        <v>42</v>
      </c>
      <c r="AE342" t="s">
        <v>25</v>
      </c>
      <c r="AF3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5.6250000000000001E-2</v>
      </c>
      <c r="AG342" t="s">
        <v>942</v>
      </c>
      <c r="AH342">
        <v>67.5</v>
      </c>
      <c r="AI342" t="s">
        <v>939</v>
      </c>
      <c r="AJ342">
        <v>8</v>
      </c>
      <c r="AK3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MIN(AJ342/8, 1) +
  Merge1[[#This Row],[index_defensive_effort]],
  2
)</f>
        <v>1.66</v>
      </c>
    </row>
    <row r="343" spans="1:37" x14ac:dyDescent="0.25">
      <c r="A343" t="s">
        <v>222</v>
      </c>
      <c r="B343" t="s">
        <v>223</v>
      </c>
      <c r="C343">
        <v>28</v>
      </c>
      <c r="D343" t="s">
        <v>56</v>
      </c>
      <c r="E343">
        <v>70</v>
      </c>
      <c r="F343">
        <v>213</v>
      </c>
      <c r="G343" t="s">
        <v>107</v>
      </c>
      <c r="H343">
        <v>2020</v>
      </c>
      <c r="I343" t="s">
        <v>33</v>
      </c>
      <c r="J343">
        <v>8</v>
      </c>
      <c r="K343">
        <v>1</v>
      </c>
      <c r="L343">
        <v>3</v>
      </c>
      <c r="M343">
        <v>0</v>
      </c>
      <c r="N343">
        <v>3</v>
      </c>
      <c r="O343">
        <v>0</v>
      </c>
      <c r="P343">
        <v>1</v>
      </c>
      <c r="Q343">
        <v>0</v>
      </c>
      <c r="R343">
        <v>0</v>
      </c>
      <c r="S343">
        <v>72</v>
      </c>
      <c r="T343">
        <v>65</v>
      </c>
      <c r="U343" s="5">
        <f>IF(Merge1[[#This Row],[team_defense_snaps]]=0, "", Merge1[[#This Row],[defense_snaps]] / Merge1[[#This Row],[team_defense_snaps]])</f>
        <v>0.98484848484848486</v>
      </c>
      <c r="V343">
        <v>66</v>
      </c>
      <c r="W343">
        <v>7</v>
      </c>
      <c r="X343" s="5" t="s">
        <v>135</v>
      </c>
      <c r="Y343">
        <v>4</v>
      </c>
      <c r="Z343">
        <v>0</v>
      </c>
      <c r="AA343" t="s">
        <v>25</v>
      </c>
      <c r="AB343" t="s">
        <v>26</v>
      </c>
      <c r="AC343" t="s">
        <v>27</v>
      </c>
      <c r="AD343" t="s">
        <v>42</v>
      </c>
      <c r="AE343" t="s">
        <v>25</v>
      </c>
      <c r="AF3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343" t="s">
        <v>942</v>
      </c>
      <c r="AH343">
        <v>63</v>
      </c>
      <c r="AI343" t="s">
        <v>939</v>
      </c>
      <c r="AJ343">
        <v>9</v>
      </c>
      <c r="AK3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MIN(AJ343/8, 1) +
  Merge1[[#This Row],[index_defensive_effort]],
  2
)</f>
        <v>1.66</v>
      </c>
    </row>
    <row r="344" spans="1:37" x14ac:dyDescent="0.25">
      <c r="A344" t="s">
        <v>222</v>
      </c>
      <c r="B344" t="s">
        <v>223</v>
      </c>
      <c r="C344">
        <v>28</v>
      </c>
      <c r="D344" t="s">
        <v>56</v>
      </c>
      <c r="E344">
        <v>70</v>
      </c>
      <c r="F344">
        <v>213</v>
      </c>
      <c r="G344" t="s">
        <v>107</v>
      </c>
      <c r="H344">
        <v>2020</v>
      </c>
      <c r="I344" t="s">
        <v>33</v>
      </c>
      <c r="J344">
        <v>9</v>
      </c>
      <c r="K344">
        <v>1</v>
      </c>
      <c r="L344">
        <v>1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8</v>
      </c>
      <c r="T344">
        <v>8</v>
      </c>
      <c r="U344" s="5">
        <f>IF(Merge1[[#This Row],[team_defense_snaps]]=0, "", Merge1[[#This Row],[defense_snaps]] / Merge1[[#This Row],[team_defense_snaps]])</f>
        <v>9.8765432098765427E-2</v>
      </c>
      <c r="V344">
        <v>81</v>
      </c>
      <c r="W344">
        <v>0</v>
      </c>
      <c r="X344" s="5" t="s">
        <v>29</v>
      </c>
      <c r="Y344">
        <v>4</v>
      </c>
      <c r="Z344">
        <v>0</v>
      </c>
      <c r="AA344" t="s">
        <v>25</v>
      </c>
      <c r="AB344" t="s">
        <v>26</v>
      </c>
      <c r="AC344" t="s">
        <v>27</v>
      </c>
      <c r="AD344" t="s">
        <v>42</v>
      </c>
      <c r="AE344" t="s">
        <v>25</v>
      </c>
      <c r="AF3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0.1875</v>
      </c>
      <c r="AG344" t="s">
        <v>942</v>
      </c>
      <c r="AH344">
        <v>66</v>
      </c>
      <c r="AI344" t="s">
        <v>939</v>
      </c>
      <c r="AJ344">
        <v>1</v>
      </c>
      <c r="AK3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MIN(AJ344/8, 1) +
  Merge1[[#This Row],[index_defensive_effort]],
  2
)</f>
        <v>0.91</v>
      </c>
    </row>
    <row r="345" spans="1:37" x14ac:dyDescent="0.25">
      <c r="A345" t="s">
        <v>186</v>
      </c>
      <c r="B345" t="s">
        <v>187</v>
      </c>
      <c r="C345">
        <v>29</v>
      </c>
      <c r="D345" t="s">
        <v>56</v>
      </c>
      <c r="E345">
        <v>69</v>
      </c>
      <c r="F345">
        <v>188</v>
      </c>
      <c r="G345" t="s">
        <v>67</v>
      </c>
      <c r="H345">
        <v>2020</v>
      </c>
      <c r="I345" t="s">
        <v>33</v>
      </c>
      <c r="J345">
        <v>1</v>
      </c>
      <c r="K345">
        <v>6</v>
      </c>
      <c r="L345">
        <v>2</v>
      </c>
      <c r="M345">
        <v>0</v>
      </c>
      <c r="N345">
        <v>2</v>
      </c>
      <c r="O345">
        <v>0</v>
      </c>
      <c r="P345">
        <v>1</v>
      </c>
      <c r="Q345">
        <v>0</v>
      </c>
      <c r="R345">
        <v>0</v>
      </c>
      <c r="S345">
        <v>85</v>
      </c>
      <c r="T345">
        <v>80</v>
      </c>
      <c r="U345" s="5">
        <f>IF(Merge1[[#This Row],[team_defense_snaps]]=0, "", Merge1[[#This Row],[defense_snaps]] / Merge1[[#This Row],[team_defense_snaps]])</f>
        <v>0.98765432098765427</v>
      </c>
      <c r="V345">
        <v>81</v>
      </c>
      <c r="W345">
        <v>5</v>
      </c>
      <c r="X345" s="5" t="s">
        <v>293</v>
      </c>
      <c r="Y345">
        <v>5</v>
      </c>
      <c r="Z345">
        <v>0</v>
      </c>
      <c r="AA345" t="s">
        <v>25</v>
      </c>
      <c r="AB345" t="s">
        <v>26</v>
      </c>
      <c r="AC345" t="s">
        <v>27</v>
      </c>
      <c r="AD345" t="s">
        <v>42</v>
      </c>
      <c r="AE345" t="s">
        <v>25</v>
      </c>
      <c r="AF3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0.10588235294117647</v>
      </c>
      <c r="AG345" t="s">
        <v>941</v>
      </c>
      <c r="AH345">
        <v>67.5</v>
      </c>
      <c r="AI345" t="s">
        <v>939</v>
      </c>
      <c r="AJ345">
        <v>2</v>
      </c>
      <c r="AK3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MIN(AJ345/8, 1) +
  Merge1[[#This Row],[index_defensive_effort]],
  2
)</f>
        <v>0.96</v>
      </c>
    </row>
    <row r="346" spans="1:37" x14ac:dyDescent="0.25">
      <c r="A346" t="s">
        <v>186</v>
      </c>
      <c r="B346" t="s">
        <v>187</v>
      </c>
      <c r="C346">
        <v>29</v>
      </c>
      <c r="D346" t="s">
        <v>56</v>
      </c>
      <c r="E346">
        <v>69</v>
      </c>
      <c r="F346">
        <v>188</v>
      </c>
      <c r="G346" t="s">
        <v>67</v>
      </c>
      <c r="H346">
        <v>2020</v>
      </c>
      <c r="I346" t="s">
        <v>33</v>
      </c>
      <c r="J346">
        <v>2</v>
      </c>
      <c r="K346">
        <v>5</v>
      </c>
      <c r="L346">
        <v>1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69</v>
      </c>
      <c r="T346">
        <v>65</v>
      </c>
      <c r="U346" s="5">
        <f>IF(Merge1[[#This Row],[team_defense_snaps]]=0, "", Merge1[[#This Row],[defense_snaps]] / Merge1[[#This Row],[team_defense_snaps]])</f>
        <v>1</v>
      </c>
      <c r="V346">
        <v>65</v>
      </c>
      <c r="W346">
        <v>4</v>
      </c>
      <c r="X346" s="5" t="s">
        <v>212</v>
      </c>
      <c r="Y346">
        <v>5</v>
      </c>
      <c r="Z346">
        <v>0</v>
      </c>
      <c r="AA346" t="s">
        <v>25</v>
      </c>
      <c r="AB346" t="s">
        <v>26</v>
      </c>
      <c r="AC346" t="s">
        <v>27</v>
      </c>
      <c r="AD346" t="s">
        <v>42</v>
      </c>
      <c r="AE346" t="s">
        <v>25</v>
      </c>
      <c r="AF3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7.9710144927536225E-2</v>
      </c>
      <c r="AG346" t="s">
        <v>941</v>
      </c>
      <c r="AH346">
        <v>75</v>
      </c>
      <c r="AI346" t="s">
        <v>939</v>
      </c>
      <c r="AJ346">
        <v>3</v>
      </c>
      <c r="AK3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MIN(AJ346/8, 1) +
  Merge1[[#This Row],[index_defensive_effort]],
  2
)</f>
        <v>1.05</v>
      </c>
    </row>
    <row r="347" spans="1:37" x14ac:dyDescent="0.25">
      <c r="A347" t="s">
        <v>186</v>
      </c>
      <c r="B347" t="s">
        <v>187</v>
      </c>
      <c r="C347">
        <v>29</v>
      </c>
      <c r="D347" t="s">
        <v>56</v>
      </c>
      <c r="E347">
        <v>69</v>
      </c>
      <c r="F347">
        <v>188</v>
      </c>
      <c r="G347" t="s">
        <v>67</v>
      </c>
      <c r="H347">
        <v>2020</v>
      </c>
      <c r="I347" t="s">
        <v>33</v>
      </c>
      <c r="J347">
        <v>3</v>
      </c>
      <c r="K347">
        <v>3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71</v>
      </c>
      <c r="T347">
        <v>66</v>
      </c>
      <c r="U347" s="5">
        <f>IF(Merge1[[#This Row],[team_defense_snaps]]=0, "", Merge1[[#This Row],[defense_snaps]] / Merge1[[#This Row],[team_defense_snaps]])</f>
        <v>0.97058823529411764</v>
      </c>
      <c r="V347">
        <v>68</v>
      </c>
      <c r="W347">
        <v>5</v>
      </c>
      <c r="X347" s="5" t="s">
        <v>181</v>
      </c>
      <c r="Y347">
        <v>5</v>
      </c>
      <c r="Z347">
        <v>0</v>
      </c>
      <c r="AA347" t="s">
        <v>25</v>
      </c>
      <c r="AB347" t="s">
        <v>26</v>
      </c>
      <c r="AC347" t="s">
        <v>27</v>
      </c>
      <c r="AD347" t="s">
        <v>42</v>
      </c>
      <c r="AE347" t="s">
        <v>25</v>
      </c>
      <c r="AF3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4.2253521126760563E-2</v>
      </c>
      <c r="AG347" t="s">
        <v>941</v>
      </c>
      <c r="AH347">
        <v>63</v>
      </c>
      <c r="AI347" t="s">
        <v>939</v>
      </c>
      <c r="AJ347">
        <v>4</v>
      </c>
      <c r="AK3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MIN(AJ347/8, 1) +
  Merge1[[#This Row],[index_defensive_effort]],
  2
)</f>
        <v>1.1399999999999999</v>
      </c>
    </row>
    <row r="348" spans="1:37" x14ac:dyDescent="0.25">
      <c r="A348" t="s">
        <v>186</v>
      </c>
      <c r="B348" t="s">
        <v>187</v>
      </c>
      <c r="C348">
        <v>29</v>
      </c>
      <c r="D348" t="s">
        <v>56</v>
      </c>
      <c r="E348">
        <v>69</v>
      </c>
      <c r="F348">
        <v>188</v>
      </c>
      <c r="G348" t="s">
        <v>67</v>
      </c>
      <c r="H348">
        <v>2020</v>
      </c>
      <c r="I348" t="s">
        <v>33</v>
      </c>
      <c r="J348">
        <v>4</v>
      </c>
      <c r="K348">
        <v>6</v>
      </c>
      <c r="L348">
        <v>1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84</v>
      </c>
      <c r="T348">
        <v>77</v>
      </c>
      <c r="U348" s="5">
        <f>IF(Merge1[[#This Row],[team_defense_snaps]]=0, "", Merge1[[#This Row],[defense_snaps]] / Merge1[[#This Row],[team_defense_snaps]])</f>
        <v>1</v>
      </c>
      <c r="V348">
        <v>77</v>
      </c>
      <c r="W348">
        <v>7</v>
      </c>
      <c r="X348" s="5" t="s">
        <v>293</v>
      </c>
      <c r="Y348">
        <v>5</v>
      </c>
      <c r="Z348">
        <v>0</v>
      </c>
      <c r="AA348" t="s">
        <v>25</v>
      </c>
      <c r="AB348" t="s">
        <v>26</v>
      </c>
      <c r="AC348" t="s">
        <v>27</v>
      </c>
      <c r="AD348" t="s">
        <v>42</v>
      </c>
      <c r="AE348" t="s">
        <v>25</v>
      </c>
      <c r="AF3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7.7380952380952384E-2</v>
      </c>
      <c r="AG348" t="s">
        <v>941</v>
      </c>
      <c r="AH348">
        <v>70.5</v>
      </c>
      <c r="AI348" t="s">
        <v>939</v>
      </c>
      <c r="AJ348">
        <v>1</v>
      </c>
      <c r="AK3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MIN(AJ348/8, 1) +
  Merge1[[#This Row],[index_defensive_effort]],
  2
)</f>
        <v>0.8</v>
      </c>
    </row>
    <row r="349" spans="1:37" x14ac:dyDescent="0.25">
      <c r="A349" t="s">
        <v>186</v>
      </c>
      <c r="B349" t="s">
        <v>187</v>
      </c>
      <c r="C349">
        <v>29</v>
      </c>
      <c r="D349" t="s">
        <v>56</v>
      </c>
      <c r="E349">
        <v>69</v>
      </c>
      <c r="F349">
        <v>188</v>
      </c>
      <c r="G349" t="s">
        <v>67</v>
      </c>
      <c r="H349">
        <v>2020</v>
      </c>
      <c r="I349" t="s">
        <v>33</v>
      </c>
      <c r="J349">
        <v>6</v>
      </c>
      <c r="K349">
        <v>2</v>
      </c>
      <c r="L349">
        <v>1</v>
      </c>
      <c r="M349">
        <v>0</v>
      </c>
      <c r="N349">
        <v>1</v>
      </c>
      <c r="O349">
        <v>0</v>
      </c>
      <c r="P349">
        <v>1</v>
      </c>
      <c r="Q349">
        <v>2</v>
      </c>
      <c r="R349">
        <v>0</v>
      </c>
      <c r="S349">
        <v>59</v>
      </c>
      <c r="T349">
        <v>57</v>
      </c>
      <c r="U349" s="5">
        <f>IF(Merge1[[#This Row],[team_defense_snaps]]=0, "", Merge1[[#This Row],[defense_snaps]] / Merge1[[#This Row],[team_defense_snaps]])</f>
        <v>1</v>
      </c>
      <c r="V349">
        <v>57</v>
      </c>
      <c r="W349">
        <v>2</v>
      </c>
      <c r="X349" s="5" t="s">
        <v>167</v>
      </c>
      <c r="Y349">
        <v>5</v>
      </c>
      <c r="Z349">
        <v>0</v>
      </c>
      <c r="AA349" t="s">
        <v>25</v>
      </c>
      <c r="AB349" t="s">
        <v>26</v>
      </c>
      <c r="AC349" t="s">
        <v>27</v>
      </c>
      <c r="AD349" t="s">
        <v>42</v>
      </c>
      <c r="AE349" t="s">
        <v>25</v>
      </c>
      <c r="AF3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0.21186440677966101</v>
      </c>
      <c r="AG349" t="s">
        <v>941</v>
      </c>
      <c r="AH349">
        <v>69</v>
      </c>
      <c r="AI349" t="s">
        <v>939</v>
      </c>
      <c r="AJ349">
        <v>2</v>
      </c>
      <c r="AK3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MIN(AJ349/8, 1) +
  Merge1[[#This Row],[index_defensive_effort]],
  2
)</f>
        <v>1.06</v>
      </c>
    </row>
    <row r="350" spans="1:37" x14ac:dyDescent="0.25">
      <c r="A350" t="s">
        <v>186</v>
      </c>
      <c r="B350" t="s">
        <v>187</v>
      </c>
      <c r="C350">
        <v>29</v>
      </c>
      <c r="D350" t="s">
        <v>56</v>
      </c>
      <c r="E350">
        <v>69</v>
      </c>
      <c r="F350">
        <v>188</v>
      </c>
      <c r="G350" t="s">
        <v>67</v>
      </c>
      <c r="H350">
        <v>2020</v>
      </c>
      <c r="I350" t="s">
        <v>33</v>
      </c>
      <c r="J350">
        <v>7</v>
      </c>
      <c r="K350">
        <v>4</v>
      </c>
      <c r="L350">
        <v>1</v>
      </c>
      <c r="M350">
        <v>0</v>
      </c>
      <c r="N350">
        <v>1</v>
      </c>
      <c r="O350">
        <v>0</v>
      </c>
      <c r="P350">
        <v>1</v>
      </c>
      <c r="Q350">
        <v>0</v>
      </c>
      <c r="R350">
        <v>0</v>
      </c>
      <c r="S350">
        <v>60</v>
      </c>
      <c r="T350">
        <v>51</v>
      </c>
      <c r="U350" s="5">
        <f>IF(Merge1[[#This Row],[team_defense_snaps]]=0, "", Merge1[[#This Row],[defense_snaps]] / Merge1[[#This Row],[team_defense_snaps]])</f>
        <v>1</v>
      </c>
      <c r="V350">
        <v>51</v>
      </c>
      <c r="W350">
        <v>9</v>
      </c>
      <c r="X350" s="5" t="s">
        <v>138</v>
      </c>
      <c r="Y350">
        <v>5</v>
      </c>
      <c r="Z350">
        <v>0</v>
      </c>
      <c r="AA350" t="s">
        <v>25</v>
      </c>
      <c r="AB350" t="s">
        <v>26</v>
      </c>
      <c r="AC350" t="s">
        <v>27</v>
      </c>
      <c r="AD350" t="s">
        <v>42</v>
      </c>
      <c r="AE350" t="s">
        <v>25</v>
      </c>
      <c r="AF3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0.10833333333333334</v>
      </c>
      <c r="AG350" t="s">
        <v>941</v>
      </c>
      <c r="AH350">
        <v>78</v>
      </c>
      <c r="AI350" t="s">
        <v>939</v>
      </c>
      <c r="AJ350">
        <v>3</v>
      </c>
      <c r="AK3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MIN(AJ350/8, 1) +
  Merge1[[#This Row],[index_defensive_effort]],
  2
)</f>
        <v>1.08</v>
      </c>
    </row>
    <row r="351" spans="1:37" x14ac:dyDescent="0.25">
      <c r="A351" t="s">
        <v>186</v>
      </c>
      <c r="B351" t="s">
        <v>187</v>
      </c>
      <c r="C351">
        <v>29</v>
      </c>
      <c r="D351" t="s">
        <v>56</v>
      </c>
      <c r="E351">
        <v>69</v>
      </c>
      <c r="F351">
        <v>188</v>
      </c>
      <c r="G351" t="s">
        <v>67</v>
      </c>
      <c r="H351">
        <v>2020</v>
      </c>
      <c r="I351" t="s">
        <v>33</v>
      </c>
      <c r="J351">
        <v>8</v>
      </c>
      <c r="K351">
        <v>3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2</v>
      </c>
      <c r="R351">
        <v>0</v>
      </c>
      <c r="S351">
        <v>96</v>
      </c>
      <c r="T351">
        <v>87</v>
      </c>
      <c r="U351" s="5">
        <f>IF(Merge1[[#This Row],[team_defense_snaps]]=0, "", Merge1[[#This Row],[defense_snaps]] / Merge1[[#This Row],[team_defense_snaps]])</f>
        <v>0.97752808988764039</v>
      </c>
      <c r="V351">
        <v>89</v>
      </c>
      <c r="W351">
        <v>9</v>
      </c>
      <c r="X351" s="5" t="s">
        <v>261</v>
      </c>
      <c r="Y351">
        <v>5</v>
      </c>
      <c r="Z351">
        <v>0</v>
      </c>
      <c r="AA351" t="s">
        <v>25</v>
      </c>
      <c r="AB351" t="s">
        <v>26</v>
      </c>
      <c r="AC351" t="s">
        <v>27</v>
      </c>
      <c r="AD351" t="s">
        <v>42</v>
      </c>
      <c r="AE351" t="s">
        <v>25</v>
      </c>
      <c r="AF3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0.11458333333333333</v>
      </c>
      <c r="AG351" t="s">
        <v>941</v>
      </c>
      <c r="AH351">
        <v>64.5</v>
      </c>
      <c r="AI351" t="s">
        <v>939</v>
      </c>
      <c r="AJ351">
        <v>1</v>
      </c>
      <c r="AK3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MIN(AJ351/8, 1) +
  Merge1[[#This Row],[index_defensive_effort]],
  2
)</f>
        <v>0.84</v>
      </c>
    </row>
    <row r="352" spans="1:37" x14ac:dyDescent="0.25">
      <c r="A352" t="s">
        <v>186</v>
      </c>
      <c r="B352" t="s">
        <v>187</v>
      </c>
      <c r="C352">
        <v>29</v>
      </c>
      <c r="D352" t="s">
        <v>56</v>
      </c>
      <c r="E352">
        <v>69</v>
      </c>
      <c r="F352">
        <v>188</v>
      </c>
      <c r="G352" t="s">
        <v>67</v>
      </c>
      <c r="H352">
        <v>2020</v>
      </c>
      <c r="I352" t="s">
        <v>33</v>
      </c>
      <c r="J352">
        <v>10</v>
      </c>
      <c r="K352">
        <v>3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70</v>
      </c>
      <c r="T352">
        <v>70</v>
      </c>
      <c r="U352" s="5">
        <f>IF(Merge1[[#This Row],[team_defense_snaps]]=0, "", Merge1[[#This Row],[defense_snaps]] / Merge1[[#This Row],[team_defense_snaps]])</f>
        <v>0.97222222222222221</v>
      </c>
      <c r="V352">
        <v>72</v>
      </c>
      <c r="W352">
        <v>0</v>
      </c>
      <c r="X352" s="5" t="s">
        <v>29</v>
      </c>
      <c r="Y352">
        <v>5</v>
      </c>
      <c r="Z352">
        <v>0</v>
      </c>
      <c r="AA352" t="s">
        <v>25</v>
      </c>
      <c r="AB352" t="s">
        <v>36</v>
      </c>
      <c r="AC352" t="s">
        <v>63</v>
      </c>
      <c r="AD352" t="s">
        <v>42</v>
      </c>
      <c r="AE352" t="s">
        <v>25</v>
      </c>
      <c r="AF3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4.2857142857142858E-2</v>
      </c>
      <c r="AG352" t="s">
        <v>941</v>
      </c>
      <c r="AH352">
        <v>73.5</v>
      </c>
      <c r="AI352" t="s">
        <v>939</v>
      </c>
      <c r="AJ352">
        <v>2</v>
      </c>
      <c r="AK3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MIN(AJ352/8, 1) +
  Merge1[[#This Row],[index_defensive_effort]],
  2
)</f>
        <v>0.89</v>
      </c>
    </row>
    <row r="353" spans="1:37" x14ac:dyDescent="0.25">
      <c r="A353" t="s">
        <v>186</v>
      </c>
      <c r="B353" t="s">
        <v>187</v>
      </c>
      <c r="C353">
        <v>29</v>
      </c>
      <c r="D353" t="s">
        <v>56</v>
      </c>
      <c r="E353">
        <v>69</v>
      </c>
      <c r="F353">
        <v>188</v>
      </c>
      <c r="G353" t="s">
        <v>67</v>
      </c>
      <c r="H353">
        <v>2020</v>
      </c>
      <c r="I353" t="s">
        <v>33</v>
      </c>
      <c r="J353">
        <v>11</v>
      </c>
      <c r="K353">
        <v>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65</v>
      </c>
      <c r="T353">
        <v>65</v>
      </c>
      <c r="U353" s="5">
        <f>IF(Merge1[[#This Row],[team_defense_snaps]]=0, "", Merge1[[#This Row],[defense_snaps]] / Merge1[[#This Row],[team_defense_snaps]])</f>
        <v>1</v>
      </c>
      <c r="V353">
        <v>65</v>
      </c>
      <c r="W353">
        <v>0</v>
      </c>
      <c r="X353" s="5" t="s">
        <v>29</v>
      </c>
      <c r="Y353">
        <v>5</v>
      </c>
      <c r="Z353">
        <v>0</v>
      </c>
      <c r="AA353" t="s">
        <v>25</v>
      </c>
      <c r="AB353" t="s">
        <v>36</v>
      </c>
      <c r="AC353" t="s">
        <v>188</v>
      </c>
      <c r="AD353" t="s">
        <v>42</v>
      </c>
      <c r="AE353" t="s">
        <v>25</v>
      </c>
      <c r="AF3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7.6923076923076927E-2</v>
      </c>
      <c r="AG353" t="s">
        <v>941</v>
      </c>
      <c r="AH353">
        <v>76.5</v>
      </c>
      <c r="AI353" t="s">
        <v>939</v>
      </c>
      <c r="AJ353">
        <v>3</v>
      </c>
      <c r="AK3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MIN(AJ353/8, 1) +
  Merge1[[#This Row],[index_defensive_effort]],
  2
)</f>
        <v>1.05</v>
      </c>
    </row>
    <row r="354" spans="1:37" x14ac:dyDescent="0.25">
      <c r="A354" t="s">
        <v>186</v>
      </c>
      <c r="B354" t="s">
        <v>187</v>
      </c>
      <c r="C354">
        <v>29</v>
      </c>
      <c r="D354" t="s">
        <v>56</v>
      </c>
      <c r="E354">
        <v>69</v>
      </c>
      <c r="F354">
        <v>188</v>
      </c>
      <c r="G354" t="s">
        <v>67</v>
      </c>
      <c r="H354">
        <v>2020</v>
      </c>
      <c r="I354" t="s">
        <v>33</v>
      </c>
      <c r="J354">
        <v>12</v>
      </c>
      <c r="K354">
        <v>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41</v>
      </c>
      <c r="T354">
        <v>37</v>
      </c>
      <c r="U354" s="5">
        <f>IF(Merge1[[#This Row],[team_defense_snaps]]=0, "", Merge1[[#This Row],[defense_snaps]] / Merge1[[#This Row],[team_defense_snaps]])</f>
        <v>0.578125</v>
      </c>
      <c r="V354">
        <v>64</v>
      </c>
      <c r="W354">
        <v>4</v>
      </c>
      <c r="X354" s="5" t="s">
        <v>168</v>
      </c>
      <c r="Y354">
        <v>5</v>
      </c>
      <c r="Z354">
        <v>0</v>
      </c>
      <c r="AA354" t="s">
        <v>25</v>
      </c>
      <c r="AB354" t="s">
        <v>36</v>
      </c>
      <c r="AC354" t="s">
        <v>190</v>
      </c>
      <c r="AD354" t="s">
        <v>42</v>
      </c>
      <c r="AE354" t="s">
        <v>25</v>
      </c>
      <c r="AF3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4.878048780487805E-2</v>
      </c>
      <c r="AG354" t="s">
        <v>941</v>
      </c>
      <c r="AH354">
        <v>61.5</v>
      </c>
      <c r="AI354" t="s">
        <v>938</v>
      </c>
      <c r="AJ354">
        <v>1</v>
      </c>
      <c r="AK3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MIN(AJ354/8, 1) +
  Merge1[[#This Row],[index_defensive_effort]],
  2
)</f>
        <v>0.77</v>
      </c>
    </row>
    <row r="355" spans="1:37" x14ac:dyDescent="0.25">
      <c r="A355" t="s">
        <v>198</v>
      </c>
      <c r="B355" t="s">
        <v>199</v>
      </c>
      <c r="C355">
        <v>23</v>
      </c>
      <c r="D355" t="s">
        <v>56</v>
      </c>
      <c r="E355">
        <v>73</v>
      </c>
      <c r="F355">
        <v>202</v>
      </c>
      <c r="G355" t="s">
        <v>107</v>
      </c>
      <c r="H355">
        <v>2020</v>
      </c>
      <c r="I355" t="s">
        <v>33</v>
      </c>
      <c r="J355">
        <v>9</v>
      </c>
      <c r="K355">
        <v>2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46</v>
      </c>
      <c r="T355">
        <v>39</v>
      </c>
      <c r="U355" s="5">
        <f>IF(Merge1[[#This Row],[team_defense_snaps]]=0, "", Merge1[[#This Row],[defense_snaps]] / Merge1[[#This Row],[team_defense_snaps]])</f>
        <v>0.48148148148148145</v>
      </c>
      <c r="V355">
        <v>81</v>
      </c>
      <c r="W355">
        <v>7</v>
      </c>
      <c r="X355" s="5" t="s">
        <v>137</v>
      </c>
      <c r="Y355">
        <v>0</v>
      </c>
      <c r="Z355">
        <v>0</v>
      </c>
      <c r="AA355" t="s">
        <v>25</v>
      </c>
      <c r="AB355" t="s">
        <v>62</v>
      </c>
      <c r="AC355" t="s">
        <v>27</v>
      </c>
      <c r="AD355" t="s">
        <v>28</v>
      </c>
      <c r="AE355" t="s">
        <v>25</v>
      </c>
      <c r="AF3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8.6956521739130432E-2</v>
      </c>
      <c r="AG355" t="s">
        <v>942</v>
      </c>
      <c r="AH355">
        <v>54</v>
      </c>
      <c r="AI355" t="s">
        <v>939</v>
      </c>
      <c r="AJ355">
        <v>1</v>
      </c>
      <c r="AK3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MIN(AJ355/8, 1) +
  Merge1[[#This Row],[index_defensive_effort]],
  2
)</f>
        <v>0.61</v>
      </c>
    </row>
    <row r="356" spans="1:37" x14ac:dyDescent="0.25">
      <c r="A356" t="s">
        <v>198</v>
      </c>
      <c r="B356" t="s">
        <v>199</v>
      </c>
      <c r="C356">
        <v>23</v>
      </c>
      <c r="D356" t="s">
        <v>56</v>
      </c>
      <c r="E356">
        <v>73</v>
      </c>
      <c r="F356">
        <v>202</v>
      </c>
      <c r="G356" t="s">
        <v>107</v>
      </c>
      <c r="H356">
        <v>2020</v>
      </c>
      <c r="I356" t="s">
        <v>33</v>
      </c>
      <c r="J356">
        <v>11</v>
      </c>
      <c r="K356">
        <v>8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94</v>
      </c>
      <c r="T356">
        <v>81</v>
      </c>
      <c r="U356" s="5">
        <f>IF(Merge1[[#This Row],[team_defense_snaps]]=0, "", Merge1[[#This Row],[defense_snaps]] / Merge1[[#This Row],[team_defense_snaps]])</f>
        <v>0.98780487804878048</v>
      </c>
      <c r="V356">
        <v>82</v>
      </c>
      <c r="W356">
        <v>13</v>
      </c>
      <c r="X356" s="5" t="s">
        <v>75</v>
      </c>
      <c r="Y356">
        <v>0</v>
      </c>
      <c r="Z356">
        <v>0</v>
      </c>
      <c r="AA356" t="s">
        <v>25</v>
      </c>
      <c r="AB356" t="s">
        <v>26</v>
      </c>
      <c r="AC356" t="s">
        <v>27</v>
      </c>
      <c r="AD356" t="s">
        <v>42</v>
      </c>
      <c r="AE356" t="s">
        <v>25</v>
      </c>
      <c r="AF3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0.10638297872340426</v>
      </c>
      <c r="AG356" t="s">
        <v>942</v>
      </c>
      <c r="AH356">
        <v>60</v>
      </c>
      <c r="AI356" t="s">
        <v>939</v>
      </c>
      <c r="AJ356">
        <v>2</v>
      </c>
      <c r="AK3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MIN(AJ356/8, 1) +
  Merge1[[#This Row],[index_defensive_effort]],
  2
)</f>
        <v>0.76</v>
      </c>
    </row>
    <row r="357" spans="1:37" x14ac:dyDescent="0.25">
      <c r="A357" t="s">
        <v>198</v>
      </c>
      <c r="B357" t="s">
        <v>199</v>
      </c>
      <c r="C357">
        <v>23</v>
      </c>
      <c r="D357" t="s">
        <v>56</v>
      </c>
      <c r="E357">
        <v>73</v>
      </c>
      <c r="F357">
        <v>202</v>
      </c>
      <c r="G357" t="s">
        <v>107</v>
      </c>
      <c r="H357">
        <v>2020</v>
      </c>
      <c r="I357" t="s">
        <v>33</v>
      </c>
      <c r="J357">
        <v>12</v>
      </c>
      <c r="K357">
        <v>5</v>
      </c>
      <c r="L357">
        <v>1</v>
      </c>
      <c r="M357">
        <v>0</v>
      </c>
      <c r="N357">
        <v>1</v>
      </c>
      <c r="O357">
        <v>0</v>
      </c>
      <c r="P357">
        <v>1</v>
      </c>
      <c r="Q357">
        <v>0</v>
      </c>
      <c r="R357">
        <v>0</v>
      </c>
      <c r="S357">
        <v>76</v>
      </c>
      <c r="T357">
        <v>71</v>
      </c>
      <c r="U357" s="5">
        <f>IF(Merge1[[#This Row],[team_defense_snaps]]=0, "", Merge1[[#This Row],[defense_snaps]] / Merge1[[#This Row],[team_defense_snaps]])</f>
        <v>1</v>
      </c>
      <c r="V357">
        <v>71</v>
      </c>
      <c r="W357">
        <v>5</v>
      </c>
      <c r="X357" s="5" t="s">
        <v>139</v>
      </c>
      <c r="Y357">
        <v>0</v>
      </c>
      <c r="Z357">
        <v>0</v>
      </c>
      <c r="AA357" t="s">
        <v>25</v>
      </c>
      <c r="AB357" t="s">
        <v>26</v>
      </c>
      <c r="AC357" t="s">
        <v>27</v>
      </c>
      <c r="AD357" t="s">
        <v>42</v>
      </c>
      <c r="AE357" t="s">
        <v>25</v>
      </c>
      <c r="AF3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9.8684210526315791E-2</v>
      </c>
      <c r="AG357" t="s">
        <v>942</v>
      </c>
      <c r="AH357">
        <v>57</v>
      </c>
      <c r="AI357" t="s">
        <v>939</v>
      </c>
      <c r="AJ357">
        <v>3</v>
      </c>
      <c r="AK3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MIN(AJ357/8, 1) +
  Merge1[[#This Row],[index_defensive_effort]],
  2
)</f>
        <v>0.87</v>
      </c>
    </row>
    <row r="358" spans="1:37" x14ac:dyDescent="0.25">
      <c r="A358" t="s">
        <v>198</v>
      </c>
      <c r="B358" t="s">
        <v>199</v>
      </c>
      <c r="C358">
        <v>23</v>
      </c>
      <c r="D358" t="s">
        <v>56</v>
      </c>
      <c r="E358">
        <v>73</v>
      </c>
      <c r="F358">
        <v>202</v>
      </c>
      <c r="G358" t="s">
        <v>107</v>
      </c>
      <c r="H358">
        <v>2020</v>
      </c>
      <c r="I358" t="s">
        <v>33</v>
      </c>
      <c r="J358">
        <v>13</v>
      </c>
      <c r="K358">
        <v>7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85</v>
      </c>
      <c r="T358">
        <v>78</v>
      </c>
      <c r="U358" s="5">
        <f>IF(Merge1[[#This Row],[team_defense_snaps]]=0, "", Merge1[[#This Row],[defense_snaps]] / Merge1[[#This Row],[team_defense_snaps]])</f>
        <v>0.98734177215189878</v>
      </c>
      <c r="V358">
        <v>79</v>
      </c>
      <c r="W358">
        <v>7</v>
      </c>
      <c r="X358" s="5" t="s">
        <v>136</v>
      </c>
      <c r="Y358">
        <v>0</v>
      </c>
      <c r="Z358">
        <v>0</v>
      </c>
      <c r="AA358" t="s">
        <v>25</v>
      </c>
      <c r="AB358" t="s">
        <v>26</v>
      </c>
      <c r="AC358" t="s">
        <v>27</v>
      </c>
      <c r="AD358" t="s">
        <v>42</v>
      </c>
      <c r="AE358" t="s">
        <v>25</v>
      </c>
      <c r="AF3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8.2352941176470587E-2</v>
      </c>
      <c r="AG358" t="s">
        <v>942</v>
      </c>
      <c r="AH358">
        <v>55.5</v>
      </c>
      <c r="AI358" t="s">
        <v>939</v>
      </c>
      <c r="AJ358">
        <v>4</v>
      </c>
      <c r="AK3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MIN(AJ358/8, 1) +
  Merge1[[#This Row],[index_defensive_effort]],
  2
)</f>
        <v>0.98</v>
      </c>
    </row>
    <row r="359" spans="1:37" x14ac:dyDescent="0.25">
      <c r="A359" t="s">
        <v>198</v>
      </c>
      <c r="B359" t="s">
        <v>199</v>
      </c>
      <c r="C359">
        <v>23</v>
      </c>
      <c r="D359" t="s">
        <v>56</v>
      </c>
      <c r="E359">
        <v>73</v>
      </c>
      <c r="F359">
        <v>202</v>
      </c>
      <c r="G359" t="s">
        <v>107</v>
      </c>
      <c r="H359">
        <v>2020</v>
      </c>
      <c r="I359" t="s">
        <v>33</v>
      </c>
      <c r="J359">
        <v>14</v>
      </c>
      <c r="K359">
        <v>3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74</v>
      </c>
      <c r="T359">
        <v>73</v>
      </c>
      <c r="U359" s="5">
        <f>IF(Merge1[[#This Row],[team_defense_snaps]]=0, "", Merge1[[#This Row],[defense_snaps]] / Merge1[[#This Row],[team_defense_snaps]])</f>
        <v>1</v>
      </c>
      <c r="V359">
        <v>73</v>
      </c>
      <c r="W359">
        <v>1</v>
      </c>
      <c r="X359" s="5" t="s">
        <v>193</v>
      </c>
      <c r="Y359">
        <v>0</v>
      </c>
      <c r="Z359">
        <v>0</v>
      </c>
      <c r="AA359" t="s">
        <v>25</v>
      </c>
      <c r="AB359" t="s">
        <v>26</v>
      </c>
      <c r="AC359" t="s">
        <v>27</v>
      </c>
      <c r="AD359" t="s">
        <v>42</v>
      </c>
      <c r="AE359" t="s">
        <v>25</v>
      </c>
      <c r="AF3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4.0540540540540543E-2</v>
      </c>
      <c r="AG359" t="s">
        <v>942</v>
      </c>
      <c r="AH359">
        <v>49.5</v>
      </c>
      <c r="AI359" t="s">
        <v>939</v>
      </c>
      <c r="AJ359">
        <v>5</v>
      </c>
      <c r="AK3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MIN(AJ359/8, 1) +
  Merge1[[#This Row],[index_defensive_effort]],
  2
)</f>
        <v>1.07</v>
      </c>
    </row>
    <row r="360" spans="1:37" x14ac:dyDescent="0.25">
      <c r="A360" t="s">
        <v>198</v>
      </c>
      <c r="B360" t="s">
        <v>199</v>
      </c>
      <c r="C360">
        <v>23</v>
      </c>
      <c r="D360" t="s">
        <v>56</v>
      </c>
      <c r="E360">
        <v>73</v>
      </c>
      <c r="F360">
        <v>202</v>
      </c>
      <c r="G360" t="s">
        <v>107</v>
      </c>
      <c r="H360">
        <v>2020</v>
      </c>
      <c r="I360" t="s">
        <v>33</v>
      </c>
      <c r="J360">
        <v>15</v>
      </c>
      <c r="K360">
        <v>5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2</v>
      </c>
      <c r="R360">
        <v>0</v>
      </c>
      <c r="S360">
        <v>59</v>
      </c>
      <c r="T360">
        <v>59</v>
      </c>
      <c r="U360" s="5">
        <f>IF(Merge1[[#This Row],[team_defense_snaps]]=0, "", Merge1[[#This Row],[defense_snaps]] / Merge1[[#This Row],[team_defense_snaps]])</f>
        <v>1</v>
      </c>
      <c r="V360">
        <v>59</v>
      </c>
      <c r="W360">
        <v>0</v>
      </c>
      <c r="X360" s="5" t="s">
        <v>29</v>
      </c>
      <c r="Y360">
        <v>0</v>
      </c>
      <c r="Z360">
        <v>0</v>
      </c>
      <c r="AA360" t="s">
        <v>25</v>
      </c>
      <c r="AB360" t="s">
        <v>26</v>
      </c>
      <c r="AC360" t="s">
        <v>27</v>
      </c>
      <c r="AD360" t="s">
        <v>42</v>
      </c>
      <c r="AE360" t="s">
        <v>25</v>
      </c>
      <c r="AF3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0.22033898305084745</v>
      </c>
      <c r="AG360" t="s">
        <v>942</v>
      </c>
      <c r="AH360">
        <v>48</v>
      </c>
      <c r="AI360" t="s">
        <v>939</v>
      </c>
      <c r="AJ360">
        <v>6</v>
      </c>
      <c r="AK3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MIN(AJ360/8, 1) +
  Merge1[[#This Row],[index_defensive_effort]],
  2
)</f>
        <v>1.37</v>
      </c>
    </row>
    <row r="361" spans="1:37" x14ac:dyDescent="0.25">
      <c r="A361" t="s">
        <v>198</v>
      </c>
      <c r="B361" t="s">
        <v>199</v>
      </c>
      <c r="C361">
        <v>23</v>
      </c>
      <c r="D361" t="s">
        <v>56</v>
      </c>
      <c r="E361">
        <v>73</v>
      </c>
      <c r="F361">
        <v>202</v>
      </c>
      <c r="G361" t="s">
        <v>107</v>
      </c>
      <c r="H361">
        <v>2020</v>
      </c>
      <c r="I361" t="s">
        <v>33</v>
      </c>
      <c r="J361">
        <v>16</v>
      </c>
      <c r="K361">
        <v>2</v>
      </c>
      <c r="L361">
        <v>3</v>
      </c>
      <c r="M361">
        <v>2</v>
      </c>
      <c r="N361">
        <v>5</v>
      </c>
      <c r="O361">
        <v>0</v>
      </c>
      <c r="P361">
        <v>0</v>
      </c>
      <c r="Q361">
        <v>0</v>
      </c>
      <c r="R361">
        <v>0</v>
      </c>
      <c r="S361">
        <v>81</v>
      </c>
      <c r="T361">
        <v>81</v>
      </c>
      <c r="U361" s="5">
        <f>IF(Merge1[[#This Row],[team_defense_snaps]]=0, "", Merge1[[#This Row],[defense_snaps]] / Merge1[[#This Row],[team_defense_snaps]])</f>
        <v>1</v>
      </c>
      <c r="V361">
        <v>81</v>
      </c>
      <c r="W361">
        <v>0</v>
      </c>
      <c r="X361" s="5" t="s">
        <v>29</v>
      </c>
      <c r="Y361">
        <v>0</v>
      </c>
      <c r="Z361">
        <v>0</v>
      </c>
      <c r="AA361" t="s">
        <v>25</v>
      </c>
      <c r="AB361" t="s">
        <v>26</v>
      </c>
      <c r="AC361" t="s">
        <v>27</v>
      </c>
      <c r="AD361" t="s">
        <v>42</v>
      </c>
      <c r="AE361" t="s">
        <v>25</v>
      </c>
      <c r="AF3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361" t="s">
        <v>942</v>
      </c>
      <c r="AH361">
        <v>51</v>
      </c>
      <c r="AI361" t="s">
        <v>939</v>
      </c>
      <c r="AJ361">
        <v>7</v>
      </c>
      <c r="AK3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MIN(AJ361/8, 1) +
  Merge1[[#This Row],[index_defensive_effort]],
  2
)</f>
        <v>1.33</v>
      </c>
    </row>
    <row r="362" spans="1:37" x14ac:dyDescent="0.25">
      <c r="A362" t="s">
        <v>198</v>
      </c>
      <c r="B362" t="s">
        <v>199</v>
      </c>
      <c r="C362">
        <v>23</v>
      </c>
      <c r="D362" t="s">
        <v>56</v>
      </c>
      <c r="E362">
        <v>73</v>
      </c>
      <c r="F362">
        <v>202</v>
      </c>
      <c r="G362" t="s">
        <v>107</v>
      </c>
      <c r="H362">
        <v>2020</v>
      </c>
      <c r="I362" t="s">
        <v>33</v>
      </c>
      <c r="J362">
        <v>17</v>
      </c>
      <c r="K362">
        <v>2</v>
      </c>
      <c r="L362">
        <v>1</v>
      </c>
      <c r="M362">
        <v>1</v>
      </c>
      <c r="N362">
        <v>2</v>
      </c>
      <c r="O362">
        <v>0</v>
      </c>
      <c r="P362">
        <v>0</v>
      </c>
      <c r="Q362">
        <v>0</v>
      </c>
      <c r="R362">
        <v>0</v>
      </c>
      <c r="S362">
        <v>72</v>
      </c>
      <c r="T362">
        <v>65</v>
      </c>
      <c r="U362" s="5">
        <f>IF(Merge1[[#This Row],[team_defense_snaps]]=0, "", Merge1[[#This Row],[defense_snaps]] / Merge1[[#This Row],[team_defense_snaps]])</f>
        <v>1</v>
      </c>
      <c r="V362">
        <v>65</v>
      </c>
      <c r="W362">
        <v>7</v>
      </c>
      <c r="X362" s="5" t="s">
        <v>261</v>
      </c>
      <c r="Y362">
        <v>0</v>
      </c>
      <c r="Z362">
        <v>0</v>
      </c>
      <c r="AA362" t="s">
        <v>25</v>
      </c>
      <c r="AB362" t="s">
        <v>26</v>
      </c>
      <c r="AC362" t="s">
        <v>27</v>
      </c>
      <c r="AD362" t="s">
        <v>42</v>
      </c>
      <c r="AE362" t="s">
        <v>25</v>
      </c>
      <c r="AF3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362" t="s">
        <v>942</v>
      </c>
      <c r="AH362">
        <v>52.5</v>
      </c>
      <c r="AI362" t="s">
        <v>939</v>
      </c>
      <c r="AJ362">
        <v>1</v>
      </c>
      <c r="AK3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MIN(AJ362/8, 1) +
  Merge1[[#This Row],[index_defensive_effort]],
  2
)</f>
        <v>0.56999999999999995</v>
      </c>
    </row>
    <row r="363" spans="1:37" x14ac:dyDescent="0.25">
      <c r="A363" t="s">
        <v>151</v>
      </c>
      <c r="B363" t="s">
        <v>152</v>
      </c>
      <c r="C363">
        <v>24</v>
      </c>
      <c r="D363" t="s">
        <v>22</v>
      </c>
      <c r="E363">
        <v>70</v>
      </c>
      <c r="F363">
        <v>195</v>
      </c>
      <c r="G363" t="s">
        <v>153</v>
      </c>
      <c r="H363">
        <v>2020</v>
      </c>
      <c r="I363" t="s">
        <v>33</v>
      </c>
      <c r="J363">
        <v>1</v>
      </c>
      <c r="K363">
        <v>9</v>
      </c>
      <c r="L363">
        <v>6</v>
      </c>
      <c r="M363">
        <v>1</v>
      </c>
      <c r="N363">
        <v>7</v>
      </c>
      <c r="O363">
        <v>0</v>
      </c>
      <c r="P363">
        <v>1</v>
      </c>
      <c r="Q363">
        <v>0</v>
      </c>
      <c r="R363">
        <v>0</v>
      </c>
      <c r="S363">
        <v>63</v>
      </c>
      <c r="T363">
        <v>62</v>
      </c>
      <c r="U363" s="5">
        <f>IF(Merge1[[#This Row],[team_defense_snaps]]=0, "", Merge1[[#This Row],[defense_snaps]] / Merge1[[#This Row],[team_defense_snaps]])</f>
        <v>0.92537313432835822</v>
      </c>
      <c r="V363">
        <v>67</v>
      </c>
      <c r="W363">
        <v>1</v>
      </c>
      <c r="X363" s="5" t="s">
        <v>193</v>
      </c>
      <c r="Y363">
        <v>3</v>
      </c>
      <c r="Z363">
        <v>0</v>
      </c>
      <c r="AA363" t="s">
        <v>25</v>
      </c>
      <c r="AB363" t="s">
        <v>26</v>
      </c>
      <c r="AC363" t="s">
        <v>27</v>
      </c>
      <c r="AD363" t="s">
        <v>42</v>
      </c>
      <c r="AE363" t="s">
        <v>25</v>
      </c>
      <c r="AF3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0.23015873015873015</v>
      </c>
      <c r="AG363" t="s">
        <v>941</v>
      </c>
      <c r="AH363">
        <v>95</v>
      </c>
      <c r="AI363" t="s">
        <v>939</v>
      </c>
      <c r="AJ363">
        <v>2</v>
      </c>
      <c r="AK3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MIN(AJ363/8, 1) +
  Merge1[[#This Row],[index_defensive_effort]],
  2
)</f>
        <v>0.98</v>
      </c>
    </row>
    <row r="364" spans="1:37" x14ac:dyDescent="0.25">
      <c r="A364" t="s">
        <v>151</v>
      </c>
      <c r="B364" t="s">
        <v>152</v>
      </c>
      <c r="C364">
        <v>24</v>
      </c>
      <c r="D364" t="s">
        <v>22</v>
      </c>
      <c r="E364">
        <v>70</v>
      </c>
      <c r="F364">
        <v>195</v>
      </c>
      <c r="G364" t="s">
        <v>153</v>
      </c>
      <c r="H364">
        <v>2020</v>
      </c>
      <c r="I364" t="s">
        <v>33</v>
      </c>
      <c r="J364">
        <v>2</v>
      </c>
      <c r="K364">
        <v>4</v>
      </c>
      <c r="L364">
        <v>1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68</v>
      </c>
      <c r="T364">
        <v>65</v>
      </c>
      <c r="U364" s="5">
        <f>IF(Merge1[[#This Row],[team_defense_snaps]]=0, "", Merge1[[#This Row],[defense_snaps]] / Merge1[[#This Row],[team_defense_snaps]])</f>
        <v>0.98484848484848486</v>
      </c>
      <c r="V364">
        <v>66</v>
      </c>
      <c r="W364">
        <v>3</v>
      </c>
      <c r="X364" s="5" t="s">
        <v>35</v>
      </c>
      <c r="Y364">
        <v>3</v>
      </c>
      <c r="Z364">
        <v>0</v>
      </c>
      <c r="AA364" t="s">
        <v>25</v>
      </c>
      <c r="AB364" t="s">
        <v>26</v>
      </c>
      <c r="AC364" t="s">
        <v>27</v>
      </c>
      <c r="AD364" t="s">
        <v>42</v>
      </c>
      <c r="AE364" t="s">
        <v>25</v>
      </c>
      <c r="AF3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6.6176470588235295E-2</v>
      </c>
      <c r="AG364" t="s">
        <v>941</v>
      </c>
      <c r="AH364">
        <v>93.5</v>
      </c>
      <c r="AI364" t="s">
        <v>939</v>
      </c>
      <c r="AJ364">
        <v>3</v>
      </c>
      <c r="AK3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MIN(AJ364/8, 1) +
  Merge1[[#This Row],[index_defensive_effort]],
  2
)</f>
        <v>0.94</v>
      </c>
    </row>
    <row r="365" spans="1:37" x14ac:dyDescent="0.25">
      <c r="A365" t="s">
        <v>151</v>
      </c>
      <c r="B365" t="s">
        <v>152</v>
      </c>
      <c r="C365">
        <v>24</v>
      </c>
      <c r="D365" t="s">
        <v>22</v>
      </c>
      <c r="E365">
        <v>70</v>
      </c>
      <c r="F365">
        <v>195</v>
      </c>
      <c r="G365" t="s">
        <v>153</v>
      </c>
      <c r="H365">
        <v>2020</v>
      </c>
      <c r="I365" t="s">
        <v>33</v>
      </c>
      <c r="J365">
        <v>3</v>
      </c>
      <c r="K365">
        <v>9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66</v>
      </c>
      <c r="T365">
        <v>65</v>
      </c>
      <c r="U365" s="5">
        <f>IF(Merge1[[#This Row],[team_defense_snaps]]=0, "", Merge1[[#This Row],[defense_snaps]] / Merge1[[#This Row],[team_defense_snaps]])</f>
        <v>0.97014925373134331</v>
      </c>
      <c r="V365">
        <v>67</v>
      </c>
      <c r="W365">
        <v>1</v>
      </c>
      <c r="X365" s="5" t="s">
        <v>193</v>
      </c>
      <c r="Y365">
        <v>3</v>
      </c>
      <c r="Z365">
        <v>0</v>
      </c>
      <c r="AA365" t="s">
        <v>25</v>
      </c>
      <c r="AB365" t="s">
        <v>26</v>
      </c>
      <c r="AC365" t="s">
        <v>27</v>
      </c>
      <c r="AD365" t="s">
        <v>42</v>
      </c>
      <c r="AE365" t="s">
        <v>25</v>
      </c>
      <c r="AF3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0.13636363636363635</v>
      </c>
      <c r="AG365" t="s">
        <v>941</v>
      </c>
      <c r="AH365">
        <v>92</v>
      </c>
      <c r="AI365" t="s">
        <v>939</v>
      </c>
      <c r="AJ365">
        <v>1</v>
      </c>
      <c r="AK3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MIN(AJ365/8, 1) +
  Merge1[[#This Row],[index_defensive_effort]],
  2
)</f>
        <v>0.76</v>
      </c>
    </row>
    <row r="366" spans="1:37" x14ac:dyDescent="0.25">
      <c r="A366" t="s">
        <v>151</v>
      </c>
      <c r="B366" t="s">
        <v>152</v>
      </c>
      <c r="C366">
        <v>24</v>
      </c>
      <c r="D366" t="s">
        <v>22</v>
      </c>
      <c r="E366">
        <v>70</v>
      </c>
      <c r="F366">
        <v>195</v>
      </c>
      <c r="G366" t="s">
        <v>153</v>
      </c>
      <c r="H366">
        <v>2020</v>
      </c>
      <c r="I366" t="s">
        <v>33</v>
      </c>
      <c r="J366">
        <v>5</v>
      </c>
      <c r="K366">
        <v>10</v>
      </c>
      <c r="L366">
        <v>3</v>
      </c>
      <c r="M366">
        <v>2</v>
      </c>
      <c r="N366">
        <v>5</v>
      </c>
      <c r="O366">
        <v>4</v>
      </c>
      <c r="P366">
        <v>4</v>
      </c>
      <c r="Q366">
        <v>0</v>
      </c>
      <c r="R366">
        <v>0</v>
      </c>
      <c r="S366">
        <v>74</v>
      </c>
      <c r="T366">
        <v>69</v>
      </c>
      <c r="U366" s="5">
        <f>IF(Merge1[[#This Row],[team_defense_snaps]]=0, "", Merge1[[#This Row],[defense_snaps]] / Merge1[[#This Row],[team_defense_snaps]])</f>
        <v>1</v>
      </c>
      <c r="V366">
        <v>69</v>
      </c>
      <c r="W366">
        <v>5</v>
      </c>
      <c r="X366" s="5" t="s">
        <v>58</v>
      </c>
      <c r="Y366">
        <v>3</v>
      </c>
      <c r="Z366">
        <v>0</v>
      </c>
      <c r="AA366" t="s">
        <v>25</v>
      </c>
      <c r="AB366" t="s">
        <v>26</v>
      </c>
      <c r="AC366" t="s">
        <v>27</v>
      </c>
      <c r="AD366" t="s">
        <v>42</v>
      </c>
      <c r="AE366" t="s">
        <v>25</v>
      </c>
      <c r="AF3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0.4391891891891892</v>
      </c>
      <c r="AG366" t="s">
        <v>941</v>
      </c>
      <c r="AH366">
        <v>89</v>
      </c>
      <c r="AI366" t="s">
        <v>939</v>
      </c>
      <c r="AJ366">
        <v>2</v>
      </c>
      <c r="AK3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MIN(AJ366/8, 1) +
  Merge1[[#This Row],[index_defensive_effort]],
  2
)</f>
        <v>1.19</v>
      </c>
    </row>
    <row r="367" spans="1:37" x14ac:dyDescent="0.25">
      <c r="A367" t="s">
        <v>151</v>
      </c>
      <c r="B367" t="s">
        <v>152</v>
      </c>
      <c r="C367">
        <v>24</v>
      </c>
      <c r="D367" t="s">
        <v>22</v>
      </c>
      <c r="E367">
        <v>70</v>
      </c>
      <c r="F367">
        <v>195</v>
      </c>
      <c r="G367" t="s">
        <v>153</v>
      </c>
      <c r="H367">
        <v>2020</v>
      </c>
      <c r="I367" t="s">
        <v>33</v>
      </c>
      <c r="J367">
        <v>6</v>
      </c>
      <c r="K367">
        <v>12</v>
      </c>
      <c r="L367">
        <v>0</v>
      </c>
      <c r="M367">
        <v>0</v>
      </c>
      <c r="N367">
        <v>0</v>
      </c>
      <c r="O367">
        <v>4</v>
      </c>
      <c r="P367">
        <v>5</v>
      </c>
      <c r="Q367">
        <v>2</v>
      </c>
      <c r="R367">
        <v>2</v>
      </c>
      <c r="S367">
        <v>84</v>
      </c>
      <c r="T367">
        <v>81</v>
      </c>
      <c r="U367" s="5">
        <f>IF(Merge1[[#This Row],[team_defense_snaps]]=0, "", Merge1[[#This Row],[defense_snaps]] / Merge1[[#This Row],[team_defense_snaps]])</f>
        <v>0.9101123595505618</v>
      </c>
      <c r="V367">
        <v>89</v>
      </c>
      <c r="W367">
        <v>3</v>
      </c>
      <c r="X367" s="5" t="s">
        <v>251</v>
      </c>
      <c r="Y367">
        <v>3</v>
      </c>
      <c r="Z367">
        <v>0</v>
      </c>
      <c r="AA367" t="s">
        <v>25</v>
      </c>
      <c r="AB367" t="s">
        <v>26</v>
      </c>
      <c r="AC367" t="s">
        <v>27</v>
      </c>
      <c r="AD367" t="s">
        <v>42</v>
      </c>
      <c r="AE367" t="s">
        <v>25</v>
      </c>
      <c r="AF3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0.54761904761904767</v>
      </c>
      <c r="AG367" t="s">
        <v>941</v>
      </c>
      <c r="AH367">
        <v>87.5</v>
      </c>
      <c r="AI367" t="s">
        <v>939</v>
      </c>
      <c r="AJ367">
        <v>3</v>
      </c>
      <c r="AK3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MIN(AJ367/8, 1) +
  Merge1[[#This Row],[index_defensive_effort]],
  2
)</f>
        <v>1.42</v>
      </c>
    </row>
    <row r="368" spans="1:37" x14ac:dyDescent="0.25">
      <c r="A368" t="s">
        <v>151</v>
      </c>
      <c r="B368" t="s">
        <v>152</v>
      </c>
      <c r="C368">
        <v>24</v>
      </c>
      <c r="D368" t="s">
        <v>22</v>
      </c>
      <c r="E368">
        <v>70</v>
      </c>
      <c r="F368">
        <v>195</v>
      </c>
      <c r="G368" t="s">
        <v>153</v>
      </c>
      <c r="H368">
        <v>2020</v>
      </c>
      <c r="I368" t="s">
        <v>33</v>
      </c>
      <c r="J368">
        <v>7</v>
      </c>
      <c r="K368">
        <v>14</v>
      </c>
      <c r="L368">
        <v>3</v>
      </c>
      <c r="M368">
        <v>0</v>
      </c>
      <c r="N368">
        <v>3</v>
      </c>
      <c r="O368">
        <v>0</v>
      </c>
      <c r="P368">
        <v>1</v>
      </c>
      <c r="Q368">
        <v>2</v>
      </c>
      <c r="R368">
        <v>0</v>
      </c>
      <c r="S368">
        <v>81</v>
      </c>
      <c r="T368">
        <v>81</v>
      </c>
      <c r="U368" s="5">
        <f>IF(Merge1[[#This Row],[team_defense_snaps]]=0, "", Merge1[[#This Row],[defense_snaps]] / Merge1[[#This Row],[team_defense_snaps]])</f>
        <v>0.9642857142857143</v>
      </c>
      <c r="V368">
        <v>84</v>
      </c>
      <c r="W368">
        <v>0</v>
      </c>
      <c r="X368" s="5" t="s">
        <v>29</v>
      </c>
      <c r="Y368">
        <v>3</v>
      </c>
      <c r="Z368">
        <v>0</v>
      </c>
      <c r="AA368" t="s">
        <v>25</v>
      </c>
      <c r="AB368" t="s">
        <v>26</v>
      </c>
      <c r="AC368" t="s">
        <v>27</v>
      </c>
      <c r="AD368" t="s">
        <v>42</v>
      </c>
      <c r="AE368" t="s">
        <v>25</v>
      </c>
      <c r="AF3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0.31481481481481483</v>
      </c>
      <c r="AG368" t="s">
        <v>941</v>
      </c>
      <c r="AH368">
        <v>86</v>
      </c>
      <c r="AI368" t="s">
        <v>939</v>
      </c>
      <c r="AJ368">
        <v>1</v>
      </c>
      <c r="AK3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MIN(AJ368/8, 1) +
  Merge1[[#This Row],[index_defensive_effort]],
  2
)</f>
        <v>0.94</v>
      </c>
    </row>
    <row r="369" spans="1:37" x14ac:dyDescent="0.25">
      <c r="A369" t="s">
        <v>151</v>
      </c>
      <c r="B369" t="s">
        <v>152</v>
      </c>
      <c r="C369">
        <v>24</v>
      </c>
      <c r="D369" t="s">
        <v>22</v>
      </c>
      <c r="E369">
        <v>70</v>
      </c>
      <c r="F369">
        <v>195</v>
      </c>
      <c r="G369" t="s">
        <v>153</v>
      </c>
      <c r="H369">
        <v>2020</v>
      </c>
      <c r="I369" t="s">
        <v>33</v>
      </c>
      <c r="J369">
        <v>9</v>
      </c>
      <c r="K369">
        <v>2</v>
      </c>
      <c r="L369">
        <v>3</v>
      </c>
      <c r="M369">
        <v>1</v>
      </c>
      <c r="N369">
        <v>4</v>
      </c>
      <c r="O369">
        <v>0</v>
      </c>
      <c r="P369">
        <v>0</v>
      </c>
      <c r="Q369">
        <v>0</v>
      </c>
      <c r="R369">
        <v>0</v>
      </c>
      <c r="S369">
        <v>57</v>
      </c>
      <c r="T369">
        <v>57</v>
      </c>
      <c r="U369" s="5">
        <f>IF(Merge1[[#This Row],[team_defense_snaps]]=0, "", Merge1[[#This Row],[defense_snaps]] / Merge1[[#This Row],[team_defense_snaps]])</f>
        <v>0.93442622950819676</v>
      </c>
      <c r="V369">
        <v>61</v>
      </c>
      <c r="W369">
        <v>0</v>
      </c>
      <c r="X369" s="5" t="s">
        <v>29</v>
      </c>
      <c r="Y369">
        <v>3</v>
      </c>
      <c r="Z369">
        <v>0</v>
      </c>
      <c r="AA369" t="s">
        <v>25</v>
      </c>
      <c r="AB369" t="s">
        <v>26</v>
      </c>
      <c r="AC369" t="s">
        <v>27</v>
      </c>
      <c r="AD369" t="s">
        <v>42</v>
      </c>
      <c r="AE369" t="s">
        <v>25</v>
      </c>
      <c r="AF3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7.0175438596491224E-2</v>
      </c>
      <c r="AG369" t="s">
        <v>941</v>
      </c>
      <c r="AH369">
        <v>83</v>
      </c>
      <c r="AI369" t="s">
        <v>939</v>
      </c>
      <c r="AJ369">
        <v>2</v>
      </c>
      <c r="AK3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MIN(AJ369/8, 1) +
  Merge1[[#This Row],[index_defensive_effort]],
  2
)</f>
        <v>0.82</v>
      </c>
    </row>
    <row r="370" spans="1:37" x14ac:dyDescent="0.25">
      <c r="A370" t="s">
        <v>151</v>
      </c>
      <c r="B370" t="s">
        <v>152</v>
      </c>
      <c r="C370">
        <v>24</v>
      </c>
      <c r="D370" t="s">
        <v>22</v>
      </c>
      <c r="E370">
        <v>70</v>
      </c>
      <c r="F370">
        <v>195</v>
      </c>
      <c r="G370" t="s">
        <v>153</v>
      </c>
      <c r="H370">
        <v>2020</v>
      </c>
      <c r="I370" t="s">
        <v>33</v>
      </c>
      <c r="J370">
        <v>10</v>
      </c>
      <c r="K370">
        <v>7</v>
      </c>
      <c r="L370">
        <v>2</v>
      </c>
      <c r="M370">
        <v>0</v>
      </c>
      <c r="N370">
        <v>2</v>
      </c>
      <c r="O370">
        <v>0</v>
      </c>
      <c r="P370">
        <v>0</v>
      </c>
      <c r="Q370">
        <v>0</v>
      </c>
      <c r="R370">
        <v>0</v>
      </c>
      <c r="S370">
        <v>73</v>
      </c>
      <c r="T370">
        <v>73</v>
      </c>
      <c r="U370" s="5">
        <f>IF(Merge1[[#This Row],[team_defense_snaps]]=0, "", Merge1[[#This Row],[defense_snaps]] / Merge1[[#This Row],[team_defense_snaps]])</f>
        <v>1</v>
      </c>
      <c r="V370">
        <v>73</v>
      </c>
      <c r="W370">
        <v>0</v>
      </c>
      <c r="X370" s="5" t="s">
        <v>29</v>
      </c>
      <c r="Y370">
        <v>3</v>
      </c>
      <c r="Z370">
        <v>0</v>
      </c>
      <c r="AA370" t="s">
        <v>25</v>
      </c>
      <c r="AB370" t="s">
        <v>36</v>
      </c>
      <c r="AC370" t="s">
        <v>50</v>
      </c>
      <c r="AD370" t="s">
        <v>42</v>
      </c>
      <c r="AE370" t="s">
        <v>25</v>
      </c>
      <c r="AF3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0.1095890410958904</v>
      </c>
      <c r="AG370" t="s">
        <v>941</v>
      </c>
      <c r="AH370">
        <v>81.5</v>
      </c>
      <c r="AI370" t="s">
        <v>939</v>
      </c>
      <c r="AJ370">
        <v>3</v>
      </c>
      <c r="AK3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MIN(AJ370/8, 1) +
  Merge1[[#This Row],[index_defensive_effort]],
  2
)</f>
        <v>0.98</v>
      </c>
    </row>
    <row r="371" spans="1:37" x14ac:dyDescent="0.25">
      <c r="A371" t="s">
        <v>151</v>
      </c>
      <c r="B371" t="s">
        <v>152</v>
      </c>
      <c r="C371">
        <v>24</v>
      </c>
      <c r="D371" t="s">
        <v>22</v>
      </c>
      <c r="E371">
        <v>70</v>
      </c>
      <c r="F371">
        <v>195</v>
      </c>
      <c r="G371" t="s">
        <v>153</v>
      </c>
      <c r="H371">
        <v>2020</v>
      </c>
      <c r="I371" t="s">
        <v>33</v>
      </c>
      <c r="J371">
        <v>11</v>
      </c>
      <c r="K371">
        <v>4</v>
      </c>
      <c r="L371">
        <v>2</v>
      </c>
      <c r="M371">
        <v>0</v>
      </c>
      <c r="N371">
        <v>2</v>
      </c>
      <c r="O371">
        <v>0</v>
      </c>
      <c r="P371">
        <v>0</v>
      </c>
      <c r="Q371">
        <v>0</v>
      </c>
      <c r="R371">
        <v>0</v>
      </c>
      <c r="S371">
        <v>67</v>
      </c>
      <c r="T371">
        <v>66</v>
      </c>
      <c r="U371" s="5">
        <f>IF(Merge1[[#This Row],[team_defense_snaps]]=0, "", Merge1[[#This Row],[defense_snaps]] / Merge1[[#This Row],[team_defense_snaps]])</f>
        <v>1</v>
      </c>
      <c r="V371">
        <v>66</v>
      </c>
      <c r="W371">
        <v>1</v>
      </c>
      <c r="X371" s="5" t="s">
        <v>193</v>
      </c>
      <c r="Y371">
        <v>3</v>
      </c>
      <c r="Z371">
        <v>0</v>
      </c>
      <c r="AA371" t="s">
        <v>25</v>
      </c>
      <c r="AB371" t="s">
        <v>26</v>
      </c>
      <c r="AC371" t="s">
        <v>27</v>
      </c>
      <c r="AD371" t="s">
        <v>42</v>
      </c>
      <c r="AE371" t="s">
        <v>25</v>
      </c>
      <c r="AF3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7.4626865671641784E-2</v>
      </c>
      <c r="AG371" t="s">
        <v>941</v>
      </c>
      <c r="AH371">
        <v>80</v>
      </c>
      <c r="AI371" t="s">
        <v>939</v>
      </c>
      <c r="AJ371">
        <v>4</v>
      </c>
      <c r="AK3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MIN(AJ371/8, 1) +
  Merge1[[#This Row],[index_defensive_effort]],
  2
)</f>
        <v>1.07</v>
      </c>
    </row>
    <row r="372" spans="1:37" x14ac:dyDescent="0.25">
      <c r="A372" t="s">
        <v>151</v>
      </c>
      <c r="B372" t="s">
        <v>152</v>
      </c>
      <c r="C372">
        <v>24</v>
      </c>
      <c r="D372" t="s">
        <v>22</v>
      </c>
      <c r="E372">
        <v>70</v>
      </c>
      <c r="F372">
        <v>195</v>
      </c>
      <c r="G372" t="s">
        <v>153</v>
      </c>
      <c r="H372">
        <v>2020</v>
      </c>
      <c r="I372" t="s">
        <v>33</v>
      </c>
      <c r="J372">
        <v>12</v>
      </c>
      <c r="K372">
        <v>1</v>
      </c>
      <c r="L372">
        <v>3</v>
      </c>
      <c r="M372">
        <v>1</v>
      </c>
      <c r="N372">
        <v>4</v>
      </c>
      <c r="O372">
        <v>0</v>
      </c>
      <c r="P372">
        <v>0</v>
      </c>
      <c r="Q372">
        <v>0</v>
      </c>
      <c r="R372">
        <v>0</v>
      </c>
      <c r="S372">
        <v>53</v>
      </c>
      <c r="T372">
        <v>52</v>
      </c>
      <c r="U372" s="5">
        <f>IF(Merge1[[#This Row],[team_defense_snaps]]=0, "", Merge1[[#This Row],[defense_snaps]] / Merge1[[#This Row],[team_defense_snaps]])</f>
        <v>0.98113207547169812</v>
      </c>
      <c r="V372">
        <v>53</v>
      </c>
      <c r="W372">
        <v>1</v>
      </c>
      <c r="X372" s="5" t="s">
        <v>34</v>
      </c>
      <c r="Y372">
        <v>3</v>
      </c>
      <c r="Z372">
        <v>0</v>
      </c>
      <c r="AA372" t="s">
        <v>25</v>
      </c>
      <c r="AB372" t="s">
        <v>26</v>
      </c>
      <c r="AC372" t="s">
        <v>27</v>
      </c>
      <c r="AD372" t="s">
        <v>42</v>
      </c>
      <c r="AE372" t="s">
        <v>25</v>
      </c>
      <c r="AF3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5.6603773584905662E-2</v>
      </c>
      <c r="AG372" t="s">
        <v>941</v>
      </c>
      <c r="AH372">
        <v>78.5</v>
      </c>
      <c r="AI372" t="s">
        <v>939</v>
      </c>
      <c r="AJ372">
        <v>5</v>
      </c>
      <c r="AK3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MIN(AJ372/8, 1) +
  Merge1[[#This Row],[index_defensive_effort]],
  2
)</f>
        <v>1.18</v>
      </c>
    </row>
    <row r="373" spans="1:37" x14ac:dyDescent="0.25">
      <c r="A373" t="s">
        <v>151</v>
      </c>
      <c r="B373" t="s">
        <v>152</v>
      </c>
      <c r="C373">
        <v>24</v>
      </c>
      <c r="D373" t="s">
        <v>22</v>
      </c>
      <c r="E373">
        <v>70</v>
      </c>
      <c r="F373">
        <v>195</v>
      </c>
      <c r="G373" t="s">
        <v>153</v>
      </c>
      <c r="H373">
        <v>2020</v>
      </c>
      <c r="I373" t="s">
        <v>33</v>
      </c>
      <c r="J373">
        <v>13</v>
      </c>
      <c r="K373">
        <v>10</v>
      </c>
      <c r="L373">
        <v>3</v>
      </c>
      <c r="M373">
        <v>2</v>
      </c>
      <c r="N373">
        <v>5</v>
      </c>
      <c r="O373">
        <v>0</v>
      </c>
      <c r="P373">
        <v>0</v>
      </c>
      <c r="Q373">
        <v>0</v>
      </c>
      <c r="R373">
        <v>0</v>
      </c>
      <c r="S373">
        <v>79</v>
      </c>
      <c r="T373">
        <v>79</v>
      </c>
      <c r="U373" s="5">
        <f>IF(Merge1[[#This Row],[team_defense_snaps]]=0, "", Merge1[[#This Row],[defense_snaps]] / Merge1[[#This Row],[team_defense_snaps]])</f>
        <v>0.96341463414634143</v>
      </c>
      <c r="V373">
        <v>82</v>
      </c>
      <c r="W373">
        <v>0</v>
      </c>
      <c r="X373" s="5" t="s">
        <v>29</v>
      </c>
      <c r="Y373">
        <v>3</v>
      </c>
      <c r="Z373">
        <v>0</v>
      </c>
      <c r="AA373" t="s">
        <v>25</v>
      </c>
      <c r="AB373" t="s">
        <v>26</v>
      </c>
      <c r="AC373" t="s">
        <v>27</v>
      </c>
      <c r="AD373" t="s">
        <v>42</v>
      </c>
      <c r="AE373" t="s">
        <v>25</v>
      </c>
      <c r="AF3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0.15822784810126583</v>
      </c>
      <c r="AG373" t="s">
        <v>941</v>
      </c>
      <c r="AH373">
        <v>77</v>
      </c>
      <c r="AI373" t="s">
        <v>939</v>
      </c>
      <c r="AJ373">
        <v>6</v>
      </c>
      <c r="AK3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MIN(AJ373/8, 1) +
  Merge1[[#This Row],[index_defensive_effort]],
  2
)</f>
        <v>1.41</v>
      </c>
    </row>
    <row r="374" spans="1:37" x14ac:dyDescent="0.25">
      <c r="A374" t="s">
        <v>151</v>
      </c>
      <c r="B374" t="s">
        <v>152</v>
      </c>
      <c r="C374">
        <v>24</v>
      </c>
      <c r="D374" t="s">
        <v>22</v>
      </c>
      <c r="E374">
        <v>70</v>
      </c>
      <c r="F374">
        <v>195</v>
      </c>
      <c r="G374" t="s">
        <v>153</v>
      </c>
      <c r="H374">
        <v>2020</v>
      </c>
      <c r="I374" t="s">
        <v>33</v>
      </c>
      <c r="J374">
        <v>14</v>
      </c>
      <c r="K374">
        <v>2</v>
      </c>
      <c r="L374">
        <v>4</v>
      </c>
      <c r="M374">
        <v>2</v>
      </c>
      <c r="N374">
        <v>6</v>
      </c>
      <c r="O374">
        <v>0</v>
      </c>
      <c r="P374">
        <v>0</v>
      </c>
      <c r="Q374">
        <v>0</v>
      </c>
      <c r="R374">
        <v>0</v>
      </c>
      <c r="S374">
        <v>47</v>
      </c>
      <c r="T374">
        <v>45</v>
      </c>
      <c r="U374" s="5">
        <f>IF(Merge1[[#This Row],[team_defense_snaps]]=0, "", Merge1[[#This Row],[defense_snaps]] / Merge1[[#This Row],[team_defense_snaps]])</f>
        <v>0.91836734693877553</v>
      </c>
      <c r="V374">
        <v>49</v>
      </c>
      <c r="W374">
        <v>2</v>
      </c>
      <c r="X374" s="5" t="s">
        <v>208</v>
      </c>
      <c r="Y374">
        <v>3</v>
      </c>
      <c r="Z374">
        <v>0</v>
      </c>
      <c r="AA374" t="s">
        <v>25</v>
      </c>
      <c r="AB374" t="s">
        <v>26</v>
      </c>
      <c r="AC374" t="s">
        <v>27</v>
      </c>
      <c r="AD374" t="s">
        <v>42</v>
      </c>
      <c r="AE374" t="s">
        <v>25</v>
      </c>
      <c r="AF3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0.10638297872340426</v>
      </c>
      <c r="AG374" t="s">
        <v>941</v>
      </c>
      <c r="AH374">
        <v>75.5</v>
      </c>
      <c r="AI374" t="s">
        <v>939</v>
      </c>
      <c r="AJ374">
        <v>7</v>
      </c>
      <c r="AK3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MIN(AJ374/8, 1) +
  Merge1[[#This Row],[index_defensive_effort]],
  2
)</f>
        <v>1.48</v>
      </c>
    </row>
    <row r="375" spans="1:37" x14ac:dyDescent="0.25">
      <c r="A375" t="s">
        <v>151</v>
      </c>
      <c r="B375" t="s">
        <v>152</v>
      </c>
      <c r="C375">
        <v>24</v>
      </c>
      <c r="D375" t="s">
        <v>22</v>
      </c>
      <c r="E375">
        <v>70</v>
      </c>
      <c r="F375">
        <v>195</v>
      </c>
      <c r="G375" t="s">
        <v>153</v>
      </c>
      <c r="H375">
        <v>2020</v>
      </c>
      <c r="I375" t="s">
        <v>33</v>
      </c>
      <c r="J375">
        <v>15</v>
      </c>
      <c r="K375">
        <v>3</v>
      </c>
      <c r="L375">
        <v>1</v>
      </c>
      <c r="M375">
        <v>1</v>
      </c>
      <c r="N375">
        <v>2</v>
      </c>
      <c r="O375">
        <v>0</v>
      </c>
      <c r="P375">
        <v>1</v>
      </c>
      <c r="Q375">
        <v>0</v>
      </c>
      <c r="R375">
        <v>1</v>
      </c>
      <c r="S375">
        <v>83</v>
      </c>
      <c r="T375">
        <v>83</v>
      </c>
      <c r="U375" s="5">
        <f>IF(Merge1[[#This Row],[team_defense_snaps]]=0, "", Merge1[[#This Row],[defense_snaps]] / Merge1[[#This Row],[team_defense_snaps]])</f>
        <v>0.98809523809523814</v>
      </c>
      <c r="V375">
        <v>84</v>
      </c>
      <c r="W375">
        <v>0</v>
      </c>
      <c r="X375" s="5" t="s">
        <v>29</v>
      </c>
      <c r="Y375">
        <v>3</v>
      </c>
      <c r="Z375">
        <v>0</v>
      </c>
      <c r="AA375" t="s">
        <v>25</v>
      </c>
      <c r="AB375" t="s">
        <v>26</v>
      </c>
      <c r="AC375" t="s">
        <v>27</v>
      </c>
      <c r="AD375" t="s">
        <v>42</v>
      </c>
      <c r="AE375" t="s">
        <v>25</v>
      </c>
      <c r="AF3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9.6385542168674704E-2</v>
      </c>
      <c r="AG375" t="s">
        <v>941</v>
      </c>
      <c r="AH375">
        <v>74</v>
      </c>
      <c r="AI375" t="s">
        <v>939</v>
      </c>
      <c r="AJ375">
        <v>8</v>
      </c>
      <c r="AK3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MIN(AJ375/8, 1) +
  Merge1[[#This Row],[index_defensive_effort]],
  2
)</f>
        <v>1.6</v>
      </c>
    </row>
    <row r="376" spans="1:37" x14ac:dyDescent="0.25">
      <c r="A376" t="s">
        <v>151</v>
      </c>
      <c r="B376" t="s">
        <v>152</v>
      </c>
      <c r="C376">
        <v>24</v>
      </c>
      <c r="D376" t="s">
        <v>22</v>
      </c>
      <c r="E376">
        <v>70</v>
      </c>
      <c r="F376">
        <v>195</v>
      </c>
      <c r="G376" t="s">
        <v>153</v>
      </c>
      <c r="H376">
        <v>2020</v>
      </c>
      <c r="I376" t="s">
        <v>33</v>
      </c>
      <c r="J376">
        <v>16</v>
      </c>
      <c r="K376">
        <v>8</v>
      </c>
      <c r="L376">
        <v>2</v>
      </c>
      <c r="M376">
        <v>0</v>
      </c>
      <c r="N376">
        <v>2</v>
      </c>
      <c r="O376">
        <v>0</v>
      </c>
      <c r="P376">
        <v>0</v>
      </c>
      <c r="Q376">
        <v>0</v>
      </c>
      <c r="R376">
        <v>0</v>
      </c>
      <c r="S376">
        <v>58</v>
      </c>
      <c r="T376">
        <v>56</v>
      </c>
      <c r="U376" s="5">
        <f>IF(Merge1[[#This Row],[team_defense_snaps]]=0, "", Merge1[[#This Row],[defense_snaps]] / Merge1[[#This Row],[team_defense_snaps]])</f>
        <v>0.98245614035087714</v>
      </c>
      <c r="V376">
        <v>57</v>
      </c>
      <c r="W376">
        <v>2</v>
      </c>
      <c r="X376" s="5" t="s">
        <v>167</v>
      </c>
      <c r="Y376">
        <v>3</v>
      </c>
      <c r="Z376">
        <v>0</v>
      </c>
      <c r="AA376" t="s">
        <v>25</v>
      </c>
      <c r="AB376" t="s">
        <v>26</v>
      </c>
      <c r="AC376" t="s">
        <v>27</v>
      </c>
      <c r="AD376" t="s">
        <v>42</v>
      </c>
      <c r="AE376" t="s">
        <v>25</v>
      </c>
      <c r="AF3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0.15517241379310345</v>
      </c>
      <c r="AG376" t="s">
        <v>941</v>
      </c>
      <c r="AH376">
        <v>72.5</v>
      </c>
      <c r="AI376" t="s">
        <v>939</v>
      </c>
      <c r="AJ376">
        <v>9</v>
      </c>
      <c r="AK3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MIN(AJ376/8, 1) +
  Merge1[[#This Row],[index_defensive_effort]],
  2
)</f>
        <v>1.66</v>
      </c>
    </row>
    <row r="377" spans="1:37" x14ac:dyDescent="0.25">
      <c r="A377" t="s">
        <v>151</v>
      </c>
      <c r="B377" t="s">
        <v>152</v>
      </c>
      <c r="C377">
        <v>24</v>
      </c>
      <c r="D377" t="s">
        <v>22</v>
      </c>
      <c r="E377">
        <v>70</v>
      </c>
      <c r="F377">
        <v>195</v>
      </c>
      <c r="G377" t="s">
        <v>153</v>
      </c>
      <c r="H377">
        <v>2020</v>
      </c>
      <c r="I377" t="s">
        <v>33</v>
      </c>
      <c r="J377">
        <v>17</v>
      </c>
      <c r="K377">
        <v>4</v>
      </c>
      <c r="L377">
        <v>1</v>
      </c>
      <c r="M377">
        <v>1</v>
      </c>
      <c r="N377">
        <v>2</v>
      </c>
      <c r="O377">
        <v>0</v>
      </c>
      <c r="P377">
        <v>0</v>
      </c>
      <c r="Q377">
        <v>0</v>
      </c>
      <c r="R377">
        <v>0</v>
      </c>
      <c r="S377">
        <v>72</v>
      </c>
      <c r="T377">
        <v>71</v>
      </c>
      <c r="U377" s="5">
        <f>IF(Merge1[[#This Row],[team_defense_snaps]]=0, "", Merge1[[#This Row],[defense_snaps]] / Merge1[[#This Row],[team_defense_snaps]])</f>
        <v>0.9726027397260274</v>
      </c>
      <c r="V377">
        <v>73</v>
      </c>
      <c r="W377">
        <v>1</v>
      </c>
      <c r="X377" s="5" t="s">
        <v>193</v>
      </c>
      <c r="Y377">
        <v>3</v>
      </c>
      <c r="Z377">
        <v>0</v>
      </c>
      <c r="AA377" t="s">
        <v>25</v>
      </c>
      <c r="AB377" t="s">
        <v>36</v>
      </c>
      <c r="AC377" t="s">
        <v>96</v>
      </c>
      <c r="AD377" t="s">
        <v>42</v>
      </c>
      <c r="AE377" t="s">
        <v>25</v>
      </c>
      <c r="AF3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6.9444444444444448E-2</v>
      </c>
      <c r="AG377" t="s">
        <v>941</v>
      </c>
      <c r="AH377">
        <v>71</v>
      </c>
      <c r="AI377" t="s">
        <v>938</v>
      </c>
      <c r="AJ377">
        <v>1</v>
      </c>
      <c r="AK3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MIN(AJ377/8, 1) +
  Merge1[[#This Row],[index_defensive_effort]],
  2
)</f>
        <v>0.69</v>
      </c>
    </row>
    <row r="378" spans="1:37" x14ac:dyDescent="0.25">
      <c r="A378" t="s">
        <v>226</v>
      </c>
      <c r="B378" t="s">
        <v>227</v>
      </c>
      <c r="C378">
        <v>31</v>
      </c>
      <c r="D378" t="s">
        <v>56</v>
      </c>
      <c r="E378">
        <v>69</v>
      </c>
      <c r="F378">
        <v>185</v>
      </c>
      <c r="G378" t="s">
        <v>228</v>
      </c>
      <c r="H378">
        <v>2020</v>
      </c>
      <c r="I378" t="s">
        <v>33</v>
      </c>
      <c r="J378">
        <v>1</v>
      </c>
      <c r="K378">
        <v>2</v>
      </c>
      <c r="L378">
        <v>2</v>
      </c>
      <c r="M378">
        <v>1</v>
      </c>
      <c r="N378">
        <v>3</v>
      </c>
      <c r="O378">
        <v>0</v>
      </c>
      <c r="P378">
        <v>0</v>
      </c>
      <c r="Q378">
        <v>0</v>
      </c>
      <c r="R378">
        <v>0</v>
      </c>
      <c r="S378">
        <v>60</v>
      </c>
      <c r="T378">
        <v>56</v>
      </c>
      <c r="U378" s="5">
        <f>IF(Merge1[[#This Row],[team_defense_snaps]]=0, "", Merge1[[#This Row],[defense_snaps]] / Merge1[[#This Row],[team_defense_snaps]])</f>
        <v>0.71794871794871795</v>
      </c>
      <c r="V378">
        <v>78</v>
      </c>
      <c r="W378">
        <v>4</v>
      </c>
      <c r="X378" s="5" t="s">
        <v>251</v>
      </c>
      <c r="Y378">
        <v>9</v>
      </c>
      <c r="Z378">
        <v>0</v>
      </c>
      <c r="AA378" t="s">
        <v>25</v>
      </c>
      <c r="AB378" t="s">
        <v>36</v>
      </c>
      <c r="AC378" t="s">
        <v>229</v>
      </c>
      <c r="AD378" t="s">
        <v>28</v>
      </c>
      <c r="AE378" t="s">
        <v>25</v>
      </c>
      <c r="AF3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5.8333333333333334E-2</v>
      </c>
      <c r="AG378" t="s">
        <v>941</v>
      </c>
      <c r="AH378">
        <v>53.5</v>
      </c>
      <c r="AI378" t="s">
        <v>939</v>
      </c>
      <c r="AJ378">
        <v>2</v>
      </c>
      <c r="AK3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MIN(AJ378/8, 1) +
  Merge1[[#This Row],[index_defensive_effort]],
  2
)</f>
        <v>1.01</v>
      </c>
    </row>
    <row r="379" spans="1:37" x14ac:dyDescent="0.25">
      <c r="A379" t="s">
        <v>226</v>
      </c>
      <c r="B379" t="s">
        <v>227</v>
      </c>
      <c r="C379">
        <v>31</v>
      </c>
      <c r="D379" t="s">
        <v>56</v>
      </c>
      <c r="E379">
        <v>69</v>
      </c>
      <c r="F379">
        <v>185</v>
      </c>
      <c r="G379" t="s">
        <v>228</v>
      </c>
      <c r="H379">
        <v>2020</v>
      </c>
      <c r="I379" t="s">
        <v>33</v>
      </c>
      <c r="J379">
        <v>2</v>
      </c>
      <c r="K379">
        <v>5</v>
      </c>
      <c r="L379">
        <v>1</v>
      </c>
      <c r="M379">
        <v>1</v>
      </c>
      <c r="N379">
        <v>2</v>
      </c>
      <c r="O379">
        <v>0</v>
      </c>
      <c r="P379">
        <v>1</v>
      </c>
      <c r="Q379">
        <v>0</v>
      </c>
      <c r="R379">
        <v>0</v>
      </c>
      <c r="S379">
        <v>46</v>
      </c>
      <c r="T379">
        <v>43</v>
      </c>
      <c r="U379" s="5">
        <f>IF(Merge1[[#This Row],[team_defense_snaps]]=0, "", Merge1[[#This Row],[defense_snaps]] / Merge1[[#This Row],[team_defense_snaps]])</f>
        <v>0.65151515151515149</v>
      </c>
      <c r="V379">
        <v>66</v>
      </c>
      <c r="W379">
        <v>3</v>
      </c>
      <c r="X379" s="5" t="s">
        <v>212</v>
      </c>
      <c r="Y379">
        <v>9</v>
      </c>
      <c r="Z379">
        <v>0</v>
      </c>
      <c r="AA379" t="s">
        <v>25</v>
      </c>
      <c r="AB379" t="s">
        <v>26</v>
      </c>
      <c r="AC379" t="s">
        <v>27</v>
      </c>
      <c r="AD379" t="s">
        <v>28</v>
      </c>
      <c r="AE379" t="s">
        <v>25</v>
      </c>
      <c r="AF3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0.17391304347826086</v>
      </c>
      <c r="AG379" t="s">
        <v>941</v>
      </c>
      <c r="AH379">
        <v>52</v>
      </c>
      <c r="AI379" t="s">
        <v>939</v>
      </c>
      <c r="AJ379">
        <v>3</v>
      </c>
      <c r="AK3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MIN(AJ379/8, 1) +
  Merge1[[#This Row],[index_defensive_effort]],
  2
)</f>
        <v>1.25</v>
      </c>
    </row>
    <row r="380" spans="1:37" x14ac:dyDescent="0.25">
      <c r="A380" t="s">
        <v>226</v>
      </c>
      <c r="B380" t="s">
        <v>227</v>
      </c>
      <c r="C380">
        <v>31</v>
      </c>
      <c r="D380" t="s">
        <v>56</v>
      </c>
      <c r="E380">
        <v>69</v>
      </c>
      <c r="F380">
        <v>185</v>
      </c>
      <c r="G380" t="s">
        <v>228</v>
      </c>
      <c r="H380">
        <v>2020</v>
      </c>
      <c r="I380" t="s">
        <v>33</v>
      </c>
      <c r="J380">
        <v>3</v>
      </c>
      <c r="K380">
        <v>4</v>
      </c>
      <c r="L380">
        <v>2</v>
      </c>
      <c r="M380">
        <v>1</v>
      </c>
      <c r="N380">
        <v>3</v>
      </c>
      <c r="O380">
        <v>0</v>
      </c>
      <c r="P380">
        <v>1</v>
      </c>
      <c r="Q380">
        <v>0</v>
      </c>
      <c r="R380">
        <v>0</v>
      </c>
      <c r="S380">
        <v>53</v>
      </c>
      <c r="T380">
        <v>43</v>
      </c>
      <c r="U380" s="5">
        <f>IF(Merge1[[#This Row],[team_defense_snaps]]=0, "", Merge1[[#This Row],[defense_snaps]] / Merge1[[#This Row],[team_defense_snaps]])</f>
        <v>0.63235294117647056</v>
      </c>
      <c r="V380">
        <v>68</v>
      </c>
      <c r="W380">
        <v>10</v>
      </c>
      <c r="X380" s="5" t="s">
        <v>138</v>
      </c>
      <c r="Y380">
        <v>9</v>
      </c>
      <c r="Z380">
        <v>0</v>
      </c>
      <c r="AA380" t="s">
        <v>25</v>
      </c>
      <c r="AB380" t="s">
        <v>26</v>
      </c>
      <c r="AC380" t="s">
        <v>27</v>
      </c>
      <c r="AD380" t="s">
        <v>28</v>
      </c>
      <c r="AE380" t="s">
        <v>25</v>
      </c>
      <c r="AF3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0.14150943396226415</v>
      </c>
      <c r="AG380" t="s">
        <v>941</v>
      </c>
      <c r="AH380">
        <v>67</v>
      </c>
      <c r="AI380" t="s">
        <v>939</v>
      </c>
      <c r="AJ380">
        <v>4</v>
      </c>
      <c r="AK3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MIN(AJ380/8, 1) +
  Merge1[[#This Row],[index_defensive_effort]],
  2
)</f>
        <v>1.34</v>
      </c>
    </row>
    <row r="381" spans="1:37" x14ac:dyDescent="0.25">
      <c r="A381" t="s">
        <v>226</v>
      </c>
      <c r="B381" t="s">
        <v>227</v>
      </c>
      <c r="C381">
        <v>31</v>
      </c>
      <c r="D381" t="s">
        <v>56</v>
      </c>
      <c r="E381">
        <v>69</v>
      </c>
      <c r="F381">
        <v>185</v>
      </c>
      <c r="G381" t="s">
        <v>228</v>
      </c>
      <c r="H381">
        <v>2020</v>
      </c>
      <c r="I381" t="s">
        <v>33</v>
      </c>
      <c r="J381">
        <v>4</v>
      </c>
      <c r="K381">
        <v>2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60</v>
      </c>
      <c r="T381">
        <v>49</v>
      </c>
      <c r="U381" s="5">
        <f>IF(Merge1[[#This Row],[team_defense_snaps]]=0, "", Merge1[[#This Row],[defense_snaps]] / Merge1[[#This Row],[team_defense_snaps]])</f>
        <v>0.68055555555555558</v>
      </c>
      <c r="V381">
        <v>72</v>
      </c>
      <c r="W381">
        <v>11</v>
      </c>
      <c r="X381" s="5" t="s">
        <v>210</v>
      </c>
      <c r="Y381">
        <v>9</v>
      </c>
      <c r="Z381">
        <v>0</v>
      </c>
      <c r="AA381" t="s">
        <v>25</v>
      </c>
      <c r="AB381" t="s">
        <v>26</v>
      </c>
      <c r="AC381" t="s">
        <v>27</v>
      </c>
      <c r="AD381" t="s">
        <v>28</v>
      </c>
      <c r="AE381" t="s">
        <v>25</v>
      </c>
      <c r="AF3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3.3333333333333333E-2</v>
      </c>
      <c r="AG381" t="s">
        <v>941</v>
      </c>
      <c r="AH381">
        <v>59.5</v>
      </c>
      <c r="AI381" t="s">
        <v>939</v>
      </c>
      <c r="AJ381">
        <v>5</v>
      </c>
      <c r="AK3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MIN(AJ381/8, 1) +
  Merge1[[#This Row],[index_defensive_effort]],
  2
)</f>
        <v>1.36</v>
      </c>
    </row>
    <row r="382" spans="1:37" x14ac:dyDescent="0.25">
      <c r="A382" t="s">
        <v>226</v>
      </c>
      <c r="B382" t="s">
        <v>227</v>
      </c>
      <c r="C382">
        <v>31</v>
      </c>
      <c r="D382" t="s">
        <v>56</v>
      </c>
      <c r="E382">
        <v>69</v>
      </c>
      <c r="F382">
        <v>185</v>
      </c>
      <c r="G382" t="s">
        <v>228</v>
      </c>
      <c r="H382">
        <v>2020</v>
      </c>
      <c r="I382" t="s">
        <v>33</v>
      </c>
      <c r="J382">
        <v>5</v>
      </c>
      <c r="K382">
        <v>4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62</v>
      </c>
      <c r="T382">
        <v>54</v>
      </c>
      <c r="U382" s="5">
        <f>IF(Merge1[[#This Row],[team_defense_snaps]]=0, "", Merge1[[#This Row],[defense_snaps]] / Merge1[[#This Row],[team_defense_snaps]])</f>
        <v>0.76056338028169013</v>
      </c>
      <c r="V382">
        <v>71</v>
      </c>
      <c r="W382">
        <v>8</v>
      </c>
      <c r="X382" s="5" t="s">
        <v>113</v>
      </c>
      <c r="Y382">
        <v>9</v>
      </c>
      <c r="Z382">
        <v>0</v>
      </c>
      <c r="AA382" t="s">
        <v>25</v>
      </c>
      <c r="AB382" t="s">
        <v>26</v>
      </c>
      <c r="AC382" t="s">
        <v>27</v>
      </c>
      <c r="AD382" t="s">
        <v>42</v>
      </c>
      <c r="AE382" t="s">
        <v>25</v>
      </c>
      <c r="AF3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6.4516129032258063E-2</v>
      </c>
      <c r="AG382" t="s">
        <v>941</v>
      </c>
      <c r="AH382">
        <v>58</v>
      </c>
      <c r="AI382" t="s">
        <v>939</v>
      </c>
      <c r="AJ382">
        <v>6</v>
      </c>
      <c r="AK3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MIN(AJ382/8, 1) +
  Merge1[[#This Row],[index_defensive_effort]],
  2
)</f>
        <v>1.51</v>
      </c>
    </row>
    <row r="383" spans="1:37" x14ac:dyDescent="0.25">
      <c r="A383" t="s">
        <v>226</v>
      </c>
      <c r="B383" t="s">
        <v>227</v>
      </c>
      <c r="C383">
        <v>31</v>
      </c>
      <c r="D383" t="s">
        <v>56</v>
      </c>
      <c r="E383">
        <v>69</v>
      </c>
      <c r="F383">
        <v>185</v>
      </c>
      <c r="G383" t="s">
        <v>228</v>
      </c>
      <c r="H383">
        <v>2020</v>
      </c>
      <c r="I383" t="s">
        <v>33</v>
      </c>
      <c r="J383">
        <v>6</v>
      </c>
      <c r="K383">
        <v>4</v>
      </c>
      <c r="L383">
        <v>1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49</v>
      </c>
      <c r="T383">
        <v>48</v>
      </c>
      <c r="U383" s="5">
        <f>IF(Merge1[[#This Row],[team_defense_snaps]]=0, "", Merge1[[#This Row],[defense_snaps]] / Merge1[[#This Row],[team_defense_snaps]])</f>
        <v>0.69565217391304346</v>
      </c>
      <c r="V383">
        <v>69</v>
      </c>
      <c r="W383">
        <v>1</v>
      </c>
      <c r="X383" s="5" t="s">
        <v>193</v>
      </c>
      <c r="Y383">
        <v>9</v>
      </c>
      <c r="Z383">
        <v>0</v>
      </c>
      <c r="AA383" t="s">
        <v>25</v>
      </c>
      <c r="AB383" t="s">
        <v>26</v>
      </c>
      <c r="AC383" t="s">
        <v>27</v>
      </c>
      <c r="AD383" t="s">
        <v>42</v>
      </c>
      <c r="AE383" t="s">
        <v>25</v>
      </c>
      <c r="AF3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9.1836734693877556E-2</v>
      </c>
      <c r="AG383" t="s">
        <v>941</v>
      </c>
      <c r="AH383">
        <v>65.5</v>
      </c>
      <c r="AI383" t="s">
        <v>938</v>
      </c>
      <c r="AJ383">
        <v>7</v>
      </c>
      <c r="AK3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MIN(AJ383/8, 1) +
  Merge1[[#This Row],[index_defensive_effort]],
  2
)</f>
        <v>1.67</v>
      </c>
    </row>
    <row r="384" spans="1:37" x14ac:dyDescent="0.25">
      <c r="A384" t="s">
        <v>226</v>
      </c>
      <c r="B384" t="s">
        <v>227</v>
      </c>
      <c r="C384">
        <v>31</v>
      </c>
      <c r="D384" t="s">
        <v>56</v>
      </c>
      <c r="E384">
        <v>69</v>
      </c>
      <c r="F384">
        <v>185</v>
      </c>
      <c r="G384" t="s">
        <v>228</v>
      </c>
      <c r="H384">
        <v>2020</v>
      </c>
      <c r="I384" t="s">
        <v>33</v>
      </c>
      <c r="J384">
        <v>7</v>
      </c>
      <c r="K384">
        <v>5</v>
      </c>
      <c r="L384">
        <v>2</v>
      </c>
      <c r="M384">
        <v>0</v>
      </c>
      <c r="N384">
        <v>2</v>
      </c>
      <c r="O384">
        <v>0</v>
      </c>
      <c r="P384">
        <v>0</v>
      </c>
      <c r="Q384">
        <v>0</v>
      </c>
      <c r="R384">
        <v>0</v>
      </c>
      <c r="S384">
        <v>51</v>
      </c>
      <c r="T384">
        <v>41</v>
      </c>
      <c r="U384" s="5">
        <f>IF(Merge1[[#This Row],[team_defense_snaps]]=0, "", Merge1[[#This Row],[defense_snaps]] / Merge1[[#This Row],[team_defense_snaps]])</f>
        <v>0.56944444444444442</v>
      </c>
      <c r="V384">
        <v>72</v>
      </c>
      <c r="W384">
        <v>10</v>
      </c>
      <c r="X384" s="5" t="s">
        <v>221</v>
      </c>
      <c r="Y384">
        <v>9</v>
      </c>
      <c r="Z384">
        <v>0</v>
      </c>
      <c r="AA384" t="s">
        <v>25</v>
      </c>
      <c r="AB384" t="s">
        <v>36</v>
      </c>
      <c r="AC384" t="s">
        <v>63</v>
      </c>
      <c r="AD384" t="s">
        <v>28</v>
      </c>
      <c r="AE384" t="s">
        <v>25</v>
      </c>
      <c r="AF3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0.11764705882352941</v>
      </c>
      <c r="AG384" t="s">
        <v>941</v>
      </c>
      <c r="AH384">
        <v>68.5</v>
      </c>
      <c r="AI384" t="s">
        <v>939</v>
      </c>
      <c r="AJ384">
        <v>8</v>
      </c>
      <c r="AK3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MIN(AJ384/8, 1) +
  Merge1[[#This Row],[index_defensive_effort]],
  2
)</f>
        <v>1.82</v>
      </c>
    </row>
    <row r="385" spans="1:37" x14ac:dyDescent="0.25">
      <c r="A385" t="s">
        <v>226</v>
      </c>
      <c r="B385" t="s">
        <v>227</v>
      </c>
      <c r="C385">
        <v>31</v>
      </c>
      <c r="D385" t="s">
        <v>56</v>
      </c>
      <c r="E385">
        <v>69</v>
      </c>
      <c r="F385">
        <v>185</v>
      </c>
      <c r="G385" t="s">
        <v>228</v>
      </c>
      <c r="H385">
        <v>2020</v>
      </c>
      <c r="I385" t="s">
        <v>33</v>
      </c>
      <c r="J385">
        <v>8</v>
      </c>
      <c r="K385">
        <v>4</v>
      </c>
      <c r="L385">
        <v>1</v>
      </c>
      <c r="M385">
        <v>0</v>
      </c>
      <c r="N385">
        <v>1</v>
      </c>
      <c r="O385">
        <v>0</v>
      </c>
      <c r="P385">
        <v>1</v>
      </c>
      <c r="Q385">
        <v>0</v>
      </c>
      <c r="R385">
        <v>2</v>
      </c>
      <c r="S385">
        <v>58</v>
      </c>
      <c r="T385">
        <v>54</v>
      </c>
      <c r="U385" s="5">
        <f>IF(Merge1[[#This Row],[team_defense_snaps]]=0, "", Merge1[[#This Row],[defense_snaps]] / Merge1[[#This Row],[team_defense_snaps]])</f>
        <v>0.72972972972972971</v>
      </c>
      <c r="V385">
        <v>74</v>
      </c>
      <c r="W385">
        <v>4</v>
      </c>
      <c r="X385" s="5" t="s">
        <v>251</v>
      </c>
      <c r="Y385">
        <v>9</v>
      </c>
      <c r="Z385">
        <v>0</v>
      </c>
      <c r="AA385" t="s">
        <v>25</v>
      </c>
      <c r="AB385" t="s">
        <v>26</v>
      </c>
      <c r="AC385" t="s">
        <v>27</v>
      </c>
      <c r="AD385" t="s">
        <v>28</v>
      </c>
      <c r="AE385" t="s">
        <v>25</v>
      </c>
      <c r="AF3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0.18103448275862069</v>
      </c>
      <c r="AG385" t="s">
        <v>941</v>
      </c>
      <c r="AH385">
        <v>70</v>
      </c>
      <c r="AI385" t="s">
        <v>939</v>
      </c>
      <c r="AJ385">
        <v>9</v>
      </c>
      <c r="AK3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MIN(AJ385/8, 1) +
  Merge1[[#This Row],[index_defensive_effort]],
  2
)</f>
        <v>1.88</v>
      </c>
    </row>
    <row r="386" spans="1:37" x14ac:dyDescent="0.25">
      <c r="A386" t="s">
        <v>226</v>
      </c>
      <c r="B386" t="s">
        <v>227</v>
      </c>
      <c r="C386">
        <v>31</v>
      </c>
      <c r="D386" t="s">
        <v>56</v>
      </c>
      <c r="E386">
        <v>69</v>
      </c>
      <c r="F386">
        <v>185</v>
      </c>
      <c r="G386" t="s">
        <v>228</v>
      </c>
      <c r="H386">
        <v>2020</v>
      </c>
      <c r="I386" t="s">
        <v>33</v>
      </c>
      <c r="J386">
        <v>9</v>
      </c>
      <c r="K386">
        <v>4</v>
      </c>
      <c r="L386">
        <v>2</v>
      </c>
      <c r="M386">
        <v>0</v>
      </c>
      <c r="N386">
        <v>2</v>
      </c>
      <c r="O386">
        <v>0</v>
      </c>
      <c r="P386">
        <v>0</v>
      </c>
      <c r="Q386">
        <v>0</v>
      </c>
      <c r="R386">
        <v>0</v>
      </c>
      <c r="S386">
        <v>41</v>
      </c>
      <c r="T386">
        <v>30</v>
      </c>
      <c r="U386" s="5">
        <f>IF(Merge1[[#This Row],[team_defense_snaps]]=0, "", Merge1[[#This Row],[defense_snaps]] / Merge1[[#This Row],[team_defense_snaps]])</f>
        <v>0.54545454545454541</v>
      </c>
      <c r="V386">
        <v>55</v>
      </c>
      <c r="W386">
        <v>11</v>
      </c>
      <c r="X386" s="5" t="s">
        <v>334</v>
      </c>
      <c r="Y386">
        <v>9</v>
      </c>
      <c r="Z386">
        <v>0</v>
      </c>
      <c r="AA386" t="s">
        <v>25</v>
      </c>
      <c r="AB386" t="s">
        <v>26</v>
      </c>
      <c r="AC386" t="s">
        <v>27</v>
      </c>
      <c r="AD386" t="s">
        <v>28</v>
      </c>
      <c r="AE386" t="s">
        <v>25</v>
      </c>
      <c r="AF3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0.12195121951219512</v>
      </c>
      <c r="AG386" t="s">
        <v>941</v>
      </c>
      <c r="AH386">
        <v>62.5</v>
      </c>
      <c r="AI386" t="s">
        <v>939</v>
      </c>
      <c r="AJ386">
        <v>10</v>
      </c>
      <c r="AK3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MIN(AJ386/8, 1) +
  Merge1[[#This Row],[index_defensive_effort]],
  2
)</f>
        <v>1.82</v>
      </c>
    </row>
    <row r="387" spans="1:37" x14ac:dyDescent="0.25">
      <c r="A387" t="s">
        <v>226</v>
      </c>
      <c r="B387" t="s">
        <v>227</v>
      </c>
      <c r="C387">
        <v>31</v>
      </c>
      <c r="D387" t="s">
        <v>56</v>
      </c>
      <c r="E387">
        <v>69</v>
      </c>
      <c r="F387">
        <v>185</v>
      </c>
      <c r="G387" t="s">
        <v>228</v>
      </c>
      <c r="H387">
        <v>2020</v>
      </c>
      <c r="I387" t="s">
        <v>33</v>
      </c>
      <c r="J387">
        <v>10</v>
      </c>
      <c r="K387">
        <v>2</v>
      </c>
      <c r="L387">
        <v>1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44</v>
      </c>
      <c r="T387">
        <v>35</v>
      </c>
      <c r="U387" s="5">
        <f>IF(Merge1[[#This Row],[team_defense_snaps]]=0, "", Merge1[[#This Row],[defense_snaps]] / Merge1[[#This Row],[team_defense_snaps]])</f>
        <v>0.47297297297297297</v>
      </c>
      <c r="V387">
        <v>74</v>
      </c>
      <c r="W387">
        <v>9</v>
      </c>
      <c r="X387" s="5" t="s">
        <v>70</v>
      </c>
      <c r="Y387">
        <v>9</v>
      </c>
      <c r="Z387">
        <v>0</v>
      </c>
      <c r="AA387" t="s">
        <v>25</v>
      </c>
      <c r="AB387" t="s">
        <v>26</v>
      </c>
      <c r="AC387" t="s">
        <v>27</v>
      </c>
      <c r="AD387" t="s">
        <v>28</v>
      </c>
      <c r="AE387" t="s">
        <v>25</v>
      </c>
      <c r="AF3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5.6818181818181816E-2</v>
      </c>
      <c r="AG387" t="s">
        <v>941</v>
      </c>
      <c r="AH387">
        <v>56.5</v>
      </c>
      <c r="AI387" t="s">
        <v>939</v>
      </c>
      <c r="AJ387">
        <v>1</v>
      </c>
      <c r="AK3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MIN(AJ387/8, 1) +
  Merge1[[#This Row],[index_defensive_effort]],
  2
)</f>
        <v>0.88</v>
      </c>
    </row>
    <row r="388" spans="1:37" x14ac:dyDescent="0.25">
      <c r="A388" t="s">
        <v>226</v>
      </c>
      <c r="B388" t="s">
        <v>227</v>
      </c>
      <c r="C388">
        <v>31</v>
      </c>
      <c r="D388" t="s">
        <v>56</v>
      </c>
      <c r="E388">
        <v>69</v>
      </c>
      <c r="F388">
        <v>185</v>
      </c>
      <c r="G388" t="s">
        <v>228</v>
      </c>
      <c r="H388">
        <v>2020</v>
      </c>
      <c r="I388" t="s">
        <v>33</v>
      </c>
      <c r="J388">
        <v>12</v>
      </c>
      <c r="K388">
        <v>10</v>
      </c>
      <c r="L388">
        <v>3</v>
      </c>
      <c r="M388">
        <v>0</v>
      </c>
      <c r="N388">
        <v>3</v>
      </c>
      <c r="O388">
        <v>0</v>
      </c>
      <c r="P388">
        <v>0</v>
      </c>
      <c r="Q388">
        <v>0</v>
      </c>
      <c r="R388">
        <v>0</v>
      </c>
      <c r="S388">
        <v>63</v>
      </c>
      <c r="T388">
        <v>54</v>
      </c>
      <c r="U388" s="5">
        <f>IF(Merge1[[#This Row],[team_defense_snaps]]=0, "", Merge1[[#This Row],[defense_snaps]] / Merge1[[#This Row],[team_defense_snaps]])</f>
        <v>0.72</v>
      </c>
      <c r="V388">
        <v>75</v>
      </c>
      <c r="W388">
        <v>9</v>
      </c>
      <c r="X388" s="5" t="s">
        <v>134</v>
      </c>
      <c r="Y388">
        <v>9</v>
      </c>
      <c r="Z388">
        <v>0</v>
      </c>
      <c r="AA388" t="s">
        <v>25</v>
      </c>
      <c r="AB388" t="s">
        <v>36</v>
      </c>
      <c r="AC388" t="s">
        <v>63</v>
      </c>
      <c r="AD388" t="s">
        <v>42</v>
      </c>
      <c r="AE388" t="s">
        <v>25</v>
      </c>
      <c r="AF3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0.18253968253968253</v>
      </c>
      <c r="AG388" t="s">
        <v>941</v>
      </c>
      <c r="AH388">
        <v>64</v>
      </c>
      <c r="AI388" t="s">
        <v>939</v>
      </c>
      <c r="AJ388">
        <v>2</v>
      </c>
      <c r="AK3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MIN(AJ388/8, 1) +
  Merge1[[#This Row],[index_defensive_effort]],
  2
)</f>
        <v>1.1299999999999999</v>
      </c>
    </row>
    <row r="389" spans="1:37" x14ac:dyDescent="0.25">
      <c r="A389" t="s">
        <v>226</v>
      </c>
      <c r="B389" t="s">
        <v>227</v>
      </c>
      <c r="C389">
        <v>31</v>
      </c>
      <c r="D389" t="s">
        <v>56</v>
      </c>
      <c r="E389">
        <v>69</v>
      </c>
      <c r="F389">
        <v>185</v>
      </c>
      <c r="G389" t="s">
        <v>228</v>
      </c>
      <c r="H389">
        <v>2020</v>
      </c>
      <c r="I389" t="s">
        <v>33</v>
      </c>
      <c r="J389">
        <v>13</v>
      </c>
      <c r="K389">
        <v>5</v>
      </c>
      <c r="L389">
        <v>1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50</v>
      </c>
      <c r="T389">
        <v>50</v>
      </c>
      <c r="U389" s="5">
        <f>IF(Merge1[[#This Row],[team_defense_snaps]]=0, "", Merge1[[#This Row],[defense_snaps]] / Merge1[[#This Row],[team_defense_snaps]])</f>
        <v>0.66666666666666663</v>
      </c>
      <c r="V389">
        <v>75</v>
      </c>
      <c r="W389">
        <v>0</v>
      </c>
      <c r="X389" s="5" t="s">
        <v>29</v>
      </c>
      <c r="Y389">
        <v>9</v>
      </c>
      <c r="Z389">
        <v>0</v>
      </c>
      <c r="AA389" t="s">
        <v>25</v>
      </c>
      <c r="AB389" t="s">
        <v>26</v>
      </c>
      <c r="AC389" t="s">
        <v>27</v>
      </c>
      <c r="AD389" t="s">
        <v>28</v>
      </c>
      <c r="AE389" t="s">
        <v>25</v>
      </c>
      <c r="AF3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</v>
      </c>
      <c r="AG389" t="s">
        <v>941</v>
      </c>
      <c r="AH389">
        <v>61</v>
      </c>
      <c r="AI389" t="s">
        <v>939</v>
      </c>
      <c r="AJ389">
        <v>1</v>
      </c>
      <c r="AK3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MIN(AJ389/8, 1) +
  Merge1[[#This Row],[index_defensive_effort]],
  2
)</f>
        <v>0.94</v>
      </c>
    </row>
    <row r="390" spans="1:37" x14ac:dyDescent="0.25">
      <c r="A390" t="s">
        <v>201</v>
      </c>
      <c r="B390" t="s">
        <v>202</v>
      </c>
      <c r="C390">
        <v>28</v>
      </c>
      <c r="D390" t="s">
        <v>56</v>
      </c>
      <c r="E390">
        <v>73</v>
      </c>
      <c r="F390">
        <v>200</v>
      </c>
      <c r="G390" t="s">
        <v>203</v>
      </c>
      <c r="H390">
        <v>2020</v>
      </c>
      <c r="I390" t="s">
        <v>33</v>
      </c>
      <c r="J390">
        <v>1</v>
      </c>
      <c r="K390">
        <v>1</v>
      </c>
      <c r="L390">
        <v>2</v>
      </c>
      <c r="M390">
        <v>2</v>
      </c>
      <c r="N390">
        <v>4</v>
      </c>
      <c r="O390">
        <v>0</v>
      </c>
      <c r="P390">
        <v>0</v>
      </c>
      <c r="Q390">
        <v>0</v>
      </c>
      <c r="R390">
        <v>0</v>
      </c>
      <c r="S390">
        <v>62</v>
      </c>
      <c r="T390">
        <v>62</v>
      </c>
      <c r="U390" s="5">
        <f>IF(Merge1[[#This Row],[team_defense_snaps]]=0, "", Merge1[[#This Row],[defense_snaps]] / Merge1[[#This Row],[team_defense_snaps]])</f>
        <v>0.9538461538461539</v>
      </c>
      <c r="V390">
        <v>65</v>
      </c>
      <c r="W390">
        <v>0</v>
      </c>
      <c r="X390" s="5" t="s">
        <v>29</v>
      </c>
      <c r="Y390">
        <v>5</v>
      </c>
      <c r="Z390">
        <v>0</v>
      </c>
      <c r="AA390" t="s">
        <v>25</v>
      </c>
      <c r="AB390" t="s">
        <v>26</v>
      </c>
      <c r="AC390" t="s">
        <v>27</v>
      </c>
      <c r="AD390" t="s">
        <v>204</v>
      </c>
      <c r="AE390" t="s">
        <v>25</v>
      </c>
      <c r="AF3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4.8387096774193547E-2</v>
      </c>
      <c r="AG390" t="s">
        <v>941</v>
      </c>
      <c r="AH390">
        <v>88</v>
      </c>
      <c r="AI390" t="s">
        <v>939</v>
      </c>
      <c r="AJ390">
        <v>2</v>
      </c>
      <c r="AK3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MIN(AJ390/8, 1) +
  Merge1[[#This Row],[index_defensive_effort]],
  2
)</f>
        <v>0.8</v>
      </c>
    </row>
    <row r="391" spans="1:37" x14ac:dyDescent="0.25">
      <c r="A391" t="s">
        <v>201</v>
      </c>
      <c r="B391" t="s">
        <v>202</v>
      </c>
      <c r="C391">
        <v>28</v>
      </c>
      <c r="D391" t="s">
        <v>56</v>
      </c>
      <c r="E391">
        <v>73</v>
      </c>
      <c r="F391">
        <v>200</v>
      </c>
      <c r="G391" t="s">
        <v>203</v>
      </c>
      <c r="H391">
        <v>2020</v>
      </c>
      <c r="I391" t="s">
        <v>33</v>
      </c>
      <c r="J391">
        <v>2</v>
      </c>
      <c r="K391">
        <v>0</v>
      </c>
      <c r="L391">
        <v>1</v>
      </c>
      <c r="M391">
        <v>1</v>
      </c>
      <c r="N391">
        <v>2</v>
      </c>
      <c r="O391">
        <v>0</v>
      </c>
      <c r="P391">
        <v>0</v>
      </c>
      <c r="Q391">
        <v>0</v>
      </c>
      <c r="R391">
        <v>0</v>
      </c>
      <c r="S391">
        <v>4</v>
      </c>
      <c r="T391">
        <v>4</v>
      </c>
      <c r="U391" s="5">
        <f>IF(Merge1[[#This Row],[team_defense_snaps]]=0, "", Merge1[[#This Row],[defense_snaps]] / Merge1[[#This Row],[team_defense_snaps]])</f>
        <v>6.4516129032258063E-2</v>
      </c>
      <c r="V391">
        <v>62</v>
      </c>
      <c r="W391">
        <v>0</v>
      </c>
      <c r="X391" s="5" t="s">
        <v>29</v>
      </c>
      <c r="Y391">
        <v>5</v>
      </c>
      <c r="Z391">
        <v>0</v>
      </c>
      <c r="AA391" t="s">
        <v>25</v>
      </c>
      <c r="AB391" t="s">
        <v>26</v>
      </c>
      <c r="AC391" t="s">
        <v>27</v>
      </c>
      <c r="AD391" t="s">
        <v>204</v>
      </c>
      <c r="AE391" t="s">
        <v>25</v>
      </c>
      <c r="AF3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</v>
      </c>
      <c r="AG391" t="s">
        <v>941</v>
      </c>
      <c r="AH391">
        <v>86.5</v>
      </c>
      <c r="AI391" t="s">
        <v>939</v>
      </c>
      <c r="AJ391">
        <v>1</v>
      </c>
      <c r="AK3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MIN(AJ391/8, 1) +
  Merge1[[#This Row],[index_defensive_effort]],
  2
)</f>
        <v>0.88</v>
      </c>
    </row>
    <row r="392" spans="1:37" x14ac:dyDescent="0.25">
      <c r="A392" t="s">
        <v>201</v>
      </c>
      <c r="B392" t="s">
        <v>202</v>
      </c>
      <c r="C392">
        <v>28</v>
      </c>
      <c r="D392" t="s">
        <v>56</v>
      </c>
      <c r="E392">
        <v>73</v>
      </c>
      <c r="F392">
        <v>200</v>
      </c>
      <c r="G392" t="s">
        <v>203</v>
      </c>
      <c r="H392">
        <v>2020</v>
      </c>
      <c r="I392" t="s">
        <v>33</v>
      </c>
      <c r="J392">
        <v>5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56</v>
      </c>
      <c r="T392">
        <v>56</v>
      </c>
      <c r="U392" s="5">
        <f>IF(Merge1[[#This Row],[team_defense_snaps]]=0, "", Merge1[[#This Row],[defense_snaps]] / Merge1[[#This Row],[team_defense_snaps]])</f>
        <v>0.875</v>
      </c>
      <c r="V392">
        <v>64</v>
      </c>
      <c r="W392">
        <v>0</v>
      </c>
      <c r="X392" s="5" t="s">
        <v>29</v>
      </c>
      <c r="Y392">
        <v>5</v>
      </c>
      <c r="Z392">
        <v>0</v>
      </c>
      <c r="AA392" t="s">
        <v>25</v>
      </c>
      <c r="AB392" t="s">
        <v>26</v>
      </c>
      <c r="AC392" t="s">
        <v>27</v>
      </c>
      <c r="AD392" t="s">
        <v>204</v>
      </c>
      <c r="AE392" t="s">
        <v>25</v>
      </c>
      <c r="AF3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1.7857142857142856E-2</v>
      </c>
      <c r="AG392" t="s">
        <v>941</v>
      </c>
      <c r="AH392">
        <v>80.5</v>
      </c>
      <c r="AI392" t="s">
        <v>939</v>
      </c>
      <c r="AJ392">
        <v>2</v>
      </c>
      <c r="AK3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MIN(AJ392/8, 1) +
  Merge1[[#This Row],[index_defensive_effort]],
  2
)</f>
        <v>0.77</v>
      </c>
    </row>
    <row r="393" spans="1:37" x14ac:dyDescent="0.25">
      <c r="A393" t="s">
        <v>201</v>
      </c>
      <c r="B393" t="s">
        <v>202</v>
      </c>
      <c r="C393">
        <v>28</v>
      </c>
      <c r="D393" t="s">
        <v>56</v>
      </c>
      <c r="E393">
        <v>73</v>
      </c>
      <c r="F393">
        <v>200</v>
      </c>
      <c r="G393" t="s">
        <v>203</v>
      </c>
      <c r="H393">
        <v>2020</v>
      </c>
      <c r="I393" t="s">
        <v>33</v>
      </c>
      <c r="J393">
        <v>6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70</v>
      </c>
      <c r="T393">
        <v>69</v>
      </c>
      <c r="U393" s="5">
        <f>IF(Merge1[[#This Row],[team_defense_snaps]]=0, "", Merge1[[#This Row],[defense_snaps]] / Merge1[[#This Row],[team_defense_snaps]])</f>
        <v>0.69</v>
      </c>
      <c r="V393">
        <v>100</v>
      </c>
      <c r="W393">
        <v>1</v>
      </c>
      <c r="X393" s="5" t="s">
        <v>193</v>
      </c>
      <c r="Y393">
        <v>5</v>
      </c>
      <c r="Z393">
        <v>0</v>
      </c>
      <c r="AA393" t="s">
        <v>25</v>
      </c>
      <c r="AB393" t="s">
        <v>26</v>
      </c>
      <c r="AC393" t="s">
        <v>27</v>
      </c>
      <c r="AD393" t="s">
        <v>28</v>
      </c>
      <c r="AE393" t="s">
        <v>25</v>
      </c>
      <c r="AF3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1.4285714285714285E-2</v>
      </c>
      <c r="AG393" t="s">
        <v>941</v>
      </c>
      <c r="AH393">
        <v>70</v>
      </c>
      <c r="AI393" t="s">
        <v>939</v>
      </c>
      <c r="AJ393">
        <v>1</v>
      </c>
      <c r="AK3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MIN(AJ393/8, 1) +
  Merge1[[#This Row],[index_defensive_effort]],
  2
)</f>
        <v>0.64</v>
      </c>
    </row>
    <row r="394" spans="1:37" x14ac:dyDescent="0.25">
      <c r="A394" t="s">
        <v>201</v>
      </c>
      <c r="B394" t="s">
        <v>202</v>
      </c>
      <c r="C394">
        <v>28</v>
      </c>
      <c r="D394" t="s">
        <v>56</v>
      </c>
      <c r="E394">
        <v>73</v>
      </c>
      <c r="F394">
        <v>200</v>
      </c>
      <c r="G394" t="s">
        <v>203</v>
      </c>
      <c r="H394">
        <v>2020</v>
      </c>
      <c r="I394" t="s">
        <v>33</v>
      </c>
      <c r="J394">
        <v>8</v>
      </c>
      <c r="K394">
        <v>1</v>
      </c>
      <c r="L394">
        <v>1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88</v>
      </c>
      <c r="T394">
        <v>88</v>
      </c>
      <c r="U394" s="5">
        <f>IF(Merge1[[#This Row],[team_defense_snaps]]=0, "", Merge1[[#This Row],[defense_snaps]] / Merge1[[#This Row],[team_defense_snaps]])</f>
        <v>0.91666666666666663</v>
      </c>
      <c r="V394">
        <v>96</v>
      </c>
      <c r="W394">
        <v>0</v>
      </c>
      <c r="X394" s="5" t="s">
        <v>29</v>
      </c>
      <c r="Y394">
        <v>5</v>
      </c>
      <c r="Z394">
        <v>0</v>
      </c>
      <c r="AA394" t="s">
        <v>25</v>
      </c>
      <c r="AB394" t="s">
        <v>26</v>
      </c>
      <c r="AC394" t="s">
        <v>27</v>
      </c>
      <c r="AD394" t="s">
        <v>28</v>
      </c>
      <c r="AE394" t="s">
        <v>25</v>
      </c>
      <c r="AF3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1.7045454545454544E-2</v>
      </c>
      <c r="AG394" t="s">
        <v>941</v>
      </c>
      <c r="AH394">
        <v>73</v>
      </c>
      <c r="AI394" t="s">
        <v>939</v>
      </c>
      <c r="AJ394">
        <v>2</v>
      </c>
      <c r="AK3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MIN(AJ394/8, 1) +
  Merge1[[#This Row],[index_defensive_effort]],
  2
)</f>
        <v>0.77</v>
      </c>
    </row>
    <row r="395" spans="1:37" x14ac:dyDescent="0.25">
      <c r="A395" t="s">
        <v>201</v>
      </c>
      <c r="B395" t="s">
        <v>202</v>
      </c>
      <c r="C395">
        <v>28</v>
      </c>
      <c r="D395" t="s">
        <v>56</v>
      </c>
      <c r="E395">
        <v>73</v>
      </c>
      <c r="F395">
        <v>200</v>
      </c>
      <c r="G395" t="s">
        <v>203</v>
      </c>
      <c r="H395">
        <v>2020</v>
      </c>
      <c r="I395" t="s">
        <v>33</v>
      </c>
      <c r="J395">
        <v>9</v>
      </c>
      <c r="K395">
        <v>5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69</v>
      </c>
      <c r="T395">
        <v>69</v>
      </c>
      <c r="U395" s="5">
        <f>IF(Merge1[[#This Row],[team_defense_snaps]]=0, "", Merge1[[#This Row],[defense_snaps]] / Merge1[[#This Row],[team_defense_snaps]])</f>
        <v>1</v>
      </c>
      <c r="V395">
        <v>69</v>
      </c>
      <c r="W395">
        <v>0</v>
      </c>
      <c r="X395" s="5" t="s">
        <v>29</v>
      </c>
      <c r="Y395">
        <v>5</v>
      </c>
      <c r="Z395">
        <v>0</v>
      </c>
      <c r="AA395" t="s">
        <v>25</v>
      </c>
      <c r="AB395" t="s">
        <v>26</v>
      </c>
      <c r="AC395" t="s">
        <v>27</v>
      </c>
      <c r="AD395" t="s">
        <v>204</v>
      </c>
      <c r="AE395" t="s">
        <v>25</v>
      </c>
      <c r="AF3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7.2463768115942032E-2</v>
      </c>
      <c r="AG395" t="s">
        <v>941</v>
      </c>
      <c r="AH395">
        <v>77.5</v>
      </c>
      <c r="AI395" t="s">
        <v>939</v>
      </c>
      <c r="AJ395">
        <v>3</v>
      </c>
      <c r="AK3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MIN(AJ395/8, 1) +
  Merge1[[#This Row],[index_defensive_effort]],
  2
)</f>
        <v>0.95</v>
      </c>
    </row>
    <row r="396" spans="1:37" x14ac:dyDescent="0.25">
      <c r="A396" t="s">
        <v>201</v>
      </c>
      <c r="B396" t="s">
        <v>202</v>
      </c>
      <c r="C396">
        <v>28</v>
      </c>
      <c r="D396" t="s">
        <v>56</v>
      </c>
      <c r="E396">
        <v>73</v>
      </c>
      <c r="F396">
        <v>200</v>
      </c>
      <c r="G396" t="s">
        <v>203</v>
      </c>
      <c r="H396">
        <v>2020</v>
      </c>
      <c r="I396" t="s">
        <v>33</v>
      </c>
      <c r="J396">
        <v>10</v>
      </c>
      <c r="K396">
        <v>3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66</v>
      </c>
      <c r="T396">
        <v>61</v>
      </c>
      <c r="U396" s="5">
        <f>IF(Merge1[[#This Row],[team_defense_snaps]]=0, "", Merge1[[#This Row],[defense_snaps]] / Merge1[[#This Row],[team_defense_snaps]])</f>
        <v>0.953125</v>
      </c>
      <c r="V396">
        <v>64</v>
      </c>
      <c r="W396">
        <v>5</v>
      </c>
      <c r="X396" s="5" t="s">
        <v>181</v>
      </c>
      <c r="Y396">
        <v>5</v>
      </c>
      <c r="Z396">
        <v>0</v>
      </c>
      <c r="AA396" t="s">
        <v>25</v>
      </c>
      <c r="AB396" t="s">
        <v>26</v>
      </c>
      <c r="AC396" t="s">
        <v>27</v>
      </c>
      <c r="AD396" t="s">
        <v>28</v>
      </c>
      <c r="AE396" t="s">
        <v>25</v>
      </c>
      <c r="AF3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7.575757575757576E-2</v>
      </c>
      <c r="AG396" t="s">
        <v>941</v>
      </c>
      <c r="AH396">
        <v>71.5</v>
      </c>
      <c r="AI396" t="s">
        <v>939</v>
      </c>
      <c r="AJ396">
        <v>4</v>
      </c>
      <c r="AK3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MIN(AJ396/8, 1) +
  Merge1[[#This Row],[index_defensive_effort]],
  2
)</f>
        <v>1.08</v>
      </c>
    </row>
    <row r="397" spans="1:37" x14ac:dyDescent="0.25">
      <c r="A397" t="s">
        <v>201</v>
      </c>
      <c r="B397" t="s">
        <v>202</v>
      </c>
      <c r="C397">
        <v>28</v>
      </c>
      <c r="D397" t="s">
        <v>56</v>
      </c>
      <c r="E397">
        <v>73</v>
      </c>
      <c r="F397">
        <v>200</v>
      </c>
      <c r="G397" t="s">
        <v>203</v>
      </c>
      <c r="H397">
        <v>2020</v>
      </c>
      <c r="I397" t="s">
        <v>33</v>
      </c>
      <c r="J397">
        <v>11</v>
      </c>
      <c r="K397">
        <v>2</v>
      </c>
      <c r="L397">
        <v>1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69</v>
      </c>
      <c r="T397">
        <v>64</v>
      </c>
      <c r="U397" s="5">
        <f>IF(Merge1[[#This Row],[team_defense_snaps]]=0, "", Merge1[[#This Row],[defense_snaps]] / Merge1[[#This Row],[team_defense_snaps]])</f>
        <v>0.95522388059701491</v>
      </c>
      <c r="V397">
        <v>67</v>
      </c>
      <c r="W397">
        <v>5</v>
      </c>
      <c r="X397" s="5" t="s">
        <v>293</v>
      </c>
      <c r="Y397">
        <v>5</v>
      </c>
      <c r="Z397">
        <v>0</v>
      </c>
      <c r="AA397" t="s">
        <v>25</v>
      </c>
      <c r="AB397" t="s">
        <v>26</v>
      </c>
      <c r="AC397" t="s">
        <v>27</v>
      </c>
      <c r="AD397" t="s">
        <v>28</v>
      </c>
      <c r="AE397" t="s">
        <v>25</v>
      </c>
      <c r="AF3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3.6231884057971016E-2</v>
      </c>
      <c r="AG397" t="s">
        <v>941</v>
      </c>
      <c r="AH397">
        <v>65.5</v>
      </c>
      <c r="AI397" t="s">
        <v>939</v>
      </c>
      <c r="AJ397">
        <v>5</v>
      </c>
      <c r="AK3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MIN(AJ397/8, 1) +
  Merge1[[#This Row],[index_defensive_effort]],
  2
)</f>
        <v>1.1599999999999999</v>
      </c>
    </row>
    <row r="398" spans="1:37" x14ac:dyDescent="0.25">
      <c r="A398" t="s">
        <v>201</v>
      </c>
      <c r="B398" t="s">
        <v>202</v>
      </c>
      <c r="C398">
        <v>28</v>
      </c>
      <c r="D398" t="s">
        <v>56</v>
      </c>
      <c r="E398">
        <v>73</v>
      </c>
      <c r="F398">
        <v>200</v>
      </c>
      <c r="G398" t="s">
        <v>203</v>
      </c>
      <c r="H398">
        <v>2020</v>
      </c>
      <c r="I398" t="s">
        <v>33</v>
      </c>
      <c r="J398">
        <v>12</v>
      </c>
      <c r="K398">
        <v>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55</v>
      </c>
      <c r="T398">
        <v>55</v>
      </c>
      <c r="U398" s="5">
        <f>IF(Merge1[[#This Row],[team_defense_snaps]]=0, "", Merge1[[#This Row],[defense_snaps]] / Merge1[[#This Row],[team_defense_snaps]])</f>
        <v>1</v>
      </c>
      <c r="V398">
        <v>55</v>
      </c>
      <c r="W398">
        <v>0</v>
      </c>
      <c r="X398" s="5" t="s">
        <v>29</v>
      </c>
      <c r="Y398">
        <v>5</v>
      </c>
      <c r="Z398">
        <v>0</v>
      </c>
      <c r="AA398" t="s">
        <v>25</v>
      </c>
      <c r="AB398" t="s">
        <v>26</v>
      </c>
      <c r="AC398" t="s">
        <v>27</v>
      </c>
      <c r="AD398" t="s">
        <v>28</v>
      </c>
      <c r="AE398" t="s">
        <v>25</v>
      </c>
      <c r="AF3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3.6363636363636362E-2</v>
      </c>
      <c r="AG398" t="s">
        <v>941</v>
      </c>
      <c r="AH398">
        <v>74.5</v>
      </c>
      <c r="AI398" t="s">
        <v>939</v>
      </c>
      <c r="AJ398">
        <v>6</v>
      </c>
      <c r="AK3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MIN(AJ398/8, 1) +
  Merge1[[#This Row],[index_defensive_effort]],
  2
)</f>
        <v>1.29</v>
      </c>
    </row>
    <row r="399" spans="1:37" x14ac:dyDescent="0.25">
      <c r="A399" t="s">
        <v>201</v>
      </c>
      <c r="B399" t="s">
        <v>202</v>
      </c>
      <c r="C399">
        <v>28</v>
      </c>
      <c r="D399" t="s">
        <v>56</v>
      </c>
      <c r="E399">
        <v>73</v>
      </c>
      <c r="F399">
        <v>200</v>
      </c>
      <c r="G399" t="s">
        <v>203</v>
      </c>
      <c r="H399">
        <v>2020</v>
      </c>
      <c r="I399" t="s">
        <v>33</v>
      </c>
      <c r="J399">
        <v>13</v>
      </c>
      <c r="K399">
        <v>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52</v>
      </c>
      <c r="T399">
        <v>52</v>
      </c>
      <c r="U399" s="5">
        <f>IF(Merge1[[#This Row],[team_defense_snaps]]=0, "", Merge1[[#This Row],[defense_snaps]] / Merge1[[#This Row],[team_defense_snaps]])</f>
        <v>1</v>
      </c>
      <c r="V399">
        <v>52</v>
      </c>
      <c r="W399">
        <v>0</v>
      </c>
      <c r="X399" s="5" t="s">
        <v>29</v>
      </c>
      <c r="Y399">
        <v>5</v>
      </c>
      <c r="Z399">
        <v>0</v>
      </c>
      <c r="AA399" t="s">
        <v>25</v>
      </c>
      <c r="AB399" t="s">
        <v>26</v>
      </c>
      <c r="AC399" t="s">
        <v>27</v>
      </c>
      <c r="AD399" t="s">
        <v>28</v>
      </c>
      <c r="AE399" t="s">
        <v>25</v>
      </c>
      <c r="AF3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3.8461538461538464E-2</v>
      </c>
      <c r="AG399" t="s">
        <v>941</v>
      </c>
      <c r="AH399">
        <v>64</v>
      </c>
      <c r="AI399" t="s">
        <v>939</v>
      </c>
      <c r="AJ399">
        <v>7</v>
      </c>
      <c r="AK3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MIN(AJ399/8, 1) +
  Merge1[[#This Row],[index_defensive_effort]],
  2
)</f>
        <v>1.41</v>
      </c>
    </row>
    <row r="400" spans="1:37" x14ac:dyDescent="0.25">
      <c r="A400" t="s">
        <v>201</v>
      </c>
      <c r="B400" t="s">
        <v>202</v>
      </c>
      <c r="C400">
        <v>28</v>
      </c>
      <c r="D400" t="s">
        <v>56</v>
      </c>
      <c r="E400">
        <v>73</v>
      </c>
      <c r="F400">
        <v>200</v>
      </c>
      <c r="G400" t="s">
        <v>203</v>
      </c>
      <c r="H400">
        <v>2020</v>
      </c>
      <c r="I400" t="s">
        <v>33</v>
      </c>
      <c r="J400">
        <v>14</v>
      </c>
      <c r="K400">
        <v>2</v>
      </c>
      <c r="L400">
        <v>3</v>
      </c>
      <c r="M400">
        <v>2</v>
      </c>
      <c r="N400">
        <v>5</v>
      </c>
      <c r="O400">
        <v>0</v>
      </c>
      <c r="P400">
        <v>0</v>
      </c>
      <c r="Q400">
        <v>2</v>
      </c>
      <c r="R400">
        <v>4</v>
      </c>
      <c r="S400">
        <v>62</v>
      </c>
      <c r="T400">
        <v>62</v>
      </c>
      <c r="U400" s="5">
        <f>IF(Merge1[[#This Row],[team_defense_snaps]]=0, "", Merge1[[#This Row],[defense_snaps]] / Merge1[[#This Row],[team_defense_snaps]])</f>
        <v>1</v>
      </c>
      <c r="V400">
        <v>62</v>
      </c>
      <c r="W400">
        <v>0</v>
      </c>
      <c r="X400" s="5" t="s">
        <v>29</v>
      </c>
      <c r="Y400">
        <v>5</v>
      </c>
      <c r="Z400">
        <v>0</v>
      </c>
      <c r="AA400" t="s">
        <v>25</v>
      </c>
      <c r="AB400" t="s">
        <v>26</v>
      </c>
      <c r="AC400" t="s">
        <v>27</v>
      </c>
      <c r="AD400" t="s">
        <v>28</v>
      </c>
      <c r="AE400" t="s">
        <v>25</v>
      </c>
      <c r="AF4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0.33064516129032256</v>
      </c>
      <c r="AG400" t="s">
        <v>941</v>
      </c>
      <c r="AH400">
        <v>76</v>
      </c>
      <c r="AI400" t="s">
        <v>939</v>
      </c>
      <c r="AJ400">
        <v>8</v>
      </c>
      <c r="AK4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MIN(AJ400/8, 1) +
  Merge1[[#This Row],[index_defensive_effort]],
  2
)</f>
        <v>1.83</v>
      </c>
    </row>
    <row r="401" spans="1:37" x14ac:dyDescent="0.25">
      <c r="A401" t="s">
        <v>201</v>
      </c>
      <c r="B401" t="s">
        <v>202</v>
      </c>
      <c r="C401">
        <v>28</v>
      </c>
      <c r="D401" t="s">
        <v>56</v>
      </c>
      <c r="E401">
        <v>73</v>
      </c>
      <c r="F401">
        <v>200</v>
      </c>
      <c r="G401" t="s">
        <v>203</v>
      </c>
      <c r="H401">
        <v>2020</v>
      </c>
      <c r="I401" t="s">
        <v>33</v>
      </c>
      <c r="J401">
        <v>15</v>
      </c>
      <c r="K401">
        <v>0</v>
      </c>
      <c r="L401">
        <v>1</v>
      </c>
      <c r="M401">
        <v>1</v>
      </c>
      <c r="N401">
        <v>2</v>
      </c>
      <c r="O401">
        <v>0</v>
      </c>
      <c r="P401">
        <v>0</v>
      </c>
      <c r="Q401">
        <v>0</v>
      </c>
      <c r="R401">
        <v>0</v>
      </c>
      <c r="S401">
        <v>56</v>
      </c>
      <c r="T401">
        <v>55</v>
      </c>
      <c r="U401" s="5">
        <f>IF(Merge1[[#This Row],[team_defense_snaps]]=0, "", Merge1[[#This Row],[defense_snaps]] / Merge1[[#This Row],[team_defense_snaps]])</f>
        <v>1</v>
      </c>
      <c r="V401">
        <v>55</v>
      </c>
      <c r="W401">
        <v>1</v>
      </c>
      <c r="X401" s="5" t="s">
        <v>34</v>
      </c>
      <c r="Y401">
        <v>5</v>
      </c>
      <c r="Z401">
        <v>0</v>
      </c>
      <c r="AA401" t="s">
        <v>25</v>
      </c>
      <c r="AB401" t="s">
        <v>26</v>
      </c>
      <c r="AC401" t="s">
        <v>27</v>
      </c>
      <c r="AD401" t="s">
        <v>28</v>
      </c>
      <c r="AE401" t="s">
        <v>25</v>
      </c>
      <c r="AF4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1.7857142857142856E-2</v>
      </c>
      <c r="AG401" t="s">
        <v>941</v>
      </c>
      <c r="AH401">
        <v>82</v>
      </c>
      <c r="AI401" t="s">
        <v>939</v>
      </c>
      <c r="AJ401">
        <v>9</v>
      </c>
      <c r="AK4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MIN(AJ401/8, 1) +
  Merge1[[#This Row],[index_defensive_effort]],
  2
)</f>
        <v>1.52</v>
      </c>
    </row>
    <row r="402" spans="1:37" x14ac:dyDescent="0.25">
      <c r="A402" t="s">
        <v>201</v>
      </c>
      <c r="B402" t="s">
        <v>202</v>
      </c>
      <c r="C402">
        <v>28</v>
      </c>
      <c r="D402" t="s">
        <v>56</v>
      </c>
      <c r="E402">
        <v>73</v>
      </c>
      <c r="F402">
        <v>200</v>
      </c>
      <c r="G402" t="s">
        <v>203</v>
      </c>
      <c r="H402">
        <v>2020</v>
      </c>
      <c r="I402" t="s">
        <v>33</v>
      </c>
      <c r="J402">
        <v>16</v>
      </c>
      <c r="K402">
        <v>1</v>
      </c>
      <c r="L402">
        <v>3</v>
      </c>
      <c r="M402">
        <v>0</v>
      </c>
      <c r="N402">
        <v>3</v>
      </c>
      <c r="O402">
        <v>0</v>
      </c>
      <c r="P402">
        <v>0</v>
      </c>
      <c r="Q402">
        <v>0</v>
      </c>
      <c r="R402">
        <v>0</v>
      </c>
      <c r="S402">
        <v>64</v>
      </c>
      <c r="T402">
        <v>63</v>
      </c>
      <c r="U402" s="5">
        <f>IF(Merge1[[#This Row],[team_defense_snaps]]=0, "", Merge1[[#This Row],[defense_snaps]] / Merge1[[#This Row],[team_defense_snaps]])</f>
        <v>0.984375</v>
      </c>
      <c r="V402">
        <v>64</v>
      </c>
      <c r="W402">
        <v>1</v>
      </c>
      <c r="X402" s="5" t="s">
        <v>303</v>
      </c>
      <c r="Y402">
        <v>5</v>
      </c>
      <c r="Z402">
        <v>0</v>
      </c>
      <c r="AA402" t="s">
        <v>25</v>
      </c>
      <c r="AB402" t="s">
        <v>26</v>
      </c>
      <c r="AC402" t="s">
        <v>27</v>
      </c>
      <c r="AD402" t="s">
        <v>28</v>
      </c>
      <c r="AE402" t="s">
        <v>25</v>
      </c>
      <c r="AF4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3.90625E-2</v>
      </c>
      <c r="AG402" t="s">
        <v>941</v>
      </c>
      <c r="AH402">
        <v>68.5</v>
      </c>
      <c r="AI402" t="s">
        <v>939</v>
      </c>
      <c r="AJ402">
        <v>10</v>
      </c>
      <c r="AK4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MIN(AJ402/8, 1) +
  Merge1[[#This Row],[index_defensive_effort]],
  2
)</f>
        <v>1.54</v>
      </c>
    </row>
    <row r="403" spans="1:37" x14ac:dyDescent="0.25">
      <c r="A403" t="s">
        <v>201</v>
      </c>
      <c r="B403" t="s">
        <v>202</v>
      </c>
      <c r="C403">
        <v>28</v>
      </c>
      <c r="D403" t="s">
        <v>56</v>
      </c>
      <c r="E403">
        <v>73</v>
      </c>
      <c r="F403">
        <v>200</v>
      </c>
      <c r="G403" t="s">
        <v>203</v>
      </c>
      <c r="H403">
        <v>2020</v>
      </c>
      <c r="I403" t="s">
        <v>33</v>
      </c>
      <c r="J403">
        <v>17</v>
      </c>
      <c r="K403">
        <v>6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2</v>
      </c>
      <c r="R403">
        <v>0</v>
      </c>
      <c r="S403">
        <v>55</v>
      </c>
      <c r="T403">
        <v>55</v>
      </c>
      <c r="U403" s="5">
        <f>IF(Merge1[[#This Row],[team_defense_snaps]]=0, "", Merge1[[#This Row],[defense_snaps]] / Merge1[[#This Row],[team_defense_snaps]])</f>
        <v>0.84615384615384615</v>
      </c>
      <c r="V403">
        <v>65</v>
      </c>
      <c r="W403">
        <v>0</v>
      </c>
      <c r="X403" s="5" t="s">
        <v>29</v>
      </c>
      <c r="Y403">
        <v>5</v>
      </c>
      <c r="Z403">
        <v>0</v>
      </c>
      <c r="AA403" t="s">
        <v>25</v>
      </c>
      <c r="AB403" t="s">
        <v>26</v>
      </c>
      <c r="AC403" t="s">
        <v>27</v>
      </c>
      <c r="AD403" t="s">
        <v>204</v>
      </c>
      <c r="AE403" t="s">
        <v>25</v>
      </c>
      <c r="AF4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0.25454545454545452</v>
      </c>
      <c r="AG403" t="s">
        <v>941</v>
      </c>
      <c r="AH403">
        <v>67</v>
      </c>
      <c r="AI403" t="s">
        <v>939</v>
      </c>
      <c r="AJ403">
        <v>1</v>
      </c>
      <c r="AK4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MIN(AJ403/8, 1) +
  Merge1[[#This Row],[index_defensive_effort]],
  2
)</f>
        <v>0.88</v>
      </c>
    </row>
    <row r="404" spans="1:37" x14ac:dyDescent="0.25">
      <c r="A404" t="s">
        <v>219</v>
      </c>
      <c r="B404" t="s">
        <v>220</v>
      </c>
      <c r="C404">
        <v>22</v>
      </c>
      <c r="D404" t="s">
        <v>56</v>
      </c>
      <c r="E404">
        <v>71</v>
      </c>
      <c r="F404">
        <v>185</v>
      </c>
      <c r="G404" t="s">
        <v>153</v>
      </c>
      <c r="H404">
        <v>2020</v>
      </c>
      <c r="I404" t="s">
        <v>33</v>
      </c>
      <c r="J404">
        <v>1</v>
      </c>
      <c r="K404">
        <v>0</v>
      </c>
      <c r="L404">
        <v>2</v>
      </c>
      <c r="M404">
        <v>1</v>
      </c>
      <c r="N404">
        <v>3</v>
      </c>
      <c r="O404">
        <v>0</v>
      </c>
      <c r="P404">
        <v>0</v>
      </c>
      <c r="Q404">
        <v>0</v>
      </c>
      <c r="R404">
        <v>0</v>
      </c>
      <c r="S404">
        <v>65</v>
      </c>
      <c r="T404">
        <v>60</v>
      </c>
      <c r="U404" s="5">
        <f>IF(Merge1[[#This Row],[team_defense_snaps]]=0, "", Merge1[[#This Row],[defense_snaps]] / Merge1[[#This Row],[team_defense_snaps]])</f>
        <v>0.89552238805970152</v>
      </c>
      <c r="V404">
        <v>67</v>
      </c>
      <c r="W404">
        <v>5</v>
      </c>
      <c r="X404" s="5" t="s">
        <v>181</v>
      </c>
      <c r="Y404">
        <v>1</v>
      </c>
      <c r="Z404">
        <v>0</v>
      </c>
      <c r="AA404" t="s">
        <v>25</v>
      </c>
      <c r="AB404" t="s">
        <v>26</v>
      </c>
      <c r="AC404" t="s">
        <v>27</v>
      </c>
      <c r="AD404" t="s">
        <v>42</v>
      </c>
      <c r="AE404" t="s">
        <v>25</v>
      </c>
      <c r="AF4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2.3076923076923078E-2</v>
      </c>
      <c r="AG404" t="s">
        <v>941</v>
      </c>
      <c r="AH404">
        <v>71</v>
      </c>
      <c r="AI404" t="s">
        <v>939</v>
      </c>
      <c r="AJ404">
        <v>2</v>
      </c>
      <c r="AK4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MIN(AJ404/8, 1) +
  Merge1[[#This Row],[index_defensive_effort]],
  2
)</f>
        <v>0.67</v>
      </c>
    </row>
    <row r="405" spans="1:37" x14ac:dyDescent="0.25">
      <c r="A405" t="s">
        <v>219</v>
      </c>
      <c r="B405" t="s">
        <v>220</v>
      </c>
      <c r="C405">
        <v>22</v>
      </c>
      <c r="D405" t="s">
        <v>56</v>
      </c>
      <c r="E405">
        <v>71</v>
      </c>
      <c r="F405">
        <v>185</v>
      </c>
      <c r="G405" t="s">
        <v>153</v>
      </c>
      <c r="H405">
        <v>2020</v>
      </c>
      <c r="I405" t="s">
        <v>33</v>
      </c>
      <c r="J405">
        <v>2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67</v>
      </c>
      <c r="T405">
        <v>65</v>
      </c>
      <c r="U405" s="5">
        <f>IF(Merge1[[#This Row],[team_defense_snaps]]=0, "", Merge1[[#This Row],[defense_snaps]] / Merge1[[#This Row],[team_defense_snaps]])</f>
        <v>0.98484848484848486</v>
      </c>
      <c r="V405">
        <v>66</v>
      </c>
      <c r="W405">
        <v>2</v>
      </c>
      <c r="X405" s="5" t="s">
        <v>208</v>
      </c>
      <c r="Y405">
        <v>1</v>
      </c>
      <c r="Z405">
        <v>0</v>
      </c>
      <c r="AA405" t="s">
        <v>25</v>
      </c>
      <c r="AB405" t="s">
        <v>26</v>
      </c>
      <c r="AC405" t="s">
        <v>27</v>
      </c>
      <c r="AD405" t="s">
        <v>42</v>
      </c>
      <c r="AE405" t="s">
        <v>25</v>
      </c>
      <c r="AF4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1.4925373134328358E-2</v>
      </c>
      <c r="AG405" t="s">
        <v>941</v>
      </c>
      <c r="AH405">
        <v>92</v>
      </c>
      <c r="AI405" t="s">
        <v>939</v>
      </c>
      <c r="AJ405">
        <v>3</v>
      </c>
      <c r="AK4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MIN(AJ405/8, 1) +
  Merge1[[#This Row],[index_defensive_effort]],
  2
)</f>
        <v>0.79</v>
      </c>
    </row>
    <row r="406" spans="1:37" x14ac:dyDescent="0.25">
      <c r="A406" t="s">
        <v>219</v>
      </c>
      <c r="B406" t="s">
        <v>220</v>
      </c>
      <c r="C406">
        <v>22</v>
      </c>
      <c r="D406" t="s">
        <v>56</v>
      </c>
      <c r="E406">
        <v>71</v>
      </c>
      <c r="F406">
        <v>185</v>
      </c>
      <c r="G406" t="s">
        <v>153</v>
      </c>
      <c r="H406">
        <v>2020</v>
      </c>
      <c r="I406" t="s">
        <v>33</v>
      </c>
      <c r="J406">
        <v>3</v>
      </c>
      <c r="K406">
        <v>3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62</v>
      </c>
      <c r="T406">
        <v>61</v>
      </c>
      <c r="U406" s="5">
        <f>IF(Merge1[[#This Row],[team_defense_snaps]]=0, "", Merge1[[#This Row],[defense_snaps]] / Merge1[[#This Row],[team_defense_snaps]])</f>
        <v>0.91044776119402981</v>
      </c>
      <c r="V406">
        <v>67</v>
      </c>
      <c r="W406">
        <v>1</v>
      </c>
      <c r="X406" s="5" t="s">
        <v>193</v>
      </c>
      <c r="Y406">
        <v>1</v>
      </c>
      <c r="Z406">
        <v>0</v>
      </c>
      <c r="AA406" t="s">
        <v>25</v>
      </c>
      <c r="AB406" t="s">
        <v>26</v>
      </c>
      <c r="AC406" t="s">
        <v>27</v>
      </c>
      <c r="AD406" t="s">
        <v>28</v>
      </c>
      <c r="AE406" t="s">
        <v>25</v>
      </c>
      <c r="AF4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4.8387096774193547E-2</v>
      </c>
      <c r="AG406" t="s">
        <v>941</v>
      </c>
      <c r="AH406">
        <v>81.5</v>
      </c>
      <c r="AI406" t="s">
        <v>939</v>
      </c>
      <c r="AJ406">
        <v>4</v>
      </c>
      <c r="AK4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MIN(AJ406/8, 1) +
  Merge1[[#This Row],[index_defensive_effort]],
  2
)</f>
        <v>0.95</v>
      </c>
    </row>
    <row r="407" spans="1:37" x14ac:dyDescent="0.25">
      <c r="A407" t="s">
        <v>219</v>
      </c>
      <c r="B407" t="s">
        <v>220</v>
      </c>
      <c r="C407">
        <v>22</v>
      </c>
      <c r="D407" t="s">
        <v>56</v>
      </c>
      <c r="E407">
        <v>71</v>
      </c>
      <c r="F407">
        <v>185</v>
      </c>
      <c r="G407" t="s">
        <v>153</v>
      </c>
      <c r="H407">
        <v>2020</v>
      </c>
      <c r="I407" t="s">
        <v>33</v>
      </c>
      <c r="J407">
        <v>4</v>
      </c>
      <c r="K407">
        <v>2</v>
      </c>
      <c r="L407">
        <v>2</v>
      </c>
      <c r="M407">
        <v>0</v>
      </c>
      <c r="N407">
        <v>2</v>
      </c>
      <c r="O407">
        <v>0</v>
      </c>
      <c r="P407">
        <v>0</v>
      </c>
      <c r="Q407">
        <v>0</v>
      </c>
      <c r="R407">
        <v>0</v>
      </c>
      <c r="S407">
        <v>65</v>
      </c>
      <c r="T407">
        <v>65</v>
      </c>
      <c r="U407" s="5">
        <f>IF(Merge1[[#This Row],[team_defense_snaps]]=0, "", Merge1[[#This Row],[defense_snaps]] / Merge1[[#This Row],[team_defense_snaps]])</f>
        <v>0.85526315789473684</v>
      </c>
      <c r="V407">
        <v>76</v>
      </c>
      <c r="W407">
        <v>0</v>
      </c>
      <c r="X407" s="5" t="s">
        <v>29</v>
      </c>
      <c r="Y407">
        <v>1</v>
      </c>
      <c r="Z407">
        <v>0</v>
      </c>
      <c r="AA407" t="s">
        <v>25</v>
      </c>
      <c r="AB407" t="s">
        <v>26</v>
      </c>
      <c r="AC407" t="s">
        <v>27</v>
      </c>
      <c r="AD407" t="s">
        <v>42</v>
      </c>
      <c r="AE407" t="s">
        <v>25</v>
      </c>
      <c r="AF4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4.6153846153846156E-2</v>
      </c>
      <c r="AG407" t="s">
        <v>941</v>
      </c>
      <c r="AH407">
        <v>89</v>
      </c>
      <c r="AI407" t="s">
        <v>939</v>
      </c>
      <c r="AJ407">
        <v>5</v>
      </c>
      <c r="AK4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MIN(AJ407/8, 1) +
  Merge1[[#This Row],[index_defensive_effort]],
  2
)</f>
        <v>1.07</v>
      </c>
    </row>
    <row r="408" spans="1:37" x14ac:dyDescent="0.25">
      <c r="A408" t="s">
        <v>219</v>
      </c>
      <c r="B408" t="s">
        <v>220</v>
      </c>
      <c r="C408">
        <v>22</v>
      </c>
      <c r="D408" t="s">
        <v>56</v>
      </c>
      <c r="E408">
        <v>71</v>
      </c>
      <c r="F408">
        <v>185</v>
      </c>
      <c r="G408" t="s">
        <v>153</v>
      </c>
      <c r="H408">
        <v>2020</v>
      </c>
      <c r="I408" t="s">
        <v>33</v>
      </c>
      <c r="J408">
        <v>5</v>
      </c>
      <c r="K408">
        <v>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55</v>
      </c>
      <c r="T408">
        <v>54</v>
      </c>
      <c r="U408" s="5">
        <f>IF(Merge1[[#This Row],[team_defense_snaps]]=0, "", Merge1[[#This Row],[defense_snaps]] / Merge1[[#This Row],[team_defense_snaps]])</f>
        <v>0.78260869565217395</v>
      </c>
      <c r="V408">
        <v>69</v>
      </c>
      <c r="W408">
        <v>1</v>
      </c>
      <c r="X408" s="5" t="s">
        <v>193</v>
      </c>
      <c r="Y408">
        <v>1</v>
      </c>
      <c r="Z408">
        <v>0</v>
      </c>
      <c r="AA408" t="s">
        <v>25</v>
      </c>
      <c r="AB408" t="s">
        <v>26</v>
      </c>
      <c r="AC408" t="s">
        <v>27</v>
      </c>
      <c r="AD408" t="s">
        <v>42</v>
      </c>
      <c r="AE408" t="s">
        <v>25</v>
      </c>
      <c r="AF4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7.2727272727272724E-2</v>
      </c>
      <c r="AG408" t="s">
        <v>941</v>
      </c>
      <c r="AH408">
        <v>77</v>
      </c>
      <c r="AI408" t="s">
        <v>939</v>
      </c>
      <c r="AJ408">
        <v>6</v>
      </c>
      <c r="AK4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MIN(AJ408/8, 1) +
  Merge1[[#This Row],[index_defensive_effort]],
  2
)</f>
        <v>1.22</v>
      </c>
    </row>
    <row r="409" spans="1:37" x14ac:dyDescent="0.25">
      <c r="A409" t="s">
        <v>219</v>
      </c>
      <c r="B409" t="s">
        <v>220</v>
      </c>
      <c r="C409">
        <v>22</v>
      </c>
      <c r="D409" t="s">
        <v>56</v>
      </c>
      <c r="E409">
        <v>71</v>
      </c>
      <c r="F409">
        <v>185</v>
      </c>
      <c r="G409" t="s">
        <v>153</v>
      </c>
      <c r="H409">
        <v>2020</v>
      </c>
      <c r="I409" t="s">
        <v>33</v>
      </c>
      <c r="J409">
        <v>6</v>
      </c>
      <c r="K409">
        <v>8</v>
      </c>
      <c r="L409">
        <v>1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85</v>
      </c>
      <c r="T409">
        <v>82</v>
      </c>
      <c r="U409" s="5">
        <f>IF(Merge1[[#This Row],[team_defense_snaps]]=0, "", Merge1[[#This Row],[defense_snaps]] / Merge1[[#This Row],[team_defense_snaps]])</f>
        <v>0.9213483146067416</v>
      </c>
      <c r="V409">
        <v>89</v>
      </c>
      <c r="W409">
        <v>3</v>
      </c>
      <c r="X409" s="5" t="s">
        <v>251</v>
      </c>
      <c r="Y409">
        <v>1</v>
      </c>
      <c r="Z409">
        <v>0</v>
      </c>
      <c r="AA409" t="s">
        <v>25</v>
      </c>
      <c r="AB409" t="s">
        <v>26</v>
      </c>
      <c r="AC409" t="s">
        <v>27</v>
      </c>
      <c r="AD409" t="s">
        <v>42</v>
      </c>
      <c r="AE409" t="s">
        <v>25</v>
      </c>
      <c r="AF4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409" t="s">
        <v>941</v>
      </c>
      <c r="AH409">
        <v>72.5</v>
      </c>
      <c r="AI409" t="s">
        <v>939</v>
      </c>
      <c r="AJ409">
        <v>7</v>
      </c>
      <c r="AK4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MIN(AJ409/8, 1) +
  Merge1[[#This Row],[index_defensive_effort]],
  2
)</f>
        <v>1.38</v>
      </c>
    </row>
    <row r="410" spans="1:37" x14ac:dyDescent="0.25">
      <c r="A410" t="s">
        <v>219</v>
      </c>
      <c r="B410" t="s">
        <v>220</v>
      </c>
      <c r="C410">
        <v>22</v>
      </c>
      <c r="D410" t="s">
        <v>56</v>
      </c>
      <c r="E410">
        <v>71</v>
      </c>
      <c r="F410">
        <v>185</v>
      </c>
      <c r="G410" t="s">
        <v>153</v>
      </c>
      <c r="H410">
        <v>2020</v>
      </c>
      <c r="I410" t="s">
        <v>33</v>
      </c>
      <c r="J410">
        <v>7</v>
      </c>
      <c r="K410">
        <v>5</v>
      </c>
      <c r="L410">
        <v>0</v>
      </c>
      <c r="M410">
        <v>0</v>
      </c>
      <c r="N410">
        <v>0</v>
      </c>
      <c r="O410">
        <v>4</v>
      </c>
      <c r="P410">
        <v>4</v>
      </c>
      <c r="Q410">
        <v>0</v>
      </c>
      <c r="R410">
        <v>0</v>
      </c>
      <c r="S410">
        <v>54</v>
      </c>
      <c r="T410">
        <v>51</v>
      </c>
      <c r="U410" s="5">
        <f>IF(Merge1[[#This Row],[team_defense_snaps]]=0, "", Merge1[[#This Row],[defense_snaps]] / Merge1[[#This Row],[team_defense_snaps]])</f>
        <v>0.6071428571428571</v>
      </c>
      <c r="V410">
        <v>84</v>
      </c>
      <c r="W410">
        <v>3</v>
      </c>
      <c r="X410" s="5" t="s">
        <v>250</v>
      </c>
      <c r="Y410">
        <v>1</v>
      </c>
      <c r="Z410">
        <v>0</v>
      </c>
      <c r="AA410" t="s">
        <v>25</v>
      </c>
      <c r="AB410" t="s">
        <v>26</v>
      </c>
      <c r="AC410" t="s">
        <v>27</v>
      </c>
      <c r="AD410" t="s">
        <v>28</v>
      </c>
      <c r="AE410" t="s">
        <v>25</v>
      </c>
      <c r="AF4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0.46296296296296297</v>
      </c>
      <c r="AG410" t="s">
        <v>941</v>
      </c>
      <c r="AH410">
        <v>75.5</v>
      </c>
      <c r="AI410" t="s">
        <v>939</v>
      </c>
      <c r="AJ410">
        <v>1</v>
      </c>
      <c r="AK4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MIN(AJ410/8, 1) +
  Merge1[[#This Row],[index_defensive_effort]],
  2
)</f>
        <v>0.99</v>
      </c>
    </row>
    <row r="411" spans="1:37" x14ac:dyDescent="0.25">
      <c r="A411" t="s">
        <v>219</v>
      </c>
      <c r="B411" t="s">
        <v>220</v>
      </c>
      <c r="C411">
        <v>22</v>
      </c>
      <c r="D411" t="s">
        <v>56</v>
      </c>
      <c r="E411">
        <v>71</v>
      </c>
      <c r="F411">
        <v>185</v>
      </c>
      <c r="G411" t="s">
        <v>153</v>
      </c>
      <c r="H411">
        <v>2020</v>
      </c>
      <c r="I411" t="s">
        <v>33</v>
      </c>
      <c r="J411">
        <v>11</v>
      </c>
      <c r="K411">
        <v>4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48</v>
      </c>
      <c r="T411">
        <v>39</v>
      </c>
      <c r="U411" s="5">
        <f>IF(Merge1[[#This Row],[team_defense_snaps]]=0, "", Merge1[[#This Row],[defense_snaps]] / Merge1[[#This Row],[team_defense_snaps]])</f>
        <v>0.59090909090909094</v>
      </c>
      <c r="V411">
        <v>66</v>
      </c>
      <c r="W411">
        <v>9</v>
      </c>
      <c r="X411" s="5" t="s">
        <v>70</v>
      </c>
      <c r="Y411">
        <v>1</v>
      </c>
      <c r="Z411">
        <v>0</v>
      </c>
      <c r="AA411" t="s">
        <v>25</v>
      </c>
      <c r="AB411" t="s">
        <v>26</v>
      </c>
      <c r="AC411" t="s">
        <v>27</v>
      </c>
      <c r="AD411" t="s">
        <v>28</v>
      </c>
      <c r="AE411" t="s">
        <v>25</v>
      </c>
      <c r="AF4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411" t="s">
        <v>941</v>
      </c>
      <c r="AH411">
        <v>93.5</v>
      </c>
      <c r="AI411" t="s">
        <v>939</v>
      </c>
      <c r="AJ411">
        <v>1</v>
      </c>
      <c r="AK4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MIN(AJ411/8, 1) +
  Merge1[[#This Row],[index_defensive_effort]],
  2
)</f>
        <v>0.65</v>
      </c>
    </row>
    <row r="412" spans="1:37" x14ac:dyDescent="0.25">
      <c r="A412" t="s">
        <v>219</v>
      </c>
      <c r="B412" t="s">
        <v>220</v>
      </c>
      <c r="C412">
        <v>22</v>
      </c>
      <c r="D412" t="s">
        <v>56</v>
      </c>
      <c r="E412">
        <v>71</v>
      </c>
      <c r="F412">
        <v>185</v>
      </c>
      <c r="G412" t="s">
        <v>153</v>
      </c>
      <c r="H412">
        <v>2020</v>
      </c>
      <c r="I412" t="s">
        <v>33</v>
      </c>
      <c r="J412">
        <v>12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27</v>
      </c>
      <c r="T412">
        <v>20</v>
      </c>
      <c r="U412" s="5">
        <f>IF(Merge1[[#This Row],[team_defense_snaps]]=0, "", Merge1[[#This Row],[defense_snaps]] / Merge1[[#This Row],[team_defense_snaps]])</f>
        <v>0.37735849056603776</v>
      </c>
      <c r="V412">
        <v>53</v>
      </c>
      <c r="W412">
        <v>7</v>
      </c>
      <c r="X412" s="5" t="s">
        <v>108</v>
      </c>
      <c r="Y412">
        <v>1</v>
      </c>
      <c r="Z412">
        <v>0</v>
      </c>
      <c r="AA412" t="s">
        <v>25</v>
      </c>
      <c r="AB412" t="s">
        <v>26</v>
      </c>
      <c r="AC412" t="s">
        <v>27</v>
      </c>
      <c r="AD412" t="s">
        <v>28</v>
      </c>
      <c r="AE412" t="s">
        <v>25</v>
      </c>
      <c r="AF4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3.7037037037037035E-2</v>
      </c>
      <c r="AG412" t="s">
        <v>941</v>
      </c>
      <c r="AH412">
        <v>80</v>
      </c>
      <c r="AI412" t="s">
        <v>939</v>
      </c>
      <c r="AJ412">
        <v>2</v>
      </c>
      <c r="AK4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MIN(AJ412/8, 1) +
  Merge1[[#This Row],[index_defensive_effort]],
  2
)</f>
        <v>0.69</v>
      </c>
    </row>
    <row r="413" spans="1:37" x14ac:dyDescent="0.25">
      <c r="A413" t="s">
        <v>219</v>
      </c>
      <c r="B413" t="s">
        <v>220</v>
      </c>
      <c r="C413">
        <v>22</v>
      </c>
      <c r="D413" t="s">
        <v>56</v>
      </c>
      <c r="E413">
        <v>71</v>
      </c>
      <c r="F413">
        <v>185</v>
      </c>
      <c r="G413" t="s">
        <v>153</v>
      </c>
      <c r="H413">
        <v>2020</v>
      </c>
      <c r="I413" t="s">
        <v>33</v>
      </c>
      <c r="J413">
        <v>13</v>
      </c>
      <c r="K413">
        <v>2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40</v>
      </c>
      <c r="T413">
        <v>32</v>
      </c>
      <c r="U413" s="5">
        <f>IF(Merge1[[#This Row],[team_defense_snaps]]=0, "", Merge1[[#This Row],[defense_snaps]] / Merge1[[#This Row],[team_defense_snaps]])</f>
        <v>0.3902439024390244</v>
      </c>
      <c r="V413">
        <v>82</v>
      </c>
      <c r="W413">
        <v>8</v>
      </c>
      <c r="X413" s="5" t="s">
        <v>136</v>
      </c>
      <c r="Y413">
        <v>1</v>
      </c>
      <c r="Z413">
        <v>0</v>
      </c>
      <c r="AA413" t="s">
        <v>25</v>
      </c>
      <c r="AB413" t="s">
        <v>26</v>
      </c>
      <c r="AC413" t="s">
        <v>27</v>
      </c>
      <c r="AD413" t="s">
        <v>28</v>
      </c>
      <c r="AE413" t="s">
        <v>25</v>
      </c>
      <c r="AF4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413" t="s">
        <v>941</v>
      </c>
      <c r="AH413">
        <v>95</v>
      </c>
      <c r="AI413" t="s">
        <v>939</v>
      </c>
      <c r="AJ413">
        <v>3</v>
      </c>
      <c r="AK4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MIN(AJ413/8, 1) +
  Merge1[[#This Row],[index_defensive_effort]],
  2
)</f>
        <v>0.88</v>
      </c>
    </row>
    <row r="414" spans="1:37" x14ac:dyDescent="0.25">
      <c r="A414" t="s">
        <v>219</v>
      </c>
      <c r="B414" t="s">
        <v>220</v>
      </c>
      <c r="C414">
        <v>22</v>
      </c>
      <c r="D414" t="s">
        <v>56</v>
      </c>
      <c r="E414">
        <v>71</v>
      </c>
      <c r="F414">
        <v>185</v>
      </c>
      <c r="G414" t="s">
        <v>153</v>
      </c>
      <c r="H414">
        <v>2020</v>
      </c>
      <c r="I414" t="s">
        <v>33</v>
      </c>
      <c r="J414">
        <v>14</v>
      </c>
      <c r="K414">
        <v>2</v>
      </c>
      <c r="L414">
        <v>1</v>
      </c>
      <c r="M414">
        <v>1</v>
      </c>
      <c r="N414">
        <v>2</v>
      </c>
      <c r="O414">
        <v>0</v>
      </c>
      <c r="P414">
        <v>1</v>
      </c>
      <c r="Q414">
        <v>0</v>
      </c>
      <c r="R414">
        <v>0</v>
      </c>
      <c r="S414">
        <v>37</v>
      </c>
      <c r="T414">
        <v>30</v>
      </c>
      <c r="U414" s="5">
        <f>IF(Merge1[[#This Row],[team_defense_snaps]]=0, "", Merge1[[#This Row],[defense_snaps]] / Merge1[[#This Row],[team_defense_snaps]])</f>
        <v>0.61224489795918369</v>
      </c>
      <c r="V414">
        <v>49</v>
      </c>
      <c r="W414">
        <v>7</v>
      </c>
      <c r="X414" s="5" t="s">
        <v>135</v>
      </c>
      <c r="Y414">
        <v>1</v>
      </c>
      <c r="Z414">
        <v>0</v>
      </c>
      <c r="AA414" t="s">
        <v>25</v>
      </c>
      <c r="AB414" t="s">
        <v>26</v>
      </c>
      <c r="AC414" t="s">
        <v>27</v>
      </c>
      <c r="AD414" t="s">
        <v>28</v>
      </c>
      <c r="AE414" t="s">
        <v>25</v>
      </c>
      <c r="AF4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0.13513513513513514</v>
      </c>
      <c r="AG414" t="s">
        <v>941</v>
      </c>
      <c r="AH414">
        <v>90.5</v>
      </c>
      <c r="AI414" t="s">
        <v>939</v>
      </c>
      <c r="AJ414">
        <v>4</v>
      </c>
      <c r="AK4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MIN(AJ414/8, 1) +
  Merge1[[#This Row],[index_defensive_effort]],
  2
)</f>
        <v>1.04</v>
      </c>
    </row>
    <row r="415" spans="1:37" x14ac:dyDescent="0.25">
      <c r="A415" t="s">
        <v>219</v>
      </c>
      <c r="B415" t="s">
        <v>220</v>
      </c>
      <c r="C415">
        <v>22</v>
      </c>
      <c r="D415" t="s">
        <v>56</v>
      </c>
      <c r="E415">
        <v>71</v>
      </c>
      <c r="F415">
        <v>185</v>
      </c>
      <c r="G415" t="s">
        <v>153</v>
      </c>
      <c r="H415">
        <v>2020</v>
      </c>
      <c r="I415" t="s">
        <v>33</v>
      </c>
      <c r="J415">
        <v>15</v>
      </c>
      <c r="K415">
        <v>6</v>
      </c>
      <c r="L415">
        <v>0</v>
      </c>
      <c r="M415">
        <v>0</v>
      </c>
      <c r="N415">
        <v>0</v>
      </c>
      <c r="O415">
        <v>2</v>
      </c>
      <c r="P415">
        <v>0</v>
      </c>
      <c r="Q415">
        <v>0</v>
      </c>
      <c r="R415">
        <v>0</v>
      </c>
      <c r="S415">
        <v>73</v>
      </c>
      <c r="T415">
        <v>62</v>
      </c>
      <c r="U415" s="5">
        <f>IF(Merge1[[#This Row],[team_defense_snaps]]=0, "", Merge1[[#This Row],[defense_snaps]] / Merge1[[#This Row],[team_defense_snaps]])</f>
        <v>0.73809523809523814</v>
      </c>
      <c r="V415">
        <v>84</v>
      </c>
      <c r="W415">
        <v>11</v>
      </c>
      <c r="X415" s="5" t="s">
        <v>70</v>
      </c>
      <c r="Y415">
        <v>1</v>
      </c>
      <c r="Z415">
        <v>0</v>
      </c>
      <c r="AA415" t="s">
        <v>25</v>
      </c>
      <c r="AB415" t="s">
        <v>26</v>
      </c>
      <c r="AC415" t="s">
        <v>27</v>
      </c>
      <c r="AD415" t="s">
        <v>28</v>
      </c>
      <c r="AE415" t="s">
        <v>25</v>
      </c>
      <c r="AF4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0.16438356164383561</v>
      </c>
      <c r="AG415" t="s">
        <v>941</v>
      </c>
      <c r="AH415">
        <v>74</v>
      </c>
      <c r="AI415" t="s">
        <v>939</v>
      </c>
      <c r="AJ415">
        <v>5</v>
      </c>
      <c r="AK4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MIN(AJ415/8, 1) +
  Merge1[[#This Row],[index_defensive_effort]],
  2
)</f>
        <v>1.19</v>
      </c>
    </row>
    <row r="416" spans="1:37" x14ac:dyDescent="0.25">
      <c r="A416" t="s">
        <v>219</v>
      </c>
      <c r="B416" t="s">
        <v>220</v>
      </c>
      <c r="C416">
        <v>22</v>
      </c>
      <c r="D416" t="s">
        <v>56</v>
      </c>
      <c r="E416">
        <v>71</v>
      </c>
      <c r="F416">
        <v>185</v>
      </c>
      <c r="G416" t="s">
        <v>153</v>
      </c>
      <c r="H416">
        <v>2020</v>
      </c>
      <c r="I416" t="s">
        <v>33</v>
      </c>
      <c r="J416">
        <v>16</v>
      </c>
      <c r="K416">
        <v>2</v>
      </c>
      <c r="L416">
        <v>3</v>
      </c>
      <c r="M416">
        <v>0</v>
      </c>
      <c r="N416">
        <v>3</v>
      </c>
      <c r="O416">
        <v>0</v>
      </c>
      <c r="P416">
        <v>0</v>
      </c>
      <c r="Q416">
        <v>0</v>
      </c>
      <c r="R416">
        <v>0</v>
      </c>
      <c r="S416">
        <v>65</v>
      </c>
      <c r="T416">
        <v>55</v>
      </c>
      <c r="U416" s="5">
        <f>IF(Merge1[[#This Row],[team_defense_snaps]]=0, "", Merge1[[#This Row],[defense_snaps]] / Merge1[[#This Row],[team_defense_snaps]])</f>
        <v>0.96491228070175439</v>
      </c>
      <c r="V416">
        <v>57</v>
      </c>
      <c r="W416">
        <v>10</v>
      </c>
      <c r="X416" s="5" t="s">
        <v>131</v>
      </c>
      <c r="Y416">
        <v>1</v>
      </c>
      <c r="Z416">
        <v>0</v>
      </c>
      <c r="AA416" t="s">
        <v>25</v>
      </c>
      <c r="AB416" t="s">
        <v>26</v>
      </c>
      <c r="AC416" t="s">
        <v>27</v>
      </c>
      <c r="AD416" t="s">
        <v>42</v>
      </c>
      <c r="AE416" t="s">
        <v>25</v>
      </c>
      <c r="AF4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5.3846153846153849E-2</v>
      </c>
      <c r="AG416" t="s">
        <v>941</v>
      </c>
      <c r="AH416">
        <v>87.5</v>
      </c>
      <c r="AI416" t="s">
        <v>939</v>
      </c>
      <c r="AJ416">
        <v>6</v>
      </c>
      <c r="AK4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MIN(AJ416/8, 1) +
  Merge1[[#This Row],[index_defensive_effort]],
  2
)</f>
        <v>1.2</v>
      </c>
    </row>
    <row r="417" spans="1:37" x14ac:dyDescent="0.25">
      <c r="A417" t="s">
        <v>219</v>
      </c>
      <c r="B417" t="s">
        <v>220</v>
      </c>
      <c r="C417">
        <v>22</v>
      </c>
      <c r="D417" t="s">
        <v>56</v>
      </c>
      <c r="E417">
        <v>71</v>
      </c>
      <c r="F417">
        <v>185</v>
      </c>
      <c r="G417" t="s">
        <v>153</v>
      </c>
      <c r="H417">
        <v>2020</v>
      </c>
      <c r="I417" t="s">
        <v>33</v>
      </c>
      <c r="J417">
        <v>17</v>
      </c>
      <c r="K417">
        <v>1</v>
      </c>
      <c r="L417">
        <v>1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62</v>
      </c>
      <c r="T417">
        <v>53</v>
      </c>
      <c r="U417" s="5">
        <f>IF(Merge1[[#This Row],[team_defense_snaps]]=0, "", Merge1[[#This Row],[defense_snaps]] / Merge1[[#This Row],[team_defense_snaps]])</f>
        <v>0.72602739726027399</v>
      </c>
      <c r="V417">
        <v>73</v>
      </c>
      <c r="W417">
        <v>9</v>
      </c>
      <c r="X417" s="5" t="s">
        <v>134</v>
      </c>
      <c r="Y417">
        <v>1</v>
      </c>
      <c r="Z417">
        <v>0</v>
      </c>
      <c r="AA417" t="s">
        <v>25</v>
      </c>
      <c r="AB417" t="s">
        <v>26</v>
      </c>
      <c r="AC417" t="s">
        <v>27</v>
      </c>
      <c r="AD417" t="s">
        <v>28</v>
      </c>
      <c r="AE417" t="s">
        <v>25</v>
      </c>
      <c r="AF4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2.4193548387096774E-2</v>
      </c>
      <c r="AG417" t="s">
        <v>941</v>
      </c>
      <c r="AH417">
        <v>78.5</v>
      </c>
      <c r="AI417" t="s">
        <v>939</v>
      </c>
      <c r="AJ417">
        <v>7</v>
      </c>
      <c r="AK4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MIN(AJ417/8, 1) +
  Merge1[[#This Row],[index_defensive_effort]],
  2
)</f>
        <v>1.3</v>
      </c>
    </row>
    <row r="418" spans="1:37" x14ac:dyDescent="0.25">
      <c r="A418" t="s">
        <v>219</v>
      </c>
      <c r="B418" t="s">
        <v>220</v>
      </c>
      <c r="C418">
        <v>22</v>
      </c>
      <c r="D418" t="s">
        <v>56</v>
      </c>
      <c r="E418">
        <v>71</v>
      </c>
      <c r="F418">
        <v>185</v>
      </c>
      <c r="G418" t="s">
        <v>153</v>
      </c>
      <c r="H418">
        <v>2020</v>
      </c>
      <c r="I418" t="s">
        <v>33</v>
      </c>
      <c r="J418">
        <v>10</v>
      </c>
      <c r="K418">
        <v>5</v>
      </c>
      <c r="L418">
        <v>1</v>
      </c>
      <c r="M418">
        <v>0</v>
      </c>
      <c r="N418">
        <v>1</v>
      </c>
      <c r="O418">
        <v>0</v>
      </c>
      <c r="P418">
        <v>1</v>
      </c>
      <c r="Q418">
        <v>0</v>
      </c>
      <c r="R418">
        <v>0</v>
      </c>
      <c r="S418">
        <v>76</v>
      </c>
      <c r="T418">
        <v>66</v>
      </c>
      <c r="U418" s="5">
        <f>IF(Merge1[[#This Row],[team_defense_snaps]]=0, "", Merge1[[#This Row],[defense_snaps]] / Merge1[[#This Row],[team_defense_snaps]])</f>
        <v>0.90410958904109584</v>
      </c>
      <c r="V418">
        <v>73</v>
      </c>
      <c r="W418">
        <v>10</v>
      </c>
      <c r="X418" s="5" t="s">
        <v>138</v>
      </c>
      <c r="Y418">
        <v>1</v>
      </c>
      <c r="Z418">
        <v>0</v>
      </c>
      <c r="AA418" t="s">
        <v>25</v>
      </c>
      <c r="AB418" t="s">
        <v>36</v>
      </c>
      <c r="AC418" t="s">
        <v>147</v>
      </c>
      <c r="AD418" t="s">
        <v>42</v>
      </c>
      <c r="AE418" t="s">
        <v>25</v>
      </c>
      <c r="AF4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9.8684210526315791E-2</v>
      </c>
      <c r="AG418" t="s">
        <v>941</v>
      </c>
      <c r="AH418">
        <v>86</v>
      </c>
      <c r="AI418" t="s">
        <v>939</v>
      </c>
      <c r="AJ418">
        <v>1</v>
      </c>
      <c r="AK4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MIN(AJ418/8, 1) +
  Merge1[[#This Row],[index_defensive_effort]],
  2
)</f>
        <v>0.62</v>
      </c>
    </row>
    <row r="419" spans="1:37" x14ac:dyDescent="0.25">
      <c r="A419" t="s">
        <v>266</v>
      </c>
      <c r="B419" t="s">
        <v>267</v>
      </c>
      <c r="C419">
        <v>30</v>
      </c>
      <c r="D419" t="s">
        <v>56</v>
      </c>
      <c r="E419">
        <v>75</v>
      </c>
      <c r="F419">
        <v>190</v>
      </c>
      <c r="G419" t="s">
        <v>78</v>
      </c>
      <c r="H419">
        <v>2020</v>
      </c>
      <c r="I419" t="s">
        <v>33</v>
      </c>
      <c r="J419">
        <v>16</v>
      </c>
      <c r="K419">
        <v>0</v>
      </c>
      <c r="L419">
        <v>1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35</v>
      </c>
      <c r="T419">
        <v>16</v>
      </c>
      <c r="U419" s="5">
        <f>IF(Merge1[[#This Row],[team_defense_snaps]]=0, "", Merge1[[#This Row],[defense_snaps]] / Merge1[[#This Row],[team_defense_snaps]])</f>
        <v>0.21917808219178081</v>
      </c>
      <c r="V419">
        <v>73</v>
      </c>
      <c r="W419">
        <v>19</v>
      </c>
      <c r="X419" s="5" t="s">
        <v>125</v>
      </c>
      <c r="Y419">
        <v>5</v>
      </c>
      <c r="Z419">
        <v>0</v>
      </c>
      <c r="AA419" t="s">
        <v>25</v>
      </c>
      <c r="AB419" t="s">
        <v>26</v>
      </c>
      <c r="AC419" t="s">
        <v>27</v>
      </c>
      <c r="AD419" t="s">
        <v>28</v>
      </c>
      <c r="AE419" t="s">
        <v>25</v>
      </c>
      <c r="AF4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1.4285714285714285E-2</v>
      </c>
      <c r="AG419" t="s">
        <v>942</v>
      </c>
      <c r="AH419">
        <v>62.5</v>
      </c>
      <c r="AI419" t="s">
        <v>939</v>
      </c>
      <c r="AJ419">
        <v>1</v>
      </c>
      <c r="AK4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MIN(AJ419/8, 1) +
  Merge1[[#This Row],[index_defensive_effort]],
  2
)</f>
        <v>0.64</v>
      </c>
    </row>
    <row r="420" spans="1:37" x14ac:dyDescent="0.25">
      <c r="A420" t="s">
        <v>287</v>
      </c>
      <c r="B420" t="s">
        <v>288</v>
      </c>
      <c r="C420">
        <v>27</v>
      </c>
      <c r="D420" t="s">
        <v>22</v>
      </c>
      <c r="E420">
        <v>72</v>
      </c>
      <c r="F420">
        <v>190</v>
      </c>
      <c r="G420" t="s">
        <v>162</v>
      </c>
      <c r="H420">
        <v>2020</v>
      </c>
      <c r="I420" t="s">
        <v>33</v>
      </c>
      <c r="J420">
        <v>16</v>
      </c>
      <c r="K420">
        <v>0</v>
      </c>
      <c r="L420">
        <v>1</v>
      </c>
      <c r="M420">
        <v>1</v>
      </c>
      <c r="N420">
        <v>2</v>
      </c>
      <c r="O420">
        <v>0</v>
      </c>
      <c r="P420">
        <v>0</v>
      </c>
      <c r="Q420">
        <v>0</v>
      </c>
      <c r="R420">
        <v>0</v>
      </c>
      <c r="S420">
        <v>25</v>
      </c>
      <c r="T420">
        <v>4</v>
      </c>
      <c r="U420" s="5">
        <f>IF(Merge1[[#This Row],[team_defense_snaps]]=0, "", Merge1[[#This Row],[defense_snaps]] / Merge1[[#This Row],[team_defense_snaps]])</f>
        <v>0.05</v>
      </c>
      <c r="V420">
        <v>80</v>
      </c>
      <c r="W420">
        <v>21</v>
      </c>
      <c r="X420" s="5" t="s">
        <v>61</v>
      </c>
      <c r="Y420">
        <v>3</v>
      </c>
      <c r="Z420">
        <v>0</v>
      </c>
      <c r="AA420" t="s">
        <v>25</v>
      </c>
      <c r="AB420" t="s">
        <v>26</v>
      </c>
      <c r="AC420" t="s">
        <v>27</v>
      </c>
      <c r="AD420" t="s">
        <v>28</v>
      </c>
      <c r="AE420" t="s">
        <v>69</v>
      </c>
      <c r="AF4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0.04</v>
      </c>
      <c r="AG420" t="s">
        <v>942</v>
      </c>
      <c r="AH420">
        <v>47.5</v>
      </c>
      <c r="AI420" t="s">
        <v>939</v>
      </c>
      <c r="AJ420">
        <v>1</v>
      </c>
      <c r="AK4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MIN(AJ420/8, 1) +
  Merge1[[#This Row],[index_defensive_effort]],
  2
)</f>
        <v>0.67</v>
      </c>
    </row>
    <row r="421" spans="1:37" x14ac:dyDescent="0.25">
      <c r="A421" t="s">
        <v>908</v>
      </c>
      <c r="B421" t="s">
        <v>909</v>
      </c>
      <c r="C421">
        <v>23</v>
      </c>
      <c r="D421" t="s">
        <v>22</v>
      </c>
      <c r="E421">
        <v>69</v>
      </c>
      <c r="F421">
        <v>183</v>
      </c>
      <c r="G421" t="s">
        <v>339</v>
      </c>
      <c r="H421">
        <v>2020</v>
      </c>
      <c r="I421" t="s">
        <v>33</v>
      </c>
      <c r="J421">
        <v>5</v>
      </c>
      <c r="K421">
        <v>4</v>
      </c>
      <c r="L421">
        <v>3</v>
      </c>
      <c r="M421">
        <v>2</v>
      </c>
      <c r="N421">
        <v>5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 s="5">
        <f>IF(Merge1[[#This Row],[team_defense_snaps]]=0, "", Merge1[[#This Row],[defense_snaps]] / Merge1[[#This Row],[team_defense_snaps]])</f>
        <v>0</v>
      </c>
      <c r="V421">
        <v>67</v>
      </c>
      <c r="W421">
        <v>0</v>
      </c>
      <c r="X421" s="5">
        <v>0</v>
      </c>
      <c r="Y421">
        <v>1</v>
      </c>
      <c r="Z421">
        <v>0</v>
      </c>
      <c r="AA421" t="s">
        <v>25</v>
      </c>
      <c r="AB421" t="s">
        <v>26</v>
      </c>
      <c r="AC421" t="s">
        <v>27</v>
      </c>
      <c r="AD421" t="s">
        <v>42</v>
      </c>
      <c r="AE421" t="s">
        <v>25</v>
      </c>
      <c r="AF4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421" t="s">
        <v>942</v>
      </c>
      <c r="AH421">
        <v>62</v>
      </c>
      <c r="AI421" t="s">
        <v>939</v>
      </c>
      <c r="AJ421">
        <v>1</v>
      </c>
      <c r="AK4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MIN(AJ421/8, 1) +
  Merge1[[#This Row],[index_defensive_effort]],
  2
)</f>
        <v>0.63</v>
      </c>
    </row>
    <row r="422" spans="1:37" x14ac:dyDescent="0.25">
      <c r="A422" t="s">
        <v>252</v>
      </c>
      <c r="B422" t="s">
        <v>253</v>
      </c>
      <c r="C422">
        <v>22</v>
      </c>
      <c r="D422" t="s">
        <v>56</v>
      </c>
      <c r="E422">
        <v>74</v>
      </c>
      <c r="F422">
        <v>188</v>
      </c>
      <c r="G422" t="s">
        <v>117</v>
      </c>
      <c r="H422">
        <v>2020</v>
      </c>
      <c r="I422" t="s">
        <v>33</v>
      </c>
      <c r="J422">
        <v>1</v>
      </c>
      <c r="K422">
        <v>3</v>
      </c>
      <c r="L422">
        <v>1</v>
      </c>
      <c r="M422">
        <v>1</v>
      </c>
      <c r="N422">
        <v>2</v>
      </c>
      <c r="O422">
        <v>0</v>
      </c>
      <c r="P422">
        <v>0</v>
      </c>
      <c r="Q422">
        <v>0</v>
      </c>
      <c r="R422">
        <v>0</v>
      </c>
      <c r="S422">
        <v>65</v>
      </c>
      <c r="T422">
        <v>64</v>
      </c>
      <c r="U422" s="5">
        <f>IF(Merge1[[#This Row],[team_defense_snaps]]=0, "", Merge1[[#This Row],[defense_snaps]] / Merge1[[#This Row],[team_defense_snaps]])</f>
        <v>0.82051282051282048</v>
      </c>
      <c r="V422">
        <v>78</v>
      </c>
      <c r="W422">
        <v>1</v>
      </c>
      <c r="X422" s="5" t="s">
        <v>193</v>
      </c>
      <c r="Y422">
        <v>0</v>
      </c>
      <c r="Z422">
        <v>0</v>
      </c>
      <c r="AA422" t="s">
        <v>25</v>
      </c>
      <c r="AB422" t="s">
        <v>26</v>
      </c>
      <c r="AC422" t="s">
        <v>27</v>
      </c>
      <c r="AD422" t="s">
        <v>42</v>
      </c>
      <c r="AE422" t="s">
        <v>25</v>
      </c>
      <c r="AF4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6.1538461538461542E-2</v>
      </c>
      <c r="AG422" t="s">
        <v>942</v>
      </c>
      <c r="AH422">
        <v>55</v>
      </c>
      <c r="AI422" t="s">
        <v>939</v>
      </c>
      <c r="AJ422">
        <v>1</v>
      </c>
      <c r="AK4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MIN(AJ422/8, 1) +
  Merge1[[#This Row],[index_defensive_effort]],
  2
)</f>
        <v>0.59</v>
      </c>
    </row>
    <row r="423" spans="1:37" x14ac:dyDescent="0.25">
      <c r="A423" t="s">
        <v>252</v>
      </c>
      <c r="B423" t="s">
        <v>253</v>
      </c>
      <c r="C423">
        <v>22</v>
      </c>
      <c r="D423" t="s">
        <v>56</v>
      </c>
      <c r="E423">
        <v>74</v>
      </c>
      <c r="F423">
        <v>188</v>
      </c>
      <c r="G423" t="s">
        <v>117</v>
      </c>
      <c r="H423">
        <v>2020</v>
      </c>
      <c r="I423" t="s">
        <v>33</v>
      </c>
      <c r="J423">
        <v>4</v>
      </c>
      <c r="K423">
        <v>3</v>
      </c>
      <c r="L423">
        <v>1</v>
      </c>
      <c r="M423">
        <v>1</v>
      </c>
      <c r="N423">
        <v>2</v>
      </c>
      <c r="O423">
        <v>0</v>
      </c>
      <c r="P423">
        <v>0</v>
      </c>
      <c r="Q423">
        <v>0</v>
      </c>
      <c r="R423">
        <v>0</v>
      </c>
      <c r="S423">
        <v>64</v>
      </c>
      <c r="T423">
        <v>63</v>
      </c>
      <c r="U423" s="5">
        <f>IF(Merge1[[#This Row],[team_defense_snaps]]=0, "", Merge1[[#This Row],[defense_snaps]] / Merge1[[#This Row],[team_defense_snaps]])</f>
        <v>0.96923076923076923</v>
      </c>
      <c r="V423">
        <v>65</v>
      </c>
      <c r="W423">
        <v>1</v>
      </c>
      <c r="X423" s="5" t="s">
        <v>303</v>
      </c>
      <c r="Y423">
        <v>0</v>
      </c>
      <c r="Z423">
        <v>0</v>
      </c>
      <c r="AA423" t="s">
        <v>25</v>
      </c>
      <c r="AB423" t="s">
        <v>26</v>
      </c>
      <c r="AC423" t="s">
        <v>27</v>
      </c>
      <c r="AD423" t="s">
        <v>42</v>
      </c>
      <c r="AE423" t="s">
        <v>25</v>
      </c>
      <c r="AF4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423" t="s">
        <v>942</v>
      </c>
      <c r="AH423">
        <v>62.5</v>
      </c>
      <c r="AI423" t="s">
        <v>939</v>
      </c>
      <c r="AJ423">
        <v>2</v>
      </c>
      <c r="AK4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MIN(AJ423/8, 1) +
  Merge1[[#This Row],[index_defensive_effort]],
  2
)</f>
        <v>0.71</v>
      </c>
    </row>
    <row r="424" spans="1:37" x14ac:dyDescent="0.25">
      <c r="A424" t="s">
        <v>252</v>
      </c>
      <c r="B424" t="s">
        <v>253</v>
      </c>
      <c r="C424">
        <v>22</v>
      </c>
      <c r="D424" t="s">
        <v>56</v>
      </c>
      <c r="E424">
        <v>74</v>
      </c>
      <c r="F424">
        <v>188</v>
      </c>
      <c r="G424" t="s">
        <v>117</v>
      </c>
      <c r="H424">
        <v>2020</v>
      </c>
      <c r="I424" t="s">
        <v>33</v>
      </c>
      <c r="J424">
        <v>5</v>
      </c>
      <c r="K424">
        <v>4</v>
      </c>
      <c r="L424">
        <v>1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57</v>
      </c>
      <c r="T424">
        <v>54</v>
      </c>
      <c r="U424" s="5">
        <f>IF(Merge1[[#This Row],[team_defense_snaps]]=0, "", Merge1[[#This Row],[defense_snaps]] / Merge1[[#This Row],[team_defense_snaps]])</f>
        <v>1</v>
      </c>
      <c r="V424">
        <v>54</v>
      </c>
      <c r="W424">
        <v>3</v>
      </c>
      <c r="X424" s="5" t="s">
        <v>251</v>
      </c>
      <c r="Y424">
        <v>0</v>
      </c>
      <c r="Z424">
        <v>0</v>
      </c>
      <c r="AA424" t="s">
        <v>25</v>
      </c>
      <c r="AB424" t="s">
        <v>26</v>
      </c>
      <c r="AC424" t="s">
        <v>27</v>
      </c>
      <c r="AD424" t="s">
        <v>42</v>
      </c>
      <c r="AE424" t="s">
        <v>25</v>
      </c>
      <c r="AF4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7.8947368421052627E-2</v>
      </c>
      <c r="AG424" t="s">
        <v>942</v>
      </c>
      <c r="AH424">
        <v>49</v>
      </c>
      <c r="AI424" t="s">
        <v>939</v>
      </c>
      <c r="AJ424">
        <v>3</v>
      </c>
      <c r="AK4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MIN(AJ424/8, 1) +
  Merge1[[#This Row],[index_defensive_effort]],
  2
)</f>
        <v>0.85</v>
      </c>
    </row>
    <row r="425" spans="1:37" x14ac:dyDescent="0.25">
      <c r="A425" t="s">
        <v>252</v>
      </c>
      <c r="B425" t="s">
        <v>253</v>
      </c>
      <c r="C425">
        <v>22</v>
      </c>
      <c r="D425" t="s">
        <v>56</v>
      </c>
      <c r="E425">
        <v>74</v>
      </c>
      <c r="F425">
        <v>188</v>
      </c>
      <c r="G425" t="s">
        <v>117</v>
      </c>
      <c r="H425">
        <v>2020</v>
      </c>
      <c r="I425" t="s">
        <v>33</v>
      </c>
      <c r="J425">
        <v>6</v>
      </c>
      <c r="K425">
        <v>11</v>
      </c>
      <c r="L425">
        <v>2</v>
      </c>
      <c r="M425">
        <v>1</v>
      </c>
      <c r="N425">
        <v>3</v>
      </c>
      <c r="O425">
        <v>0</v>
      </c>
      <c r="P425">
        <v>0</v>
      </c>
      <c r="Q425">
        <v>0</v>
      </c>
      <c r="R425">
        <v>0</v>
      </c>
      <c r="S425">
        <v>82</v>
      </c>
      <c r="T425">
        <v>80</v>
      </c>
      <c r="U425" s="5">
        <f>IF(Merge1[[#This Row],[team_defense_snaps]]=0, "", Merge1[[#This Row],[defense_snaps]] / Merge1[[#This Row],[team_defense_snaps]])</f>
        <v>0.98765432098765427</v>
      </c>
      <c r="V425">
        <v>81</v>
      </c>
      <c r="W425">
        <v>2</v>
      </c>
      <c r="X425" s="5" t="s">
        <v>208</v>
      </c>
      <c r="Y425">
        <v>0</v>
      </c>
      <c r="Z425">
        <v>0</v>
      </c>
      <c r="AA425" t="s">
        <v>25</v>
      </c>
      <c r="AB425" t="s">
        <v>26</v>
      </c>
      <c r="AC425" t="s">
        <v>27</v>
      </c>
      <c r="AD425" t="s">
        <v>42</v>
      </c>
      <c r="AE425" t="s">
        <v>25</v>
      </c>
      <c r="AF4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0.1524390243902439</v>
      </c>
      <c r="AG425" t="s">
        <v>942</v>
      </c>
      <c r="AH425">
        <v>47.5</v>
      </c>
      <c r="AI425" t="s">
        <v>27</v>
      </c>
      <c r="AJ425">
        <v>1</v>
      </c>
      <c r="AK4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MIN(AJ425/8, 1) +
  Merge1[[#This Row],[index_defensive_effort]],
  2
)</f>
        <v>0.68</v>
      </c>
    </row>
    <row r="426" spans="1:37" x14ac:dyDescent="0.25">
      <c r="A426" t="s">
        <v>252</v>
      </c>
      <c r="B426" t="s">
        <v>253</v>
      </c>
      <c r="C426">
        <v>22</v>
      </c>
      <c r="D426" t="s">
        <v>56</v>
      </c>
      <c r="E426">
        <v>74</v>
      </c>
      <c r="F426">
        <v>188</v>
      </c>
      <c r="G426" t="s">
        <v>117</v>
      </c>
      <c r="H426">
        <v>2020</v>
      </c>
      <c r="I426" t="s">
        <v>33</v>
      </c>
      <c r="J426">
        <v>11</v>
      </c>
      <c r="K426">
        <v>0</v>
      </c>
      <c r="L426">
        <v>4</v>
      </c>
      <c r="M426">
        <v>0</v>
      </c>
      <c r="N426">
        <v>4</v>
      </c>
      <c r="O426">
        <v>0</v>
      </c>
      <c r="P426">
        <v>0</v>
      </c>
      <c r="Q426">
        <v>0</v>
      </c>
      <c r="R426">
        <v>0</v>
      </c>
      <c r="S426">
        <v>42</v>
      </c>
      <c r="T426">
        <v>42</v>
      </c>
      <c r="U426" s="5">
        <f>IF(Merge1[[#This Row],[team_defense_snaps]]=0, "", Merge1[[#This Row],[defense_snaps]] / Merge1[[#This Row],[team_defense_snaps]])</f>
        <v>0.63636363636363635</v>
      </c>
      <c r="V426">
        <v>66</v>
      </c>
      <c r="W426">
        <v>0</v>
      </c>
      <c r="X426" s="5" t="s">
        <v>29</v>
      </c>
      <c r="Y426">
        <v>0</v>
      </c>
      <c r="Z426">
        <v>0</v>
      </c>
      <c r="AA426" t="s">
        <v>25</v>
      </c>
      <c r="AB426" t="s">
        <v>36</v>
      </c>
      <c r="AC426" t="s">
        <v>91</v>
      </c>
      <c r="AD426" t="s">
        <v>28</v>
      </c>
      <c r="AE426" t="s">
        <v>25</v>
      </c>
      <c r="AF4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4.7619047619047616E-2</v>
      </c>
      <c r="AG426" t="s">
        <v>942</v>
      </c>
      <c r="AH426">
        <v>52</v>
      </c>
      <c r="AI426" t="s">
        <v>938</v>
      </c>
      <c r="AJ426">
        <v>1</v>
      </c>
      <c r="AK4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MIN(AJ426/8, 1) +
  Merge1[[#This Row],[index_defensive_effort]],
  2
)</f>
        <v>0.56999999999999995</v>
      </c>
    </row>
    <row r="427" spans="1:37" x14ac:dyDescent="0.25">
      <c r="A427" t="s">
        <v>252</v>
      </c>
      <c r="B427" t="s">
        <v>253</v>
      </c>
      <c r="C427">
        <v>22</v>
      </c>
      <c r="D427" t="s">
        <v>56</v>
      </c>
      <c r="E427">
        <v>74</v>
      </c>
      <c r="F427">
        <v>188</v>
      </c>
      <c r="G427" t="s">
        <v>117</v>
      </c>
      <c r="H427">
        <v>2020</v>
      </c>
      <c r="I427" t="s">
        <v>33</v>
      </c>
      <c r="J427">
        <v>12</v>
      </c>
      <c r="K427">
        <v>3</v>
      </c>
      <c r="L427">
        <v>2</v>
      </c>
      <c r="M427">
        <v>0</v>
      </c>
      <c r="N427">
        <v>2</v>
      </c>
      <c r="O427">
        <v>0</v>
      </c>
      <c r="P427">
        <v>0</v>
      </c>
      <c r="Q427">
        <v>0</v>
      </c>
      <c r="R427">
        <v>0</v>
      </c>
      <c r="S427">
        <v>49</v>
      </c>
      <c r="T427">
        <v>49</v>
      </c>
      <c r="U427" s="5">
        <f>IF(Merge1[[#This Row],[team_defense_snaps]]=0, "", Merge1[[#This Row],[defense_snaps]] / Merge1[[#This Row],[team_defense_snaps]])</f>
        <v>0.74242424242424243</v>
      </c>
      <c r="V427">
        <v>66</v>
      </c>
      <c r="W427">
        <v>0</v>
      </c>
      <c r="X427" s="5" t="s">
        <v>29</v>
      </c>
      <c r="Y427">
        <v>0</v>
      </c>
      <c r="Z427">
        <v>0</v>
      </c>
      <c r="AA427" t="s">
        <v>25</v>
      </c>
      <c r="AB427" t="s">
        <v>26</v>
      </c>
      <c r="AC427" t="s">
        <v>27</v>
      </c>
      <c r="AD427" t="s">
        <v>42</v>
      </c>
      <c r="AE427" t="s">
        <v>25</v>
      </c>
      <c r="AF4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8.1632653061224483E-2</v>
      </c>
      <c r="AG427" t="s">
        <v>942</v>
      </c>
      <c r="AH427">
        <v>64</v>
      </c>
      <c r="AI427" t="s">
        <v>939</v>
      </c>
      <c r="AJ427">
        <v>2</v>
      </c>
      <c r="AK4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MIN(AJ427/8, 1) +
  Merge1[[#This Row],[index_defensive_effort]],
  2
)</f>
        <v>0.73</v>
      </c>
    </row>
    <row r="428" spans="1:37" x14ac:dyDescent="0.25">
      <c r="A428" t="s">
        <v>252</v>
      </c>
      <c r="B428" t="s">
        <v>253</v>
      </c>
      <c r="C428">
        <v>22</v>
      </c>
      <c r="D428" t="s">
        <v>56</v>
      </c>
      <c r="E428">
        <v>74</v>
      </c>
      <c r="F428">
        <v>188</v>
      </c>
      <c r="G428" t="s">
        <v>117</v>
      </c>
      <c r="H428">
        <v>2020</v>
      </c>
      <c r="I428" t="s">
        <v>33</v>
      </c>
      <c r="J428">
        <v>13</v>
      </c>
      <c r="K428">
        <v>5</v>
      </c>
      <c r="L428">
        <v>1</v>
      </c>
      <c r="M428">
        <v>0</v>
      </c>
      <c r="N428">
        <v>1</v>
      </c>
      <c r="O428">
        <v>0</v>
      </c>
      <c r="P428">
        <v>0</v>
      </c>
      <c r="Q428">
        <v>2</v>
      </c>
      <c r="R428">
        <v>2</v>
      </c>
      <c r="S428">
        <v>71</v>
      </c>
      <c r="T428">
        <v>71</v>
      </c>
      <c r="U428" s="5">
        <f>IF(Merge1[[#This Row],[team_defense_snaps]]=0, "", Merge1[[#This Row],[defense_snaps]] / Merge1[[#This Row],[team_defense_snaps]])</f>
        <v>1</v>
      </c>
      <c r="V428">
        <v>71</v>
      </c>
      <c r="W428">
        <v>0</v>
      </c>
      <c r="X428" s="5" t="s">
        <v>29</v>
      </c>
      <c r="Y428">
        <v>0</v>
      </c>
      <c r="Z428">
        <v>0</v>
      </c>
      <c r="AA428" t="s">
        <v>25</v>
      </c>
      <c r="AB428" t="s">
        <v>26</v>
      </c>
      <c r="AC428" t="s">
        <v>27</v>
      </c>
      <c r="AD428" t="s">
        <v>42</v>
      </c>
      <c r="AE428" t="s">
        <v>25</v>
      </c>
      <c r="AF4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0.24647887323943662</v>
      </c>
      <c r="AG428" t="s">
        <v>942</v>
      </c>
      <c r="AH428">
        <v>70</v>
      </c>
      <c r="AI428" t="s">
        <v>939</v>
      </c>
      <c r="AJ428">
        <v>3</v>
      </c>
      <c r="AK4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MIN(AJ428/8, 1) +
  Merge1[[#This Row],[index_defensive_effort]],
  2
)</f>
        <v>1.02</v>
      </c>
    </row>
    <row r="429" spans="1:37" x14ac:dyDescent="0.25">
      <c r="A429" t="s">
        <v>252</v>
      </c>
      <c r="B429" t="s">
        <v>253</v>
      </c>
      <c r="C429">
        <v>22</v>
      </c>
      <c r="D429" t="s">
        <v>56</v>
      </c>
      <c r="E429">
        <v>74</v>
      </c>
      <c r="F429">
        <v>188</v>
      </c>
      <c r="G429" t="s">
        <v>117</v>
      </c>
      <c r="H429">
        <v>2020</v>
      </c>
      <c r="I429" t="s">
        <v>33</v>
      </c>
      <c r="J429">
        <v>14</v>
      </c>
      <c r="K429">
        <v>3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51</v>
      </c>
      <c r="T429">
        <v>51</v>
      </c>
      <c r="U429" s="5">
        <f>IF(Merge1[[#This Row],[team_defense_snaps]]=0, "", Merge1[[#This Row],[defense_snaps]] / Merge1[[#This Row],[team_defense_snaps]])</f>
        <v>1</v>
      </c>
      <c r="V429">
        <v>51</v>
      </c>
      <c r="W429">
        <v>0</v>
      </c>
      <c r="X429" s="5" t="s">
        <v>29</v>
      </c>
      <c r="Y429">
        <v>0</v>
      </c>
      <c r="Z429">
        <v>0</v>
      </c>
      <c r="AA429" t="s">
        <v>25</v>
      </c>
      <c r="AB429" t="s">
        <v>26</v>
      </c>
      <c r="AC429" t="s">
        <v>27</v>
      </c>
      <c r="AD429" t="s">
        <v>42</v>
      </c>
      <c r="AE429" t="s">
        <v>25</v>
      </c>
      <c r="AF4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AG429" t="s">
        <v>942</v>
      </c>
      <c r="AH429">
        <v>59.5</v>
      </c>
      <c r="AI429" t="s">
        <v>939</v>
      </c>
      <c r="AJ429">
        <v>4</v>
      </c>
      <c r="AK4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MIN(AJ429/8, 1) +
  Merge1[[#This Row],[index_defensive_effort]],
  2
)</f>
        <v>0.96</v>
      </c>
    </row>
    <row r="430" spans="1:37" x14ac:dyDescent="0.25">
      <c r="A430" t="s">
        <v>252</v>
      </c>
      <c r="B430" t="s">
        <v>253</v>
      </c>
      <c r="C430">
        <v>22</v>
      </c>
      <c r="D430" t="s">
        <v>56</v>
      </c>
      <c r="E430">
        <v>74</v>
      </c>
      <c r="F430">
        <v>188</v>
      </c>
      <c r="G430" t="s">
        <v>117</v>
      </c>
      <c r="H430">
        <v>2020</v>
      </c>
      <c r="I430" t="s">
        <v>33</v>
      </c>
      <c r="J430">
        <v>15</v>
      </c>
      <c r="K430">
        <v>3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2</v>
      </c>
      <c r="R430">
        <v>0</v>
      </c>
      <c r="S430">
        <v>62</v>
      </c>
      <c r="T430">
        <v>61</v>
      </c>
      <c r="U430" s="5">
        <f>IF(Merge1[[#This Row],[team_defense_snaps]]=0, "", Merge1[[#This Row],[defense_snaps]] / Merge1[[#This Row],[team_defense_snaps]])</f>
        <v>0.93846153846153846</v>
      </c>
      <c r="V430">
        <v>65</v>
      </c>
      <c r="W430">
        <v>1</v>
      </c>
      <c r="X430" s="5" t="s">
        <v>303</v>
      </c>
      <c r="Y430">
        <v>0</v>
      </c>
      <c r="Z430">
        <v>0</v>
      </c>
      <c r="AA430" t="s">
        <v>25</v>
      </c>
      <c r="AB430" t="s">
        <v>26</v>
      </c>
      <c r="AC430" t="s">
        <v>27</v>
      </c>
      <c r="AD430" t="s">
        <v>42</v>
      </c>
      <c r="AE430" t="s">
        <v>25</v>
      </c>
      <c r="AF4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0.17741935483870969</v>
      </c>
      <c r="AG430" t="s">
        <v>942</v>
      </c>
      <c r="AH430">
        <v>65.5</v>
      </c>
      <c r="AI430" t="s">
        <v>939</v>
      </c>
      <c r="AJ430">
        <v>5</v>
      </c>
      <c r="AK4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MIN(AJ430/8, 1) +
  Merge1[[#This Row],[index_defensive_effort]],
  2
)</f>
        <v>1.2</v>
      </c>
    </row>
    <row r="431" spans="1:37" x14ac:dyDescent="0.25">
      <c r="A431" t="s">
        <v>252</v>
      </c>
      <c r="B431" t="s">
        <v>253</v>
      </c>
      <c r="C431">
        <v>22</v>
      </c>
      <c r="D431" t="s">
        <v>56</v>
      </c>
      <c r="E431">
        <v>74</v>
      </c>
      <c r="F431">
        <v>188</v>
      </c>
      <c r="G431" t="s">
        <v>117</v>
      </c>
      <c r="H431">
        <v>2020</v>
      </c>
      <c r="I431" t="s">
        <v>33</v>
      </c>
      <c r="J431">
        <v>16</v>
      </c>
      <c r="K431">
        <v>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52</v>
      </c>
      <c r="T431">
        <v>52</v>
      </c>
      <c r="U431" s="5">
        <f>IF(Merge1[[#This Row],[team_defense_snaps]]=0, "", Merge1[[#This Row],[defense_snaps]] / Merge1[[#This Row],[team_defense_snaps]])</f>
        <v>0.68421052631578949</v>
      </c>
      <c r="V431">
        <v>76</v>
      </c>
      <c r="W431">
        <v>0</v>
      </c>
      <c r="X431" s="5" t="s">
        <v>29</v>
      </c>
      <c r="Y431">
        <v>0</v>
      </c>
      <c r="Z431">
        <v>0</v>
      </c>
      <c r="AA431" t="s">
        <v>25</v>
      </c>
      <c r="AB431" t="s">
        <v>26</v>
      </c>
      <c r="AC431" t="s">
        <v>27</v>
      </c>
      <c r="AD431" t="s">
        <v>42</v>
      </c>
      <c r="AE431" t="s">
        <v>25</v>
      </c>
      <c r="AF4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3.8461538461538464E-2</v>
      </c>
      <c r="AG431" t="s">
        <v>942</v>
      </c>
      <c r="AH431">
        <v>50.5</v>
      </c>
      <c r="AI431" t="s">
        <v>939</v>
      </c>
      <c r="AJ431">
        <v>6</v>
      </c>
      <c r="AK4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MIN(AJ431/8, 1) +
  Merge1[[#This Row],[index_defensive_effort]],
  2
)</f>
        <v>1.19</v>
      </c>
    </row>
    <row r="432" spans="1:37" x14ac:dyDescent="0.25">
      <c r="A432" t="s">
        <v>252</v>
      </c>
      <c r="B432" t="s">
        <v>253</v>
      </c>
      <c r="C432">
        <v>22</v>
      </c>
      <c r="D432" t="s">
        <v>56</v>
      </c>
      <c r="E432">
        <v>74</v>
      </c>
      <c r="F432">
        <v>188</v>
      </c>
      <c r="G432" t="s">
        <v>117</v>
      </c>
      <c r="H432">
        <v>2020</v>
      </c>
      <c r="I432" t="s">
        <v>33</v>
      </c>
      <c r="J432">
        <v>8</v>
      </c>
      <c r="K432">
        <v>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14</v>
      </c>
      <c r="T432">
        <v>14</v>
      </c>
      <c r="U432" s="5">
        <f>IF(Merge1[[#This Row],[team_defense_snaps]]=0, "", Merge1[[#This Row],[defense_snaps]] / Merge1[[#This Row],[team_defense_snaps]])</f>
        <v>0.1891891891891892</v>
      </c>
      <c r="V432">
        <v>74</v>
      </c>
      <c r="W432">
        <v>0</v>
      </c>
      <c r="X432" s="5" t="s">
        <v>29</v>
      </c>
      <c r="Y432">
        <v>0</v>
      </c>
      <c r="Z432">
        <v>0</v>
      </c>
      <c r="AA432" t="s">
        <v>25</v>
      </c>
      <c r="AB432" t="s">
        <v>26</v>
      </c>
      <c r="AC432" t="s">
        <v>27</v>
      </c>
      <c r="AD432" t="s">
        <v>42</v>
      </c>
      <c r="AE432" t="s">
        <v>25</v>
      </c>
      <c r="AF4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0.14285714285714285</v>
      </c>
      <c r="AG432" t="s">
        <v>942</v>
      </c>
      <c r="AH432">
        <v>53.5</v>
      </c>
      <c r="AI432" t="s">
        <v>939</v>
      </c>
      <c r="AJ432">
        <v>1</v>
      </c>
      <c r="AK4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MIN(AJ432/8, 1) +
  Merge1[[#This Row],[index_defensive_effort]],
  2
)</f>
        <v>0.67</v>
      </c>
    </row>
    <row r="433" spans="1:37" x14ac:dyDescent="0.25">
      <c r="A433" t="s">
        <v>291</v>
      </c>
      <c r="B433" t="s">
        <v>292</v>
      </c>
      <c r="C433">
        <v>25</v>
      </c>
      <c r="D433" t="s">
        <v>56</v>
      </c>
      <c r="E433">
        <v>71</v>
      </c>
      <c r="F433">
        <v>188</v>
      </c>
      <c r="G433" t="s">
        <v>74</v>
      </c>
      <c r="H433">
        <v>2020</v>
      </c>
      <c r="I433" t="s">
        <v>33</v>
      </c>
      <c r="J433">
        <v>1</v>
      </c>
      <c r="K433">
        <v>0</v>
      </c>
      <c r="L433">
        <v>1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32</v>
      </c>
      <c r="T433">
        <v>20</v>
      </c>
      <c r="U433" s="5">
        <f>IF(Merge1[[#This Row],[team_defense_snaps]]=0, "", Merge1[[#This Row],[defense_snaps]] / Merge1[[#This Row],[team_defense_snaps]])</f>
        <v>0.28985507246376813</v>
      </c>
      <c r="V433">
        <v>69</v>
      </c>
      <c r="W433">
        <v>12</v>
      </c>
      <c r="X433" s="5" t="s">
        <v>260</v>
      </c>
      <c r="Y433">
        <v>3</v>
      </c>
      <c r="Z433">
        <v>0</v>
      </c>
      <c r="AA433" t="s">
        <v>25</v>
      </c>
      <c r="AB433" t="s">
        <v>26</v>
      </c>
      <c r="AC433" t="s">
        <v>27</v>
      </c>
      <c r="AD433" t="s">
        <v>28</v>
      </c>
      <c r="AE433" t="s">
        <v>25</v>
      </c>
      <c r="AF4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1.5625E-2</v>
      </c>
      <c r="AG433" t="s">
        <v>941</v>
      </c>
      <c r="AH433">
        <v>60.5</v>
      </c>
      <c r="AI433" t="s">
        <v>939</v>
      </c>
      <c r="AJ433">
        <v>2</v>
      </c>
      <c r="AK4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MIN(AJ433/8, 1) +
  Merge1[[#This Row],[index_defensive_effort]],
  2
)</f>
        <v>0.67</v>
      </c>
    </row>
    <row r="434" spans="1:37" x14ac:dyDescent="0.25">
      <c r="A434" t="s">
        <v>291</v>
      </c>
      <c r="B434" t="s">
        <v>292</v>
      </c>
      <c r="C434">
        <v>25</v>
      </c>
      <c r="D434" t="s">
        <v>56</v>
      </c>
      <c r="E434">
        <v>71</v>
      </c>
      <c r="F434">
        <v>188</v>
      </c>
      <c r="G434" t="s">
        <v>74</v>
      </c>
      <c r="H434">
        <v>2020</v>
      </c>
      <c r="I434" t="s">
        <v>33</v>
      </c>
      <c r="J434">
        <v>2</v>
      </c>
      <c r="K434">
        <v>0</v>
      </c>
      <c r="L434">
        <v>1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23</v>
      </c>
      <c r="T434">
        <v>13</v>
      </c>
      <c r="U434" s="5">
        <f>IF(Merge1[[#This Row],[team_defense_snaps]]=0, "", Merge1[[#This Row],[defense_snaps]] / Merge1[[#This Row],[team_defense_snaps]])</f>
        <v>0.16883116883116883</v>
      </c>
      <c r="V434">
        <v>77</v>
      </c>
      <c r="W434">
        <v>10</v>
      </c>
      <c r="X434" s="5" t="s">
        <v>334</v>
      </c>
      <c r="Y434">
        <v>3</v>
      </c>
      <c r="Z434">
        <v>0</v>
      </c>
      <c r="AA434" t="s">
        <v>25</v>
      </c>
      <c r="AB434" t="s">
        <v>26</v>
      </c>
      <c r="AC434" t="s">
        <v>27</v>
      </c>
      <c r="AD434" t="s">
        <v>28</v>
      </c>
      <c r="AE434" t="s">
        <v>25</v>
      </c>
      <c r="AF4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2.1739130434782608E-2</v>
      </c>
      <c r="AG434" t="s">
        <v>941</v>
      </c>
      <c r="AH434">
        <v>51</v>
      </c>
      <c r="AI434" t="s">
        <v>939</v>
      </c>
      <c r="AJ434">
        <v>1</v>
      </c>
      <c r="AK4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MIN(AJ434/8, 1) +
  Merge1[[#This Row],[index_defensive_effort]],
  2
)</f>
        <v>0.55000000000000004</v>
      </c>
    </row>
    <row r="435" spans="1:37" x14ac:dyDescent="0.25">
      <c r="A435" t="s">
        <v>291</v>
      </c>
      <c r="B435" t="s">
        <v>292</v>
      </c>
      <c r="C435">
        <v>25</v>
      </c>
      <c r="D435" t="s">
        <v>56</v>
      </c>
      <c r="E435">
        <v>71</v>
      </c>
      <c r="F435">
        <v>188</v>
      </c>
      <c r="G435" t="s">
        <v>74</v>
      </c>
      <c r="H435">
        <v>2020</v>
      </c>
      <c r="I435" t="s">
        <v>33</v>
      </c>
      <c r="J435">
        <v>6</v>
      </c>
      <c r="K435">
        <v>5</v>
      </c>
      <c r="L435">
        <v>0</v>
      </c>
      <c r="M435">
        <v>0</v>
      </c>
      <c r="N435">
        <v>0</v>
      </c>
      <c r="O435">
        <v>2</v>
      </c>
      <c r="P435">
        <v>0</v>
      </c>
      <c r="Q435">
        <v>2</v>
      </c>
      <c r="R435">
        <v>0</v>
      </c>
      <c r="S435">
        <v>37</v>
      </c>
      <c r="T435">
        <v>26</v>
      </c>
      <c r="U435" s="5">
        <f>IF(Merge1[[#This Row],[team_defense_snaps]]=0, "", Merge1[[#This Row],[defense_snaps]] / Merge1[[#This Row],[team_defense_snaps]])</f>
        <v>0.45614035087719296</v>
      </c>
      <c r="V435">
        <v>57</v>
      </c>
      <c r="W435">
        <v>11</v>
      </c>
      <c r="X435" s="5" t="s">
        <v>210</v>
      </c>
      <c r="Y435">
        <v>3</v>
      </c>
      <c r="Z435">
        <v>0</v>
      </c>
      <c r="AA435" t="s">
        <v>25</v>
      </c>
      <c r="AB435" t="s">
        <v>26</v>
      </c>
      <c r="AC435" t="s">
        <v>27</v>
      </c>
      <c r="AD435" t="s">
        <v>28</v>
      </c>
      <c r="AE435" t="s">
        <v>25</v>
      </c>
      <c r="AF4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0.51351351351351349</v>
      </c>
      <c r="AG435" t="s">
        <v>941</v>
      </c>
      <c r="AH435">
        <v>63.5</v>
      </c>
      <c r="AI435" t="s">
        <v>939</v>
      </c>
      <c r="AJ435">
        <v>2</v>
      </c>
      <c r="AK4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MIN(AJ435/8, 1) +
  Merge1[[#This Row],[index_defensive_effort]],
  2
)</f>
        <v>1.1599999999999999</v>
      </c>
    </row>
    <row r="436" spans="1:37" x14ac:dyDescent="0.25">
      <c r="A436" t="s">
        <v>291</v>
      </c>
      <c r="B436" t="s">
        <v>292</v>
      </c>
      <c r="C436">
        <v>25</v>
      </c>
      <c r="D436" t="s">
        <v>56</v>
      </c>
      <c r="E436">
        <v>71</v>
      </c>
      <c r="F436">
        <v>188</v>
      </c>
      <c r="G436" t="s">
        <v>74</v>
      </c>
      <c r="H436">
        <v>2020</v>
      </c>
      <c r="I436" t="s">
        <v>33</v>
      </c>
      <c r="J436">
        <v>7</v>
      </c>
      <c r="K436">
        <v>4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45</v>
      </c>
      <c r="T436">
        <v>33</v>
      </c>
      <c r="U436" s="5">
        <f>IF(Merge1[[#This Row],[team_defense_snaps]]=0, "", Merge1[[#This Row],[defense_snaps]] / Merge1[[#This Row],[team_defense_snaps]])</f>
        <v>0.57894736842105265</v>
      </c>
      <c r="V436">
        <v>57</v>
      </c>
      <c r="W436">
        <v>12</v>
      </c>
      <c r="X436" s="5" t="s">
        <v>75</v>
      </c>
      <c r="Y436">
        <v>3</v>
      </c>
      <c r="Z436">
        <v>0</v>
      </c>
      <c r="AA436" t="s">
        <v>25</v>
      </c>
      <c r="AB436" t="s">
        <v>26</v>
      </c>
      <c r="AC436" t="s">
        <v>27</v>
      </c>
      <c r="AD436" t="s">
        <v>28</v>
      </c>
      <c r="AE436" t="s">
        <v>25</v>
      </c>
      <c r="AF4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0.13333333333333333</v>
      </c>
      <c r="AG436" t="s">
        <v>941</v>
      </c>
      <c r="AH436">
        <v>57.5</v>
      </c>
      <c r="AI436" t="s">
        <v>939</v>
      </c>
      <c r="AJ436">
        <v>3</v>
      </c>
      <c r="AK4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MIN(AJ436/8, 1) +
  Merge1[[#This Row],[index_defensive_effort]],
  2
)</f>
        <v>0.91</v>
      </c>
    </row>
    <row r="437" spans="1:37" x14ac:dyDescent="0.25">
      <c r="A437" t="s">
        <v>291</v>
      </c>
      <c r="B437" t="s">
        <v>292</v>
      </c>
      <c r="C437">
        <v>25</v>
      </c>
      <c r="D437" t="s">
        <v>56</v>
      </c>
      <c r="E437">
        <v>71</v>
      </c>
      <c r="F437">
        <v>188</v>
      </c>
      <c r="G437" t="s">
        <v>74</v>
      </c>
      <c r="H437">
        <v>2020</v>
      </c>
      <c r="I437" t="s">
        <v>33</v>
      </c>
      <c r="J437">
        <v>8</v>
      </c>
      <c r="K437">
        <v>2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</v>
      </c>
      <c r="S437">
        <v>52</v>
      </c>
      <c r="T437">
        <v>44</v>
      </c>
      <c r="U437" s="5">
        <f>IF(Merge1[[#This Row],[team_defense_snaps]]=0, "", Merge1[[#This Row],[defense_snaps]] / Merge1[[#This Row],[team_defense_snaps]])</f>
        <v>0.51764705882352946</v>
      </c>
      <c r="V437">
        <v>85</v>
      </c>
      <c r="W437">
        <v>8</v>
      </c>
      <c r="X437" s="5" t="s">
        <v>138</v>
      </c>
      <c r="Y437">
        <v>3</v>
      </c>
      <c r="Z437">
        <v>0</v>
      </c>
      <c r="AA437" t="s">
        <v>25</v>
      </c>
      <c r="AB437" t="s">
        <v>26</v>
      </c>
      <c r="AC437" t="s">
        <v>27</v>
      </c>
      <c r="AD437" t="s">
        <v>28</v>
      </c>
      <c r="AE437" t="s">
        <v>25</v>
      </c>
      <c r="AF4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0.11538461538461539</v>
      </c>
      <c r="AG437" t="s">
        <v>941</v>
      </c>
      <c r="AH437">
        <v>54.5</v>
      </c>
      <c r="AI437" t="s">
        <v>939</v>
      </c>
      <c r="AJ437">
        <v>4</v>
      </c>
      <c r="AK4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MIN(AJ437/8, 1) +
  Merge1[[#This Row],[index_defensive_effort]],
  2
)</f>
        <v>1.02</v>
      </c>
    </row>
    <row r="438" spans="1:37" x14ac:dyDescent="0.25">
      <c r="A438" t="s">
        <v>291</v>
      </c>
      <c r="B438" t="s">
        <v>292</v>
      </c>
      <c r="C438">
        <v>25</v>
      </c>
      <c r="D438" t="s">
        <v>56</v>
      </c>
      <c r="E438">
        <v>71</v>
      </c>
      <c r="F438">
        <v>188</v>
      </c>
      <c r="G438" t="s">
        <v>74</v>
      </c>
      <c r="H438">
        <v>2020</v>
      </c>
      <c r="I438" t="s">
        <v>33</v>
      </c>
      <c r="J438">
        <v>9</v>
      </c>
      <c r="K438">
        <v>3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</v>
      </c>
      <c r="S438">
        <v>46</v>
      </c>
      <c r="T438">
        <v>40</v>
      </c>
      <c r="U438" s="5">
        <f>IF(Merge1[[#This Row],[team_defense_snaps]]=0, "", Merge1[[#This Row],[defense_snaps]] / Merge1[[#This Row],[team_defense_snaps]])</f>
        <v>0.55555555555555558</v>
      </c>
      <c r="V438">
        <v>72</v>
      </c>
      <c r="W438">
        <v>6</v>
      </c>
      <c r="X438" s="5" t="s">
        <v>132</v>
      </c>
      <c r="Y438">
        <v>3</v>
      </c>
      <c r="Z438">
        <v>0</v>
      </c>
      <c r="AA438" t="s">
        <v>25</v>
      </c>
      <c r="AB438" t="s">
        <v>26</v>
      </c>
      <c r="AC438" t="s">
        <v>27</v>
      </c>
      <c r="AD438" t="s">
        <v>42</v>
      </c>
      <c r="AE438" t="s">
        <v>25</v>
      </c>
      <c r="AF4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0.15217391304347827</v>
      </c>
      <c r="AG438" t="s">
        <v>941</v>
      </c>
      <c r="AH438">
        <v>62</v>
      </c>
      <c r="AI438" t="s">
        <v>939</v>
      </c>
      <c r="AJ438">
        <v>5</v>
      </c>
      <c r="AK4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MIN(AJ438/8, 1) +
  Merge1[[#This Row],[index_defensive_effort]],
  2
)</f>
        <v>1.18</v>
      </c>
    </row>
    <row r="439" spans="1:37" x14ac:dyDescent="0.25">
      <c r="A439" t="s">
        <v>291</v>
      </c>
      <c r="B439" t="s">
        <v>292</v>
      </c>
      <c r="C439">
        <v>25</v>
      </c>
      <c r="D439" t="s">
        <v>56</v>
      </c>
      <c r="E439">
        <v>71</v>
      </c>
      <c r="F439">
        <v>188</v>
      </c>
      <c r="G439" t="s">
        <v>74</v>
      </c>
      <c r="H439">
        <v>2020</v>
      </c>
      <c r="I439" t="s">
        <v>33</v>
      </c>
      <c r="J439">
        <v>10</v>
      </c>
      <c r="K439">
        <v>5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</v>
      </c>
      <c r="S439">
        <v>69</v>
      </c>
      <c r="T439">
        <v>50</v>
      </c>
      <c r="U439" s="5">
        <f>IF(Merge1[[#This Row],[team_defense_snaps]]=0, "", Merge1[[#This Row],[defense_snaps]] / Merge1[[#This Row],[team_defense_snaps]])</f>
        <v>0.76923076923076927</v>
      </c>
      <c r="V439">
        <v>65</v>
      </c>
      <c r="W439">
        <v>19</v>
      </c>
      <c r="X439" s="5" t="s">
        <v>53</v>
      </c>
      <c r="Y439">
        <v>3</v>
      </c>
      <c r="Z439">
        <v>0</v>
      </c>
      <c r="AA439" t="s">
        <v>25</v>
      </c>
      <c r="AB439" t="s">
        <v>26</v>
      </c>
      <c r="AC439" t="s">
        <v>27</v>
      </c>
      <c r="AD439" t="s">
        <v>42</v>
      </c>
      <c r="AE439" t="s">
        <v>25</v>
      </c>
      <c r="AF4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0.13043478260869565</v>
      </c>
      <c r="AG439" t="s">
        <v>941</v>
      </c>
      <c r="AH439">
        <v>56</v>
      </c>
      <c r="AI439" t="s">
        <v>939</v>
      </c>
      <c r="AJ439">
        <v>6</v>
      </c>
      <c r="AK4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MIN(AJ439/8, 1) +
  Merge1[[#This Row],[index_defensive_effort]],
  2
)</f>
        <v>1.28</v>
      </c>
    </row>
    <row r="440" spans="1:37" x14ac:dyDescent="0.25">
      <c r="A440" t="s">
        <v>291</v>
      </c>
      <c r="B440" t="s">
        <v>292</v>
      </c>
      <c r="C440">
        <v>25</v>
      </c>
      <c r="D440" t="s">
        <v>56</v>
      </c>
      <c r="E440">
        <v>71</v>
      </c>
      <c r="F440">
        <v>188</v>
      </c>
      <c r="G440" t="s">
        <v>74</v>
      </c>
      <c r="H440">
        <v>2020</v>
      </c>
      <c r="I440" t="s">
        <v>33</v>
      </c>
      <c r="J440">
        <v>11</v>
      </c>
      <c r="K440">
        <v>2</v>
      </c>
      <c r="L440">
        <v>1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43</v>
      </c>
      <c r="T440">
        <v>32</v>
      </c>
      <c r="U440" s="5">
        <f>IF(Merge1[[#This Row],[team_defense_snaps]]=0, "", Merge1[[#This Row],[defense_snaps]] / Merge1[[#This Row],[team_defense_snaps]])</f>
        <v>0.55172413793103448</v>
      </c>
      <c r="V440">
        <v>58</v>
      </c>
      <c r="W440">
        <v>11</v>
      </c>
      <c r="X440" s="5" t="s">
        <v>131</v>
      </c>
      <c r="Y440">
        <v>3</v>
      </c>
      <c r="Z440">
        <v>0</v>
      </c>
      <c r="AA440" t="s">
        <v>25</v>
      </c>
      <c r="AB440" t="s">
        <v>26</v>
      </c>
      <c r="AC440" t="s">
        <v>27</v>
      </c>
      <c r="AD440" t="s">
        <v>28</v>
      </c>
      <c r="AE440" t="s">
        <v>25</v>
      </c>
      <c r="AF4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5.8139534883720929E-2</v>
      </c>
      <c r="AG440" t="s">
        <v>941</v>
      </c>
      <c r="AH440">
        <v>59</v>
      </c>
      <c r="AI440" t="s">
        <v>939</v>
      </c>
      <c r="AJ440">
        <v>7</v>
      </c>
      <c r="AK4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MIN(AJ440/8, 1) +
  Merge1[[#This Row],[index_defensive_effort]],
  2
)</f>
        <v>1.33</v>
      </c>
    </row>
    <row r="441" spans="1:37" x14ac:dyDescent="0.25">
      <c r="A441" t="s">
        <v>291</v>
      </c>
      <c r="B441" t="s">
        <v>292</v>
      </c>
      <c r="C441">
        <v>25</v>
      </c>
      <c r="D441" t="s">
        <v>56</v>
      </c>
      <c r="E441">
        <v>71</v>
      </c>
      <c r="F441">
        <v>188</v>
      </c>
      <c r="G441" t="s">
        <v>74</v>
      </c>
      <c r="H441">
        <v>2020</v>
      </c>
      <c r="I441" t="s">
        <v>33</v>
      </c>
      <c r="J441">
        <v>12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24</v>
      </c>
      <c r="T441">
        <v>11</v>
      </c>
      <c r="U441" s="5">
        <f>IF(Merge1[[#This Row],[team_defense_snaps]]=0, "", Merge1[[#This Row],[defense_snaps]] / Merge1[[#This Row],[team_defense_snaps]])</f>
        <v>0.20754716981132076</v>
      </c>
      <c r="V441">
        <v>53</v>
      </c>
      <c r="W441">
        <v>13</v>
      </c>
      <c r="X441" s="5" t="s">
        <v>52</v>
      </c>
      <c r="Y441">
        <v>3</v>
      </c>
      <c r="Z441">
        <v>0</v>
      </c>
      <c r="AA441" t="s">
        <v>25</v>
      </c>
      <c r="AB441" t="s">
        <v>26</v>
      </c>
      <c r="AC441" t="s">
        <v>27</v>
      </c>
      <c r="AD441" t="s">
        <v>28</v>
      </c>
      <c r="AE441" t="s">
        <v>25</v>
      </c>
      <c r="AF4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441" t="s">
        <v>941</v>
      </c>
      <c r="AH441">
        <v>69.5</v>
      </c>
      <c r="AI441" t="s">
        <v>939</v>
      </c>
      <c r="AJ441">
        <v>8</v>
      </c>
      <c r="AK4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MIN(AJ441/8, 1) +
  Merge1[[#This Row],[index_defensive_effort]],
  2
)</f>
        <v>1.44</v>
      </c>
    </row>
    <row r="442" spans="1:37" x14ac:dyDescent="0.25">
      <c r="A442" t="s">
        <v>291</v>
      </c>
      <c r="B442" t="s">
        <v>292</v>
      </c>
      <c r="C442">
        <v>25</v>
      </c>
      <c r="D442" t="s">
        <v>56</v>
      </c>
      <c r="E442">
        <v>71</v>
      </c>
      <c r="F442">
        <v>188</v>
      </c>
      <c r="G442" t="s">
        <v>74</v>
      </c>
      <c r="H442">
        <v>2020</v>
      </c>
      <c r="I442" t="s">
        <v>33</v>
      </c>
      <c r="J442">
        <v>13</v>
      </c>
      <c r="K442">
        <v>3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89</v>
      </c>
      <c r="T442">
        <v>72</v>
      </c>
      <c r="U442" s="5">
        <f>IF(Merge1[[#This Row],[team_defense_snaps]]=0, "", Merge1[[#This Row],[defense_snaps]] / Merge1[[#This Row],[team_defense_snaps]])</f>
        <v>1</v>
      </c>
      <c r="V442">
        <v>72</v>
      </c>
      <c r="W442">
        <v>17</v>
      </c>
      <c r="X442" s="5" t="s">
        <v>53</v>
      </c>
      <c r="Y442">
        <v>3</v>
      </c>
      <c r="Z442">
        <v>0</v>
      </c>
      <c r="AA442" t="s">
        <v>25</v>
      </c>
      <c r="AB442" t="s">
        <v>26</v>
      </c>
      <c r="AC442" t="s">
        <v>27</v>
      </c>
      <c r="AD442" t="s">
        <v>42</v>
      </c>
      <c r="AE442" t="s">
        <v>25</v>
      </c>
      <c r="AF4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5.6179775280898875E-2</v>
      </c>
      <c r="AG442" t="s">
        <v>941</v>
      </c>
      <c r="AH442">
        <v>47</v>
      </c>
      <c r="AI442" t="s">
        <v>939</v>
      </c>
      <c r="AJ442">
        <v>9</v>
      </c>
      <c r="AK4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MIN(AJ442/8, 1) +
  Merge1[[#This Row],[index_defensive_effort]],
  2
)</f>
        <v>1.46</v>
      </c>
    </row>
    <row r="443" spans="1:37" x14ac:dyDescent="0.25">
      <c r="A443" t="s">
        <v>291</v>
      </c>
      <c r="B443" t="s">
        <v>292</v>
      </c>
      <c r="C443">
        <v>25</v>
      </c>
      <c r="D443" t="s">
        <v>56</v>
      </c>
      <c r="E443">
        <v>71</v>
      </c>
      <c r="F443">
        <v>188</v>
      </c>
      <c r="G443" t="s">
        <v>74</v>
      </c>
      <c r="H443">
        <v>2020</v>
      </c>
      <c r="I443" t="s">
        <v>33</v>
      </c>
      <c r="J443">
        <v>14</v>
      </c>
      <c r="K443">
        <v>2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85</v>
      </c>
      <c r="T443">
        <v>72</v>
      </c>
      <c r="U443" s="5">
        <f>IF(Merge1[[#This Row],[team_defense_snaps]]=0, "", Merge1[[#This Row],[defense_snaps]] / Merge1[[#This Row],[team_defense_snaps]])</f>
        <v>0.96</v>
      </c>
      <c r="V443">
        <v>75</v>
      </c>
      <c r="W443">
        <v>13</v>
      </c>
      <c r="X443" s="5" t="s">
        <v>260</v>
      </c>
      <c r="Y443">
        <v>3</v>
      </c>
      <c r="Z443">
        <v>0</v>
      </c>
      <c r="AA443" t="s">
        <v>25</v>
      </c>
      <c r="AB443" t="s">
        <v>26</v>
      </c>
      <c r="AC443" t="s">
        <v>27</v>
      </c>
      <c r="AD443" t="s">
        <v>42</v>
      </c>
      <c r="AE443" t="s">
        <v>25</v>
      </c>
      <c r="AF4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4.7058823529411764E-2</v>
      </c>
      <c r="AG443" t="s">
        <v>941</v>
      </c>
      <c r="AH443">
        <v>48.5</v>
      </c>
      <c r="AI443" t="s">
        <v>939</v>
      </c>
      <c r="AJ443">
        <v>10</v>
      </c>
      <c r="AK4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MIN(AJ443/8, 1) +
  Merge1[[#This Row],[index_defensive_effort]],
  2
)</f>
        <v>1.45</v>
      </c>
    </row>
    <row r="444" spans="1:37" x14ac:dyDescent="0.25">
      <c r="A444" t="s">
        <v>291</v>
      </c>
      <c r="B444" t="s">
        <v>292</v>
      </c>
      <c r="C444">
        <v>25</v>
      </c>
      <c r="D444" t="s">
        <v>56</v>
      </c>
      <c r="E444">
        <v>71</v>
      </c>
      <c r="F444">
        <v>188</v>
      </c>
      <c r="G444" t="s">
        <v>74</v>
      </c>
      <c r="H444">
        <v>2020</v>
      </c>
      <c r="I444" t="s">
        <v>33</v>
      </c>
      <c r="J444">
        <v>15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32</v>
      </c>
      <c r="T444">
        <v>21</v>
      </c>
      <c r="U444" s="5">
        <f>IF(Merge1[[#This Row],[team_defense_snaps]]=0, "", Merge1[[#This Row],[defense_snaps]] / Merge1[[#This Row],[team_defense_snaps]])</f>
        <v>0.375</v>
      </c>
      <c r="V444">
        <v>56</v>
      </c>
      <c r="W444">
        <v>11</v>
      </c>
      <c r="X444" s="5" t="s">
        <v>334</v>
      </c>
      <c r="Y444">
        <v>3</v>
      </c>
      <c r="Z444">
        <v>0</v>
      </c>
      <c r="AA444" t="s">
        <v>25</v>
      </c>
      <c r="AB444" t="s">
        <v>26</v>
      </c>
      <c r="AC444" t="s">
        <v>27</v>
      </c>
      <c r="AD444" t="s">
        <v>28</v>
      </c>
      <c r="AE444" t="s">
        <v>25</v>
      </c>
      <c r="AF4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444" t="s">
        <v>941</v>
      </c>
      <c r="AH444">
        <v>51.5</v>
      </c>
      <c r="AI444" t="s">
        <v>939</v>
      </c>
      <c r="AJ444">
        <v>11</v>
      </c>
      <c r="AK4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MIN(AJ444/8, 1) +
  Merge1[[#This Row],[index_defensive_effort]],
  2
)</f>
        <v>1.4</v>
      </c>
    </row>
    <row r="445" spans="1:37" x14ac:dyDescent="0.25">
      <c r="A445" t="s">
        <v>291</v>
      </c>
      <c r="B445" t="s">
        <v>292</v>
      </c>
      <c r="C445">
        <v>25</v>
      </c>
      <c r="D445" t="s">
        <v>56</v>
      </c>
      <c r="E445">
        <v>71</v>
      </c>
      <c r="F445">
        <v>188</v>
      </c>
      <c r="G445" t="s">
        <v>74</v>
      </c>
      <c r="H445">
        <v>2020</v>
      </c>
      <c r="I445" t="s">
        <v>33</v>
      </c>
      <c r="J445">
        <v>16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34</v>
      </c>
      <c r="T445">
        <v>25</v>
      </c>
      <c r="U445" s="5">
        <f>IF(Merge1[[#This Row],[team_defense_snaps]]=0, "", Merge1[[#This Row],[defense_snaps]] / Merge1[[#This Row],[team_defense_snaps]])</f>
        <v>0.36231884057971014</v>
      </c>
      <c r="V445">
        <v>69</v>
      </c>
      <c r="W445">
        <v>9</v>
      </c>
      <c r="X445" s="5" t="s">
        <v>314</v>
      </c>
      <c r="Y445">
        <v>3</v>
      </c>
      <c r="Z445">
        <v>0</v>
      </c>
      <c r="AA445" t="s">
        <v>25</v>
      </c>
      <c r="AB445" t="s">
        <v>26</v>
      </c>
      <c r="AC445" t="s">
        <v>27</v>
      </c>
      <c r="AD445" t="s">
        <v>42</v>
      </c>
      <c r="AE445" t="s">
        <v>25</v>
      </c>
      <c r="AF4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2.9411764705882353E-2</v>
      </c>
      <c r="AG445" t="s">
        <v>941</v>
      </c>
      <c r="AH445">
        <v>71</v>
      </c>
      <c r="AI445" t="s">
        <v>939</v>
      </c>
      <c r="AJ445">
        <v>12</v>
      </c>
      <c r="AK4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MIN(AJ445/8, 1) +
  Merge1[[#This Row],[index_defensive_effort]],
  2
)</f>
        <v>1.43</v>
      </c>
    </row>
    <row r="446" spans="1:37" x14ac:dyDescent="0.25">
      <c r="A446" t="s">
        <v>291</v>
      </c>
      <c r="B446" t="s">
        <v>292</v>
      </c>
      <c r="C446">
        <v>25</v>
      </c>
      <c r="D446" t="s">
        <v>56</v>
      </c>
      <c r="E446">
        <v>71</v>
      </c>
      <c r="F446">
        <v>188</v>
      </c>
      <c r="G446" t="s">
        <v>74</v>
      </c>
      <c r="H446">
        <v>2020</v>
      </c>
      <c r="I446" t="s">
        <v>33</v>
      </c>
      <c r="J446">
        <v>17</v>
      </c>
      <c r="K446">
        <v>2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66</v>
      </c>
      <c r="T446">
        <v>54</v>
      </c>
      <c r="U446" s="5">
        <f>IF(Merge1[[#This Row],[team_defense_snaps]]=0, "", Merge1[[#This Row],[defense_snaps]] / Merge1[[#This Row],[team_defense_snaps]])</f>
        <v>0.87096774193548387</v>
      </c>
      <c r="V446">
        <v>62</v>
      </c>
      <c r="W446">
        <v>12</v>
      </c>
      <c r="X446" s="5" t="s">
        <v>200</v>
      </c>
      <c r="Y446">
        <v>3</v>
      </c>
      <c r="Z446">
        <v>0</v>
      </c>
      <c r="AA446" t="s">
        <v>25</v>
      </c>
      <c r="AB446" t="s">
        <v>26</v>
      </c>
      <c r="AC446" t="s">
        <v>27</v>
      </c>
      <c r="AD446" t="s">
        <v>42</v>
      </c>
      <c r="AE446" t="s">
        <v>25</v>
      </c>
      <c r="AF4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3.0303030303030304E-2</v>
      </c>
      <c r="AG446" t="s">
        <v>941</v>
      </c>
      <c r="AH446">
        <v>50</v>
      </c>
      <c r="AI446" t="s">
        <v>939</v>
      </c>
      <c r="AJ446">
        <v>13</v>
      </c>
      <c r="AK4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MIN(AJ446/8, 1) +
  Merge1[[#This Row],[index_defensive_effort]],
  2
)</f>
        <v>1.43</v>
      </c>
    </row>
    <row r="447" spans="1:37" x14ac:dyDescent="0.25">
      <c r="A447" t="s">
        <v>291</v>
      </c>
      <c r="B447" t="s">
        <v>292</v>
      </c>
      <c r="C447">
        <v>25</v>
      </c>
      <c r="D447" t="s">
        <v>56</v>
      </c>
      <c r="E447">
        <v>71</v>
      </c>
      <c r="F447">
        <v>188</v>
      </c>
      <c r="G447" t="s">
        <v>74</v>
      </c>
      <c r="H447">
        <v>2020</v>
      </c>
      <c r="I447" t="s">
        <v>24</v>
      </c>
      <c r="J447">
        <v>18</v>
      </c>
      <c r="K447">
        <v>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86</v>
      </c>
      <c r="T447">
        <v>67</v>
      </c>
      <c r="U447" s="5">
        <f>IF(Merge1[[#This Row],[team_defense_snaps]]=0, "", Merge1[[#This Row],[defense_snaps]] / Merge1[[#This Row],[team_defense_snaps]])</f>
        <v>1</v>
      </c>
      <c r="V447">
        <v>67</v>
      </c>
      <c r="W447">
        <v>19</v>
      </c>
      <c r="X447" s="5" t="s">
        <v>112</v>
      </c>
      <c r="Y447">
        <v>3</v>
      </c>
      <c r="Z447">
        <v>0</v>
      </c>
      <c r="AA447" t="s">
        <v>25</v>
      </c>
      <c r="AB447" t="s">
        <v>26</v>
      </c>
      <c r="AC447" t="s">
        <v>27</v>
      </c>
      <c r="AD447" t="s">
        <v>42</v>
      </c>
      <c r="AE447" t="s">
        <v>25</v>
      </c>
      <c r="AF4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2.3255813953488372E-2</v>
      </c>
      <c r="AG447" t="s">
        <v>941</v>
      </c>
      <c r="AH447">
        <v>53</v>
      </c>
      <c r="AI447" t="s">
        <v>939</v>
      </c>
      <c r="AJ447">
        <v>1</v>
      </c>
      <c r="AK4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MIN(AJ447/8, 1) +
  Merge1[[#This Row],[index_defensive_effort]],
  2
)</f>
        <v>0.75</v>
      </c>
    </row>
    <row r="448" spans="1:37" x14ac:dyDescent="0.25">
      <c r="A448" t="s">
        <v>254</v>
      </c>
      <c r="B448" t="s">
        <v>255</v>
      </c>
      <c r="C448">
        <v>24</v>
      </c>
      <c r="D448" t="s">
        <v>56</v>
      </c>
      <c r="E448">
        <v>73</v>
      </c>
      <c r="F448">
        <v>202</v>
      </c>
      <c r="G448" t="s">
        <v>23</v>
      </c>
      <c r="H448">
        <v>2020</v>
      </c>
      <c r="I448" t="s">
        <v>33</v>
      </c>
      <c r="J448">
        <v>1</v>
      </c>
      <c r="K448">
        <v>5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75</v>
      </c>
      <c r="T448">
        <v>68</v>
      </c>
      <c r="U448" s="5">
        <f>IF(Merge1[[#This Row],[team_defense_snaps]]=0, "", Merge1[[#This Row],[defense_snaps]] / Merge1[[#This Row],[team_defense_snaps]])</f>
        <v>0.98550724637681164</v>
      </c>
      <c r="V448">
        <v>69</v>
      </c>
      <c r="W448">
        <v>7</v>
      </c>
      <c r="X448" s="5" t="s">
        <v>293</v>
      </c>
      <c r="Y448">
        <v>2</v>
      </c>
      <c r="Z448">
        <v>0</v>
      </c>
      <c r="AA448" t="s">
        <v>25</v>
      </c>
      <c r="AB448" t="s">
        <v>26</v>
      </c>
      <c r="AC448" t="s">
        <v>27</v>
      </c>
      <c r="AD448" t="s">
        <v>42</v>
      </c>
      <c r="AE448" t="s">
        <v>25</v>
      </c>
      <c r="AF4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448" t="s">
        <v>941</v>
      </c>
      <c r="AH448">
        <v>80</v>
      </c>
      <c r="AI448" t="s">
        <v>939</v>
      </c>
      <c r="AJ448">
        <v>2</v>
      </c>
      <c r="AK4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MIN(AJ448/8, 1) +
  Merge1[[#This Row],[index_defensive_effort]],
  2
)</f>
        <v>0.72</v>
      </c>
    </row>
    <row r="449" spans="1:37" x14ac:dyDescent="0.25">
      <c r="A449" t="s">
        <v>254</v>
      </c>
      <c r="B449" t="s">
        <v>255</v>
      </c>
      <c r="C449">
        <v>24</v>
      </c>
      <c r="D449" t="s">
        <v>56</v>
      </c>
      <c r="E449">
        <v>73</v>
      </c>
      <c r="F449">
        <v>202</v>
      </c>
      <c r="G449" t="s">
        <v>23</v>
      </c>
      <c r="H449">
        <v>2020</v>
      </c>
      <c r="I449" t="s">
        <v>33</v>
      </c>
      <c r="J449">
        <v>2</v>
      </c>
      <c r="K449">
        <v>4</v>
      </c>
      <c r="L449">
        <v>3</v>
      </c>
      <c r="M449">
        <v>1</v>
      </c>
      <c r="N449">
        <v>4</v>
      </c>
      <c r="O449">
        <v>0</v>
      </c>
      <c r="P449">
        <v>2</v>
      </c>
      <c r="Q449">
        <v>2</v>
      </c>
      <c r="R449">
        <v>0</v>
      </c>
      <c r="S449">
        <v>79</v>
      </c>
      <c r="T449">
        <v>72</v>
      </c>
      <c r="U449" s="5">
        <f>IF(Merge1[[#This Row],[team_defense_snaps]]=0, "", Merge1[[#This Row],[defense_snaps]] / Merge1[[#This Row],[team_defense_snaps]])</f>
        <v>0.98630136986301364</v>
      </c>
      <c r="V449">
        <v>73</v>
      </c>
      <c r="W449">
        <v>7</v>
      </c>
      <c r="X449" s="5" t="s">
        <v>261</v>
      </c>
      <c r="Y449">
        <v>2</v>
      </c>
      <c r="Z449">
        <v>0</v>
      </c>
      <c r="AA449" t="s">
        <v>25</v>
      </c>
      <c r="AB449" t="s">
        <v>26</v>
      </c>
      <c r="AC449" t="s">
        <v>27</v>
      </c>
      <c r="AD449" t="s">
        <v>42</v>
      </c>
      <c r="AE449" t="s">
        <v>25</v>
      </c>
      <c r="AF4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0.22784810126582278</v>
      </c>
      <c r="AG449" t="s">
        <v>941</v>
      </c>
      <c r="AH449">
        <v>66</v>
      </c>
      <c r="AI449" t="s">
        <v>939</v>
      </c>
      <c r="AJ449">
        <v>3</v>
      </c>
      <c r="AK4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MIN(AJ449/8, 1) +
  Merge1[[#This Row],[index_defensive_effort]],
  2
)</f>
        <v>1</v>
      </c>
    </row>
    <row r="450" spans="1:37" x14ac:dyDescent="0.25">
      <c r="A450" t="s">
        <v>254</v>
      </c>
      <c r="B450" t="s">
        <v>255</v>
      </c>
      <c r="C450">
        <v>24</v>
      </c>
      <c r="D450" t="s">
        <v>56</v>
      </c>
      <c r="E450">
        <v>73</v>
      </c>
      <c r="F450">
        <v>202</v>
      </c>
      <c r="G450" t="s">
        <v>23</v>
      </c>
      <c r="H450">
        <v>2020</v>
      </c>
      <c r="I450" t="s">
        <v>33</v>
      </c>
      <c r="J450">
        <v>3</v>
      </c>
      <c r="K450">
        <v>4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69</v>
      </c>
      <c r="T450">
        <v>63</v>
      </c>
      <c r="U450" s="5">
        <f>IF(Merge1[[#This Row],[team_defense_snaps]]=0, "", Merge1[[#This Row],[defense_snaps]] / Merge1[[#This Row],[team_defense_snaps]])</f>
        <v>1</v>
      </c>
      <c r="V450">
        <v>63</v>
      </c>
      <c r="W450">
        <v>6</v>
      </c>
      <c r="X450" s="5" t="s">
        <v>293</v>
      </c>
      <c r="Y450">
        <v>2</v>
      </c>
      <c r="Z450">
        <v>0</v>
      </c>
      <c r="AA450" t="s">
        <v>25</v>
      </c>
      <c r="AB450" t="s">
        <v>26</v>
      </c>
      <c r="AC450" t="s">
        <v>27</v>
      </c>
      <c r="AD450" t="s">
        <v>42</v>
      </c>
      <c r="AE450" t="s">
        <v>25</v>
      </c>
      <c r="AF4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5.7971014492753624E-2</v>
      </c>
      <c r="AG450" t="s">
        <v>941</v>
      </c>
      <c r="AH450">
        <v>86</v>
      </c>
      <c r="AI450" t="s">
        <v>939</v>
      </c>
      <c r="AJ450">
        <v>4</v>
      </c>
      <c r="AK4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MIN(AJ450/8, 1) +
  Merge1[[#This Row],[index_defensive_effort]],
  2
)</f>
        <v>0.96</v>
      </c>
    </row>
    <row r="451" spans="1:37" x14ac:dyDescent="0.25">
      <c r="A451" t="s">
        <v>254</v>
      </c>
      <c r="B451" t="s">
        <v>255</v>
      </c>
      <c r="C451">
        <v>24</v>
      </c>
      <c r="D451" t="s">
        <v>56</v>
      </c>
      <c r="E451">
        <v>73</v>
      </c>
      <c r="F451">
        <v>202</v>
      </c>
      <c r="G451" t="s">
        <v>23</v>
      </c>
      <c r="H451">
        <v>2020</v>
      </c>
      <c r="I451" t="s">
        <v>33</v>
      </c>
      <c r="J451">
        <v>4</v>
      </c>
      <c r="K451">
        <v>4</v>
      </c>
      <c r="L451">
        <v>1</v>
      </c>
      <c r="M451">
        <v>0</v>
      </c>
      <c r="N451">
        <v>1</v>
      </c>
      <c r="O451">
        <v>0</v>
      </c>
      <c r="P451">
        <v>0</v>
      </c>
      <c r="Q451">
        <v>2</v>
      </c>
      <c r="R451">
        <v>0</v>
      </c>
      <c r="S451">
        <v>60</v>
      </c>
      <c r="T451">
        <v>53</v>
      </c>
      <c r="U451" s="5">
        <f>IF(Merge1[[#This Row],[team_defense_snaps]]=0, "", Merge1[[#This Row],[defense_snaps]] / Merge1[[#This Row],[team_defense_snaps]])</f>
        <v>1</v>
      </c>
      <c r="V451">
        <v>53</v>
      </c>
      <c r="W451">
        <v>7</v>
      </c>
      <c r="X451" s="5" t="s">
        <v>139</v>
      </c>
      <c r="Y451">
        <v>2</v>
      </c>
      <c r="Z451">
        <v>0</v>
      </c>
      <c r="AA451" t="s">
        <v>25</v>
      </c>
      <c r="AB451" t="s">
        <v>26</v>
      </c>
      <c r="AC451" t="s">
        <v>27</v>
      </c>
      <c r="AD451" t="s">
        <v>42</v>
      </c>
      <c r="AE451" t="s">
        <v>25</v>
      </c>
      <c r="AF4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0.20833333333333334</v>
      </c>
      <c r="AG451" t="s">
        <v>941</v>
      </c>
      <c r="AH451">
        <v>81.5</v>
      </c>
      <c r="AI451" t="s">
        <v>939</v>
      </c>
      <c r="AJ451">
        <v>5</v>
      </c>
      <c r="AK4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MIN(AJ451/8, 1) +
  Merge1[[#This Row],[index_defensive_effort]],
  2
)</f>
        <v>1.23</v>
      </c>
    </row>
    <row r="452" spans="1:37" x14ac:dyDescent="0.25">
      <c r="A452" t="s">
        <v>254</v>
      </c>
      <c r="B452" t="s">
        <v>255</v>
      </c>
      <c r="C452">
        <v>24</v>
      </c>
      <c r="D452" t="s">
        <v>56</v>
      </c>
      <c r="E452">
        <v>73</v>
      </c>
      <c r="F452">
        <v>202</v>
      </c>
      <c r="G452" t="s">
        <v>23</v>
      </c>
      <c r="H452">
        <v>2020</v>
      </c>
      <c r="I452" t="s">
        <v>33</v>
      </c>
      <c r="J452">
        <v>5</v>
      </c>
      <c r="K452">
        <v>9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2</v>
      </c>
      <c r="R452">
        <v>0</v>
      </c>
      <c r="S452">
        <v>68</v>
      </c>
      <c r="T452">
        <v>63</v>
      </c>
      <c r="U452" s="5">
        <f>IF(Merge1[[#This Row],[team_defense_snaps]]=0, "", Merge1[[#This Row],[defense_snaps]] / Merge1[[#This Row],[team_defense_snaps]])</f>
        <v>1</v>
      </c>
      <c r="V452">
        <v>63</v>
      </c>
      <c r="W452">
        <v>5</v>
      </c>
      <c r="X452" s="5" t="s">
        <v>181</v>
      </c>
      <c r="Y452">
        <v>2</v>
      </c>
      <c r="Z452">
        <v>0</v>
      </c>
      <c r="AA452" t="s">
        <v>25</v>
      </c>
      <c r="AB452" t="s">
        <v>26</v>
      </c>
      <c r="AC452" t="s">
        <v>27</v>
      </c>
      <c r="AD452" t="s">
        <v>42</v>
      </c>
      <c r="AE452" t="s">
        <v>25</v>
      </c>
      <c r="AF4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</v>
      </c>
      <c r="AG452" t="s">
        <v>941</v>
      </c>
      <c r="AH452">
        <v>77</v>
      </c>
      <c r="AI452" t="s">
        <v>939</v>
      </c>
      <c r="AJ452">
        <v>6</v>
      </c>
      <c r="AK4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MIN(AJ452/8, 1) +
  Merge1[[#This Row],[index_defensive_effort]],
  2
)</f>
        <v>1.4</v>
      </c>
    </row>
    <row r="453" spans="1:37" x14ac:dyDescent="0.25">
      <c r="A453" t="s">
        <v>254</v>
      </c>
      <c r="B453" t="s">
        <v>255</v>
      </c>
      <c r="C453">
        <v>24</v>
      </c>
      <c r="D453" t="s">
        <v>56</v>
      </c>
      <c r="E453">
        <v>73</v>
      </c>
      <c r="F453">
        <v>202</v>
      </c>
      <c r="G453" t="s">
        <v>23</v>
      </c>
      <c r="H453">
        <v>2020</v>
      </c>
      <c r="I453" t="s">
        <v>33</v>
      </c>
      <c r="J453">
        <v>6</v>
      </c>
      <c r="K453">
        <v>5</v>
      </c>
      <c r="L453">
        <v>2</v>
      </c>
      <c r="M453">
        <v>0</v>
      </c>
      <c r="N453">
        <v>2</v>
      </c>
      <c r="O453">
        <v>0</v>
      </c>
      <c r="P453">
        <v>1</v>
      </c>
      <c r="Q453">
        <v>1</v>
      </c>
      <c r="R453">
        <v>0</v>
      </c>
      <c r="S453">
        <v>70</v>
      </c>
      <c r="T453">
        <v>63</v>
      </c>
      <c r="U453" s="5">
        <f>IF(Merge1[[#This Row],[team_defense_snaps]]=0, "", Merge1[[#This Row],[defense_snaps]] / Merge1[[#This Row],[team_defense_snaps]])</f>
        <v>1</v>
      </c>
      <c r="V453">
        <v>63</v>
      </c>
      <c r="W453">
        <v>7</v>
      </c>
      <c r="X453" s="5" t="s">
        <v>132</v>
      </c>
      <c r="Y453">
        <v>2</v>
      </c>
      <c r="Z453">
        <v>0</v>
      </c>
      <c r="AA453" t="s">
        <v>25</v>
      </c>
      <c r="AB453" t="s">
        <v>36</v>
      </c>
      <c r="AC453" t="s">
        <v>37</v>
      </c>
      <c r="AD453" t="s">
        <v>42</v>
      </c>
      <c r="AE453" t="s">
        <v>25</v>
      </c>
      <c r="AF4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0.17142857142857143</v>
      </c>
      <c r="AG453" t="s">
        <v>941</v>
      </c>
      <c r="AH453">
        <v>84.5</v>
      </c>
      <c r="AI453" t="s">
        <v>939</v>
      </c>
      <c r="AJ453">
        <v>7</v>
      </c>
      <c r="AK4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MIN(AJ453/8, 1) +
  Merge1[[#This Row],[index_defensive_effort]],
  2
)</f>
        <v>1.45</v>
      </c>
    </row>
    <row r="454" spans="1:37" x14ac:dyDescent="0.25">
      <c r="A454" t="s">
        <v>254</v>
      </c>
      <c r="B454" t="s">
        <v>255</v>
      </c>
      <c r="C454">
        <v>24</v>
      </c>
      <c r="D454" t="s">
        <v>56</v>
      </c>
      <c r="E454">
        <v>73</v>
      </c>
      <c r="F454">
        <v>202</v>
      </c>
      <c r="G454" t="s">
        <v>23</v>
      </c>
      <c r="H454">
        <v>2020</v>
      </c>
      <c r="I454" t="s">
        <v>33</v>
      </c>
      <c r="J454">
        <v>7</v>
      </c>
      <c r="K454">
        <v>3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65</v>
      </c>
      <c r="T454">
        <v>58</v>
      </c>
      <c r="U454" s="5">
        <f>IF(Merge1[[#This Row],[team_defense_snaps]]=0, "", Merge1[[#This Row],[defense_snaps]] / Merge1[[#This Row],[team_defense_snaps]])</f>
        <v>0.89230769230769236</v>
      </c>
      <c r="V454">
        <v>65</v>
      </c>
      <c r="W454">
        <v>7</v>
      </c>
      <c r="X454" s="5" t="s">
        <v>132</v>
      </c>
      <c r="Y454">
        <v>2</v>
      </c>
      <c r="Z454">
        <v>0</v>
      </c>
      <c r="AA454" t="s">
        <v>25</v>
      </c>
      <c r="AB454" t="s">
        <v>26</v>
      </c>
      <c r="AC454" t="s">
        <v>27</v>
      </c>
      <c r="AD454" t="s">
        <v>42</v>
      </c>
      <c r="AE454" t="s">
        <v>25</v>
      </c>
      <c r="AF4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4.6153846153846156E-2</v>
      </c>
      <c r="AG454" t="s">
        <v>941</v>
      </c>
      <c r="AH454">
        <v>66</v>
      </c>
      <c r="AI454" t="s">
        <v>939</v>
      </c>
      <c r="AJ454">
        <v>8</v>
      </c>
      <c r="AK4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MIN(AJ454/8, 1) +
  Merge1[[#This Row],[index_defensive_effort]],
  2
)</f>
        <v>1.45</v>
      </c>
    </row>
    <row r="455" spans="1:37" x14ac:dyDescent="0.25">
      <c r="A455" t="s">
        <v>254</v>
      </c>
      <c r="B455" t="s">
        <v>255</v>
      </c>
      <c r="C455">
        <v>24</v>
      </c>
      <c r="D455" t="s">
        <v>56</v>
      </c>
      <c r="E455">
        <v>73</v>
      </c>
      <c r="F455">
        <v>202</v>
      </c>
      <c r="G455" t="s">
        <v>23</v>
      </c>
      <c r="H455">
        <v>2020</v>
      </c>
      <c r="I455" t="s">
        <v>33</v>
      </c>
      <c r="J455">
        <v>8</v>
      </c>
      <c r="K455">
        <v>4</v>
      </c>
      <c r="L455">
        <v>1</v>
      </c>
      <c r="M455">
        <v>0</v>
      </c>
      <c r="N455">
        <v>1</v>
      </c>
      <c r="O455">
        <v>0</v>
      </c>
      <c r="P455">
        <v>2</v>
      </c>
      <c r="Q455">
        <v>2</v>
      </c>
      <c r="R455">
        <v>0</v>
      </c>
      <c r="S455">
        <v>75</v>
      </c>
      <c r="T455">
        <v>74</v>
      </c>
      <c r="U455" s="5">
        <f>IF(Merge1[[#This Row],[team_defense_snaps]]=0, "", Merge1[[#This Row],[defense_snaps]] / Merge1[[#This Row],[team_defense_snaps]])</f>
        <v>0.98666666666666669</v>
      </c>
      <c r="V455">
        <v>75</v>
      </c>
      <c r="W455">
        <v>1</v>
      </c>
      <c r="X455" s="5" t="s">
        <v>193</v>
      </c>
      <c r="Y455">
        <v>2</v>
      </c>
      <c r="Z455">
        <v>0</v>
      </c>
      <c r="AA455" t="s">
        <v>25</v>
      </c>
      <c r="AB455" t="s">
        <v>26</v>
      </c>
      <c r="AC455" t="s">
        <v>27</v>
      </c>
      <c r="AD455" t="s">
        <v>42</v>
      </c>
      <c r="AE455" t="s">
        <v>25</v>
      </c>
      <c r="AF4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0.22</v>
      </c>
      <c r="AG455" t="s">
        <v>941</v>
      </c>
      <c r="AH455">
        <v>66.5</v>
      </c>
      <c r="AI455" t="s">
        <v>939</v>
      </c>
      <c r="AJ455">
        <v>9</v>
      </c>
      <c r="AK4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MIN(AJ455/8, 1) +
  Merge1[[#This Row],[index_defensive_effort]],
  2
)</f>
        <v>1.62</v>
      </c>
    </row>
    <row r="456" spans="1:37" x14ac:dyDescent="0.25">
      <c r="A456" t="s">
        <v>254</v>
      </c>
      <c r="B456" t="s">
        <v>255</v>
      </c>
      <c r="C456">
        <v>24</v>
      </c>
      <c r="D456" t="s">
        <v>56</v>
      </c>
      <c r="E456">
        <v>73</v>
      </c>
      <c r="F456">
        <v>202</v>
      </c>
      <c r="G456" t="s">
        <v>23</v>
      </c>
      <c r="H456">
        <v>2020</v>
      </c>
      <c r="I456" t="s">
        <v>33</v>
      </c>
      <c r="J456">
        <v>9</v>
      </c>
      <c r="K456">
        <v>2</v>
      </c>
      <c r="L456">
        <v>5</v>
      </c>
      <c r="M456">
        <v>0</v>
      </c>
      <c r="N456">
        <v>5</v>
      </c>
      <c r="O456">
        <v>0</v>
      </c>
      <c r="P456">
        <v>0</v>
      </c>
      <c r="Q456">
        <v>0</v>
      </c>
      <c r="R456">
        <v>0</v>
      </c>
      <c r="S456">
        <v>75</v>
      </c>
      <c r="T456">
        <v>73</v>
      </c>
      <c r="U456" s="5">
        <f>IF(Merge1[[#This Row],[team_defense_snaps]]=0, "", Merge1[[#This Row],[defense_snaps]] / Merge1[[#This Row],[team_defense_snaps]])</f>
        <v>1</v>
      </c>
      <c r="V456">
        <v>73</v>
      </c>
      <c r="W456">
        <v>2</v>
      </c>
      <c r="X456" s="5" t="s">
        <v>38</v>
      </c>
      <c r="Y456">
        <v>2</v>
      </c>
      <c r="Z456">
        <v>0</v>
      </c>
      <c r="AA456" t="s">
        <v>25</v>
      </c>
      <c r="AB456" t="s">
        <v>26</v>
      </c>
      <c r="AC456" t="s">
        <v>27</v>
      </c>
      <c r="AD456" t="s">
        <v>42</v>
      </c>
      <c r="AE456" t="s">
        <v>25</v>
      </c>
      <c r="AF4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0.06</v>
      </c>
      <c r="AG456" t="s">
        <v>941</v>
      </c>
      <c r="AH456">
        <v>74</v>
      </c>
      <c r="AI456" t="s">
        <v>939</v>
      </c>
      <c r="AJ456">
        <v>10</v>
      </c>
      <c r="AK4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MIN(AJ456/8, 1) +
  Merge1[[#This Row],[index_defensive_effort]],
  2
)</f>
        <v>1.46</v>
      </c>
    </row>
    <row r="457" spans="1:37" x14ac:dyDescent="0.25">
      <c r="A457" t="s">
        <v>254</v>
      </c>
      <c r="B457" t="s">
        <v>255</v>
      </c>
      <c r="C457">
        <v>24</v>
      </c>
      <c r="D457" t="s">
        <v>56</v>
      </c>
      <c r="E457">
        <v>73</v>
      </c>
      <c r="F457">
        <v>202</v>
      </c>
      <c r="G457" t="s">
        <v>23</v>
      </c>
      <c r="H457">
        <v>2020</v>
      </c>
      <c r="I457" t="s">
        <v>33</v>
      </c>
      <c r="J457">
        <v>10</v>
      </c>
      <c r="K457">
        <v>2</v>
      </c>
      <c r="L457">
        <v>1</v>
      </c>
      <c r="M457">
        <v>0</v>
      </c>
      <c r="N457">
        <v>1</v>
      </c>
      <c r="O457">
        <v>0</v>
      </c>
      <c r="P457">
        <v>2</v>
      </c>
      <c r="Q457">
        <v>0</v>
      </c>
      <c r="R457">
        <v>0</v>
      </c>
      <c r="S457">
        <v>57</v>
      </c>
      <c r="T457">
        <v>47</v>
      </c>
      <c r="U457" s="5">
        <f>IF(Merge1[[#This Row],[team_defense_snaps]]=0, "", Merge1[[#This Row],[defense_snaps]] / Merge1[[#This Row],[team_defense_snaps]])</f>
        <v>0.97916666666666663</v>
      </c>
      <c r="V457">
        <v>48</v>
      </c>
      <c r="W457">
        <v>10</v>
      </c>
      <c r="X457" s="5" t="s">
        <v>314</v>
      </c>
      <c r="Y457">
        <v>2</v>
      </c>
      <c r="Z457">
        <v>0</v>
      </c>
      <c r="AA457" t="s">
        <v>25</v>
      </c>
      <c r="AB457" t="s">
        <v>36</v>
      </c>
      <c r="AC457" t="s">
        <v>247</v>
      </c>
      <c r="AD457" t="s">
        <v>42</v>
      </c>
      <c r="AE457" t="s">
        <v>25</v>
      </c>
      <c r="AF4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0.11403508771929824</v>
      </c>
      <c r="AG457" t="s">
        <v>941</v>
      </c>
      <c r="AH457">
        <v>65</v>
      </c>
      <c r="AI457" t="s">
        <v>939</v>
      </c>
      <c r="AJ457">
        <v>11</v>
      </c>
      <c r="AK4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MIN(AJ457/8, 1) +
  Merge1[[#This Row],[index_defensive_effort]],
  2
)</f>
        <v>1.51</v>
      </c>
    </row>
    <row r="458" spans="1:37" x14ac:dyDescent="0.25">
      <c r="A458" t="s">
        <v>254</v>
      </c>
      <c r="B458" t="s">
        <v>255</v>
      </c>
      <c r="C458">
        <v>24</v>
      </c>
      <c r="D458" t="s">
        <v>56</v>
      </c>
      <c r="E458">
        <v>73</v>
      </c>
      <c r="F458">
        <v>202</v>
      </c>
      <c r="G458" t="s">
        <v>23</v>
      </c>
      <c r="H458">
        <v>2020</v>
      </c>
      <c r="I458" t="s">
        <v>33</v>
      </c>
      <c r="J458">
        <v>11</v>
      </c>
      <c r="K458">
        <v>3</v>
      </c>
      <c r="L458">
        <v>2</v>
      </c>
      <c r="M458">
        <v>2</v>
      </c>
      <c r="N458">
        <v>4</v>
      </c>
      <c r="O458">
        <v>0</v>
      </c>
      <c r="P458">
        <v>0</v>
      </c>
      <c r="Q458">
        <v>0</v>
      </c>
      <c r="R458">
        <v>0</v>
      </c>
      <c r="S458">
        <v>84</v>
      </c>
      <c r="T458">
        <v>72</v>
      </c>
      <c r="U458" s="5">
        <f>IF(Merge1[[#This Row],[team_defense_snaps]]=0, "", Merge1[[#This Row],[defense_snaps]] / Merge1[[#This Row],[team_defense_snaps]])</f>
        <v>0.98630136986301364</v>
      </c>
      <c r="V458">
        <v>73</v>
      </c>
      <c r="W458">
        <v>12</v>
      </c>
      <c r="X458" s="5" t="s">
        <v>221</v>
      </c>
      <c r="Y458">
        <v>2</v>
      </c>
      <c r="Z458">
        <v>0</v>
      </c>
      <c r="AA458" t="s">
        <v>25</v>
      </c>
      <c r="AB458" t="s">
        <v>26</v>
      </c>
      <c r="AC458" t="s">
        <v>27</v>
      </c>
      <c r="AD458" t="s">
        <v>42</v>
      </c>
      <c r="AE458" t="s">
        <v>25</v>
      </c>
      <c r="AF4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5.9523809523809521E-2</v>
      </c>
      <c r="AG458" t="s">
        <v>941</v>
      </c>
      <c r="AH458">
        <v>78.5</v>
      </c>
      <c r="AI458" t="s">
        <v>939</v>
      </c>
      <c r="AJ458">
        <v>12</v>
      </c>
      <c r="AK4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MIN(AJ458/8, 1) +
  Merge1[[#This Row],[index_defensive_effort]],
  2
)</f>
        <v>1.46</v>
      </c>
    </row>
    <row r="459" spans="1:37" x14ac:dyDescent="0.25">
      <c r="A459" t="s">
        <v>254</v>
      </c>
      <c r="B459" t="s">
        <v>255</v>
      </c>
      <c r="C459">
        <v>24</v>
      </c>
      <c r="D459" t="s">
        <v>56</v>
      </c>
      <c r="E459">
        <v>73</v>
      </c>
      <c r="F459">
        <v>202</v>
      </c>
      <c r="G459" t="s">
        <v>23</v>
      </c>
      <c r="H459">
        <v>2020</v>
      </c>
      <c r="I459" t="s">
        <v>33</v>
      </c>
      <c r="J459">
        <v>12</v>
      </c>
      <c r="K459">
        <v>5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80</v>
      </c>
      <c r="T459">
        <v>79</v>
      </c>
      <c r="U459" s="5">
        <f>IF(Merge1[[#This Row],[team_defense_snaps]]=0, "", Merge1[[#This Row],[defense_snaps]] / Merge1[[#This Row],[team_defense_snaps]])</f>
        <v>1</v>
      </c>
      <c r="V459">
        <v>79</v>
      </c>
      <c r="W459">
        <v>1</v>
      </c>
      <c r="X459" s="5" t="s">
        <v>303</v>
      </c>
      <c r="Y459">
        <v>2</v>
      </c>
      <c r="Z459">
        <v>0</v>
      </c>
      <c r="AA459" t="s">
        <v>25</v>
      </c>
      <c r="AB459" t="s">
        <v>26</v>
      </c>
      <c r="AC459" t="s">
        <v>27</v>
      </c>
      <c r="AD459" t="s">
        <v>42</v>
      </c>
      <c r="AE459" t="s">
        <v>25</v>
      </c>
      <c r="AF4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459" t="s">
        <v>941</v>
      </c>
      <c r="AH459">
        <v>75.5</v>
      </c>
      <c r="AI459" t="s">
        <v>939</v>
      </c>
      <c r="AJ459">
        <v>1</v>
      </c>
      <c r="AK4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MIN(AJ459/8, 1) +
  Merge1[[#This Row],[index_defensive_effort]],
  2
)</f>
        <v>0.59</v>
      </c>
    </row>
    <row r="460" spans="1:37" x14ac:dyDescent="0.25">
      <c r="A460" t="s">
        <v>254</v>
      </c>
      <c r="B460" t="s">
        <v>255</v>
      </c>
      <c r="C460">
        <v>24</v>
      </c>
      <c r="D460" t="s">
        <v>56</v>
      </c>
      <c r="E460">
        <v>73</v>
      </c>
      <c r="F460">
        <v>202</v>
      </c>
      <c r="G460" t="s">
        <v>23</v>
      </c>
      <c r="H460">
        <v>2020</v>
      </c>
      <c r="I460" t="s">
        <v>33</v>
      </c>
      <c r="J460">
        <v>14</v>
      </c>
      <c r="K460">
        <v>4</v>
      </c>
      <c r="L460">
        <v>2</v>
      </c>
      <c r="M460">
        <v>0</v>
      </c>
      <c r="N460">
        <v>2</v>
      </c>
      <c r="O460">
        <v>0</v>
      </c>
      <c r="P460">
        <v>0</v>
      </c>
      <c r="Q460">
        <v>0</v>
      </c>
      <c r="R460">
        <v>0</v>
      </c>
      <c r="S460">
        <v>84</v>
      </c>
      <c r="T460">
        <v>79</v>
      </c>
      <c r="U460" s="5">
        <f>IF(Merge1[[#This Row],[team_defense_snaps]]=0, "", Merge1[[#This Row],[defense_snaps]] / Merge1[[#This Row],[team_defense_snaps]])</f>
        <v>1</v>
      </c>
      <c r="V460">
        <v>79</v>
      </c>
      <c r="W460">
        <v>5</v>
      </c>
      <c r="X460" s="5" t="s">
        <v>132</v>
      </c>
      <c r="Y460">
        <v>2</v>
      </c>
      <c r="Z460">
        <v>0</v>
      </c>
      <c r="AA460" t="s">
        <v>25</v>
      </c>
      <c r="AB460" t="s">
        <v>26</v>
      </c>
      <c r="AC460" t="s">
        <v>27</v>
      </c>
      <c r="AD460" t="s">
        <v>42</v>
      </c>
      <c r="AE460" t="s">
        <v>25</v>
      </c>
      <c r="AF4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5.9523809523809521E-2</v>
      </c>
      <c r="AG460" t="s">
        <v>941</v>
      </c>
      <c r="AH460">
        <v>66</v>
      </c>
      <c r="AI460" t="s">
        <v>939</v>
      </c>
      <c r="AJ460">
        <v>2</v>
      </c>
      <c r="AK4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MIN(AJ460/8, 1) +
  Merge1[[#This Row],[index_defensive_effort]],
  2
)</f>
        <v>0.71</v>
      </c>
    </row>
    <row r="461" spans="1:37" x14ac:dyDescent="0.25">
      <c r="A461" t="s">
        <v>254</v>
      </c>
      <c r="B461" t="s">
        <v>255</v>
      </c>
      <c r="C461">
        <v>24</v>
      </c>
      <c r="D461" t="s">
        <v>56</v>
      </c>
      <c r="E461">
        <v>73</v>
      </c>
      <c r="F461">
        <v>202</v>
      </c>
      <c r="G461" t="s">
        <v>23</v>
      </c>
      <c r="H461">
        <v>2020</v>
      </c>
      <c r="I461" t="s">
        <v>33</v>
      </c>
      <c r="J461">
        <v>15</v>
      </c>
      <c r="K461">
        <v>7</v>
      </c>
      <c r="L461">
        <v>2</v>
      </c>
      <c r="M461">
        <v>0</v>
      </c>
      <c r="N461">
        <v>2</v>
      </c>
      <c r="O461">
        <v>0</v>
      </c>
      <c r="P461">
        <v>0</v>
      </c>
      <c r="Q461">
        <v>0</v>
      </c>
      <c r="R461">
        <v>0</v>
      </c>
      <c r="S461">
        <v>41</v>
      </c>
      <c r="T461">
        <v>40</v>
      </c>
      <c r="U461" s="5">
        <f>IF(Merge1[[#This Row],[team_defense_snaps]]=0, "", Merge1[[#This Row],[defense_snaps]] / Merge1[[#This Row],[team_defense_snaps]])</f>
        <v>0.61538461538461542</v>
      </c>
      <c r="V461">
        <v>65</v>
      </c>
      <c r="W461">
        <v>1</v>
      </c>
      <c r="X461" s="5" t="s">
        <v>303</v>
      </c>
      <c r="Y461">
        <v>2</v>
      </c>
      <c r="Z461">
        <v>0</v>
      </c>
      <c r="AA461" t="s">
        <v>25</v>
      </c>
      <c r="AB461" t="s">
        <v>26</v>
      </c>
      <c r="AC461" t="s">
        <v>27</v>
      </c>
      <c r="AD461" t="s">
        <v>42</v>
      </c>
      <c r="AE461" t="s">
        <v>25</v>
      </c>
      <c r="AF4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0.1951219512195122</v>
      </c>
      <c r="AG461" t="s">
        <v>941</v>
      </c>
      <c r="AH461">
        <v>83</v>
      </c>
      <c r="AI461" t="s">
        <v>939</v>
      </c>
      <c r="AJ461">
        <v>1</v>
      </c>
      <c r="AK4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MIN(AJ461/8, 1) +
  Merge1[[#This Row],[index_defensive_effort]],
  2
)</f>
        <v>0.72</v>
      </c>
    </row>
    <row r="462" spans="1:37" x14ac:dyDescent="0.25">
      <c r="A462" t="s">
        <v>254</v>
      </c>
      <c r="B462" t="s">
        <v>255</v>
      </c>
      <c r="C462">
        <v>24</v>
      </c>
      <c r="D462" t="s">
        <v>56</v>
      </c>
      <c r="E462">
        <v>73</v>
      </c>
      <c r="F462">
        <v>202</v>
      </c>
      <c r="G462" t="s">
        <v>23</v>
      </c>
      <c r="H462">
        <v>2020</v>
      </c>
      <c r="I462" t="s">
        <v>24</v>
      </c>
      <c r="J462">
        <v>18</v>
      </c>
      <c r="K462">
        <v>8</v>
      </c>
      <c r="L462">
        <v>1</v>
      </c>
      <c r="M462">
        <v>0</v>
      </c>
      <c r="N462">
        <v>1</v>
      </c>
      <c r="O462">
        <v>0</v>
      </c>
      <c r="P462">
        <v>1</v>
      </c>
      <c r="Q462">
        <v>0</v>
      </c>
      <c r="R462">
        <v>0</v>
      </c>
      <c r="S462">
        <v>73</v>
      </c>
      <c r="T462">
        <v>72</v>
      </c>
      <c r="U462" s="5">
        <f>IF(Merge1[[#This Row],[team_defense_snaps]]=0, "", Merge1[[#This Row],[defense_snaps]] / Merge1[[#This Row],[team_defense_snaps]])</f>
        <v>1</v>
      </c>
      <c r="V462">
        <v>72</v>
      </c>
      <c r="W462">
        <v>1</v>
      </c>
      <c r="X462" s="5" t="s">
        <v>303</v>
      </c>
      <c r="Y462">
        <v>2</v>
      </c>
      <c r="Z462">
        <v>0</v>
      </c>
      <c r="AA462" t="s">
        <v>25</v>
      </c>
      <c r="AB462" t="s">
        <v>36</v>
      </c>
      <c r="AC462" t="s">
        <v>50</v>
      </c>
      <c r="AD462" t="s">
        <v>42</v>
      </c>
      <c r="AE462" t="s">
        <v>25</v>
      </c>
      <c r="AF4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0.14383561643835616</v>
      </c>
      <c r="AG462" t="s">
        <v>941</v>
      </c>
      <c r="AH462">
        <v>71</v>
      </c>
      <c r="AI462" t="s">
        <v>939</v>
      </c>
      <c r="AJ462">
        <v>2</v>
      </c>
      <c r="AK4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MIN(AJ462/8, 1) +
  Merge1[[#This Row],[index_defensive_effort]],
  2
)</f>
        <v>0.99</v>
      </c>
    </row>
    <row r="463" spans="1:37" x14ac:dyDescent="0.25">
      <c r="A463" t="s">
        <v>254</v>
      </c>
      <c r="B463" t="s">
        <v>255</v>
      </c>
      <c r="C463">
        <v>24</v>
      </c>
      <c r="D463" t="s">
        <v>56</v>
      </c>
      <c r="E463">
        <v>73</v>
      </c>
      <c r="F463">
        <v>202</v>
      </c>
      <c r="G463" t="s">
        <v>23</v>
      </c>
      <c r="H463">
        <v>2020</v>
      </c>
      <c r="I463" t="s">
        <v>24</v>
      </c>
      <c r="J463">
        <v>19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63</v>
      </c>
      <c r="T463">
        <v>62</v>
      </c>
      <c r="U463" s="5">
        <f>IF(Merge1[[#This Row],[team_defense_snaps]]=0, "", Merge1[[#This Row],[defense_snaps]] / Merge1[[#This Row],[team_defense_snaps]])</f>
        <v>0.98412698412698407</v>
      </c>
      <c r="V463">
        <v>63</v>
      </c>
      <c r="W463">
        <v>1</v>
      </c>
      <c r="X463" s="5" t="s">
        <v>193</v>
      </c>
      <c r="Y463">
        <v>2</v>
      </c>
      <c r="Z463">
        <v>0</v>
      </c>
      <c r="AA463" t="s">
        <v>25</v>
      </c>
      <c r="AB463" t="s">
        <v>26</v>
      </c>
      <c r="AC463" t="s">
        <v>27</v>
      </c>
      <c r="AD463" t="s">
        <v>42</v>
      </c>
      <c r="AE463" t="s">
        <v>25</v>
      </c>
      <c r="AF4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4.7619047619047616E-2</v>
      </c>
      <c r="AG463" t="s">
        <v>941</v>
      </c>
      <c r="AH463">
        <v>72.5</v>
      </c>
      <c r="AI463" t="s">
        <v>939</v>
      </c>
      <c r="AJ463">
        <v>3</v>
      </c>
      <c r="AK4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MIN(AJ463/8, 1) +
  Merge1[[#This Row],[index_defensive_effort]],
  2
)</f>
        <v>1.02</v>
      </c>
    </row>
    <row r="464" spans="1:37" x14ac:dyDescent="0.25">
      <c r="A464" t="s">
        <v>254</v>
      </c>
      <c r="B464" t="s">
        <v>255</v>
      </c>
      <c r="C464">
        <v>24</v>
      </c>
      <c r="D464" t="s">
        <v>56</v>
      </c>
      <c r="E464">
        <v>73</v>
      </c>
      <c r="F464">
        <v>202</v>
      </c>
      <c r="G464" t="s">
        <v>23</v>
      </c>
      <c r="H464">
        <v>2020</v>
      </c>
      <c r="I464" t="s">
        <v>24</v>
      </c>
      <c r="J464">
        <v>20</v>
      </c>
      <c r="K464">
        <v>4</v>
      </c>
      <c r="L464">
        <v>3</v>
      </c>
      <c r="M464">
        <v>0</v>
      </c>
      <c r="N464">
        <v>3</v>
      </c>
      <c r="O464">
        <v>0</v>
      </c>
      <c r="P464">
        <v>0</v>
      </c>
      <c r="Q464">
        <v>0</v>
      </c>
      <c r="R464">
        <v>0</v>
      </c>
      <c r="S464">
        <v>71</v>
      </c>
      <c r="T464">
        <v>71</v>
      </c>
      <c r="U464" s="5">
        <f>IF(Merge1[[#This Row],[team_defense_snaps]]=0, "", Merge1[[#This Row],[defense_snaps]] / Merge1[[#This Row],[team_defense_snaps]])</f>
        <v>1</v>
      </c>
      <c r="V464">
        <v>71</v>
      </c>
      <c r="W464">
        <v>0</v>
      </c>
      <c r="X464" s="5" t="s">
        <v>29</v>
      </c>
      <c r="Y464">
        <v>2</v>
      </c>
      <c r="Z464">
        <v>0</v>
      </c>
      <c r="AA464" t="s">
        <v>25</v>
      </c>
      <c r="AB464" t="s">
        <v>26</v>
      </c>
      <c r="AC464" t="s">
        <v>27</v>
      </c>
      <c r="AD464" t="s">
        <v>42</v>
      </c>
      <c r="AE464" t="s">
        <v>25</v>
      </c>
      <c r="AF4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7.746478873239436E-2</v>
      </c>
      <c r="AG464" t="s">
        <v>941</v>
      </c>
      <c r="AH464">
        <v>66</v>
      </c>
      <c r="AI464" t="s">
        <v>939</v>
      </c>
      <c r="AJ464">
        <v>4</v>
      </c>
      <c r="AK4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MIN(AJ464/8, 1) +
  Merge1[[#This Row],[index_defensive_effort]],
  2
)</f>
        <v>1.18</v>
      </c>
    </row>
    <row r="465" spans="1:37" x14ac:dyDescent="0.25">
      <c r="A465" t="s">
        <v>254</v>
      </c>
      <c r="B465" t="s">
        <v>255</v>
      </c>
      <c r="C465">
        <v>24</v>
      </c>
      <c r="D465" t="s">
        <v>56</v>
      </c>
      <c r="E465">
        <v>73</v>
      </c>
      <c r="F465">
        <v>202</v>
      </c>
      <c r="G465" t="s">
        <v>23</v>
      </c>
      <c r="H465">
        <v>2020</v>
      </c>
      <c r="I465" t="s">
        <v>24</v>
      </c>
      <c r="J465">
        <v>21</v>
      </c>
      <c r="K465">
        <v>2</v>
      </c>
      <c r="L465">
        <v>2</v>
      </c>
      <c r="M465">
        <v>0</v>
      </c>
      <c r="N465">
        <v>2</v>
      </c>
      <c r="O465">
        <v>0</v>
      </c>
      <c r="P465">
        <v>0</v>
      </c>
      <c r="Q465">
        <v>0</v>
      </c>
      <c r="R465">
        <v>0</v>
      </c>
      <c r="S465">
        <v>6</v>
      </c>
      <c r="T465">
        <v>0</v>
      </c>
      <c r="U465" s="5" t="str">
        <f>IF(Merge1[[#This Row],[team_defense_snaps]]=0, "", Merge1[[#This Row],[defense_snaps]] / Merge1[[#This Row],[team_defense_snaps]])</f>
        <v/>
      </c>
      <c r="V465">
        <v>0</v>
      </c>
      <c r="W465">
        <v>6</v>
      </c>
      <c r="X465" s="5" t="s">
        <v>139</v>
      </c>
      <c r="Y465">
        <v>2</v>
      </c>
      <c r="Z465">
        <v>0</v>
      </c>
      <c r="AA465" t="s">
        <v>25</v>
      </c>
      <c r="AB465" t="s">
        <v>26</v>
      </c>
      <c r="AC465" t="s">
        <v>27</v>
      </c>
      <c r="AD465" t="s">
        <v>42</v>
      </c>
      <c r="AE465" t="s">
        <v>25</v>
      </c>
      <c r="AF4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</v>
      </c>
      <c r="AG465" t="s">
        <v>941</v>
      </c>
      <c r="AH465">
        <v>69.5</v>
      </c>
      <c r="AI465" t="s">
        <v>939</v>
      </c>
      <c r="AJ465">
        <v>1</v>
      </c>
      <c r="AK4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MIN(AJ465/8, 1) +
  Merge1[[#This Row],[index_defensive_effort]],
  2
)</f>
        <v>1.23</v>
      </c>
    </row>
    <row r="466" spans="1:37" x14ac:dyDescent="0.25">
      <c r="A466" t="s">
        <v>270</v>
      </c>
      <c r="B466" t="s">
        <v>271</v>
      </c>
      <c r="C466">
        <v>31</v>
      </c>
      <c r="D466" t="s">
        <v>56</v>
      </c>
      <c r="E466">
        <v>71</v>
      </c>
      <c r="F466">
        <v>192</v>
      </c>
      <c r="G466" t="s">
        <v>120</v>
      </c>
      <c r="H466">
        <v>2020</v>
      </c>
      <c r="I466" t="s">
        <v>33</v>
      </c>
      <c r="J466">
        <v>1</v>
      </c>
      <c r="K466">
        <v>12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68</v>
      </c>
      <c r="T466">
        <v>68</v>
      </c>
      <c r="U466" s="5">
        <f>IF(Merge1[[#This Row],[team_defense_snaps]]=0, "", Merge1[[#This Row],[defense_snaps]] / Merge1[[#This Row],[team_defense_snaps]])</f>
        <v>1</v>
      </c>
      <c r="V466">
        <v>68</v>
      </c>
      <c r="W466">
        <v>0</v>
      </c>
      <c r="X466" s="5" t="s">
        <v>29</v>
      </c>
      <c r="Y466">
        <v>8</v>
      </c>
      <c r="Z466">
        <v>0</v>
      </c>
      <c r="AA466" t="s">
        <v>25</v>
      </c>
      <c r="AB466" t="s">
        <v>26</v>
      </c>
      <c r="AC466" t="s">
        <v>27</v>
      </c>
      <c r="AD466" t="s">
        <v>42</v>
      </c>
      <c r="AE466" t="s">
        <v>25</v>
      </c>
      <c r="AF4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0.17647058823529413</v>
      </c>
      <c r="AG466" t="s">
        <v>942</v>
      </c>
      <c r="AH466">
        <v>68.5</v>
      </c>
      <c r="AI466" t="s">
        <v>939</v>
      </c>
      <c r="AJ466">
        <v>2</v>
      </c>
      <c r="AK4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MIN(AJ466/8, 1) +
  Merge1[[#This Row],[index_defensive_effort]],
  2
)</f>
        <v>1.03</v>
      </c>
    </row>
    <row r="467" spans="1:37" x14ac:dyDescent="0.25">
      <c r="A467" t="s">
        <v>270</v>
      </c>
      <c r="B467" t="s">
        <v>271</v>
      </c>
      <c r="C467">
        <v>31</v>
      </c>
      <c r="D467" t="s">
        <v>56</v>
      </c>
      <c r="E467">
        <v>71</v>
      </c>
      <c r="F467">
        <v>192</v>
      </c>
      <c r="G467" t="s">
        <v>120</v>
      </c>
      <c r="H467">
        <v>2020</v>
      </c>
      <c r="I467" t="s">
        <v>33</v>
      </c>
      <c r="J467">
        <v>2</v>
      </c>
      <c r="K467">
        <v>2</v>
      </c>
      <c r="L467">
        <v>1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77</v>
      </c>
      <c r="T467">
        <v>77</v>
      </c>
      <c r="U467" s="5">
        <f>IF(Merge1[[#This Row],[team_defense_snaps]]=0, "", Merge1[[#This Row],[defense_snaps]] / Merge1[[#This Row],[team_defense_snaps]])</f>
        <v>1</v>
      </c>
      <c r="V467">
        <v>77</v>
      </c>
      <c r="W467">
        <v>0</v>
      </c>
      <c r="X467" s="5" t="s">
        <v>29</v>
      </c>
      <c r="Y467">
        <v>8</v>
      </c>
      <c r="Z467">
        <v>0</v>
      </c>
      <c r="AA467" t="s">
        <v>25</v>
      </c>
      <c r="AB467" t="s">
        <v>26</v>
      </c>
      <c r="AC467" t="s">
        <v>27</v>
      </c>
      <c r="AD467" t="s">
        <v>42</v>
      </c>
      <c r="AE467" t="s">
        <v>25</v>
      </c>
      <c r="AF4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3.2467532467532464E-2</v>
      </c>
      <c r="AG467" t="s">
        <v>942</v>
      </c>
      <c r="AH467">
        <v>59.5</v>
      </c>
      <c r="AI467" t="s">
        <v>939</v>
      </c>
      <c r="AJ467">
        <v>3</v>
      </c>
      <c r="AK4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MIN(AJ467/8, 1) +
  Merge1[[#This Row],[index_defensive_effort]],
  2
)</f>
        <v>1.01</v>
      </c>
    </row>
    <row r="468" spans="1:37" x14ac:dyDescent="0.25">
      <c r="A468" t="s">
        <v>270</v>
      </c>
      <c r="B468" t="s">
        <v>271</v>
      </c>
      <c r="C468">
        <v>31</v>
      </c>
      <c r="D468" t="s">
        <v>56</v>
      </c>
      <c r="E468">
        <v>71</v>
      </c>
      <c r="F468">
        <v>192</v>
      </c>
      <c r="G468" t="s">
        <v>120</v>
      </c>
      <c r="H468">
        <v>2020</v>
      </c>
      <c r="I468" t="s">
        <v>33</v>
      </c>
      <c r="J468">
        <v>3</v>
      </c>
      <c r="K468">
        <v>0</v>
      </c>
      <c r="L468">
        <v>1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51</v>
      </c>
      <c r="T468">
        <v>51</v>
      </c>
      <c r="U468" s="5">
        <f>IF(Merge1[[#This Row],[team_defense_snaps]]=0, "", Merge1[[#This Row],[defense_snaps]] / Merge1[[#This Row],[team_defense_snaps]])</f>
        <v>1</v>
      </c>
      <c r="V468">
        <v>51</v>
      </c>
      <c r="W468">
        <v>0</v>
      </c>
      <c r="X468" s="5" t="s">
        <v>29</v>
      </c>
      <c r="Y468">
        <v>8</v>
      </c>
      <c r="Z468">
        <v>0</v>
      </c>
      <c r="AA468" t="s">
        <v>25</v>
      </c>
      <c r="AB468" t="s">
        <v>26</v>
      </c>
      <c r="AC468" t="s">
        <v>27</v>
      </c>
      <c r="AD468" t="s">
        <v>42</v>
      </c>
      <c r="AE468" t="s">
        <v>25</v>
      </c>
      <c r="AF4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9.8039215686274508E-3</v>
      </c>
      <c r="AG468" t="s">
        <v>942</v>
      </c>
      <c r="AH468">
        <v>73</v>
      </c>
      <c r="AI468" t="s">
        <v>939</v>
      </c>
      <c r="AJ468">
        <v>4</v>
      </c>
      <c r="AK4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MIN(AJ468/8, 1) +
  Merge1[[#This Row],[index_defensive_effort]],
  2
)</f>
        <v>1.1100000000000001</v>
      </c>
    </row>
    <row r="469" spans="1:37" x14ac:dyDescent="0.25">
      <c r="A469" t="s">
        <v>270</v>
      </c>
      <c r="B469" t="s">
        <v>271</v>
      </c>
      <c r="C469">
        <v>31</v>
      </c>
      <c r="D469" t="s">
        <v>56</v>
      </c>
      <c r="E469">
        <v>71</v>
      </c>
      <c r="F469">
        <v>192</v>
      </c>
      <c r="G469" t="s">
        <v>120</v>
      </c>
      <c r="H469">
        <v>2020</v>
      </c>
      <c r="I469" t="s">
        <v>33</v>
      </c>
      <c r="J469">
        <v>4</v>
      </c>
      <c r="K469">
        <v>4</v>
      </c>
      <c r="L469">
        <v>1</v>
      </c>
      <c r="M469">
        <v>1</v>
      </c>
      <c r="N469">
        <v>2</v>
      </c>
      <c r="O469">
        <v>0</v>
      </c>
      <c r="P469">
        <v>0</v>
      </c>
      <c r="Q469">
        <v>0</v>
      </c>
      <c r="R469">
        <v>0</v>
      </c>
      <c r="S469">
        <v>76</v>
      </c>
      <c r="T469">
        <v>76</v>
      </c>
      <c r="U469" s="5">
        <f>IF(Merge1[[#This Row],[team_defense_snaps]]=0, "", Merge1[[#This Row],[defense_snaps]] / Merge1[[#This Row],[team_defense_snaps]])</f>
        <v>0.76</v>
      </c>
      <c r="V469">
        <v>100</v>
      </c>
      <c r="W469">
        <v>0</v>
      </c>
      <c r="X469" s="5" t="s">
        <v>29</v>
      </c>
      <c r="Y469">
        <v>8</v>
      </c>
      <c r="Z469">
        <v>0</v>
      </c>
      <c r="AA469" t="s">
        <v>25</v>
      </c>
      <c r="AB469" t="s">
        <v>26</v>
      </c>
      <c r="AC469" t="s">
        <v>27</v>
      </c>
      <c r="AD469" t="s">
        <v>42</v>
      </c>
      <c r="AE469" t="s">
        <v>25</v>
      </c>
      <c r="AF4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6.5789473684210523E-2</v>
      </c>
      <c r="AG469" t="s">
        <v>942</v>
      </c>
      <c r="AH469">
        <v>79</v>
      </c>
      <c r="AI469" t="s">
        <v>939</v>
      </c>
      <c r="AJ469">
        <v>5</v>
      </c>
      <c r="AK4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MIN(AJ469/8, 1) +
  Merge1[[#This Row],[index_defensive_effort]],
  2
)</f>
        <v>1.29</v>
      </c>
    </row>
    <row r="470" spans="1:37" x14ac:dyDescent="0.25">
      <c r="A470" t="s">
        <v>270</v>
      </c>
      <c r="B470" t="s">
        <v>271</v>
      </c>
      <c r="C470">
        <v>31</v>
      </c>
      <c r="D470" t="s">
        <v>56</v>
      </c>
      <c r="E470">
        <v>71</v>
      </c>
      <c r="F470">
        <v>192</v>
      </c>
      <c r="G470" t="s">
        <v>120</v>
      </c>
      <c r="H470">
        <v>2020</v>
      </c>
      <c r="I470" t="s">
        <v>33</v>
      </c>
      <c r="J470">
        <v>5</v>
      </c>
      <c r="K470">
        <v>2</v>
      </c>
      <c r="L470">
        <v>1</v>
      </c>
      <c r="M470">
        <v>0</v>
      </c>
      <c r="N470">
        <v>1</v>
      </c>
      <c r="O470">
        <v>0</v>
      </c>
      <c r="P470">
        <v>1</v>
      </c>
      <c r="Q470">
        <v>0</v>
      </c>
      <c r="R470">
        <v>0</v>
      </c>
      <c r="S470">
        <v>54</v>
      </c>
      <c r="T470">
        <v>54</v>
      </c>
      <c r="U470" s="5">
        <f>IF(Merge1[[#This Row],[team_defense_snaps]]=0, "", Merge1[[#This Row],[defense_snaps]] / Merge1[[#This Row],[team_defense_snaps]])</f>
        <v>0.71052631578947367</v>
      </c>
      <c r="V470">
        <v>76</v>
      </c>
      <c r="W470">
        <v>0</v>
      </c>
      <c r="X470" s="5" t="s">
        <v>29</v>
      </c>
      <c r="Y470">
        <v>8</v>
      </c>
      <c r="Z470">
        <v>0</v>
      </c>
      <c r="AA470" t="s">
        <v>25</v>
      </c>
      <c r="AB470" t="s">
        <v>26</v>
      </c>
      <c r="AC470" t="s">
        <v>27</v>
      </c>
      <c r="AD470" t="s">
        <v>42</v>
      </c>
      <c r="AE470" t="s">
        <v>25</v>
      </c>
      <c r="AF4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470" t="s">
        <v>942</v>
      </c>
      <c r="AH470">
        <v>62.5</v>
      </c>
      <c r="AI470" t="s">
        <v>939</v>
      </c>
      <c r="AJ470">
        <v>1</v>
      </c>
      <c r="AK4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MIN(AJ470/8, 1) +
  Merge1[[#This Row],[index_defensive_effort]],
  2
)</f>
        <v>0.81</v>
      </c>
    </row>
    <row r="471" spans="1:37" x14ac:dyDescent="0.25">
      <c r="A471" t="s">
        <v>270</v>
      </c>
      <c r="B471" t="s">
        <v>271</v>
      </c>
      <c r="C471">
        <v>31</v>
      </c>
      <c r="D471" t="s">
        <v>56</v>
      </c>
      <c r="E471">
        <v>71</v>
      </c>
      <c r="F471">
        <v>192</v>
      </c>
      <c r="G471" t="s">
        <v>120</v>
      </c>
      <c r="H471">
        <v>2020</v>
      </c>
      <c r="I471" t="s">
        <v>33</v>
      </c>
      <c r="J471">
        <v>7</v>
      </c>
      <c r="K471">
        <v>1</v>
      </c>
      <c r="L471">
        <v>1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63</v>
      </c>
      <c r="T471">
        <v>63</v>
      </c>
      <c r="U471" s="5">
        <f>IF(Merge1[[#This Row],[team_defense_snaps]]=0, "", Merge1[[#This Row],[defense_snaps]] / Merge1[[#This Row],[team_defense_snaps]])</f>
        <v>1</v>
      </c>
      <c r="V471">
        <v>63</v>
      </c>
      <c r="W471">
        <v>0</v>
      </c>
      <c r="X471" s="5" t="s">
        <v>29</v>
      </c>
      <c r="Y471">
        <v>8</v>
      </c>
      <c r="Z471">
        <v>0</v>
      </c>
      <c r="AA471" t="s">
        <v>25</v>
      </c>
      <c r="AB471" t="s">
        <v>26</v>
      </c>
      <c r="AC471" t="s">
        <v>27</v>
      </c>
      <c r="AD471" t="s">
        <v>42</v>
      </c>
      <c r="AE471" t="s">
        <v>25</v>
      </c>
      <c r="AF4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2.3809523809523808E-2</v>
      </c>
      <c r="AG471" t="s">
        <v>942</v>
      </c>
      <c r="AH471">
        <v>80.5</v>
      </c>
      <c r="AI471" t="s">
        <v>939</v>
      </c>
      <c r="AJ471">
        <v>2</v>
      </c>
      <c r="AK4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MIN(AJ471/8, 1) +
  Merge1[[#This Row],[index_defensive_effort]],
  2
)</f>
        <v>0.87</v>
      </c>
    </row>
    <row r="472" spans="1:37" x14ac:dyDescent="0.25">
      <c r="A472" t="s">
        <v>270</v>
      </c>
      <c r="B472" t="s">
        <v>271</v>
      </c>
      <c r="C472">
        <v>31</v>
      </c>
      <c r="D472" t="s">
        <v>56</v>
      </c>
      <c r="E472">
        <v>71</v>
      </c>
      <c r="F472">
        <v>192</v>
      </c>
      <c r="G472" t="s">
        <v>120</v>
      </c>
      <c r="H472">
        <v>2020</v>
      </c>
      <c r="I472" t="s">
        <v>33</v>
      </c>
      <c r="J472">
        <v>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50</v>
      </c>
      <c r="T472">
        <v>50</v>
      </c>
      <c r="U472" s="5">
        <f>IF(Merge1[[#This Row],[team_defense_snaps]]=0, "", Merge1[[#This Row],[defense_snaps]] / Merge1[[#This Row],[team_defense_snaps]])</f>
        <v>0.76923076923076927</v>
      </c>
      <c r="V472">
        <v>65</v>
      </c>
      <c r="W472">
        <v>0</v>
      </c>
      <c r="X472" s="5" t="s">
        <v>29</v>
      </c>
      <c r="Y472">
        <v>8</v>
      </c>
      <c r="Z472">
        <v>0</v>
      </c>
      <c r="AA472" t="s">
        <v>25</v>
      </c>
      <c r="AB472" t="s">
        <v>26</v>
      </c>
      <c r="AC472" t="s">
        <v>27</v>
      </c>
      <c r="AD472" t="s">
        <v>42</v>
      </c>
      <c r="AE472" t="s">
        <v>25</v>
      </c>
      <c r="AF4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472" t="s">
        <v>942</v>
      </c>
      <c r="AH472">
        <v>61</v>
      </c>
      <c r="AI472" t="s">
        <v>939</v>
      </c>
      <c r="AJ472">
        <v>3</v>
      </c>
      <c r="AK4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MIN(AJ472/8, 1) +
  Merge1[[#This Row],[index_defensive_effort]],
  2
)</f>
        <v>0.98</v>
      </c>
    </row>
    <row r="473" spans="1:37" x14ac:dyDescent="0.25">
      <c r="A473" t="s">
        <v>270</v>
      </c>
      <c r="B473" t="s">
        <v>271</v>
      </c>
      <c r="C473">
        <v>31</v>
      </c>
      <c r="D473" t="s">
        <v>56</v>
      </c>
      <c r="E473">
        <v>71</v>
      </c>
      <c r="F473">
        <v>192</v>
      </c>
      <c r="G473" t="s">
        <v>120</v>
      </c>
      <c r="H473">
        <v>2020</v>
      </c>
      <c r="I473" t="s">
        <v>33</v>
      </c>
      <c r="J473">
        <v>9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51</v>
      </c>
      <c r="T473">
        <v>51</v>
      </c>
      <c r="U473" s="5">
        <f>IF(Merge1[[#This Row],[team_defense_snaps]]=0, "", Merge1[[#This Row],[defense_snaps]] / Merge1[[#This Row],[team_defense_snaps]])</f>
        <v>1</v>
      </c>
      <c r="V473">
        <v>51</v>
      </c>
      <c r="W473">
        <v>0</v>
      </c>
      <c r="X473" s="5" t="s">
        <v>29</v>
      </c>
      <c r="Y473">
        <v>8</v>
      </c>
      <c r="Z473">
        <v>0</v>
      </c>
      <c r="AA473" t="s">
        <v>25</v>
      </c>
      <c r="AB473" t="s">
        <v>36</v>
      </c>
      <c r="AC473" t="s">
        <v>272</v>
      </c>
      <c r="AD473" t="s">
        <v>42</v>
      </c>
      <c r="AE473" t="s">
        <v>25</v>
      </c>
      <c r="AF4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1.9607843137254902E-2</v>
      </c>
      <c r="AG473" t="s">
        <v>942</v>
      </c>
      <c r="AH473">
        <v>67</v>
      </c>
      <c r="AI473" t="s">
        <v>939</v>
      </c>
      <c r="AJ473">
        <v>4</v>
      </c>
      <c r="AK4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MIN(AJ473/8, 1) +
  Merge1[[#This Row],[index_defensive_effort]],
  2
)</f>
        <v>1.1200000000000001</v>
      </c>
    </row>
    <row r="474" spans="1:37" x14ac:dyDescent="0.25">
      <c r="A474" t="s">
        <v>270</v>
      </c>
      <c r="B474" t="s">
        <v>271</v>
      </c>
      <c r="C474">
        <v>31</v>
      </c>
      <c r="D474" t="s">
        <v>56</v>
      </c>
      <c r="E474">
        <v>71</v>
      </c>
      <c r="F474">
        <v>192</v>
      </c>
      <c r="G474" t="s">
        <v>120</v>
      </c>
      <c r="H474">
        <v>2020</v>
      </c>
      <c r="I474" t="s">
        <v>33</v>
      </c>
      <c r="J474">
        <v>10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56</v>
      </c>
      <c r="T474">
        <v>56</v>
      </c>
      <c r="U474" s="5">
        <f>IF(Merge1[[#This Row],[team_defense_snaps]]=0, "", Merge1[[#This Row],[defense_snaps]] / Merge1[[#This Row],[team_defense_snaps]])</f>
        <v>0.96551724137931039</v>
      </c>
      <c r="V474">
        <v>58</v>
      </c>
      <c r="W474">
        <v>0</v>
      </c>
      <c r="X474" s="5" t="s">
        <v>29</v>
      </c>
      <c r="Y474">
        <v>8</v>
      </c>
      <c r="Z474">
        <v>0</v>
      </c>
      <c r="AA474" t="s">
        <v>25</v>
      </c>
      <c r="AB474" t="s">
        <v>26</v>
      </c>
      <c r="AC474" t="s">
        <v>27</v>
      </c>
      <c r="AD474" t="s">
        <v>28</v>
      </c>
      <c r="AE474" t="s">
        <v>25</v>
      </c>
      <c r="AF4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5.3571428571428568E-2</v>
      </c>
      <c r="AG474" t="s">
        <v>942</v>
      </c>
      <c r="AH474">
        <v>82</v>
      </c>
      <c r="AI474" t="s">
        <v>939</v>
      </c>
      <c r="AJ474">
        <v>5</v>
      </c>
      <c r="AK4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MIN(AJ474/8, 1) +
  Merge1[[#This Row],[index_defensive_effort]],
  2
)</f>
        <v>1.28</v>
      </c>
    </row>
    <row r="475" spans="1:37" x14ac:dyDescent="0.25">
      <c r="A475" t="s">
        <v>270</v>
      </c>
      <c r="B475" t="s">
        <v>271</v>
      </c>
      <c r="C475">
        <v>31</v>
      </c>
      <c r="D475" t="s">
        <v>56</v>
      </c>
      <c r="E475">
        <v>71</v>
      </c>
      <c r="F475">
        <v>192</v>
      </c>
      <c r="G475" t="s">
        <v>120</v>
      </c>
      <c r="H475">
        <v>2020</v>
      </c>
      <c r="I475" t="s">
        <v>33</v>
      </c>
      <c r="J475">
        <v>11</v>
      </c>
      <c r="K475">
        <v>2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47</v>
      </c>
      <c r="T475">
        <v>47</v>
      </c>
      <c r="U475" s="5">
        <f>IF(Merge1[[#This Row],[team_defense_snaps]]=0, "", Merge1[[#This Row],[defense_snaps]] / Merge1[[#This Row],[team_defense_snaps]])</f>
        <v>0.77049180327868849</v>
      </c>
      <c r="V475">
        <v>61</v>
      </c>
      <c r="W475">
        <v>0</v>
      </c>
      <c r="X475" s="5" t="s">
        <v>29</v>
      </c>
      <c r="Y475">
        <v>8</v>
      </c>
      <c r="Z475">
        <v>0</v>
      </c>
      <c r="AA475" t="s">
        <v>25</v>
      </c>
      <c r="AB475" t="s">
        <v>26</v>
      </c>
      <c r="AC475" t="s">
        <v>27</v>
      </c>
      <c r="AD475" t="s">
        <v>42</v>
      </c>
      <c r="AE475" t="s">
        <v>25</v>
      </c>
      <c r="AF4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8.5106382978723402E-2</v>
      </c>
      <c r="AG475" t="s">
        <v>942</v>
      </c>
      <c r="AH475">
        <v>70</v>
      </c>
      <c r="AI475" t="s">
        <v>939</v>
      </c>
      <c r="AJ475">
        <v>1</v>
      </c>
      <c r="AK4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MIN(AJ475/8, 1) +
  Merge1[[#This Row],[index_defensive_effort]],
  2
)</f>
        <v>0.81</v>
      </c>
    </row>
    <row r="476" spans="1:37" x14ac:dyDescent="0.25">
      <c r="A476" t="s">
        <v>270</v>
      </c>
      <c r="B476" t="s">
        <v>271</v>
      </c>
      <c r="C476">
        <v>31</v>
      </c>
      <c r="D476" t="s">
        <v>56</v>
      </c>
      <c r="E476">
        <v>71</v>
      </c>
      <c r="F476">
        <v>192</v>
      </c>
      <c r="G476" t="s">
        <v>120</v>
      </c>
      <c r="H476">
        <v>2020</v>
      </c>
      <c r="I476" t="s">
        <v>33</v>
      </c>
      <c r="J476">
        <v>14</v>
      </c>
      <c r="K476">
        <v>5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56</v>
      </c>
      <c r="T476">
        <v>56</v>
      </c>
      <c r="U476" s="5">
        <f>IF(Merge1[[#This Row],[team_defense_snaps]]=0, "", Merge1[[#This Row],[defense_snaps]] / Merge1[[#This Row],[team_defense_snaps]])</f>
        <v>0.98245614035087714</v>
      </c>
      <c r="V476">
        <v>57</v>
      </c>
      <c r="W476">
        <v>0</v>
      </c>
      <c r="X476" s="5" t="s">
        <v>29</v>
      </c>
      <c r="Y476">
        <v>8</v>
      </c>
      <c r="Z476">
        <v>0</v>
      </c>
      <c r="AA476" t="s">
        <v>25</v>
      </c>
      <c r="AB476" t="s">
        <v>26</v>
      </c>
      <c r="AC476" t="s">
        <v>27</v>
      </c>
      <c r="AD476" t="s">
        <v>42</v>
      </c>
      <c r="AE476" t="s">
        <v>25</v>
      </c>
      <c r="AF4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476" t="s">
        <v>942</v>
      </c>
      <c r="AH476">
        <v>71.5</v>
      </c>
      <c r="AI476" t="s">
        <v>939</v>
      </c>
      <c r="AJ476">
        <v>2</v>
      </c>
      <c r="AK4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MIN(AJ476/8, 1) +
  Merge1[[#This Row],[index_defensive_effort]],
  2
)</f>
        <v>0.98</v>
      </c>
    </row>
    <row r="477" spans="1:37" x14ac:dyDescent="0.25">
      <c r="A477" t="s">
        <v>270</v>
      </c>
      <c r="B477" t="s">
        <v>271</v>
      </c>
      <c r="C477">
        <v>31</v>
      </c>
      <c r="D477" t="s">
        <v>56</v>
      </c>
      <c r="E477">
        <v>71</v>
      </c>
      <c r="F477">
        <v>192</v>
      </c>
      <c r="G477" t="s">
        <v>120</v>
      </c>
      <c r="H477">
        <v>2020</v>
      </c>
      <c r="I477" t="s">
        <v>33</v>
      </c>
      <c r="J477">
        <v>15</v>
      </c>
      <c r="K477">
        <v>5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74</v>
      </c>
      <c r="T477">
        <v>74</v>
      </c>
      <c r="U477" s="5">
        <f>IF(Merge1[[#This Row],[team_defense_snaps]]=0, "", Merge1[[#This Row],[defense_snaps]] / Merge1[[#This Row],[team_defense_snaps]])</f>
        <v>0.96103896103896103</v>
      </c>
      <c r="V477">
        <v>77</v>
      </c>
      <c r="W477">
        <v>0</v>
      </c>
      <c r="X477" s="5" t="s">
        <v>29</v>
      </c>
      <c r="Y477">
        <v>8</v>
      </c>
      <c r="Z477">
        <v>0</v>
      </c>
      <c r="AA477" t="s">
        <v>25</v>
      </c>
      <c r="AB477" t="s">
        <v>26</v>
      </c>
      <c r="AC477" t="s">
        <v>27</v>
      </c>
      <c r="AD477" t="s">
        <v>42</v>
      </c>
      <c r="AE477" t="s">
        <v>25</v>
      </c>
      <c r="AF4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6.7567567567567571E-2</v>
      </c>
      <c r="AG477" t="s">
        <v>942</v>
      </c>
      <c r="AH477">
        <v>77.5</v>
      </c>
      <c r="AI477" t="s">
        <v>939</v>
      </c>
      <c r="AJ477">
        <v>3</v>
      </c>
      <c r="AK4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MIN(AJ477/8, 1) +
  Merge1[[#This Row],[index_defensive_effort]],
  2
)</f>
        <v>1.04</v>
      </c>
    </row>
    <row r="478" spans="1:37" x14ac:dyDescent="0.25">
      <c r="A478" t="s">
        <v>270</v>
      </c>
      <c r="B478" t="s">
        <v>271</v>
      </c>
      <c r="C478">
        <v>31</v>
      </c>
      <c r="D478" t="s">
        <v>56</v>
      </c>
      <c r="E478">
        <v>71</v>
      </c>
      <c r="F478">
        <v>192</v>
      </c>
      <c r="G478" t="s">
        <v>120</v>
      </c>
      <c r="H478">
        <v>2020</v>
      </c>
      <c r="I478" t="s">
        <v>33</v>
      </c>
      <c r="J478">
        <v>16</v>
      </c>
      <c r="K478">
        <v>3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2</v>
      </c>
      <c r="R478">
        <v>0</v>
      </c>
      <c r="S478">
        <v>27</v>
      </c>
      <c r="T478">
        <v>27</v>
      </c>
      <c r="U478" s="5">
        <f>IF(Merge1[[#This Row],[team_defense_snaps]]=0, "", Merge1[[#This Row],[defense_snaps]] / Merge1[[#This Row],[team_defense_snaps]])</f>
        <v>0.35064935064935066</v>
      </c>
      <c r="V478">
        <v>77</v>
      </c>
      <c r="W478">
        <v>0</v>
      </c>
      <c r="X478" s="5" t="s">
        <v>29</v>
      </c>
      <c r="Y478">
        <v>8</v>
      </c>
      <c r="Z478">
        <v>0</v>
      </c>
      <c r="AA478" t="s">
        <v>25</v>
      </c>
      <c r="AB478" t="s">
        <v>26</v>
      </c>
      <c r="AC478" t="s">
        <v>27</v>
      </c>
      <c r="AD478" t="s">
        <v>42</v>
      </c>
      <c r="AE478" t="s">
        <v>25</v>
      </c>
      <c r="AF4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0.40740740740740738</v>
      </c>
      <c r="AG478" t="s">
        <v>942</v>
      </c>
      <c r="AH478">
        <v>76</v>
      </c>
      <c r="AI478" t="s">
        <v>939</v>
      </c>
      <c r="AJ478">
        <v>1</v>
      </c>
      <c r="AK4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MIN(AJ478/8, 1) +
  Merge1[[#This Row],[index_defensive_effort]],
  2
)</f>
        <v>1.1299999999999999</v>
      </c>
    </row>
    <row r="479" spans="1:37" x14ac:dyDescent="0.25">
      <c r="A479" t="s">
        <v>289</v>
      </c>
      <c r="B479" t="s">
        <v>290</v>
      </c>
      <c r="C479">
        <v>24</v>
      </c>
      <c r="D479" t="s">
        <v>56</v>
      </c>
      <c r="E479">
        <v>71</v>
      </c>
      <c r="F479">
        <v>189</v>
      </c>
      <c r="G479" t="s">
        <v>41</v>
      </c>
      <c r="H479">
        <v>2020</v>
      </c>
      <c r="I479" t="s">
        <v>33</v>
      </c>
      <c r="J479">
        <v>1</v>
      </c>
      <c r="K479">
        <v>1</v>
      </c>
      <c r="L479">
        <v>1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47</v>
      </c>
      <c r="T479">
        <v>36</v>
      </c>
      <c r="U479" s="5">
        <f>IF(Merge1[[#This Row],[team_defense_snaps]]=0, "", Merge1[[#This Row],[defense_snaps]] / Merge1[[#This Row],[team_defense_snaps]])</f>
        <v>0.69230769230769229</v>
      </c>
      <c r="V479">
        <v>52</v>
      </c>
      <c r="W479">
        <v>11</v>
      </c>
      <c r="X479" s="5" t="s">
        <v>131</v>
      </c>
      <c r="Y479">
        <v>2</v>
      </c>
      <c r="Z479">
        <v>0</v>
      </c>
      <c r="AA479" t="s">
        <v>25</v>
      </c>
      <c r="AB479" t="s">
        <v>26</v>
      </c>
      <c r="AC479" t="s">
        <v>27</v>
      </c>
      <c r="AD479" t="s">
        <v>28</v>
      </c>
      <c r="AE479" t="s">
        <v>25</v>
      </c>
      <c r="AF4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3.1914893617021274E-2</v>
      </c>
      <c r="AG479" t="s">
        <v>943</v>
      </c>
      <c r="AH479">
        <v>60.5</v>
      </c>
      <c r="AI479" t="s">
        <v>939</v>
      </c>
      <c r="AJ479">
        <v>2</v>
      </c>
      <c r="AK4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MIN(AJ479/8, 1) +
  Merge1[[#This Row],[index_defensive_effort]],
  2
)</f>
        <v>0.68</v>
      </c>
    </row>
    <row r="480" spans="1:37" x14ac:dyDescent="0.25">
      <c r="A480" t="s">
        <v>289</v>
      </c>
      <c r="B480" t="s">
        <v>290</v>
      </c>
      <c r="C480">
        <v>24</v>
      </c>
      <c r="D480" t="s">
        <v>56</v>
      </c>
      <c r="E480">
        <v>71</v>
      </c>
      <c r="F480">
        <v>189</v>
      </c>
      <c r="G480" t="s">
        <v>41</v>
      </c>
      <c r="H480">
        <v>2020</v>
      </c>
      <c r="I480" t="s">
        <v>33</v>
      </c>
      <c r="J480">
        <v>2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2</v>
      </c>
      <c r="R480">
        <v>0</v>
      </c>
      <c r="S480">
        <v>56</v>
      </c>
      <c r="T480">
        <v>43</v>
      </c>
      <c r="U480" s="5">
        <f>IF(Merge1[[#This Row],[team_defense_snaps]]=0, "", Merge1[[#This Row],[defense_snaps]] / Merge1[[#This Row],[team_defense_snaps]])</f>
        <v>0.69354838709677424</v>
      </c>
      <c r="V480">
        <v>62</v>
      </c>
      <c r="W480">
        <v>13</v>
      </c>
      <c r="X480" s="5" t="s">
        <v>75</v>
      </c>
      <c r="Y480">
        <v>2</v>
      </c>
      <c r="Z480">
        <v>0</v>
      </c>
      <c r="AA480" t="s">
        <v>25</v>
      </c>
      <c r="AB480" t="s">
        <v>26</v>
      </c>
      <c r="AC480" t="s">
        <v>27</v>
      </c>
      <c r="AD480" t="s">
        <v>42</v>
      </c>
      <c r="AE480" t="s">
        <v>25</v>
      </c>
      <c r="AF4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0.16071428571428573</v>
      </c>
      <c r="AG480" t="s">
        <v>943</v>
      </c>
      <c r="AH480">
        <v>50</v>
      </c>
      <c r="AI480" t="s">
        <v>939</v>
      </c>
      <c r="AJ480">
        <v>3</v>
      </c>
      <c r="AK4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MIN(AJ480/8, 1) +
  Merge1[[#This Row],[index_defensive_effort]],
  2
)</f>
        <v>0.94</v>
      </c>
    </row>
    <row r="481" spans="1:37" x14ac:dyDescent="0.25">
      <c r="A481" t="s">
        <v>289</v>
      </c>
      <c r="B481" t="s">
        <v>290</v>
      </c>
      <c r="C481">
        <v>24</v>
      </c>
      <c r="D481" t="s">
        <v>56</v>
      </c>
      <c r="E481">
        <v>71</v>
      </c>
      <c r="F481">
        <v>189</v>
      </c>
      <c r="G481" t="s">
        <v>41</v>
      </c>
      <c r="H481">
        <v>2020</v>
      </c>
      <c r="I481" t="s">
        <v>33</v>
      </c>
      <c r="J481">
        <v>3</v>
      </c>
      <c r="K481">
        <v>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56</v>
      </c>
      <c r="T481">
        <v>44</v>
      </c>
      <c r="U481" s="5">
        <f>IF(Merge1[[#This Row],[team_defense_snaps]]=0, "", Merge1[[#This Row],[defense_snaps]] / Merge1[[#This Row],[team_defense_snaps]])</f>
        <v>0.70967741935483875</v>
      </c>
      <c r="V481">
        <v>62</v>
      </c>
      <c r="W481">
        <v>12</v>
      </c>
      <c r="X481" s="5" t="s">
        <v>158</v>
      </c>
      <c r="Y481">
        <v>2</v>
      </c>
      <c r="Z481">
        <v>0</v>
      </c>
      <c r="AA481" t="s">
        <v>25</v>
      </c>
      <c r="AB481" t="s">
        <v>26</v>
      </c>
      <c r="AC481" t="s">
        <v>27</v>
      </c>
      <c r="AD481" t="s">
        <v>28</v>
      </c>
      <c r="AE481" t="s">
        <v>25</v>
      </c>
      <c r="AF4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3.5714285714285712E-2</v>
      </c>
      <c r="AG481" t="s">
        <v>943</v>
      </c>
      <c r="AH481">
        <v>63.5</v>
      </c>
      <c r="AI481" t="s">
        <v>939</v>
      </c>
      <c r="AJ481">
        <v>4</v>
      </c>
      <c r="AK4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MIN(AJ481/8, 1) +
  Merge1[[#This Row],[index_defensive_effort]],
  2
)</f>
        <v>0.94</v>
      </c>
    </row>
    <row r="482" spans="1:37" x14ac:dyDescent="0.25">
      <c r="A482" t="s">
        <v>289</v>
      </c>
      <c r="B482" t="s">
        <v>290</v>
      </c>
      <c r="C482">
        <v>24</v>
      </c>
      <c r="D482" t="s">
        <v>56</v>
      </c>
      <c r="E482">
        <v>71</v>
      </c>
      <c r="F482">
        <v>189</v>
      </c>
      <c r="G482" t="s">
        <v>41</v>
      </c>
      <c r="H482">
        <v>2020</v>
      </c>
      <c r="I482" t="s">
        <v>33</v>
      </c>
      <c r="J482">
        <v>4</v>
      </c>
      <c r="K482">
        <v>0</v>
      </c>
      <c r="L482">
        <v>1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5</v>
      </c>
      <c r="T482">
        <v>3</v>
      </c>
      <c r="U482" s="5">
        <f>IF(Merge1[[#This Row],[team_defense_snaps]]=0, "", Merge1[[#This Row],[defense_snaps]] / Merge1[[#This Row],[team_defense_snaps]])</f>
        <v>0.04</v>
      </c>
      <c r="V482">
        <v>75</v>
      </c>
      <c r="W482">
        <v>2</v>
      </c>
      <c r="X482" s="5" t="s">
        <v>250</v>
      </c>
      <c r="Y482">
        <v>2</v>
      </c>
      <c r="Z482">
        <v>0</v>
      </c>
      <c r="AA482" t="s">
        <v>25</v>
      </c>
      <c r="AB482" t="s">
        <v>26</v>
      </c>
      <c r="AC482" t="s">
        <v>27</v>
      </c>
      <c r="AD482" t="s">
        <v>28</v>
      </c>
      <c r="AE482" t="s">
        <v>25</v>
      </c>
      <c r="AF4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482" t="s">
        <v>943</v>
      </c>
      <c r="AH482">
        <v>51.5</v>
      </c>
      <c r="AI482" t="s">
        <v>939</v>
      </c>
      <c r="AJ482">
        <v>1</v>
      </c>
      <c r="AK4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MIN(AJ482/8, 1) +
  Merge1[[#This Row],[index_defensive_effort]],
  2
)</f>
        <v>0.63</v>
      </c>
    </row>
    <row r="483" spans="1:37" x14ac:dyDescent="0.25">
      <c r="A483" t="s">
        <v>289</v>
      </c>
      <c r="B483" t="s">
        <v>290</v>
      </c>
      <c r="C483">
        <v>24</v>
      </c>
      <c r="D483" t="s">
        <v>56</v>
      </c>
      <c r="E483">
        <v>71</v>
      </c>
      <c r="F483">
        <v>189</v>
      </c>
      <c r="G483" t="s">
        <v>41</v>
      </c>
      <c r="H483">
        <v>2020</v>
      </c>
      <c r="I483" t="s">
        <v>33</v>
      </c>
      <c r="J483">
        <v>6</v>
      </c>
      <c r="K483">
        <v>2</v>
      </c>
      <c r="L483">
        <v>1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52</v>
      </c>
      <c r="T483">
        <v>45</v>
      </c>
      <c r="U483" s="5">
        <f>IF(Merge1[[#This Row],[team_defense_snaps]]=0, "", Merge1[[#This Row],[defense_snaps]] / Merge1[[#This Row],[team_defense_snaps]])</f>
        <v>0.703125</v>
      </c>
      <c r="V483">
        <v>64</v>
      </c>
      <c r="W483">
        <v>7</v>
      </c>
      <c r="X483" s="5" t="s">
        <v>132</v>
      </c>
      <c r="Y483">
        <v>2</v>
      </c>
      <c r="Z483">
        <v>0</v>
      </c>
      <c r="AA483" t="s">
        <v>25</v>
      </c>
      <c r="AB483" t="s">
        <v>26</v>
      </c>
      <c r="AC483" t="s">
        <v>27</v>
      </c>
      <c r="AD483" t="s">
        <v>42</v>
      </c>
      <c r="AE483" t="s">
        <v>25</v>
      </c>
      <c r="AF4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4.807692307692308E-2</v>
      </c>
      <c r="AG483" t="s">
        <v>943</v>
      </c>
      <c r="AH483">
        <v>45</v>
      </c>
      <c r="AI483" t="s">
        <v>939</v>
      </c>
      <c r="AJ483">
        <v>2</v>
      </c>
      <c r="AK4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MIN(AJ483/8, 1) +
  Merge1[[#This Row],[index_defensive_effort]],
  2
)</f>
        <v>0.7</v>
      </c>
    </row>
    <row r="484" spans="1:37" x14ac:dyDescent="0.25">
      <c r="A484" t="s">
        <v>289</v>
      </c>
      <c r="B484" t="s">
        <v>290</v>
      </c>
      <c r="C484">
        <v>24</v>
      </c>
      <c r="D484" t="s">
        <v>56</v>
      </c>
      <c r="E484">
        <v>71</v>
      </c>
      <c r="F484">
        <v>189</v>
      </c>
      <c r="G484" t="s">
        <v>41</v>
      </c>
      <c r="H484">
        <v>2020</v>
      </c>
      <c r="I484" t="s">
        <v>33</v>
      </c>
      <c r="J484">
        <v>7</v>
      </c>
      <c r="K484">
        <v>3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64</v>
      </c>
      <c r="T484">
        <v>63</v>
      </c>
      <c r="U484" s="5">
        <f>IF(Merge1[[#This Row],[team_defense_snaps]]=0, "", Merge1[[#This Row],[defense_snaps]] / Merge1[[#This Row],[team_defense_snaps]])</f>
        <v>0.92647058823529416</v>
      </c>
      <c r="V484">
        <v>68</v>
      </c>
      <c r="W484">
        <v>1</v>
      </c>
      <c r="X484" s="5" t="s">
        <v>303</v>
      </c>
      <c r="Y484">
        <v>2</v>
      </c>
      <c r="Z484">
        <v>0</v>
      </c>
      <c r="AA484" t="s">
        <v>25</v>
      </c>
      <c r="AB484" t="s">
        <v>26</v>
      </c>
      <c r="AC484" t="s">
        <v>27</v>
      </c>
      <c r="AD484" t="s">
        <v>42</v>
      </c>
      <c r="AE484" t="s">
        <v>25</v>
      </c>
      <c r="AF4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4.6875E-2</v>
      </c>
      <c r="AG484" t="s">
        <v>943</v>
      </c>
      <c r="AH484">
        <v>65</v>
      </c>
      <c r="AI484" t="s">
        <v>939</v>
      </c>
      <c r="AJ484">
        <v>3</v>
      </c>
      <c r="AK4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MIN(AJ484/8, 1) +
  Merge1[[#This Row],[index_defensive_effort]],
  2
)</f>
        <v>0.82</v>
      </c>
    </row>
    <row r="485" spans="1:37" x14ac:dyDescent="0.25">
      <c r="A485" t="s">
        <v>289</v>
      </c>
      <c r="B485" t="s">
        <v>290</v>
      </c>
      <c r="C485">
        <v>24</v>
      </c>
      <c r="D485" t="s">
        <v>56</v>
      </c>
      <c r="E485">
        <v>71</v>
      </c>
      <c r="F485">
        <v>189</v>
      </c>
      <c r="G485" t="s">
        <v>41</v>
      </c>
      <c r="H485">
        <v>2020</v>
      </c>
      <c r="I485" t="s">
        <v>33</v>
      </c>
      <c r="J485">
        <v>8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21</v>
      </c>
      <c r="T485">
        <v>13</v>
      </c>
      <c r="U485" s="5">
        <f>IF(Merge1[[#This Row],[team_defense_snaps]]=0, "", Merge1[[#This Row],[defense_snaps]] / Merge1[[#This Row],[team_defense_snaps]])</f>
        <v>0.25</v>
      </c>
      <c r="V485">
        <v>52</v>
      </c>
      <c r="W485">
        <v>8</v>
      </c>
      <c r="X485" s="5" t="s">
        <v>131</v>
      </c>
      <c r="Y485">
        <v>2</v>
      </c>
      <c r="Z485">
        <v>0</v>
      </c>
      <c r="AA485" t="s">
        <v>25</v>
      </c>
      <c r="AB485" t="s">
        <v>26</v>
      </c>
      <c r="AC485" t="s">
        <v>27</v>
      </c>
      <c r="AD485" t="s">
        <v>28</v>
      </c>
      <c r="AE485" t="s">
        <v>25</v>
      </c>
      <c r="AF4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4.7619047619047616E-2</v>
      </c>
      <c r="AG485" t="s">
        <v>943</v>
      </c>
      <c r="AH485">
        <v>57.5</v>
      </c>
      <c r="AI485" t="s">
        <v>939</v>
      </c>
      <c r="AJ485">
        <v>4</v>
      </c>
      <c r="AK4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MIN(AJ485/8, 1) +
  Merge1[[#This Row],[index_defensive_effort]],
  2
)</f>
        <v>0.95</v>
      </c>
    </row>
    <row r="486" spans="1:37" x14ac:dyDescent="0.25">
      <c r="A486" t="s">
        <v>289</v>
      </c>
      <c r="B486" t="s">
        <v>290</v>
      </c>
      <c r="C486">
        <v>24</v>
      </c>
      <c r="D486" t="s">
        <v>56</v>
      </c>
      <c r="E486">
        <v>71</v>
      </c>
      <c r="F486">
        <v>189</v>
      </c>
      <c r="G486" t="s">
        <v>41</v>
      </c>
      <c r="H486">
        <v>2020</v>
      </c>
      <c r="I486" t="s">
        <v>33</v>
      </c>
      <c r="J486">
        <v>9</v>
      </c>
      <c r="K486">
        <v>0</v>
      </c>
      <c r="L486">
        <v>1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40</v>
      </c>
      <c r="T486">
        <v>35</v>
      </c>
      <c r="U486" s="5">
        <f>IF(Merge1[[#This Row],[team_defense_snaps]]=0, "", Merge1[[#This Row],[defense_snaps]] / Merge1[[#This Row],[team_defense_snaps]])</f>
        <v>0.61403508771929827</v>
      </c>
      <c r="V486">
        <v>57</v>
      </c>
      <c r="W486">
        <v>5</v>
      </c>
      <c r="X486" s="5" t="s">
        <v>59</v>
      </c>
      <c r="Y486">
        <v>2</v>
      </c>
      <c r="Z486">
        <v>0</v>
      </c>
      <c r="AA486" t="s">
        <v>25</v>
      </c>
      <c r="AB486" t="s">
        <v>26</v>
      </c>
      <c r="AC486" t="s">
        <v>27</v>
      </c>
      <c r="AD486" t="s">
        <v>42</v>
      </c>
      <c r="AE486" t="s">
        <v>25</v>
      </c>
      <c r="AF4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1.2500000000000001E-2</v>
      </c>
      <c r="AG486" t="s">
        <v>943</v>
      </c>
      <c r="AH486">
        <v>56</v>
      </c>
      <c r="AI486" t="s">
        <v>939</v>
      </c>
      <c r="AJ486">
        <v>5</v>
      </c>
      <c r="AK4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MIN(AJ486/8, 1) +
  Merge1[[#This Row],[index_defensive_effort]],
  2
)</f>
        <v>1.04</v>
      </c>
    </row>
    <row r="487" spans="1:37" x14ac:dyDescent="0.25">
      <c r="A487" t="s">
        <v>289</v>
      </c>
      <c r="B487" t="s">
        <v>290</v>
      </c>
      <c r="C487">
        <v>24</v>
      </c>
      <c r="D487" t="s">
        <v>56</v>
      </c>
      <c r="E487">
        <v>71</v>
      </c>
      <c r="F487">
        <v>189</v>
      </c>
      <c r="G487" t="s">
        <v>41</v>
      </c>
      <c r="H487">
        <v>2020</v>
      </c>
      <c r="I487" t="s">
        <v>33</v>
      </c>
      <c r="J487">
        <v>10</v>
      </c>
      <c r="K487">
        <v>5</v>
      </c>
      <c r="L487">
        <v>1</v>
      </c>
      <c r="M487">
        <v>1</v>
      </c>
      <c r="N487">
        <v>2</v>
      </c>
      <c r="O487">
        <v>0</v>
      </c>
      <c r="P487">
        <v>0</v>
      </c>
      <c r="Q487">
        <v>0</v>
      </c>
      <c r="R487">
        <v>0</v>
      </c>
      <c r="S487">
        <v>69</v>
      </c>
      <c r="T487">
        <v>64</v>
      </c>
      <c r="U487" s="5">
        <f>IF(Merge1[[#This Row],[team_defense_snaps]]=0, "", Merge1[[#This Row],[defense_snaps]] / Merge1[[#This Row],[team_defense_snaps]])</f>
        <v>1</v>
      </c>
      <c r="V487">
        <v>64</v>
      </c>
      <c r="W487">
        <v>5</v>
      </c>
      <c r="X487" s="5" t="s">
        <v>124</v>
      </c>
      <c r="Y487">
        <v>2</v>
      </c>
      <c r="Z487">
        <v>0</v>
      </c>
      <c r="AA487" t="s">
        <v>25</v>
      </c>
      <c r="AB487" t="s">
        <v>26</v>
      </c>
      <c r="AC487" t="s">
        <v>27</v>
      </c>
      <c r="AD487" t="s">
        <v>42</v>
      </c>
      <c r="AE487" t="s">
        <v>25</v>
      </c>
      <c r="AF4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8.6956521739130432E-2</v>
      </c>
      <c r="AG487" t="s">
        <v>943</v>
      </c>
      <c r="AH487">
        <v>62</v>
      </c>
      <c r="AI487" t="s">
        <v>939</v>
      </c>
      <c r="AJ487">
        <v>6</v>
      </c>
      <c r="AK4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MIN(AJ487/8, 1) +
  Merge1[[#This Row],[index_defensive_effort]],
  2
)</f>
        <v>1.24</v>
      </c>
    </row>
    <row r="488" spans="1:37" x14ac:dyDescent="0.25">
      <c r="A488" t="s">
        <v>289</v>
      </c>
      <c r="B488" t="s">
        <v>290</v>
      </c>
      <c r="C488">
        <v>24</v>
      </c>
      <c r="D488" t="s">
        <v>56</v>
      </c>
      <c r="E488">
        <v>71</v>
      </c>
      <c r="F488">
        <v>189</v>
      </c>
      <c r="G488" t="s">
        <v>41</v>
      </c>
      <c r="H488">
        <v>2020</v>
      </c>
      <c r="I488" t="s">
        <v>33</v>
      </c>
      <c r="J488">
        <v>11</v>
      </c>
      <c r="K488">
        <v>3</v>
      </c>
      <c r="L488">
        <v>2</v>
      </c>
      <c r="M488">
        <v>1</v>
      </c>
      <c r="N488">
        <v>3</v>
      </c>
      <c r="O488">
        <v>0</v>
      </c>
      <c r="P488">
        <v>0</v>
      </c>
      <c r="Q488">
        <v>0</v>
      </c>
      <c r="R488">
        <v>0</v>
      </c>
      <c r="S488">
        <v>84</v>
      </c>
      <c r="T488">
        <v>72</v>
      </c>
      <c r="U488" s="5">
        <f>IF(Merge1[[#This Row],[team_defense_snaps]]=0, "", Merge1[[#This Row],[defense_snaps]] / Merge1[[#This Row],[team_defense_snaps]])</f>
        <v>0.8571428571428571</v>
      </c>
      <c r="V488">
        <v>84</v>
      </c>
      <c r="W488">
        <v>12</v>
      </c>
      <c r="X488" s="5" t="s">
        <v>57</v>
      </c>
      <c r="Y488">
        <v>2</v>
      </c>
      <c r="Z488">
        <v>0</v>
      </c>
      <c r="AA488" t="s">
        <v>25</v>
      </c>
      <c r="AB488" t="s">
        <v>26</v>
      </c>
      <c r="AC488" t="s">
        <v>27</v>
      </c>
      <c r="AD488" t="s">
        <v>42</v>
      </c>
      <c r="AE488" t="s">
        <v>25</v>
      </c>
      <c r="AF4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5.3571428571428568E-2</v>
      </c>
      <c r="AG488" t="s">
        <v>943</v>
      </c>
      <c r="AH488">
        <v>45</v>
      </c>
      <c r="AI488" t="s">
        <v>939</v>
      </c>
      <c r="AJ488">
        <v>7</v>
      </c>
      <c r="AK4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MIN(AJ488/8, 1) +
  Merge1[[#This Row],[index_defensive_effort]],
  2
)</f>
        <v>1.33</v>
      </c>
    </row>
    <row r="489" spans="1:37" x14ac:dyDescent="0.25">
      <c r="A489" t="s">
        <v>289</v>
      </c>
      <c r="B489" t="s">
        <v>290</v>
      </c>
      <c r="C489">
        <v>24</v>
      </c>
      <c r="D489" t="s">
        <v>56</v>
      </c>
      <c r="E489">
        <v>71</v>
      </c>
      <c r="F489">
        <v>189</v>
      </c>
      <c r="G489" t="s">
        <v>41</v>
      </c>
      <c r="H489">
        <v>2020</v>
      </c>
      <c r="I489" t="s">
        <v>33</v>
      </c>
      <c r="J489">
        <v>12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77</v>
      </c>
      <c r="T489">
        <v>64</v>
      </c>
      <c r="U489" s="5">
        <f>IF(Merge1[[#This Row],[team_defense_snaps]]=0, "", Merge1[[#This Row],[defense_snaps]] / Merge1[[#This Row],[team_defense_snaps]])</f>
        <v>0.94117647058823528</v>
      </c>
      <c r="V489">
        <v>68</v>
      </c>
      <c r="W489">
        <v>13</v>
      </c>
      <c r="X489" s="5" t="s">
        <v>52</v>
      </c>
      <c r="Y489">
        <v>2</v>
      </c>
      <c r="Z489">
        <v>0</v>
      </c>
      <c r="AA489" t="s">
        <v>25</v>
      </c>
      <c r="AB489" t="s">
        <v>26</v>
      </c>
      <c r="AC489" t="s">
        <v>27</v>
      </c>
      <c r="AD489" t="s">
        <v>42</v>
      </c>
      <c r="AE489" t="s">
        <v>25</v>
      </c>
      <c r="AF4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1.2987012987012988E-2</v>
      </c>
      <c r="AG489" t="s">
        <v>943</v>
      </c>
      <c r="AH489">
        <v>41</v>
      </c>
      <c r="AI489" t="s">
        <v>939</v>
      </c>
      <c r="AJ489">
        <v>1</v>
      </c>
      <c r="AK4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MIN(AJ489/8, 1) +
  Merge1[[#This Row],[index_defensive_effort]],
  2
)</f>
        <v>0.54</v>
      </c>
    </row>
    <row r="490" spans="1:37" x14ac:dyDescent="0.25">
      <c r="A490" t="s">
        <v>289</v>
      </c>
      <c r="B490" t="s">
        <v>290</v>
      </c>
      <c r="C490">
        <v>24</v>
      </c>
      <c r="D490" t="s">
        <v>56</v>
      </c>
      <c r="E490">
        <v>71</v>
      </c>
      <c r="F490">
        <v>189</v>
      </c>
      <c r="G490" t="s">
        <v>41</v>
      </c>
      <c r="H490">
        <v>2020</v>
      </c>
      <c r="I490" t="s">
        <v>33</v>
      </c>
      <c r="J490">
        <v>14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41</v>
      </c>
      <c r="T490">
        <v>33</v>
      </c>
      <c r="U490" s="5">
        <f>IF(Merge1[[#This Row],[team_defense_snaps]]=0, "", Merge1[[#This Row],[defense_snaps]] / Merge1[[#This Row],[team_defense_snaps]])</f>
        <v>0.48529411764705882</v>
      </c>
      <c r="V490">
        <v>68</v>
      </c>
      <c r="W490">
        <v>8</v>
      </c>
      <c r="X490" s="5" t="s">
        <v>108</v>
      </c>
      <c r="Y490">
        <v>2</v>
      </c>
      <c r="Z490">
        <v>0</v>
      </c>
      <c r="AA490" t="s">
        <v>25</v>
      </c>
      <c r="AB490" t="s">
        <v>26</v>
      </c>
      <c r="AC490" t="s">
        <v>27</v>
      </c>
      <c r="AD490" t="s">
        <v>28</v>
      </c>
      <c r="AE490" t="s">
        <v>25</v>
      </c>
      <c r="AF4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2.4390243902439025E-2</v>
      </c>
      <c r="AG490" t="s">
        <v>943</v>
      </c>
      <c r="AH490">
        <v>44</v>
      </c>
      <c r="AI490" t="s">
        <v>939</v>
      </c>
      <c r="AJ490">
        <v>2</v>
      </c>
      <c r="AK4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MIN(AJ490/8, 1) +
  Merge1[[#This Row],[index_defensive_effort]],
  2
)</f>
        <v>0.67</v>
      </c>
    </row>
    <row r="491" spans="1:37" x14ac:dyDescent="0.25">
      <c r="A491" t="s">
        <v>289</v>
      </c>
      <c r="B491" t="s">
        <v>290</v>
      </c>
      <c r="C491">
        <v>24</v>
      </c>
      <c r="D491" t="s">
        <v>56</v>
      </c>
      <c r="E491">
        <v>71</v>
      </c>
      <c r="F491">
        <v>189</v>
      </c>
      <c r="G491" t="s">
        <v>41</v>
      </c>
      <c r="H491">
        <v>2020</v>
      </c>
      <c r="I491" t="s">
        <v>33</v>
      </c>
      <c r="J491">
        <v>15</v>
      </c>
      <c r="K491">
        <v>2</v>
      </c>
      <c r="L491">
        <v>1</v>
      </c>
      <c r="M491">
        <v>1</v>
      </c>
      <c r="N491">
        <v>2</v>
      </c>
      <c r="O491">
        <v>0</v>
      </c>
      <c r="P491">
        <v>0</v>
      </c>
      <c r="Q491">
        <v>0</v>
      </c>
      <c r="R491">
        <v>0</v>
      </c>
      <c r="S491">
        <v>69</v>
      </c>
      <c r="T491">
        <v>58</v>
      </c>
      <c r="U491" s="5">
        <f>IF(Merge1[[#This Row],[team_defense_snaps]]=0, "", Merge1[[#This Row],[defense_snaps]] / Merge1[[#This Row],[team_defense_snaps]])</f>
        <v>0.81690140845070425</v>
      </c>
      <c r="V491">
        <v>71</v>
      </c>
      <c r="W491">
        <v>11</v>
      </c>
      <c r="X491" s="5" t="s">
        <v>57</v>
      </c>
      <c r="Y491">
        <v>2</v>
      </c>
      <c r="Z491">
        <v>0</v>
      </c>
      <c r="AA491" t="s">
        <v>25</v>
      </c>
      <c r="AB491" t="s">
        <v>26</v>
      </c>
      <c r="AC491" t="s">
        <v>27</v>
      </c>
      <c r="AD491" t="s">
        <v>42</v>
      </c>
      <c r="AE491" t="s">
        <v>25</v>
      </c>
      <c r="AF4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4.3478260869565216E-2</v>
      </c>
      <c r="AG491" t="s">
        <v>943</v>
      </c>
      <c r="AH491">
        <v>53</v>
      </c>
      <c r="AI491" t="s">
        <v>939</v>
      </c>
      <c r="AJ491">
        <v>3</v>
      </c>
      <c r="AK4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MIN(AJ491/8, 1) +
  Merge1[[#This Row],[index_defensive_effort]],
  2
)</f>
        <v>0.82</v>
      </c>
    </row>
    <row r="492" spans="1:37" x14ac:dyDescent="0.25">
      <c r="A492" t="s">
        <v>289</v>
      </c>
      <c r="B492" t="s">
        <v>290</v>
      </c>
      <c r="C492">
        <v>24</v>
      </c>
      <c r="D492" t="s">
        <v>56</v>
      </c>
      <c r="E492">
        <v>71</v>
      </c>
      <c r="F492">
        <v>189</v>
      </c>
      <c r="G492" t="s">
        <v>41</v>
      </c>
      <c r="H492">
        <v>2020</v>
      </c>
      <c r="I492" t="s">
        <v>33</v>
      </c>
      <c r="J492">
        <v>16</v>
      </c>
      <c r="K492">
        <v>3</v>
      </c>
      <c r="L492">
        <v>1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41</v>
      </c>
      <c r="T492">
        <v>31</v>
      </c>
      <c r="U492" s="5">
        <f>IF(Merge1[[#This Row],[team_defense_snaps]]=0, "", Merge1[[#This Row],[defense_snaps]] / Merge1[[#This Row],[team_defense_snaps]])</f>
        <v>0.5636363636363636</v>
      </c>
      <c r="V492">
        <v>55</v>
      </c>
      <c r="W492">
        <v>10</v>
      </c>
      <c r="X492" s="5" t="s">
        <v>238</v>
      </c>
      <c r="Y492">
        <v>2</v>
      </c>
      <c r="Z492">
        <v>0</v>
      </c>
      <c r="AA492" t="s">
        <v>25</v>
      </c>
      <c r="AB492" t="s">
        <v>26</v>
      </c>
      <c r="AC492" t="s">
        <v>27</v>
      </c>
      <c r="AD492" t="s">
        <v>28</v>
      </c>
      <c r="AE492" t="s">
        <v>25</v>
      </c>
      <c r="AF4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8.5365853658536592E-2</v>
      </c>
      <c r="AG492" t="s">
        <v>943</v>
      </c>
      <c r="AH492">
        <v>54.5</v>
      </c>
      <c r="AI492" t="s">
        <v>939</v>
      </c>
      <c r="AJ492">
        <v>4</v>
      </c>
      <c r="AK4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MIN(AJ492/8, 1) +
  Merge1[[#This Row],[index_defensive_effort]],
  2
)</f>
        <v>0.99</v>
      </c>
    </row>
    <row r="493" spans="1:37" x14ac:dyDescent="0.25">
      <c r="A493" t="s">
        <v>289</v>
      </c>
      <c r="B493" t="s">
        <v>290</v>
      </c>
      <c r="C493">
        <v>24</v>
      </c>
      <c r="D493" t="s">
        <v>56</v>
      </c>
      <c r="E493">
        <v>71</v>
      </c>
      <c r="F493">
        <v>189</v>
      </c>
      <c r="G493" t="s">
        <v>41</v>
      </c>
      <c r="H493">
        <v>2020</v>
      </c>
      <c r="I493" t="s">
        <v>33</v>
      </c>
      <c r="J493">
        <v>17</v>
      </c>
      <c r="K493">
        <v>3</v>
      </c>
      <c r="L493">
        <v>3</v>
      </c>
      <c r="M493">
        <v>0</v>
      </c>
      <c r="N493">
        <v>3</v>
      </c>
      <c r="O493">
        <v>0</v>
      </c>
      <c r="P493">
        <v>0</v>
      </c>
      <c r="Q493">
        <v>0</v>
      </c>
      <c r="R493">
        <v>0</v>
      </c>
      <c r="S493">
        <v>69</v>
      </c>
      <c r="T493">
        <v>65</v>
      </c>
      <c r="U493" s="5">
        <f>IF(Merge1[[#This Row],[team_defense_snaps]]=0, "", Merge1[[#This Row],[defense_snaps]] / Merge1[[#This Row],[team_defense_snaps]])</f>
        <v>0.8666666666666667</v>
      </c>
      <c r="V493">
        <v>75</v>
      </c>
      <c r="W493">
        <v>4</v>
      </c>
      <c r="X493" s="5" t="s">
        <v>124</v>
      </c>
      <c r="Y493">
        <v>2</v>
      </c>
      <c r="Z493">
        <v>0</v>
      </c>
      <c r="AA493" t="s">
        <v>25</v>
      </c>
      <c r="AB493" t="s">
        <v>26</v>
      </c>
      <c r="AC493" t="s">
        <v>27</v>
      </c>
      <c r="AD493" t="s">
        <v>42</v>
      </c>
      <c r="AE493" t="s">
        <v>25</v>
      </c>
      <c r="AF4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6.5217391304347824E-2</v>
      </c>
      <c r="AG493" t="s">
        <v>943</v>
      </c>
      <c r="AH493">
        <v>48.5</v>
      </c>
      <c r="AI493" t="s">
        <v>939</v>
      </c>
      <c r="AJ493">
        <v>1</v>
      </c>
      <c r="AK4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MIN(AJ493/8, 1) +
  Merge1[[#This Row],[index_defensive_effort]],
  2
)</f>
        <v>0.59</v>
      </c>
    </row>
    <row r="494" spans="1:37" x14ac:dyDescent="0.25">
      <c r="A494" t="s">
        <v>289</v>
      </c>
      <c r="B494" t="s">
        <v>290</v>
      </c>
      <c r="C494">
        <v>24</v>
      </c>
      <c r="D494" t="s">
        <v>56</v>
      </c>
      <c r="E494">
        <v>71</v>
      </c>
      <c r="F494">
        <v>189</v>
      </c>
      <c r="G494" t="s">
        <v>41</v>
      </c>
      <c r="H494">
        <v>2020</v>
      </c>
      <c r="I494" t="s">
        <v>24</v>
      </c>
      <c r="J494">
        <v>19</v>
      </c>
      <c r="K494">
        <v>6</v>
      </c>
      <c r="L494">
        <v>2</v>
      </c>
      <c r="M494">
        <v>0</v>
      </c>
      <c r="N494">
        <v>2</v>
      </c>
      <c r="O494">
        <v>0</v>
      </c>
      <c r="P494">
        <v>0</v>
      </c>
      <c r="Q494">
        <v>0</v>
      </c>
      <c r="R494">
        <v>0</v>
      </c>
      <c r="S494">
        <v>49</v>
      </c>
      <c r="T494">
        <v>47</v>
      </c>
      <c r="U494" s="5">
        <f>IF(Merge1[[#This Row],[team_defense_snaps]]=0, "", Merge1[[#This Row],[defense_snaps]] / Merge1[[#This Row],[team_defense_snaps]])</f>
        <v>0.92156862745098034</v>
      </c>
      <c r="V494">
        <v>51</v>
      </c>
      <c r="W494">
        <v>2</v>
      </c>
      <c r="X494" s="5" t="s">
        <v>250</v>
      </c>
      <c r="Y494">
        <v>2</v>
      </c>
      <c r="Z494">
        <v>0</v>
      </c>
      <c r="AA494" t="s">
        <v>25</v>
      </c>
      <c r="AB494" t="s">
        <v>26</v>
      </c>
      <c r="AC494" t="s">
        <v>27</v>
      </c>
      <c r="AD494" t="s">
        <v>42</v>
      </c>
      <c r="AE494" t="s">
        <v>25</v>
      </c>
      <c r="AF4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0.14285714285714285</v>
      </c>
      <c r="AG494" t="s">
        <v>943</v>
      </c>
      <c r="AH494">
        <v>42.5</v>
      </c>
      <c r="AI494" t="s">
        <v>939</v>
      </c>
      <c r="AJ494">
        <v>2</v>
      </c>
      <c r="AK4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MIN(AJ494/8, 1) +
  Merge1[[#This Row],[index_defensive_effort]],
  2
)</f>
        <v>0.99</v>
      </c>
    </row>
    <row r="495" spans="1:37" x14ac:dyDescent="0.25">
      <c r="A495" t="s">
        <v>289</v>
      </c>
      <c r="B495" t="s">
        <v>290</v>
      </c>
      <c r="C495">
        <v>24</v>
      </c>
      <c r="D495" t="s">
        <v>56</v>
      </c>
      <c r="E495">
        <v>71</v>
      </c>
      <c r="F495">
        <v>189</v>
      </c>
      <c r="G495" t="s">
        <v>41</v>
      </c>
      <c r="H495">
        <v>2020</v>
      </c>
      <c r="I495" t="s">
        <v>24</v>
      </c>
      <c r="J495">
        <v>20</v>
      </c>
      <c r="K495">
        <v>3</v>
      </c>
      <c r="L495">
        <v>1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58</v>
      </c>
      <c r="T495">
        <v>47</v>
      </c>
      <c r="U495" s="5">
        <f>IF(Merge1[[#This Row],[team_defense_snaps]]=0, "", Merge1[[#This Row],[defense_snaps]] / Merge1[[#This Row],[team_defense_snaps]])</f>
        <v>0.72307692307692306</v>
      </c>
      <c r="V495">
        <v>65</v>
      </c>
      <c r="W495">
        <v>11</v>
      </c>
      <c r="X495" s="5" t="s">
        <v>131</v>
      </c>
      <c r="Y495">
        <v>2</v>
      </c>
      <c r="Z495">
        <v>0</v>
      </c>
      <c r="AA495" t="s">
        <v>25</v>
      </c>
      <c r="AB495" t="s">
        <v>26</v>
      </c>
      <c r="AC495" t="s">
        <v>27</v>
      </c>
      <c r="AD495" t="s">
        <v>42</v>
      </c>
      <c r="AE495" t="s">
        <v>25</v>
      </c>
      <c r="AF4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6.0344827586206899E-2</v>
      </c>
      <c r="AG495" t="s">
        <v>943</v>
      </c>
      <c r="AH495">
        <v>45.5</v>
      </c>
      <c r="AI495" t="s">
        <v>939</v>
      </c>
      <c r="AJ495">
        <v>1</v>
      </c>
      <c r="AK4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MIN(AJ495/8, 1) +
  Merge1[[#This Row],[index_defensive_effort]],
  2
)</f>
        <v>0.79</v>
      </c>
    </row>
    <row r="496" spans="1:37" x14ac:dyDescent="0.25">
      <c r="A496" t="s">
        <v>299</v>
      </c>
      <c r="B496" t="s">
        <v>300</v>
      </c>
      <c r="C496">
        <v>27</v>
      </c>
      <c r="D496" t="s">
        <v>22</v>
      </c>
      <c r="E496">
        <v>70</v>
      </c>
      <c r="F496">
        <v>192</v>
      </c>
      <c r="G496" t="s">
        <v>153</v>
      </c>
      <c r="H496">
        <v>2020</v>
      </c>
      <c r="I496" t="s">
        <v>33</v>
      </c>
      <c r="J496">
        <v>4</v>
      </c>
      <c r="K496">
        <v>2</v>
      </c>
      <c r="L496">
        <v>1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47</v>
      </c>
      <c r="T496">
        <v>31</v>
      </c>
      <c r="U496" s="5">
        <f>IF(Merge1[[#This Row],[team_defense_snaps]]=0, "", Merge1[[#This Row],[defense_snaps]] / Merge1[[#This Row],[team_defense_snaps]])</f>
        <v>0.40789473684210525</v>
      </c>
      <c r="V496">
        <v>76</v>
      </c>
      <c r="W496">
        <v>16</v>
      </c>
      <c r="X496" s="5" t="s">
        <v>80</v>
      </c>
      <c r="Y496">
        <v>4</v>
      </c>
      <c r="Z496">
        <v>0</v>
      </c>
      <c r="AA496" t="s">
        <v>25</v>
      </c>
      <c r="AB496" t="s">
        <v>26</v>
      </c>
      <c r="AC496" t="s">
        <v>27</v>
      </c>
      <c r="AD496" t="s">
        <v>28</v>
      </c>
      <c r="AE496" t="s">
        <v>25</v>
      </c>
      <c r="AF4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5.3191489361702128E-2</v>
      </c>
      <c r="AG496" t="s">
        <v>941</v>
      </c>
      <c r="AH496">
        <v>90.5</v>
      </c>
      <c r="AI496" t="s">
        <v>939</v>
      </c>
      <c r="AJ496">
        <v>1</v>
      </c>
      <c r="AK4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MIN(AJ496/8, 1) +
  Merge1[[#This Row],[index_defensive_effort]],
  2
)</f>
        <v>0.78</v>
      </c>
    </row>
    <row r="497" spans="1:37" x14ac:dyDescent="0.25">
      <c r="A497" t="s">
        <v>296</v>
      </c>
      <c r="B497" t="s">
        <v>297</v>
      </c>
      <c r="C497">
        <v>24</v>
      </c>
      <c r="D497" t="s">
        <v>56</v>
      </c>
      <c r="E497">
        <v>73</v>
      </c>
      <c r="F497">
        <v>196</v>
      </c>
      <c r="G497" t="s">
        <v>86</v>
      </c>
      <c r="H497">
        <v>2020</v>
      </c>
      <c r="I497" t="s">
        <v>33</v>
      </c>
      <c r="J497">
        <v>1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35</v>
      </c>
      <c r="T497">
        <v>31</v>
      </c>
      <c r="U497" s="5">
        <f>IF(Merge1[[#This Row],[team_defense_snaps]]=0, "", Merge1[[#This Row],[defense_snaps]] / Merge1[[#This Row],[team_defense_snaps]])</f>
        <v>0.52542372881355937</v>
      </c>
      <c r="V497">
        <v>59</v>
      </c>
      <c r="W497">
        <v>4</v>
      </c>
      <c r="X497" s="5" t="s">
        <v>159</v>
      </c>
      <c r="Y497">
        <v>2</v>
      </c>
      <c r="Z497">
        <v>0</v>
      </c>
      <c r="AA497" t="s">
        <v>25</v>
      </c>
      <c r="AB497" t="s">
        <v>26</v>
      </c>
      <c r="AC497" t="s">
        <v>27</v>
      </c>
      <c r="AD497" t="s">
        <v>42</v>
      </c>
      <c r="AE497" t="s">
        <v>25</v>
      </c>
      <c r="AF4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2.8571428571428571E-2</v>
      </c>
      <c r="AG497" t="s">
        <v>941</v>
      </c>
      <c r="AH497">
        <v>72.5</v>
      </c>
      <c r="AI497" t="s">
        <v>938</v>
      </c>
      <c r="AJ497">
        <v>1</v>
      </c>
      <c r="AK4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MIN(AJ497/8, 1) +
  Merge1[[#This Row],[index_defensive_effort]],
  2
)</f>
        <v>0.55000000000000004</v>
      </c>
    </row>
    <row r="498" spans="1:37" x14ac:dyDescent="0.25">
      <c r="A498" t="s">
        <v>296</v>
      </c>
      <c r="B498" t="s">
        <v>297</v>
      </c>
      <c r="C498">
        <v>24</v>
      </c>
      <c r="D498" t="s">
        <v>56</v>
      </c>
      <c r="E498">
        <v>73</v>
      </c>
      <c r="F498">
        <v>196</v>
      </c>
      <c r="G498" t="s">
        <v>86</v>
      </c>
      <c r="H498">
        <v>2020</v>
      </c>
      <c r="I498" t="s">
        <v>33</v>
      </c>
      <c r="J498">
        <v>3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33</v>
      </c>
      <c r="T498">
        <v>33</v>
      </c>
      <c r="U498" s="5">
        <f>IF(Merge1[[#This Row],[team_defense_snaps]]=0, "", Merge1[[#This Row],[defense_snaps]] / Merge1[[#This Row],[team_defense_snaps]])</f>
        <v>0.5892857142857143</v>
      </c>
      <c r="V498">
        <v>56</v>
      </c>
      <c r="W498">
        <v>0</v>
      </c>
      <c r="X498" s="5" t="s">
        <v>29</v>
      </c>
      <c r="Y498">
        <v>2</v>
      </c>
      <c r="Z498">
        <v>0</v>
      </c>
      <c r="AA498" t="s">
        <v>25</v>
      </c>
      <c r="AB498" t="s">
        <v>36</v>
      </c>
      <c r="AC498" t="s">
        <v>298</v>
      </c>
      <c r="AD498" t="s">
        <v>28</v>
      </c>
      <c r="AE498" t="s">
        <v>25</v>
      </c>
      <c r="AF4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3.0303030303030304E-2</v>
      </c>
      <c r="AG498" t="s">
        <v>941</v>
      </c>
      <c r="AH498">
        <v>65</v>
      </c>
      <c r="AI498" t="s">
        <v>939</v>
      </c>
      <c r="AJ498">
        <v>2</v>
      </c>
      <c r="AK4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MIN(AJ498/8, 1) +
  Merge1[[#This Row],[index_defensive_effort]],
  2
)</f>
        <v>0.68</v>
      </c>
    </row>
    <row r="499" spans="1:37" x14ac:dyDescent="0.25">
      <c r="A499" t="s">
        <v>296</v>
      </c>
      <c r="B499" t="s">
        <v>297</v>
      </c>
      <c r="C499">
        <v>24</v>
      </c>
      <c r="D499" t="s">
        <v>56</v>
      </c>
      <c r="E499">
        <v>73</v>
      </c>
      <c r="F499">
        <v>196</v>
      </c>
      <c r="G499" t="s">
        <v>86</v>
      </c>
      <c r="H499">
        <v>2020</v>
      </c>
      <c r="I499" t="s">
        <v>33</v>
      </c>
      <c r="J499">
        <v>4</v>
      </c>
      <c r="K499">
        <v>3</v>
      </c>
      <c r="L499">
        <v>1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59</v>
      </c>
      <c r="T499">
        <v>59</v>
      </c>
      <c r="U499" s="5">
        <f>IF(Merge1[[#This Row],[team_defense_snaps]]=0, "", Merge1[[#This Row],[defense_snaps]] / Merge1[[#This Row],[team_defense_snaps]])</f>
        <v>0.77631578947368418</v>
      </c>
      <c r="V499">
        <v>76</v>
      </c>
      <c r="W499">
        <v>0</v>
      </c>
      <c r="X499" s="5" t="s">
        <v>29</v>
      </c>
      <c r="Y499">
        <v>2</v>
      </c>
      <c r="Z499">
        <v>0</v>
      </c>
      <c r="AA499" t="s">
        <v>25</v>
      </c>
      <c r="AB499" t="s">
        <v>26</v>
      </c>
      <c r="AC499" t="s">
        <v>27</v>
      </c>
      <c r="AD499" t="s">
        <v>42</v>
      </c>
      <c r="AE499" t="s">
        <v>25</v>
      </c>
      <c r="AF4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5.9322033898305086E-2</v>
      </c>
      <c r="AG499" t="s">
        <v>941</v>
      </c>
      <c r="AH499">
        <v>63.5</v>
      </c>
      <c r="AI499" t="s">
        <v>939</v>
      </c>
      <c r="AJ499">
        <v>3</v>
      </c>
      <c r="AK4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MIN(AJ499/8, 1) +
  Merge1[[#This Row],[index_defensive_effort]],
  2
)</f>
        <v>0.83</v>
      </c>
    </row>
    <row r="500" spans="1:37" x14ac:dyDescent="0.25">
      <c r="A500" t="s">
        <v>296</v>
      </c>
      <c r="B500" t="s">
        <v>297</v>
      </c>
      <c r="C500">
        <v>24</v>
      </c>
      <c r="D500" t="s">
        <v>56</v>
      </c>
      <c r="E500">
        <v>73</v>
      </c>
      <c r="F500">
        <v>196</v>
      </c>
      <c r="G500" t="s">
        <v>86</v>
      </c>
      <c r="H500">
        <v>2020</v>
      </c>
      <c r="I500" t="s">
        <v>33</v>
      </c>
      <c r="J500">
        <v>5</v>
      </c>
      <c r="K500">
        <v>2</v>
      </c>
      <c r="L500">
        <v>2</v>
      </c>
      <c r="M500">
        <v>0</v>
      </c>
      <c r="N500">
        <v>2</v>
      </c>
      <c r="O500">
        <v>0</v>
      </c>
      <c r="P500">
        <v>0</v>
      </c>
      <c r="Q500">
        <v>0</v>
      </c>
      <c r="R500">
        <v>0</v>
      </c>
      <c r="S500">
        <v>49</v>
      </c>
      <c r="T500">
        <v>49</v>
      </c>
      <c r="U500" s="5">
        <f>IF(Merge1[[#This Row],[team_defense_snaps]]=0, "", Merge1[[#This Row],[defense_snaps]] / Merge1[[#This Row],[team_defense_snaps]])</f>
        <v>0.7</v>
      </c>
      <c r="V500">
        <v>70</v>
      </c>
      <c r="W500">
        <v>0</v>
      </c>
      <c r="X500" s="5" t="s">
        <v>29</v>
      </c>
      <c r="Y500">
        <v>2</v>
      </c>
      <c r="Z500">
        <v>0</v>
      </c>
      <c r="AA500" t="s">
        <v>25</v>
      </c>
      <c r="AB500" t="s">
        <v>26</v>
      </c>
      <c r="AC500" t="s">
        <v>27</v>
      </c>
      <c r="AD500" t="s">
        <v>42</v>
      </c>
      <c r="AE500" t="s">
        <v>25</v>
      </c>
      <c r="AF5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6.1224489795918366E-2</v>
      </c>
      <c r="AG500" t="s">
        <v>941</v>
      </c>
      <c r="AH500">
        <v>77</v>
      </c>
      <c r="AI500" t="s">
        <v>939</v>
      </c>
      <c r="AJ500">
        <v>4</v>
      </c>
      <c r="AK5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MIN(AJ500/8, 1) +
  Merge1[[#This Row],[index_defensive_effort]],
  2
)</f>
        <v>0.96</v>
      </c>
    </row>
    <row r="501" spans="1:37" x14ac:dyDescent="0.25">
      <c r="A501" t="s">
        <v>296</v>
      </c>
      <c r="B501" t="s">
        <v>297</v>
      </c>
      <c r="C501">
        <v>24</v>
      </c>
      <c r="D501" t="s">
        <v>56</v>
      </c>
      <c r="E501">
        <v>73</v>
      </c>
      <c r="F501">
        <v>196</v>
      </c>
      <c r="G501" t="s">
        <v>86</v>
      </c>
      <c r="H501">
        <v>2020</v>
      </c>
      <c r="I501" t="s">
        <v>33</v>
      </c>
      <c r="J501">
        <v>6</v>
      </c>
      <c r="K501">
        <v>3</v>
      </c>
      <c r="L501">
        <v>1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53</v>
      </c>
      <c r="T501">
        <v>53</v>
      </c>
      <c r="U501" s="5">
        <f>IF(Merge1[[#This Row],[team_defense_snaps]]=0, "", Merge1[[#This Row],[defense_snaps]] / Merge1[[#This Row],[team_defense_snaps]])</f>
        <v>1</v>
      </c>
      <c r="V501">
        <v>53</v>
      </c>
      <c r="W501">
        <v>0</v>
      </c>
      <c r="X501" s="5" t="s">
        <v>29</v>
      </c>
      <c r="Y501">
        <v>2</v>
      </c>
      <c r="Z501">
        <v>0</v>
      </c>
      <c r="AA501" t="s">
        <v>25</v>
      </c>
      <c r="AB501" t="s">
        <v>26</v>
      </c>
      <c r="AC501" t="s">
        <v>27</v>
      </c>
      <c r="AD501" t="s">
        <v>42</v>
      </c>
      <c r="AE501" t="s">
        <v>25</v>
      </c>
      <c r="AF5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6.6037735849056603E-2</v>
      </c>
      <c r="AG501" t="s">
        <v>941</v>
      </c>
      <c r="AH501">
        <v>62</v>
      </c>
      <c r="AI501" t="s">
        <v>939</v>
      </c>
      <c r="AJ501">
        <v>5</v>
      </c>
      <c r="AK5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MIN(AJ501/8, 1) +
  Merge1[[#This Row],[index_defensive_effort]],
  2
)</f>
        <v>1.0900000000000001</v>
      </c>
    </row>
    <row r="502" spans="1:37" x14ac:dyDescent="0.25">
      <c r="A502" t="s">
        <v>296</v>
      </c>
      <c r="B502" t="s">
        <v>297</v>
      </c>
      <c r="C502">
        <v>24</v>
      </c>
      <c r="D502" t="s">
        <v>56</v>
      </c>
      <c r="E502">
        <v>73</v>
      </c>
      <c r="F502">
        <v>196</v>
      </c>
      <c r="G502" t="s">
        <v>86</v>
      </c>
      <c r="H502">
        <v>2020</v>
      </c>
      <c r="I502" t="s">
        <v>33</v>
      </c>
      <c r="J502">
        <v>7</v>
      </c>
      <c r="K502">
        <v>10</v>
      </c>
      <c r="L502">
        <v>3</v>
      </c>
      <c r="M502">
        <v>1</v>
      </c>
      <c r="N502">
        <v>4</v>
      </c>
      <c r="O502">
        <v>4</v>
      </c>
      <c r="P502">
        <v>4</v>
      </c>
      <c r="Q502">
        <v>0</v>
      </c>
      <c r="R502">
        <v>2</v>
      </c>
      <c r="S502">
        <v>64</v>
      </c>
      <c r="T502">
        <v>64</v>
      </c>
      <c r="U502" s="5">
        <f>IF(Merge1[[#This Row],[team_defense_snaps]]=0, "", Merge1[[#This Row],[defense_snaps]] / Merge1[[#This Row],[team_defense_snaps]])</f>
        <v>0.8</v>
      </c>
      <c r="V502">
        <v>80</v>
      </c>
      <c r="W502">
        <v>0</v>
      </c>
      <c r="X502" s="5" t="s">
        <v>29</v>
      </c>
      <c r="Y502">
        <v>2</v>
      </c>
      <c r="Z502">
        <v>0</v>
      </c>
      <c r="AA502" t="s">
        <v>25</v>
      </c>
      <c r="AB502" t="s">
        <v>26</v>
      </c>
      <c r="AC502" t="s">
        <v>27</v>
      </c>
      <c r="AD502" t="s">
        <v>42</v>
      </c>
      <c r="AE502" t="s">
        <v>25</v>
      </c>
      <c r="AF5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0.5625</v>
      </c>
      <c r="AG502" t="s">
        <v>941</v>
      </c>
      <c r="AH502">
        <v>69.5</v>
      </c>
      <c r="AI502" t="s">
        <v>939</v>
      </c>
      <c r="AJ502">
        <v>6</v>
      </c>
      <c r="AK5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MIN(AJ502/8, 1) +
  Merge1[[#This Row],[index_defensive_effort]],
  2
)</f>
        <v>1.71</v>
      </c>
    </row>
    <row r="503" spans="1:37" x14ac:dyDescent="0.25">
      <c r="A503" t="s">
        <v>296</v>
      </c>
      <c r="B503" t="s">
        <v>297</v>
      </c>
      <c r="C503">
        <v>24</v>
      </c>
      <c r="D503" t="s">
        <v>56</v>
      </c>
      <c r="E503">
        <v>73</v>
      </c>
      <c r="F503">
        <v>196</v>
      </c>
      <c r="G503" t="s">
        <v>86</v>
      </c>
      <c r="H503">
        <v>2020</v>
      </c>
      <c r="I503" t="s">
        <v>33</v>
      </c>
      <c r="J503">
        <v>8</v>
      </c>
      <c r="K503">
        <v>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54</v>
      </c>
      <c r="T503">
        <v>54</v>
      </c>
      <c r="U503" s="5">
        <f>IF(Merge1[[#This Row],[team_defense_snaps]]=0, "", Merge1[[#This Row],[defense_snaps]] / Merge1[[#This Row],[team_defense_snaps]])</f>
        <v>0.9</v>
      </c>
      <c r="V503">
        <v>60</v>
      </c>
      <c r="W503">
        <v>0</v>
      </c>
      <c r="X503" s="5" t="s">
        <v>29</v>
      </c>
      <c r="Y503">
        <v>2</v>
      </c>
      <c r="Z503">
        <v>0</v>
      </c>
      <c r="AA503" t="s">
        <v>25</v>
      </c>
      <c r="AB503" t="s">
        <v>26</v>
      </c>
      <c r="AC503" t="s">
        <v>27</v>
      </c>
      <c r="AD503" t="s">
        <v>42</v>
      </c>
      <c r="AE503" t="s">
        <v>25</v>
      </c>
      <c r="AF5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3.7037037037037035E-2</v>
      </c>
      <c r="AG503" t="s">
        <v>941</v>
      </c>
      <c r="AH503">
        <v>71</v>
      </c>
      <c r="AI503" t="s">
        <v>939</v>
      </c>
      <c r="AJ503">
        <v>7</v>
      </c>
      <c r="AK5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MIN(AJ503/8, 1) +
  Merge1[[#This Row],[index_defensive_effort]],
  2
)</f>
        <v>1.31</v>
      </c>
    </row>
    <row r="504" spans="1:37" x14ac:dyDescent="0.25">
      <c r="A504" t="s">
        <v>296</v>
      </c>
      <c r="B504" t="s">
        <v>297</v>
      </c>
      <c r="C504">
        <v>24</v>
      </c>
      <c r="D504" t="s">
        <v>56</v>
      </c>
      <c r="E504">
        <v>73</v>
      </c>
      <c r="F504">
        <v>196</v>
      </c>
      <c r="G504" t="s">
        <v>86</v>
      </c>
      <c r="H504">
        <v>2020</v>
      </c>
      <c r="I504" t="s">
        <v>33</v>
      </c>
      <c r="J504">
        <v>9</v>
      </c>
      <c r="K504">
        <v>4</v>
      </c>
      <c r="L504">
        <v>1</v>
      </c>
      <c r="M504">
        <v>0</v>
      </c>
      <c r="N504">
        <v>1</v>
      </c>
      <c r="O504">
        <v>0</v>
      </c>
      <c r="P504">
        <v>1</v>
      </c>
      <c r="Q504">
        <v>0</v>
      </c>
      <c r="R504">
        <v>0</v>
      </c>
      <c r="S504">
        <v>85</v>
      </c>
      <c r="T504">
        <v>82</v>
      </c>
      <c r="U504" s="5">
        <f>IF(Merge1[[#This Row],[team_defense_snaps]]=0, "", Merge1[[#This Row],[defense_snaps]] / Merge1[[#This Row],[team_defense_snaps]])</f>
        <v>0.98795180722891562</v>
      </c>
      <c r="V504">
        <v>83</v>
      </c>
      <c r="W504">
        <v>3</v>
      </c>
      <c r="X504" s="5" t="s">
        <v>38</v>
      </c>
      <c r="Y504">
        <v>2</v>
      </c>
      <c r="Z504">
        <v>0</v>
      </c>
      <c r="AA504" t="s">
        <v>25</v>
      </c>
      <c r="AB504" t="s">
        <v>26</v>
      </c>
      <c r="AC504" t="s">
        <v>27</v>
      </c>
      <c r="AD504" t="s">
        <v>42</v>
      </c>
      <c r="AE504" t="s">
        <v>25</v>
      </c>
      <c r="AF5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7.6470588235294124E-2</v>
      </c>
      <c r="AG504" t="s">
        <v>941</v>
      </c>
      <c r="AH504">
        <v>60</v>
      </c>
      <c r="AI504" t="s">
        <v>939</v>
      </c>
      <c r="AJ504">
        <v>1</v>
      </c>
      <c r="AK5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MIN(AJ504/8, 1) +
  Merge1[[#This Row],[index_defensive_effort]],
  2
)</f>
        <v>0.6</v>
      </c>
    </row>
    <row r="505" spans="1:37" x14ac:dyDescent="0.25">
      <c r="A505" t="s">
        <v>296</v>
      </c>
      <c r="B505" t="s">
        <v>297</v>
      </c>
      <c r="C505">
        <v>24</v>
      </c>
      <c r="D505" t="s">
        <v>56</v>
      </c>
      <c r="E505">
        <v>73</v>
      </c>
      <c r="F505">
        <v>196</v>
      </c>
      <c r="G505" t="s">
        <v>86</v>
      </c>
      <c r="H505">
        <v>2020</v>
      </c>
      <c r="I505" t="s">
        <v>33</v>
      </c>
      <c r="J505">
        <v>11</v>
      </c>
      <c r="K505">
        <v>3</v>
      </c>
      <c r="L505">
        <v>1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55</v>
      </c>
      <c r="T505">
        <v>55</v>
      </c>
      <c r="U505" s="5">
        <f>IF(Merge1[[#This Row],[team_defense_snaps]]=0, "", Merge1[[#This Row],[defense_snaps]] / Merge1[[#This Row],[team_defense_snaps]])</f>
        <v>0.93220338983050843</v>
      </c>
      <c r="V505">
        <v>59</v>
      </c>
      <c r="W505">
        <v>0</v>
      </c>
      <c r="X505" s="5" t="s">
        <v>29</v>
      </c>
      <c r="Y505">
        <v>2</v>
      </c>
      <c r="Z505">
        <v>0</v>
      </c>
      <c r="AA505" t="s">
        <v>25</v>
      </c>
      <c r="AB505" t="s">
        <v>26</v>
      </c>
      <c r="AC505" t="s">
        <v>27</v>
      </c>
      <c r="AD505" t="s">
        <v>42</v>
      </c>
      <c r="AE505" t="s">
        <v>25</v>
      </c>
      <c r="AF5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6.363636363636363E-2</v>
      </c>
      <c r="AG505" t="s">
        <v>941</v>
      </c>
      <c r="AH505">
        <v>74</v>
      </c>
      <c r="AI505" t="s">
        <v>939</v>
      </c>
      <c r="AJ505">
        <v>2</v>
      </c>
      <c r="AK5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MIN(AJ505/8, 1) +
  Merge1[[#This Row],[index_defensive_effort]],
  2
)</f>
        <v>0.71</v>
      </c>
    </row>
    <row r="506" spans="1:37" x14ac:dyDescent="0.25">
      <c r="A506" t="s">
        <v>296</v>
      </c>
      <c r="B506" t="s">
        <v>297</v>
      </c>
      <c r="C506">
        <v>24</v>
      </c>
      <c r="D506" t="s">
        <v>56</v>
      </c>
      <c r="E506">
        <v>73</v>
      </c>
      <c r="F506">
        <v>196</v>
      </c>
      <c r="G506" t="s">
        <v>86</v>
      </c>
      <c r="H506">
        <v>2020</v>
      </c>
      <c r="I506" t="s">
        <v>33</v>
      </c>
      <c r="J506">
        <v>12</v>
      </c>
      <c r="K506">
        <v>2</v>
      </c>
      <c r="L506">
        <v>3</v>
      </c>
      <c r="M506">
        <v>0</v>
      </c>
      <c r="N506">
        <v>3</v>
      </c>
      <c r="O506">
        <v>0</v>
      </c>
      <c r="P506">
        <v>1</v>
      </c>
      <c r="Q506">
        <v>0</v>
      </c>
      <c r="R506">
        <v>0</v>
      </c>
      <c r="S506">
        <v>59</v>
      </c>
      <c r="T506">
        <v>59</v>
      </c>
      <c r="U506" s="5">
        <f>IF(Merge1[[#This Row],[team_defense_snaps]]=0, "", Merge1[[#This Row],[defense_snaps]] / Merge1[[#This Row],[team_defense_snaps]])</f>
        <v>1</v>
      </c>
      <c r="V506">
        <v>59</v>
      </c>
      <c r="W506">
        <v>0</v>
      </c>
      <c r="X506" s="5" t="s">
        <v>29</v>
      </c>
      <c r="Y506">
        <v>2</v>
      </c>
      <c r="Z506">
        <v>0</v>
      </c>
      <c r="AA506" t="s">
        <v>25</v>
      </c>
      <c r="AB506" t="s">
        <v>26</v>
      </c>
      <c r="AC506" t="s">
        <v>27</v>
      </c>
      <c r="AD506" t="s">
        <v>42</v>
      </c>
      <c r="AE506" t="s">
        <v>25</v>
      </c>
      <c r="AF5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9.3220338983050849E-2</v>
      </c>
      <c r="AG506" t="s">
        <v>941</v>
      </c>
      <c r="AH506">
        <v>57.5</v>
      </c>
      <c r="AI506" t="s">
        <v>939</v>
      </c>
      <c r="AJ506">
        <v>3</v>
      </c>
      <c r="AK5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MIN(AJ506/8, 1) +
  Merge1[[#This Row],[index_defensive_effort]],
  2
)</f>
        <v>0.87</v>
      </c>
    </row>
    <row r="507" spans="1:37" x14ac:dyDescent="0.25">
      <c r="A507" t="s">
        <v>296</v>
      </c>
      <c r="B507" t="s">
        <v>297</v>
      </c>
      <c r="C507">
        <v>24</v>
      </c>
      <c r="D507" t="s">
        <v>56</v>
      </c>
      <c r="E507">
        <v>73</v>
      </c>
      <c r="F507">
        <v>196</v>
      </c>
      <c r="G507" t="s">
        <v>86</v>
      </c>
      <c r="H507">
        <v>2020</v>
      </c>
      <c r="I507" t="s">
        <v>33</v>
      </c>
      <c r="J507">
        <v>13</v>
      </c>
      <c r="K507">
        <v>2</v>
      </c>
      <c r="L507">
        <v>2</v>
      </c>
      <c r="M507">
        <v>0</v>
      </c>
      <c r="N507">
        <v>2</v>
      </c>
      <c r="O507">
        <v>0</v>
      </c>
      <c r="P507">
        <v>0</v>
      </c>
      <c r="Q507">
        <v>0</v>
      </c>
      <c r="R507">
        <v>0</v>
      </c>
      <c r="S507">
        <v>65</v>
      </c>
      <c r="T507">
        <v>65</v>
      </c>
      <c r="U507" s="5">
        <f>IF(Merge1[[#This Row],[team_defense_snaps]]=0, "", Merge1[[#This Row],[defense_snaps]] / Merge1[[#This Row],[team_defense_snaps]])</f>
        <v>0.97014925373134331</v>
      </c>
      <c r="V507">
        <v>67</v>
      </c>
      <c r="W507">
        <v>0</v>
      </c>
      <c r="X507" s="5" t="s">
        <v>29</v>
      </c>
      <c r="Y507">
        <v>2</v>
      </c>
      <c r="Z507">
        <v>0</v>
      </c>
      <c r="AA507" t="s">
        <v>25</v>
      </c>
      <c r="AB507" t="s">
        <v>26</v>
      </c>
      <c r="AC507" t="s">
        <v>27</v>
      </c>
      <c r="AD507" t="s">
        <v>42</v>
      </c>
      <c r="AE507" t="s">
        <v>25</v>
      </c>
      <c r="AF5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4.6153846153846156E-2</v>
      </c>
      <c r="AG507" t="s">
        <v>941</v>
      </c>
      <c r="AH507">
        <v>60</v>
      </c>
      <c r="AI507" t="s">
        <v>939</v>
      </c>
      <c r="AJ507">
        <v>4</v>
      </c>
      <c r="AK5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MIN(AJ507/8, 1) +
  Merge1[[#This Row],[index_defensive_effort]],
  2
)</f>
        <v>0.95</v>
      </c>
    </row>
    <row r="508" spans="1:37" x14ac:dyDescent="0.25">
      <c r="A508" t="s">
        <v>296</v>
      </c>
      <c r="B508" t="s">
        <v>297</v>
      </c>
      <c r="C508">
        <v>24</v>
      </c>
      <c r="D508" t="s">
        <v>56</v>
      </c>
      <c r="E508">
        <v>73</v>
      </c>
      <c r="F508">
        <v>196</v>
      </c>
      <c r="G508" t="s">
        <v>86</v>
      </c>
      <c r="H508">
        <v>2020</v>
      </c>
      <c r="I508" t="s">
        <v>33</v>
      </c>
      <c r="J508">
        <v>14</v>
      </c>
      <c r="K508">
        <v>0</v>
      </c>
      <c r="L508">
        <v>1</v>
      </c>
      <c r="M508">
        <v>1</v>
      </c>
      <c r="N508">
        <v>2</v>
      </c>
      <c r="O508">
        <v>0</v>
      </c>
      <c r="P508">
        <v>0</v>
      </c>
      <c r="Q508">
        <v>0</v>
      </c>
      <c r="R508">
        <v>0</v>
      </c>
      <c r="S508">
        <v>55</v>
      </c>
      <c r="T508">
        <v>55</v>
      </c>
      <c r="U508" s="5">
        <f>IF(Merge1[[#This Row],[team_defense_snaps]]=0, "", Merge1[[#This Row],[defense_snaps]] / Merge1[[#This Row],[team_defense_snaps]])</f>
        <v>0.66265060240963858</v>
      </c>
      <c r="V508">
        <v>83</v>
      </c>
      <c r="W508">
        <v>0</v>
      </c>
      <c r="X508" s="5" t="s">
        <v>29</v>
      </c>
      <c r="Y508">
        <v>2</v>
      </c>
      <c r="Z508">
        <v>0</v>
      </c>
      <c r="AA508" t="s">
        <v>25</v>
      </c>
      <c r="AB508" t="s">
        <v>26</v>
      </c>
      <c r="AC508" t="s">
        <v>27</v>
      </c>
      <c r="AD508" t="s">
        <v>42</v>
      </c>
      <c r="AE508" t="s">
        <v>25</v>
      </c>
      <c r="AF5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1.8181818181818181E-2</v>
      </c>
      <c r="AG508" t="s">
        <v>941</v>
      </c>
      <c r="AH508">
        <v>60</v>
      </c>
      <c r="AI508" t="s">
        <v>939</v>
      </c>
      <c r="AJ508">
        <v>5</v>
      </c>
      <c r="AK5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MIN(AJ508/8, 1) +
  Merge1[[#This Row],[index_defensive_effort]],
  2
)</f>
        <v>1.04</v>
      </c>
    </row>
    <row r="509" spans="1:37" x14ac:dyDescent="0.25">
      <c r="A509" t="s">
        <v>296</v>
      </c>
      <c r="B509" t="s">
        <v>297</v>
      </c>
      <c r="C509">
        <v>24</v>
      </c>
      <c r="D509" t="s">
        <v>56</v>
      </c>
      <c r="E509">
        <v>73</v>
      </c>
      <c r="F509">
        <v>196</v>
      </c>
      <c r="G509" t="s">
        <v>86</v>
      </c>
      <c r="H509">
        <v>2020</v>
      </c>
      <c r="I509" t="s">
        <v>33</v>
      </c>
      <c r="J509">
        <v>15</v>
      </c>
      <c r="K509">
        <v>4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52</v>
      </c>
      <c r="T509">
        <v>52</v>
      </c>
      <c r="U509" s="5">
        <f>IF(Merge1[[#This Row],[team_defense_snaps]]=0, "", Merge1[[#This Row],[defense_snaps]] / Merge1[[#This Row],[team_defense_snaps]])</f>
        <v>0.8666666666666667</v>
      </c>
      <c r="V509">
        <v>60</v>
      </c>
      <c r="W509">
        <v>0</v>
      </c>
      <c r="X509" s="5" t="s">
        <v>29</v>
      </c>
      <c r="Y509">
        <v>2</v>
      </c>
      <c r="Z509">
        <v>0</v>
      </c>
      <c r="AA509" t="s">
        <v>25</v>
      </c>
      <c r="AB509" t="s">
        <v>26</v>
      </c>
      <c r="AC509" t="s">
        <v>27</v>
      </c>
      <c r="AD509" t="s">
        <v>42</v>
      </c>
      <c r="AE509" t="s">
        <v>25</v>
      </c>
      <c r="AF5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0.11538461538461539</v>
      </c>
      <c r="AG509" t="s">
        <v>941</v>
      </c>
      <c r="AH509">
        <v>60.5</v>
      </c>
      <c r="AI509" t="s">
        <v>939</v>
      </c>
      <c r="AJ509">
        <v>6</v>
      </c>
      <c r="AK5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MIN(AJ509/8, 1) +
  Merge1[[#This Row],[index_defensive_effort]],
  2
)</f>
        <v>1.27</v>
      </c>
    </row>
    <row r="510" spans="1:37" x14ac:dyDescent="0.25">
      <c r="A510" t="s">
        <v>296</v>
      </c>
      <c r="B510" t="s">
        <v>297</v>
      </c>
      <c r="C510">
        <v>24</v>
      </c>
      <c r="D510" t="s">
        <v>56</v>
      </c>
      <c r="E510">
        <v>73</v>
      </c>
      <c r="F510">
        <v>196</v>
      </c>
      <c r="G510" t="s">
        <v>86</v>
      </c>
      <c r="H510">
        <v>2020</v>
      </c>
      <c r="I510" t="s">
        <v>33</v>
      </c>
      <c r="J510">
        <v>16</v>
      </c>
      <c r="K510">
        <v>4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70</v>
      </c>
      <c r="T510">
        <v>68</v>
      </c>
      <c r="U510" s="5">
        <f>IF(Merge1[[#This Row],[team_defense_snaps]]=0, "", Merge1[[#This Row],[defense_snaps]] / Merge1[[#This Row],[team_defense_snaps]])</f>
        <v>0.98550724637681164</v>
      </c>
      <c r="V510">
        <v>69</v>
      </c>
      <c r="W510">
        <v>2</v>
      </c>
      <c r="X510" s="5" t="s">
        <v>250</v>
      </c>
      <c r="Y510">
        <v>2</v>
      </c>
      <c r="Z510">
        <v>0</v>
      </c>
      <c r="AA510" t="s">
        <v>25</v>
      </c>
      <c r="AB510" t="s">
        <v>26</v>
      </c>
      <c r="AC510" t="s">
        <v>27</v>
      </c>
      <c r="AD510" t="s">
        <v>42</v>
      </c>
      <c r="AE510" t="s">
        <v>25</v>
      </c>
      <c r="AF5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5.7142857142857141E-2</v>
      </c>
      <c r="AG510" t="s">
        <v>941</v>
      </c>
      <c r="AH510">
        <v>80</v>
      </c>
      <c r="AI510" t="s">
        <v>939</v>
      </c>
      <c r="AJ510">
        <v>1</v>
      </c>
      <c r="AK5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MIN(AJ510/8, 1) +
  Merge1[[#This Row],[index_defensive_effort]],
  2
)</f>
        <v>0.57999999999999996</v>
      </c>
    </row>
    <row r="511" spans="1:37" x14ac:dyDescent="0.25">
      <c r="A511" t="s">
        <v>296</v>
      </c>
      <c r="B511" t="s">
        <v>297</v>
      </c>
      <c r="C511">
        <v>24</v>
      </c>
      <c r="D511" t="s">
        <v>56</v>
      </c>
      <c r="E511">
        <v>73</v>
      </c>
      <c r="F511">
        <v>196</v>
      </c>
      <c r="G511" t="s">
        <v>86</v>
      </c>
      <c r="H511">
        <v>2020</v>
      </c>
      <c r="I511" t="s">
        <v>24</v>
      </c>
      <c r="J511">
        <v>19</v>
      </c>
      <c r="K511">
        <v>5</v>
      </c>
      <c r="L511">
        <v>1</v>
      </c>
      <c r="M511">
        <v>1</v>
      </c>
      <c r="N511">
        <v>2</v>
      </c>
      <c r="O511">
        <v>0</v>
      </c>
      <c r="P511">
        <v>1</v>
      </c>
      <c r="Q511">
        <v>0</v>
      </c>
      <c r="R511">
        <v>0</v>
      </c>
      <c r="S511">
        <v>64</v>
      </c>
      <c r="T511">
        <v>64</v>
      </c>
      <c r="U511" s="5">
        <f>IF(Merge1[[#This Row],[team_defense_snaps]]=0, "", Merge1[[#This Row],[defense_snaps]] / Merge1[[#This Row],[team_defense_snaps]])</f>
        <v>1</v>
      </c>
      <c r="V511">
        <v>64</v>
      </c>
      <c r="W511">
        <v>0</v>
      </c>
      <c r="X511" s="5" t="s">
        <v>29</v>
      </c>
      <c r="Y511">
        <v>2</v>
      </c>
      <c r="Z511">
        <v>0</v>
      </c>
      <c r="AA511" t="s">
        <v>25</v>
      </c>
      <c r="AB511" t="s">
        <v>26</v>
      </c>
      <c r="AC511" t="s">
        <v>27</v>
      </c>
      <c r="AD511" t="s">
        <v>42</v>
      </c>
      <c r="AE511" t="s">
        <v>25</v>
      </c>
      <c r="AF5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511" t="s">
        <v>941</v>
      </c>
      <c r="AH511">
        <v>59</v>
      </c>
      <c r="AI511" t="s">
        <v>939</v>
      </c>
      <c r="AJ511">
        <v>2</v>
      </c>
      <c r="AK5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MIN(AJ511/8, 1) +
  Merge1[[#This Row],[index_defensive_effort]],
  2
)</f>
        <v>0.98</v>
      </c>
    </row>
    <row r="512" spans="1:37" x14ac:dyDescent="0.25">
      <c r="A512" t="s">
        <v>296</v>
      </c>
      <c r="B512" t="s">
        <v>297</v>
      </c>
      <c r="C512">
        <v>24</v>
      </c>
      <c r="D512" t="s">
        <v>56</v>
      </c>
      <c r="E512">
        <v>73</v>
      </c>
      <c r="F512">
        <v>196</v>
      </c>
      <c r="G512" t="s">
        <v>86</v>
      </c>
      <c r="H512">
        <v>2020</v>
      </c>
      <c r="I512" t="s">
        <v>24</v>
      </c>
      <c r="J512">
        <v>20</v>
      </c>
      <c r="K512">
        <v>6</v>
      </c>
      <c r="L512">
        <v>1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71</v>
      </c>
      <c r="T512">
        <v>71</v>
      </c>
      <c r="U512" s="5">
        <f>IF(Merge1[[#This Row],[team_defense_snaps]]=0, "", Merge1[[#This Row],[defense_snaps]] / Merge1[[#This Row],[team_defense_snaps]])</f>
        <v>0.98611111111111116</v>
      </c>
      <c r="V512">
        <v>72</v>
      </c>
      <c r="W512">
        <v>0</v>
      </c>
      <c r="X512" s="5" t="s">
        <v>29</v>
      </c>
      <c r="Y512">
        <v>2</v>
      </c>
      <c r="Z512">
        <v>0</v>
      </c>
      <c r="AA512" t="s">
        <v>25</v>
      </c>
      <c r="AB512" t="s">
        <v>26</v>
      </c>
      <c r="AC512" t="s">
        <v>27</v>
      </c>
      <c r="AD512" t="s">
        <v>42</v>
      </c>
      <c r="AE512" t="s">
        <v>25</v>
      </c>
      <c r="AF5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9.154929577464789E-2</v>
      </c>
      <c r="AG512" t="s">
        <v>941</v>
      </c>
      <c r="AH512">
        <v>75.5</v>
      </c>
      <c r="AI512" t="s">
        <v>27</v>
      </c>
      <c r="AJ512">
        <v>3</v>
      </c>
      <c r="AK5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MIN(AJ512/8, 1) +
  Merge1[[#This Row],[index_defensive_effort]],
  2
)</f>
        <v>1.07</v>
      </c>
    </row>
    <row r="513" spans="1:37" x14ac:dyDescent="0.25">
      <c r="A513" t="s">
        <v>296</v>
      </c>
      <c r="B513" t="s">
        <v>297</v>
      </c>
      <c r="C513">
        <v>24</v>
      </c>
      <c r="D513" t="s">
        <v>56</v>
      </c>
      <c r="E513">
        <v>73</v>
      </c>
      <c r="F513">
        <v>196</v>
      </c>
      <c r="G513" t="s">
        <v>86</v>
      </c>
      <c r="H513">
        <v>2020</v>
      </c>
      <c r="I513" t="s">
        <v>24</v>
      </c>
      <c r="J513">
        <v>21</v>
      </c>
      <c r="K513">
        <v>3</v>
      </c>
      <c r="L513">
        <v>2</v>
      </c>
      <c r="M513">
        <v>0</v>
      </c>
      <c r="N513">
        <v>2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 s="5" t="str">
        <f>IF(Merge1[[#This Row],[team_defense_snaps]]=0, "", Merge1[[#This Row],[defense_snaps]] / Merge1[[#This Row],[team_defense_snaps]])</f>
        <v/>
      </c>
      <c r="V513">
        <v>0</v>
      </c>
      <c r="W513">
        <v>0</v>
      </c>
      <c r="X513" s="5" t="s">
        <v>29</v>
      </c>
      <c r="Y513">
        <v>2</v>
      </c>
      <c r="Z513">
        <v>0</v>
      </c>
      <c r="AA513" t="s">
        <v>25</v>
      </c>
      <c r="AB513" t="s">
        <v>26</v>
      </c>
      <c r="AC513" t="s">
        <v>27</v>
      </c>
      <c r="AD513" t="s">
        <v>42</v>
      </c>
      <c r="AE513" t="s">
        <v>25</v>
      </c>
      <c r="AF5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513" t="s">
        <v>941</v>
      </c>
      <c r="AH513">
        <v>68</v>
      </c>
      <c r="AI513" t="s">
        <v>939</v>
      </c>
      <c r="AJ513">
        <v>1</v>
      </c>
      <c r="AK5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MIN(AJ513/8, 1) +
  Merge1[[#This Row],[index_defensive_effort]],
  2
)</f>
        <v>0.73</v>
      </c>
    </row>
    <row r="514" spans="1:37" x14ac:dyDescent="0.25">
      <c r="A514" t="s">
        <v>264</v>
      </c>
      <c r="B514" t="s">
        <v>265</v>
      </c>
      <c r="C514">
        <v>23</v>
      </c>
      <c r="D514" t="s">
        <v>22</v>
      </c>
      <c r="E514">
        <v>71</v>
      </c>
      <c r="F514">
        <v>210</v>
      </c>
      <c r="G514" t="s">
        <v>28</v>
      </c>
      <c r="H514">
        <v>2020</v>
      </c>
      <c r="I514" t="s">
        <v>33</v>
      </c>
      <c r="J514">
        <v>1</v>
      </c>
      <c r="K514">
        <v>9</v>
      </c>
      <c r="L514">
        <v>1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71</v>
      </c>
      <c r="T514">
        <v>61</v>
      </c>
      <c r="U514" s="5">
        <f>IF(Merge1[[#This Row],[team_defense_snaps]]=0, "", Merge1[[#This Row],[defense_snaps]] / Merge1[[#This Row],[team_defense_snaps]])</f>
        <v>0.87142857142857144</v>
      </c>
      <c r="V514">
        <v>70</v>
      </c>
      <c r="W514">
        <v>10</v>
      </c>
      <c r="X514" s="5" t="s">
        <v>138</v>
      </c>
      <c r="Y514">
        <v>1</v>
      </c>
      <c r="Z514">
        <v>0</v>
      </c>
      <c r="AA514" t="s">
        <v>25</v>
      </c>
      <c r="AB514" t="s">
        <v>26</v>
      </c>
      <c r="AC514" t="s">
        <v>27</v>
      </c>
      <c r="AD514" t="s">
        <v>42</v>
      </c>
      <c r="AE514" t="s">
        <v>25</v>
      </c>
      <c r="AF5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0.13380281690140844</v>
      </c>
      <c r="AG514" t="s">
        <v>942</v>
      </c>
      <c r="AH514">
        <v>65</v>
      </c>
      <c r="AI514" t="s">
        <v>939</v>
      </c>
      <c r="AJ514">
        <v>2</v>
      </c>
      <c r="AK5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MIN(AJ514/8, 1) +
  Merge1[[#This Row],[index_defensive_effort]],
  2
)</f>
        <v>0.88</v>
      </c>
    </row>
    <row r="515" spans="1:37" x14ac:dyDescent="0.25">
      <c r="A515" t="s">
        <v>264</v>
      </c>
      <c r="B515" t="s">
        <v>265</v>
      </c>
      <c r="C515">
        <v>23</v>
      </c>
      <c r="D515" t="s">
        <v>22</v>
      </c>
      <c r="E515">
        <v>71</v>
      </c>
      <c r="F515">
        <v>210</v>
      </c>
      <c r="G515" t="s">
        <v>28</v>
      </c>
      <c r="H515">
        <v>2020</v>
      </c>
      <c r="I515" t="s">
        <v>33</v>
      </c>
      <c r="J515">
        <v>2</v>
      </c>
      <c r="K515">
        <v>0</v>
      </c>
      <c r="L515">
        <v>1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61</v>
      </c>
      <c r="T515">
        <v>55</v>
      </c>
      <c r="U515" s="5">
        <f>IF(Merge1[[#This Row],[team_defense_snaps]]=0, "", Merge1[[#This Row],[defense_snaps]] / Merge1[[#This Row],[team_defense_snaps]])</f>
        <v>0.67901234567901236</v>
      </c>
      <c r="V515">
        <v>81</v>
      </c>
      <c r="W515">
        <v>6</v>
      </c>
      <c r="X515" s="5" t="s">
        <v>139</v>
      </c>
      <c r="Y515">
        <v>1</v>
      </c>
      <c r="Z515">
        <v>0</v>
      </c>
      <c r="AA515" t="s">
        <v>25</v>
      </c>
      <c r="AB515" t="s">
        <v>26</v>
      </c>
      <c r="AC515" t="s">
        <v>27</v>
      </c>
      <c r="AD515" t="s">
        <v>42</v>
      </c>
      <c r="AE515" t="s">
        <v>25</v>
      </c>
      <c r="AF5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8.1967213114754103E-3</v>
      </c>
      <c r="AG515" t="s">
        <v>942</v>
      </c>
      <c r="AH515">
        <v>62.5</v>
      </c>
      <c r="AI515" t="s">
        <v>939</v>
      </c>
      <c r="AJ515">
        <v>3</v>
      </c>
      <c r="AK5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MIN(AJ515/8, 1) +
  Merge1[[#This Row],[index_defensive_effort]],
  2
)</f>
        <v>0.88</v>
      </c>
    </row>
    <row r="516" spans="1:37" x14ac:dyDescent="0.25">
      <c r="A516" t="s">
        <v>264</v>
      </c>
      <c r="B516" t="s">
        <v>265</v>
      </c>
      <c r="C516">
        <v>23</v>
      </c>
      <c r="D516" t="s">
        <v>22</v>
      </c>
      <c r="E516">
        <v>71</v>
      </c>
      <c r="F516">
        <v>210</v>
      </c>
      <c r="G516" t="s">
        <v>28</v>
      </c>
      <c r="H516">
        <v>2020</v>
      </c>
      <c r="I516" t="s">
        <v>33</v>
      </c>
      <c r="J516">
        <v>3</v>
      </c>
      <c r="K516">
        <v>6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67</v>
      </c>
      <c r="T516">
        <v>60</v>
      </c>
      <c r="U516" s="5">
        <f>IF(Merge1[[#This Row],[team_defense_snaps]]=0, "", Merge1[[#This Row],[defense_snaps]] / Merge1[[#This Row],[team_defense_snaps]])</f>
        <v>0.967741935483871</v>
      </c>
      <c r="V516">
        <v>62</v>
      </c>
      <c r="W516">
        <v>7</v>
      </c>
      <c r="X516" s="5" t="s">
        <v>139</v>
      </c>
      <c r="Y516">
        <v>1</v>
      </c>
      <c r="Z516">
        <v>0</v>
      </c>
      <c r="AA516" t="s">
        <v>25</v>
      </c>
      <c r="AB516" t="s">
        <v>26</v>
      </c>
      <c r="AC516" t="s">
        <v>27</v>
      </c>
      <c r="AD516" t="s">
        <v>42</v>
      </c>
      <c r="AE516" t="s">
        <v>25</v>
      </c>
      <c r="AF5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8.9552238805970144E-2</v>
      </c>
      <c r="AG516" t="s">
        <v>942</v>
      </c>
      <c r="AH516">
        <v>74.5</v>
      </c>
      <c r="AI516" t="s">
        <v>939</v>
      </c>
      <c r="AJ516">
        <v>4</v>
      </c>
      <c r="AK5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MIN(AJ516/8, 1) +
  Merge1[[#This Row],[index_defensive_effort]],
  2
)</f>
        <v>1.0900000000000001</v>
      </c>
    </row>
    <row r="517" spans="1:37" x14ac:dyDescent="0.25">
      <c r="A517" t="s">
        <v>264</v>
      </c>
      <c r="B517" t="s">
        <v>265</v>
      </c>
      <c r="C517">
        <v>23</v>
      </c>
      <c r="D517" t="s">
        <v>22</v>
      </c>
      <c r="E517">
        <v>71</v>
      </c>
      <c r="F517">
        <v>210</v>
      </c>
      <c r="G517" t="s">
        <v>28</v>
      </c>
      <c r="H517">
        <v>2020</v>
      </c>
      <c r="I517" t="s">
        <v>33</v>
      </c>
      <c r="J517">
        <v>4</v>
      </c>
      <c r="K517">
        <v>5</v>
      </c>
      <c r="L517">
        <v>1</v>
      </c>
      <c r="M517">
        <v>0</v>
      </c>
      <c r="N517">
        <v>1</v>
      </c>
      <c r="O517">
        <v>0</v>
      </c>
      <c r="P517">
        <v>1</v>
      </c>
      <c r="Q517">
        <v>0</v>
      </c>
      <c r="R517">
        <v>0</v>
      </c>
      <c r="S517">
        <v>69</v>
      </c>
      <c r="T517">
        <v>59</v>
      </c>
      <c r="U517" s="5">
        <f>IF(Merge1[[#This Row],[team_defense_snaps]]=0, "", Merge1[[#This Row],[defense_snaps]] / Merge1[[#This Row],[team_defense_snaps]])</f>
        <v>0.96721311475409832</v>
      </c>
      <c r="V517">
        <v>61</v>
      </c>
      <c r="W517">
        <v>10</v>
      </c>
      <c r="X517" s="5" t="s">
        <v>221</v>
      </c>
      <c r="Y517">
        <v>1</v>
      </c>
      <c r="Z517">
        <v>0</v>
      </c>
      <c r="AA517" t="s">
        <v>25</v>
      </c>
      <c r="AB517" t="s">
        <v>26</v>
      </c>
      <c r="AC517" t="s">
        <v>27</v>
      </c>
      <c r="AD517" t="s">
        <v>42</v>
      </c>
      <c r="AE517" t="s">
        <v>25</v>
      </c>
      <c r="AF5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0.10869565217391304</v>
      </c>
      <c r="AG517" t="s">
        <v>942</v>
      </c>
      <c r="AH517">
        <v>65</v>
      </c>
      <c r="AI517" t="s">
        <v>939</v>
      </c>
      <c r="AJ517">
        <v>5</v>
      </c>
      <c r="AK5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MIN(AJ517/8, 1) +
  Merge1[[#This Row],[index_defensive_effort]],
  2
)</f>
        <v>1.23</v>
      </c>
    </row>
    <row r="518" spans="1:37" x14ac:dyDescent="0.25">
      <c r="A518" t="s">
        <v>264</v>
      </c>
      <c r="B518" t="s">
        <v>265</v>
      </c>
      <c r="C518">
        <v>23</v>
      </c>
      <c r="D518" t="s">
        <v>22</v>
      </c>
      <c r="E518">
        <v>71</v>
      </c>
      <c r="F518">
        <v>210</v>
      </c>
      <c r="G518" t="s">
        <v>28</v>
      </c>
      <c r="H518">
        <v>2020</v>
      </c>
      <c r="I518" t="s">
        <v>33</v>
      </c>
      <c r="J518">
        <v>5</v>
      </c>
      <c r="K518">
        <v>2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73</v>
      </c>
      <c r="T518">
        <v>59</v>
      </c>
      <c r="U518" s="5">
        <f>IF(Merge1[[#This Row],[team_defense_snaps]]=0, "", Merge1[[#This Row],[defense_snaps]] / Merge1[[#This Row],[team_defense_snaps]])</f>
        <v>0.83098591549295775</v>
      </c>
      <c r="V518">
        <v>71</v>
      </c>
      <c r="W518">
        <v>14</v>
      </c>
      <c r="X518" s="5" t="s">
        <v>60</v>
      </c>
      <c r="Y518">
        <v>1</v>
      </c>
      <c r="Z518">
        <v>0</v>
      </c>
      <c r="AA518" t="s">
        <v>25</v>
      </c>
      <c r="AB518" t="s">
        <v>26</v>
      </c>
      <c r="AC518" t="s">
        <v>27</v>
      </c>
      <c r="AD518" t="s">
        <v>28</v>
      </c>
      <c r="AE518" t="s">
        <v>25</v>
      </c>
      <c r="AF5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2.7397260273972601E-2</v>
      </c>
      <c r="AG518" t="s">
        <v>942</v>
      </c>
      <c r="AH518">
        <v>76</v>
      </c>
      <c r="AI518" t="s">
        <v>939</v>
      </c>
      <c r="AJ518">
        <v>1</v>
      </c>
      <c r="AK5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MIN(AJ518/8, 1) +
  Merge1[[#This Row],[index_defensive_effort]],
  2
)</f>
        <v>0.65</v>
      </c>
    </row>
    <row r="519" spans="1:37" x14ac:dyDescent="0.25">
      <c r="A519" t="s">
        <v>264</v>
      </c>
      <c r="B519" t="s">
        <v>265</v>
      </c>
      <c r="C519">
        <v>23</v>
      </c>
      <c r="D519" t="s">
        <v>22</v>
      </c>
      <c r="E519">
        <v>71</v>
      </c>
      <c r="F519">
        <v>210</v>
      </c>
      <c r="G519" t="s">
        <v>28</v>
      </c>
      <c r="H519">
        <v>2020</v>
      </c>
      <c r="I519" t="s">
        <v>33</v>
      </c>
      <c r="J519">
        <v>7</v>
      </c>
      <c r="K519">
        <v>5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40</v>
      </c>
      <c r="T519">
        <v>33</v>
      </c>
      <c r="U519" s="5">
        <f>IF(Merge1[[#This Row],[team_defense_snaps]]=0, "", Merge1[[#This Row],[defense_snaps]] / Merge1[[#This Row],[team_defense_snaps]])</f>
        <v>0.71739130434782605</v>
      </c>
      <c r="V519">
        <v>46</v>
      </c>
      <c r="W519">
        <v>7</v>
      </c>
      <c r="X519" s="5" t="s">
        <v>108</v>
      </c>
      <c r="Y519">
        <v>1</v>
      </c>
      <c r="Z519">
        <v>0</v>
      </c>
      <c r="AA519" t="s">
        <v>25</v>
      </c>
      <c r="AB519" t="s">
        <v>26</v>
      </c>
      <c r="AC519" t="s">
        <v>27</v>
      </c>
      <c r="AD519" t="s">
        <v>28</v>
      </c>
      <c r="AE519" t="s">
        <v>25</v>
      </c>
      <c r="AF5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519" t="s">
        <v>942</v>
      </c>
      <c r="AH519">
        <v>79</v>
      </c>
      <c r="AI519" t="s">
        <v>939</v>
      </c>
      <c r="AJ519">
        <v>2</v>
      </c>
      <c r="AK5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MIN(AJ519/8, 1) +
  Merge1[[#This Row],[index_defensive_effort]],
  2
)</f>
        <v>0.88</v>
      </c>
    </row>
    <row r="520" spans="1:37" x14ac:dyDescent="0.25">
      <c r="A520" t="s">
        <v>264</v>
      </c>
      <c r="B520" t="s">
        <v>265</v>
      </c>
      <c r="C520">
        <v>23</v>
      </c>
      <c r="D520" t="s">
        <v>22</v>
      </c>
      <c r="E520">
        <v>71</v>
      </c>
      <c r="F520">
        <v>210</v>
      </c>
      <c r="G520" t="s">
        <v>28</v>
      </c>
      <c r="H520">
        <v>2020</v>
      </c>
      <c r="I520" t="s">
        <v>33</v>
      </c>
      <c r="J520">
        <v>8</v>
      </c>
      <c r="K520">
        <v>9</v>
      </c>
      <c r="L520">
        <v>1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79</v>
      </c>
      <c r="T520">
        <v>69</v>
      </c>
      <c r="U520" s="5">
        <f>IF(Merge1[[#This Row],[team_defense_snaps]]=0, "", Merge1[[#This Row],[defense_snaps]] / Merge1[[#This Row],[team_defense_snaps]])</f>
        <v>0.98571428571428577</v>
      </c>
      <c r="V520">
        <v>70</v>
      </c>
      <c r="W520">
        <v>10</v>
      </c>
      <c r="X520" s="5" t="s">
        <v>138</v>
      </c>
      <c r="Y520">
        <v>1</v>
      </c>
      <c r="Z520">
        <v>0</v>
      </c>
      <c r="AA520" t="s">
        <v>25</v>
      </c>
      <c r="AB520" t="s">
        <v>26</v>
      </c>
      <c r="AC520" t="s">
        <v>27</v>
      </c>
      <c r="AD520" t="s">
        <v>42</v>
      </c>
      <c r="AE520" t="s">
        <v>25</v>
      </c>
      <c r="AF5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0.12025316455696203</v>
      </c>
      <c r="AG520" t="s">
        <v>942</v>
      </c>
      <c r="AH520">
        <v>64</v>
      </c>
      <c r="AI520" t="s">
        <v>939</v>
      </c>
      <c r="AJ520">
        <v>3</v>
      </c>
      <c r="AK5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MIN(AJ520/8, 1) +
  Merge1[[#This Row],[index_defensive_effort]],
  2
)</f>
        <v>1</v>
      </c>
    </row>
    <row r="521" spans="1:37" x14ac:dyDescent="0.25">
      <c r="A521" t="s">
        <v>264</v>
      </c>
      <c r="B521" t="s">
        <v>265</v>
      </c>
      <c r="C521">
        <v>23</v>
      </c>
      <c r="D521" t="s">
        <v>22</v>
      </c>
      <c r="E521">
        <v>71</v>
      </c>
      <c r="F521">
        <v>210</v>
      </c>
      <c r="G521" t="s">
        <v>28</v>
      </c>
      <c r="H521">
        <v>2020</v>
      </c>
      <c r="I521" t="s">
        <v>33</v>
      </c>
      <c r="J521">
        <v>9</v>
      </c>
      <c r="K521">
        <v>1</v>
      </c>
      <c r="L521">
        <v>1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58</v>
      </c>
      <c r="T521">
        <v>46</v>
      </c>
      <c r="U521" s="5">
        <f>IF(Merge1[[#This Row],[team_defense_snaps]]=0, "", Merge1[[#This Row],[defense_snaps]] / Merge1[[#This Row],[team_defense_snaps]])</f>
        <v>0.92</v>
      </c>
      <c r="V521">
        <v>50</v>
      </c>
      <c r="W521">
        <v>12</v>
      </c>
      <c r="X521" s="5" t="s">
        <v>232</v>
      </c>
      <c r="Y521">
        <v>1</v>
      </c>
      <c r="Z521">
        <v>0</v>
      </c>
      <c r="AA521" t="s">
        <v>25</v>
      </c>
      <c r="AB521" t="s">
        <v>26</v>
      </c>
      <c r="AC521" t="s">
        <v>27</v>
      </c>
      <c r="AD521" t="s">
        <v>42</v>
      </c>
      <c r="AE521" t="s">
        <v>25</v>
      </c>
      <c r="AF5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2.5862068965517241E-2</v>
      </c>
      <c r="AG521" t="s">
        <v>942</v>
      </c>
      <c r="AH521">
        <v>65.5</v>
      </c>
      <c r="AI521" t="s">
        <v>939</v>
      </c>
      <c r="AJ521">
        <v>4</v>
      </c>
      <c r="AK5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MIN(AJ521/8, 1) +
  Merge1[[#This Row],[index_defensive_effort]],
  2
)</f>
        <v>1.03</v>
      </c>
    </row>
    <row r="522" spans="1:37" x14ac:dyDescent="0.25">
      <c r="A522" t="s">
        <v>264</v>
      </c>
      <c r="B522" t="s">
        <v>265</v>
      </c>
      <c r="C522">
        <v>23</v>
      </c>
      <c r="D522" t="s">
        <v>22</v>
      </c>
      <c r="E522">
        <v>71</v>
      </c>
      <c r="F522">
        <v>210</v>
      </c>
      <c r="G522" t="s">
        <v>28</v>
      </c>
      <c r="H522">
        <v>2020</v>
      </c>
      <c r="I522" t="s">
        <v>33</v>
      </c>
      <c r="J522">
        <v>10</v>
      </c>
      <c r="K522">
        <v>10</v>
      </c>
      <c r="L522">
        <v>2</v>
      </c>
      <c r="M522">
        <v>1</v>
      </c>
      <c r="N522">
        <v>3</v>
      </c>
      <c r="O522">
        <v>4</v>
      </c>
      <c r="P522">
        <v>7</v>
      </c>
      <c r="Q522">
        <v>0</v>
      </c>
      <c r="R522">
        <v>0</v>
      </c>
      <c r="S522">
        <v>72</v>
      </c>
      <c r="T522">
        <v>61</v>
      </c>
      <c r="U522" s="5">
        <f>IF(Merge1[[#This Row],[team_defense_snaps]]=0, "", Merge1[[#This Row],[defense_snaps]] / Merge1[[#This Row],[team_defense_snaps]])</f>
        <v>0.84722222222222221</v>
      </c>
      <c r="V522">
        <v>72</v>
      </c>
      <c r="W522">
        <v>11</v>
      </c>
      <c r="X522" s="5" t="s">
        <v>57</v>
      </c>
      <c r="Y522">
        <v>1</v>
      </c>
      <c r="Z522">
        <v>0</v>
      </c>
      <c r="AA522" t="s">
        <v>25</v>
      </c>
      <c r="AB522" t="s">
        <v>26</v>
      </c>
      <c r="AC522" t="s">
        <v>27</v>
      </c>
      <c r="AD522" t="s">
        <v>42</v>
      </c>
      <c r="AE522" t="s">
        <v>25</v>
      </c>
      <c r="AF5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0.52083333333333337</v>
      </c>
      <c r="AG522" t="s">
        <v>942</v>
      </c>
      <c r="AH522">
        <v>67</v>
      </c>
      <c r="AI522" t="s">
        <v>939</v>
      </c>
      <c r="AJ522">
        <v>5</v>
      </c>
      <c r="AK5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MIN(AJ522/8, 1) +
  Merge1[[#This Row],[index_defensive_effort]],
  2
)</f>
        <v>1.65</v>
      </c>
    </row>
    <row r="523" spans="1:37" x14ac:dyDescent="0.25">
      <c r="A523" t="s">
        <v>264</v>
      </c>
      <c r="B523" t="s">
        <v>265</v>
      </c>
      <c r="C523">
        <v>23</v>
      </c>
      <c r="D523" t="s">
        <v>22</v>
      </c>
      <c r="E523">
        <v>71</v>
      </c>
      <c r="F523">
        <v>210</v>
      </c>
      <c r="G523" t="s">
        <v>28</v>
      </c>
      <c r="H523">
        <v>2020</v>
      </c>
      <c r="I523" t="s">
        <v>33</v>
      </c>
      <c r="J523">
        <v>11</v>
      </c>
      <c r="K523">
        <v>2</v>
      </c>
      <c r="L523">
        <v>2</v>
      </c>
      <c r="M523">
        <v>0</v>
      </c>
      <c r="N523">
        <v>2</v>
      </c>
      <c r="O523">
        <v>0</v>
      </c>
      <c r="P523">
        <v>1</v>
      </c>
      <c r="Q523">
        <v>0</v>
      </c>
      <c r="R523">
        <v>0</v>
      </c>
      <c r="S523">
        <v>67</v>
      </c>
      <c r="T523">
        <v>57</v>
      </c>
      <c r="U523" s="5">
        <f>IF(Merge1[[#This Row],[team_defense_snaps]]=0, "", Merge1[[#This Row],[defense_snaps]] / Merge1[[#This Row],[team_defense_snaps]])</f>
        <v>0.91935483870967738</v>
      </c>
      <c r="V523">
        <v>62</v>
      </c>
      <c r="W523">
        <v>10</v>
      </c>
      <c r="X523" s="5" t="s">
        <v>158</v>
      </c>
      <c r="Y523">
        <v>1</v>
      </c>
      <c r="Z523">
        <v>0</v>
      </c>
      <c r="AA523" t="s">
        <v>25</v>
      </c>
      <c r="AB523" t="s">
        <v>26</v>
      </c>
      <c r="AC523" t="s">
        <v>27</v>
      </c>
      <c r="AD523" t="s">
        <v>42</v>
      </c>
      <c r="AE523" t="s">
        <v>25</v>
      </c>
      <c r="AF5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7.4626865671641784E-2</v>
      </c>
      <c r="AG523" t="s">
        <v>942</v>
      </c>
      <c r="AH523">
        <v>68.5</v>
      </c>
      <c r="AI523" t="s">
        <v>939</v>
      </c>
      <c r="AJ523">
        <v>6</v>
      </c>
      <c r="AK5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MIN(AJ523/8, 1) +
  Merge1[[#This Row],[index_defensive_effort]],
  2
)</f>
        <v>1.32</v>
      </c>
    </row>
    <row r="524" spans="1:37" x14ac:dyDescent="0.25">
      <c r="A524" t="s">
        <v>264</v>
      </c>
      <c r="B524" t="s">
        <v>265</v>
      </c>
      <c r="C524">
        <v>23</v>
      </c>
      <c r="D524" t="s">
        <v>22</v>
      </c>
      <c r="E524">
        <v>71</v>
      </c>
      <c r="F524">
        <v>210</v>
      </c>
      <c r="G524" t="s">
        <v>28</v>
      </c>
      <c r="H524">
        <v>2020</v>
      </c>
      <c r="I524" t="s">
        <v>33</v>
      </c>
      <c r="J524">
        <v>12</v>
      </c>
      <c r="K524">
        <v>2</v>
      </c>
      <c r="L524">
        <v>1</v>
      </c>
      <c r="M524">
        <v>0</v>
      </c>
      <c r="N524">
        <v>1</v>
      </c>
      <c r="O524">
        <v>0</v>
      </c>
      <c r="P524">
        <v>2</v>
      </c>
      <c r="Q524">
        <v>2</v>
      </c>
      <c r="R524">
        <v>0</v>
      </c>
      <c r="S524">
        <v>51</v>
      </c>
      <c r="T524">
        <v>39</v>
      </c>
      <c r="U524" s="5">
        <f>IF(Merge1[[#This Row],[team_defense_snaps]]=0, "", Merge1[[#This Row],[defense_snaps]] / Merge1[[#This Row],[team_defense_snaps]])</f>
        <v>0.88636363636363635</v>
      </c>
      <c r="V524">
        <v>44</v>
      </c>
      <c r="W524">
        <v>12</v>
      </c>
      <c r="X524" s="5" t="s">
        <v>243</v>
      </c>
      <c r="Y524">
        <v>1</v>
      </c>
      <c r="Z524">
        <v>0</v>
      </c>
      <c r="AA524" t="s">
        <v>25</v>
      </c>
      <c r="AB524" t="s">
        <v>26</v>
      </c>
      <c r="AC524" t="s">
        <v>27</v>
      </c>
      <c r="AD524" t="s">
        <v>42</v>
      </c>
      <c r="AE524" t="s">
        <v>25</v>
      </c>
      <c r="AF5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0.28431372549019607</v>
      </c>
      <c r="AG524" t="s">
        <v>942</v>
      </c>
      <c r="AH524">
        <v>85</v>
      </c>
      <c r="AI524" t="s">
        <v>939</v>
      </c>
      <c r="AJ524">
        <v>7</v>
      </c>
      <c r="AK5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MIN(AJ524/8, 1) +
  Merge1[[#This Row],[index_defensive_effort]],
  2
)</f>
        <v>1.66</v>
      </c>
    </row>
    <row r="525" spans="1:37" x14ac:dyDescent="0.25">
      <c r="A525" t="s">
        <v>264</v>
      </c>
      <c r="B525" t="s">
        <v>265</v>
      </c>
      <c r="C525">
        <v>23</v>
      </c>
      <c r="D525" t="s">
        <v>22</v>
      </c>
      <c r="E525">
        <v>71</v>
      </c>
      <c r="F525">
        <v>210</v>
      </c>
      <c r="G525" t="s">
        <v>28</v>
      </c>
      <c r="H525">
        <v>2020</v>
      </c>
      <c r="I525" t="s">
        <v>33</v>
      </c>
      <c r="J525">
        <v>13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67</v>
      </c>
      <c r="T525">
        <v>58</v>
      </c>
      <c r="U525" s="5">
        <f>IF(Merge1[[#This Row],[team_defense_snaps]]=0, "", Merge1[[#This Row],[defense_snaps]] / Merge1[[#This Row],[team_defense_snaps]])</f>
        <v>0.86567164179104472</v>
      </c>
      <c r="V525">
        <v>67</v>
      </c>
      <c r="W525">
        <v>9</v>
      </c>
      <c r="X525" s="5" t="s">
        <v>70</v>
      </c>
      <c r="Y525">
        <v>1</v>
      </c>
      <c r="Z525">
        <v>0</v>
      </c>
      <c r="AA525" t="s">
        <v>25</v>
      </c>
      <c r="AB525" t="s">
        <v>26</v>
      </c>
      <c r="AC525" t="s">
        <v>27</v>
      </c>
      <c r="AD525" t="s">
        <v>42</v>
      </c>
      <c r="AE525" t="s">
        <v>25</v>
      </c>
      <c r="AF5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2.9850746268656716E-2</v>
      </c>
      <c r="AG525" t="s">
        <v>942</v>
      </c>
      <c r="AH525">
        <v>70</v>
      </c>
      <c r="AI525" t="s">
        <v>939</v>
      </c>
      <c r="AJ525">
        <v>8</v>
      </c>
      <c r="AK5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MIN(AJ525/8, 1) +
  Merge1[[#This Row],[index_defensive_effort]],
  2
)</f>
        <v>1.53</v>
      </c>
    </row>
    <row r="526" spans="1:37" x14ac:dyDescent="0.25">
      <c r="A526" t="s">
        <v>264</v>
      </c>
      <c r="B526" t="s">
        <v>265</v>
      </c>
      <c r="C526">
        <v>23</v>
      </c>
      <c r="D526" t="s">
        <v>22</v>
      </c>
      <c r="E526">
        <v>71</v>
      </c>
      <c r="F526">
        <v>210</v>
      </c>
      <c r="G526" t="s">
        <v>28</v>
      </c>
      <c r="H526">
        <v>2020</v>
      </c>
      <c r="I526" t="s">
        <v>33</v>
      </c>
      <c r="J526">
        <v>14</v>
      </c>
      <c r="K526">
        <v>5</v>
      </c>
      <c r="L526">
        <v>1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73</v>
      </c>
      <c r="T526">
        <v>66</v>
      </c>
      <c r="U526" s="5">
        <f>IF(Merge1[[#This Row],[team_defense_snaps]]=0, "", Merge1[[#This Row],[defense_snaps]] / Merge1[[#This Row],[team_defense_snaps]])</f>
        <v>0.95652173913043481</v>
      </c>
      <c r="V526">
        <v>69</v>
      </c>
      <c r="W526">
        <v>7</v>
      </c>
      <c r="X526" s="5" t="s">
        <v>136</v>
      </c>
      <c r="Y526">
        <v>1</v>
      </c>
      <c r="Z526">
        <v>0</v>
      </c>
      <c r="AA526" t="s">
        <v>25</v>
      </c>
      <c r="AB526" t="s">
        <v>26</v>
      </c>
      <c r="AC526" t="s">
        <v>27</v>
      </c>
      <c r="AD526" t="s">
        <v>42</v>
      </c>
      <c r="AE526" t="s">
        <v>25</v>
      </c>
      <c r="AF5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7.5342465753424653E-2</v>
      </c>
      <c r="AG526" t="s">
        <v>942</v>
      </c>
      <c r="AH526">
        <v>71.5</v>
      </c>
      <c r="AI526" t="s">
        <v>939</v>
      </c>
      <c r="AJ526">
        <v>9</v>
      </c>
      <c r="AK5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MIN(AJ526/8, 1) +
  Merge1[[#This Row],[index_defensive_effort]],
  2
)</f>
        <v>1.58</v>
      </c>
    </row>
    <row r="527" spans="1:37" x14ac:dyDescent="0.25">
      <c r="A527" t="s">
        <v>264</v>
      </c>
      <c r="B527" t="s">
        <v>265</v>
      </c>
      <c r="C527">
        <v>23</v>
      </c>
      <c r="D527" t="s">
        <v>22</v>
      </c>
      <c r="E527">
        <v>71</v>
      </c>
      <c r="F527">
        <v>210</v>
      </c>
      <c r="G527" t="s">
        <v>28</v>
      </c>
      <c r="H527">
        <v>2020</v>
      </c>
      <c r="I527" t="s">
        <v>33</v>
      </c>
      <c r="J527">
        <v>15</v>
      </c>
      <c r="K527">
        <v>2</v>
      </c>
      <c r="L527">
        <v>2</v>
      </c>
      <c r="M527">
        <v>0</v>
      </c>
      <c r="N527">
        <v>2</v>
      </c>
      <c r="O527">
        <v>0</v>
      </c>
      <c r="P527">
        <v>0</v>
      </c>
      <c r="Q527">
        <v>0</v>
      </c>
      <c r="R527">
        <v>0</v>
      </c>
      <c r="S527">
        <v>87</v>
      </c>
      <c r="T527">
        <v>78</v>
      </c>
      <c r="U527" s="5">
        <f>IF(Merge1[[#This Row],[team_defense_snaps]]=0, "", Merge1[[#This Row],[defense_snaps]] / Merge1[[#This Row],[team_defense_snaps]])</f>
        <v>0.78787878787878785</v>
      </c>
      <c r="V527">
        <v>99</v>
      </c>
      <c r="W527">
        <v>9</v>
      </c>
      <c r="X527" s="5" t="s">
        <v>137</v>
      </c>
      <c r="Y527">
        <v>1</v>
      </c>
      <c r="Z527">
        <v>0</v>
      </c>
      <c r="AA527" t="s">
        <v>25</v>
      </c>
      <c r="AB527" t="s">
        <v>26</v>
      </c>
      <c r="AC527" t="s">
        <v>27</v>
      </c>
      <c r="AD527" t="s">
        <v>42</v>
      </c>
      <c r="AE527" t="s">
        <v>25</v>
      </c>
      <c r="AF5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3.4482758620689655E-2</v>
      </c>
      <c r="AG527" t="s">
        <v>942</v>
      </c>
      <c r="AH527">
        <v>80.5</v>
      </c>
      <c r="AI527" t="s">
        <v>939</v>
      </c>
      <c r="AJ527">
        <v>10</v>
      </c>
      <c r="AK5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MIN(AJ527/8, 1) +
  Merge1[[#This Row],[index_defensive_effort]],
  2
)</f>
        <v>1.53</v>
      </c>
    </row>
    <row r="528" spans="1:37" x14ac:dyDescent="0.25">
      <c r="A528" t="s">
        <v>264</v>
      </c>
      <c r="B528" t="s">
        <v>265</v>
      </c>
      <c r="C528">
        <v>23</v>
      </c>
      <c r="D528" t="s">
        <v>22</v>
      </c>
      <c r="E528">
        <v>71</v>
      </c>
      <c r="F528">
        <v>210</v>
      </c>
      <c r="G528" t="s">
        <v>28</v>
      </c>
      <c r="H528">
        <v>2020</v>
      </c>
      <c r="I528" t="s">
        <v>33</v>
      </c>
      <c r="J528">
        <v>16</v>
      </c>
      <c r="K528">
        <v>2</v>
      </c>
      <c r="L528">
        <v>1</v>
      </c>
      <c r="M528">
        <v>0</v>
      </c>
      <c r="N528">
        <v>1</v>
      </c>
      <c r="O528">
        <v>0</v>
      </c>
      <c r="P528">
        <v>1</v>
      </c>
      <c r="Q528">
        <v>0</v>
      </c>
      <c r="R528">
        <v>0</v>
      </c>
      <c r="S528">
        <v>71</v>
      </c>
      <c r="T528">
        <v>60</v>
      </c>
      <c r="U528" s="5">
        <f>IF(Merge1[[#This Row],[team_defense_snaps]]=0, "", Merge1[[#This Row],[defense_snaps]] / Merge1[[#This Row],[team_defense_snaps]])</f>
        <v>0.9375</v>
      </c>
      <c r="V528">
        <v>64</v>
      </c>
      <c r="W528">
        <v>11</v>
      </c>
      <c r="X528" s="5" t="s">
        <v>70</v>
      </c>
      <c r="Y528">
        <v>1</v>
      </c>
      <c r="Z528">
        <v>0</v>
      </c>
      <c r="AA528" t="s">
        <v>25</v>
      </c>
      <c r="AB528" t="s">
        <v>26</v>
      </c>
      <c r="AC528" t="s">
        <v>27</v>
      </c>
      <c r="AD528" t="s">
        <v>42</v>
      </c>
      <c r="AE528" t="s">
        <v>25</v>
      </c>
      <c r="AF5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6.3380281690140844E-2</v>
      </c>
      <c r="AG528" t="s">
        <v>942</v>
      </c>
      <c r="AH528">
        <v>82</v>
      </c>
      <c r="AI528" t="s">
        <v>939</v>
      </c>
      <c r="AJ528">
        <v>1</v>
      </c>
      <c r="AK5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MIN(AJ528/8, 1) +
  Merge1[[#This Row],[index_defensive_effort]],
  2
)</f>
        <v>0.69</v>
      </c>
    </row>
    <row r="529" spans="1:37" x14ac:dyDescent="0.25">
      <c r="A529" t="s">
        <v>264</v>
      </c>
      <c r="B529" t="s">
        <v>265</v>
      </c>
      <c r="C529">
        <v>23</v>
      </c>
      <c r="D529" t="s">
        <v>22</v>
      </c>
      <c r="E529">
        <v>71</v>
      </c>
      <c r="F529">
        <v>210</v>
      </c>
      <c r="G529" t="s">
        <v>28</v>
      </c>
      <c r="H529">
        <v>2020</v>
      </c>
      <c r="I529" t="s">
        <v>24</v>
      </c>
      <c r="J529">
        <v>19</v>
      </c>
      <c r="K529">
        <v>1</v>
      </c>
      <c r="L529">
        <v>1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59</v>
      </c>
      <c r="T529">
        <v>51</v>
      </c>
      <c r="U529" s="5">
        <f>IF(Merge1[[#This Row],[team_defense_snaps]]=0, "", Merge1[[#This Row],[defense_snaps]] / Merge1[[#This Row],[team_defense_snaps]])</f>
        <v>0.72857142857142854</v>
      </c>
      <c r="V529">
        <v>70</v>
      </c>
      <c r="W529">
        <v>8</v>
      </c>
      <c r="X529" s="5" t="s">
        <v>138</v>
      </c>
      <c r="Y529">
        <v>1</v>
      </c>
      <c r="Z529">
        <v>0</v>
      </c>
      <c r="AA529" t="s">
        <v>25</v>
      </c>
      <c r="AB529" t="s">
        <v>26</v>
      </c>
      <c r="AC529" t="s">
        <v>27</v>
      </c>
      <c r="AD529" t="s">
        <v>42</v>
      </c>
      <c r="AE529" t="s">
        <v>25</v>
      </c>
      <c r="AF5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2.5423728813559324E-2</v>
      </c>
      <c r="AG529" t="s">
        <v>942</v>
      </c>
      <c r="AH529">
        <v>73</v>
      </c>
      <c r="AI529" t="s">
        <v>939</v>
      </c>
      <c r="AJ529">
        <v>1</v>
      </c>
      <c r="AK5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MIN(AJ529/8, 1) +
  Merge1[[#This Row],[index_defensive_effort]],
  2
)</f>
        <v>0.85</v>
      </c>
    </row>
    <row r="530" spans="1:37" x14ac:dyDescent="0.25">
      <c r="A530" t="s">
        <v>264</v>
      </c>
      <c r="B530" t="s">
        <v>265</v>
      </c>
      <c r="C530">
        <v>23</v>
      </c>
      <c r="D530" t="s">
        <v>22</v>
      </c>
      <c r="E530">
        <v>71</v>
      </c>
      <c r="F530">
        <v>210</v>
      </c>
      <c r="G530" t="s">
        <v>28</v>
      </c>
      <c r="H530">
        <v>2020</v>
      </c>
      <c r="I530" t="s">
        <v>24</v>
      </c>
      <c r="J530">
        <v>18</v>
      </c>
      <c r="K530">
        <v>6</v>
      </c>
      <c r="L530">
        <v>2</v>
      </c>
      <c r="M530">
        <v>0</v>
      </c>
      <c r="N530">
        <v>2</v>
      </c>
      <c r="O530">
        <v>0</v>
      </c>
      <c r="P530">
        <v>1</v>
      </c>
      <c r="Q530">
        <v>0</v>
      </c>
      <c r="R530">
        <v>0</v>
      </c>
      <c r="S530">
        <v>58</v>
      </c>
      <c r="T530">
        <v>48</v>
      </c>
      <c r="U530" s="5">
        <f>IF(Merge1[[#This Row],[team_defense_snaps]]=0, "", Merge1[[#This Row],[defense_snaps]] / Merge1[[#This Row],[team_defense_snaps]])</f>
        <v>0.97959183673469385</v>
      </c>
      <c r="V530">
        <v>49</v>
      </c>
      <c r="W530">
        <v>10</v>
      </c>
      <c r="X530" s="5" t="s">
        <v>131</v>
      </c>
      <c r="Y530">
        <v>1</v>
      </c>
      <c r="Z530">
        <v>0</v>
      </c>
      <c r="AA530" t="s">
        <v>25</v>
      </c>
      <c r="AB530" t="s">
        <v>26</v>
      </c>
      <c r="AC530" t="s">
        <v>27</v>
      </c>
      <c r="AD530" t="s">
        <v>42</v>
      </c>
      <c r="AE530" t="s">
        <v>25</v>
      </c>
      <c r="AF5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0.15517241379310345</v>
      </c>
      <c r="AG530" t="s">
        <v>942</v>
      </c>
      <c r="AH530">
        <v>83.5</v>
      </c>
      <c r="AI530" t="s">
        <v>939</v>
      </c>
      <c r="AJ530">
        <v>1</v>
      </c>
      <c r="AK5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MIN(AJ530/8, 1) +
  Merge1[[#This Row],[index_defensive_effort]],
  2
)</f>
        <v>0.98</v>
      </c>
    </row>
    <row r="531" spans="1:37" x14ac:dyDescent="0.25">
      <c r="A531" t="s">
        <v>239</v>
      </c>
      <c r="B531" t="s">
        <v>240</v>
      </c>
      <c r="C531">
        <v>25</v>
      </c>
      <c r="D531" t="s">
        <v>56</v>
      </c>
      <c r="E531">
        <v>71</v>
      </c>
      <c r="F531">
        <v>202</v>
      </c>
      <c r="G531" t="s">
        <v>78</v>
      </c>
      <c r="H531">
        <v>2020</v>
      </c>
      <c r="I531" t="s">
        <v>33</v>
      </c>
      <c r="J531">
        <v>1</v>
      </c>
      <c r="K531">
        <v>4</v>
      </c>
      <c r="L531">
        <v>0</v>
      </c>
      <c r="M531">
        <v>0</v>
      </c>
      <c r="N531">
        <v>0</v>
      </c>
      <c r="O531">
        <v>0</v>
      </c>
      <c r="P531">
        <v>2</v>
      </c>
      <c r="Q531">
        <v>2</v>
      </c>
      <c r="R531">
        <v>0</v>
      </c>
      <c r="S531">
        <v>61</v>
      </c>
      <c r="T531">
        <v>57</v>
      </c>
      <c r="U531" s="5">
        <f>IF(Merge1[[#This Row],[team_defense_snaps]]=0, "", Merge1[[#This Row],[defense_snaps]] / Merge1[[#This Row],[team_defense_snaps]])</f>
        <v>0.78082191780821919</v>
      </c>
      <c r="V531">
        <v>73</v>
      </c>
      <c r="W531">
        <v>4</v>
      </c>
      <c r="X531" s="5" t="s">
        <v>159</v>
      </c>
      <c r="Y531">
        <v>3</v>
      </c>
      <c r="Z531">
        <v>0</v>
      </c>
      <c r="AA531" t="s">
        <v>25</v>
      </c>
      <c r="AB531" t="s">
        <v>26</v>
      </c>
      <c r="AC531" t="s">
        <v>27</v>
      </c>
      <c r="AD531" t="s">
        <v>42</v>
      </c>
      <c r="AE531" t="s">
        <v>25</v>
      </c>
      <c r="AF5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0.26229508196721313</v>
      </c>
      <c r="AG531" t="s">
        <v>942</v>
      </c>
      <c r="AH531">
        <v>62.5</v>
      </c>
      <c r="AI531" t="s">
        <v>939</v>
      </c>
      <c r="AJ531">
        <v>2</v>
      </c>
      <c r="AK5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MIN(AJ531/8, 1) +
  Merge1[[#This Row],[index_defensive_effort]],
  2
)</f>
        <v>1.01</v>
      </c>
    </row>
    <row r="532" spans="1:37" x14ac:dyDescent="0.25">
      <c r="A532" t="s">
        <v>239</v>
      </c>
      <c r="B532" t="s">
        <v>240</v>
      </c>
      <c r="C532">
        <v>25</v>
      </c>
      <c r="D532" t="s">
        <v>56</v>
      </c>
      <c r="E532">
        <v>71</v>
      </c>
      <c r="F532">
        <v>202</v>
      </c>
      <c r="G532" t="s">
        <v>78</v>
      </c>
      <c r="H532">
        <v>2020</v>
      </c>
      <c r="I532" t="s">
        <v>33</v>
      </c>
      <c r="J532">
        <v>2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80</v>
      </c>
      <c r="T532">
        <v>70</v>
      </c>
      <c r="U532" s="5">
        <f>IF(Merge1[[#This Row],[team_defense_snaps]]=0, "", Merge1[[#This Row],[defense_snaps]] / Merge1[[#This Row],[team_defense_snaps]])</f>
        <v>0.92105263157894735</v>
      </c>
      <c r="V532">
        <v>76</v>
      </c>
      <c r="W532">
        <v>10</v>
      </c>
      <c r="X532" s="5" t="s">
        <v>261</v>
      </c>
      <c r="Y532">
        <v>3</v>
      </c>
      <c r="Z532">
        <v>0</v>
      </c>
      <c r="AA532" t="s">
        <v>25</v>
      </c>
      <c r="AB532" t="s">
        <v>26</v>
      </c>
      <c r="AC532" t="s">
        <v>27</v>
      </c>
      <c r="AD532" t="s">
        <v>42</v>
      </c>
      <c r="AE532" t="s">
        <v>25</v>
      </c>
      <c r="AF5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1.2500000000000001E-2</v>
      </c>
      <c r="AG532" t="s">
        <v>942</v>
      </c>
      <c r="AH532">
        <v>61</v>
      </c>
      <c r="AI532" t="s">
        <v>938</v>
      </c>
      <c r="AJ532">
        <v>1</v>
      </c>
      <c r="AK5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MIN(AJ532/8, 1) +
  Merge1[[#This Row],[index_defensive_effort]],
  2
)</f>
        <v>0.64</v>
      </c>
    </row>
    <row r="533" spans="1:37" x14ac:dyDescent="0.25">
      <c r="A533" t="s">
        <v>239</v>
      </c>
      <c r="B533" t="s">
        <v>240</v>
      </c>
      <c r="C533">
        <v>25</v>
      </c>
      <c r="D533" t="s">
        <v>56</v>
      </c>
      <c r="E533">
        <v>71</v>
      </c>
      <c r="F533">
        <v>202</v>
      </c>
      <c r="G533" t="s">
        <v>78</v>
      </c>
      <c r="H533">
        <v>2020</v>
      </c>
      <c r="I533" t="s">
        <v>33</v>
      </c>
      <c r="J533">
        <v>11</v>
      </c>
      <c r="K533">
        <v>5</v>
      </c>
      <c r="L533">
        <v>4</v>
      </c>
      <c r="M533">
        <v>0</v>
      </c>
      <c r="N533">
        <v>4</v>
      </c>
      <c r="O533">
        <v>0</v>
      </c>
      <c r="P533">
        <v>0</v>
      </c>
      <c r="Q533">
        <v>0</v>
      </c>
      <c r="R533">
        <v>0</v>
      </c>
      <c r="S533">
        <v>64</v>
      </c>
      <c r="T533">
        <v>64</v>
      </c>
      <c r="U533" s="5">
        <f>IF(Merge1[[#This Row],[team_defense_snaps]]=0, "", Merge1[[#This Row],[defense_snaps]] / Merge1[[#This Row],[team_defense_snaps]])</f>
        <v>0.96969696969696972</v>
      </c>
      <c r="V533">
        <v>66</v>
      </c>
      <c r="W533">
        <v>0</v>
      </c>
      <c r="X533" s="5" t="s">
        <v>29</v>
      </c>
      <c r="Y533">
        <v>3</v>
      </c>
      <c r="Z533">
        <v>0</v>
      </c>
      <c r="AA533" t="s">
        <v>25</v>
      </c>
      <c r="AB533" t="s">
        <v>62</v>
      </c>
      <c r="AC533" t="s">
        <v>27</v>
      </c>
      <c r="AD533" t="s">
        <v>42</v>
      </c>
      <c r="AE533" t="s">
        <v>25</v>
      </c>
      <c r="AF5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0.109375</v>
      </c>
      <c r="AG533" t="s">
        <v>942</v>
      </c>
      <c r="AH533">
        <v>67</v>
      </c>
      <c r="AI533" t="s">
        <v>939</v>
      </c>
      <c r="AJ533">
        <v>2</v>
      </c>
      <c r="AK5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MIN(AJ533/8, 1) +
  Merge1[[#This Row],[index_defensive_effort]],
  2
)</f>
        <v>0.86</v>
      </c>
    </row>
    <row r="534" spans="1:37" x14ac:dyDescent="0.25">
      <c r="A534" t="s">
        <v>239</v>
      </c>
      <c r="B534" t="s">
        <v>240</v>
      </c>
      <c r="C534">
        <v>25</v>
      </c>
      <c r="D534" t="s">
        <v>56</v>
      </c>
      <c r="E534">
        <v>71</v>
      </c>
      <c r="F534">
        <v>202</v>
      </c>
      <c r="G534" t="s">
        <v>78</v>
      </c>
      <c r="H534">
        <v>2020</v>
      </c>
      <c r="I534" t="s">
        <v>33</v>
      </c>
      <c r="J534">
        <v>12</v>
      </c>
      <c r="K534">
        <v>6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68</v>
      </c>
      <c r="T534">
        <v>68</v>
      </c>
      <c r="U534" s="5">
        <f>IF(Merge1[[#This Row],[team_defense_snaps]]=0, "", Merge1[[#This Row],[defense_snaps]] / Merge1[[#This Row],[team_defense_snaps]])</f>
        <v>0.98550724637681164</v>
      </c>
      <c r="V534">
        <v>69</v>
      </c>
      <c r="W534">
        <v>0</v>
      </c>
      <c r="X534" s="5" t="s">
        <v>29</v>
      </c>
      <c r="Y534">
        <v>3</v>
      </c>
      <c r="Z534">
        <v>0</v>
      </c>
      <c r="AA534" t="s">
        <v>25</v>
      </c>
      <c r="AB534" t="s">
        <v>26</v>
      </c>
      <c r="AC534" t="s">
        <v>27</v>
      </c>
      <c r="AD534" t="s">
        <v>42</v>
      </c>
      <c r="AE534" t="s">
        <v>25</v>
      </c>
      <c r="AF5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8.8235294117647065E-2</v>
      </c>
      <c r="AG534" t="s">
        <v>942</v>
      </c>
      <c r="AH534">
        <v>70</v>
      </c>
      <c r="AI534" t="s">
        <v>939</v>
      </c>
      <c r="AJ534">
        <v>3</v>
      </c>
      <c r="AK5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MIN(AJ534/8, 1) +
  Merge1[[#This Row],[index_defensive_effort]],
  2
)</f>
        <v>0.96</v>
      </c>
    </row>
    <row r="535" spans="1:37" x14ac:dyDescent="0.25">
      <c r="A535" t="s">
        <v>239</v>
      </c>
      <c r="B535" t="s">
        <v>240</v>
      </c>
      <c r="C535">
        <v>25</v>
      </c>
      <c r="D535" t="s">
        <v>56</v>
      </c>
      <c r="E535">
        <v>71</v>
      </c>
      <c r="F535">
        <v>202</v>
      </c>
      <c r="G535" t="s">
        <v>78</v>
      </c>
      <c r="H535">
        <v>2020</v>
      </c>
      <c r="I535" t="s">
        <v>33</v>
      </c>
      <c r="J535">
        <v>13</v>
      </c>
      <c r="K535">
        <v>4</v>
      </c>
      <c r="L535">
        <v>1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55</v>
      </c>
      <c r="T535">
        <v>55</v>
      </c>
      <c r="U535" s="5">
        <f>IF(Merge1[[#This Row],[team_defense_snaps]]=0, "", Merge1[[#This Row],[defense_snaps]] / Merge1[[#This Row],[team_defense_snaps]])</f>
        <v>1</v>
      </c>
      <c r="V535">
        <v>55</v>
      </c>
      <c r="W535">
        <v>0</v>
      </c>
      <c r="X535" s="5" t="s">
        <v>29</v>
      </c>
      <c r="Y535">
        <v>3</v>
      </c>
      <c r="Z535">
        <v>0</v>
      </c>
      <c r="AA535" t="s">
        <v>25</v>
      </c>
      <c r="AB535" t="s">
        <v>26</v>
      </c>
      <c r="AC535" t="s">
        <v>27</v>
      </c>
      <c r="AD535" t="s">
        <v>42</v>
      </c>
      <c r="AE535" t="s">
        <v>25</v>
      </c>
      <c r="AF5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8.1818181818181818E-2</v>
      </c>
      <c r="AG535" t="s">
        <v>942</v>
      </c>
      <c r="AH535">
        <v>85</v>
      </c>
      <c r="AI535" t="s">
        <v>939</v>
      </c>
      <c r="AJ535">
        <v>1</v>
      </c>
      <c r="AK5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MIN(AJ535/8, 1) +
  Merge1[[#This Row],[index_defensive_effort]],
  2
)</f>
        <v>0.71</v>
      </c>
    </row>
    <row r="536" spans="1:37" x14ac:dyDescent="0.25">
      <c r="A536" t="s">
        <v>239</v>
      </c>
      <c r="B536" t="s">
        <v>240</v>
      </c>
      <c r="C536">
        <v>25</v>
      </c>
      <c r="D536" t="s">
        <v>56</v>
      </c>
      <c r="E536">
        <v>71</v>
      </c>
      <c r="F536">
        <v>202</v>
      </c>
      <c r="G536" t="s">
        <v>78</v>
      </c>
      <c r="H536">
        <v>2020</v>
      </c>
      <c r="I536" t="s">
        <v>33</v>
      </c>
      <c r="J536">
        <v>16</v>
      </c>
      <c r="K536">
        <v>4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42</v>
      </c>
      <c r="T536">
        <v>34</v>
      </c>
      <c r="U536" s="5">
        <f>IF(Merge1[[#This Row],[team_defense_snaps]]=0, "", Merge1[[#This Row],[defense_snaps]] / Merge1[[#This Row],[team_defense_snaps]])</f>
        <v>0.46575342465753422</v>
      </c>
      <c r="V536">
        <v>73</v>
      </c>
      <c r="W536">
        <v>8</v>
      </c>
      <c r="X536" s="5" t="s">
        <v>137</v>
      </c>
      <c r="Y536">
        <v>3</v>
      </c>
      <c r="Z536">
        <v>0</v>
      </c>
      <c r="AA536" t="s">
        <v>25</v>
      </c>
      <c r="AB536" t="s">
        <v>26</v>
      </c>
      <c r="AC536" t="s">
        <v>27</v>
      </c>
      <c r="AD536" t="s">
        <v>28</v>
      </c>
      <c r="AE536" t="s">
        <v>25</v>
      </c>
      <c r="AF5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9.5238095238095233E-2</v>
      </c>
      <c r="AG536" t="s">
        <v>942</v>
      </c>
      <c r="AH536">
        <v>64</v>
      </c>
      <c r="AI536" t="s">
        <v>939</v>
      </c>
      <c r="AJ536">
        <v>1</v>
      </c>
      <c r="AK5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MIN(AJ536/8, 1) +
  Merge1[[#This Row],[index_defensive_effort]],
  2
)</f>
        <v>0.72</v>
      </c>
    </row>
    <row r="537" spans="1:37" x14ac:dyDescent="0.25">
      <c r="A537" t="s">
        <v>239</v>
      </c>
      <c r="B537" t="s">
        <v>240</v>
      </c>
      <c r="C537">
        <v>25</v>
      </c>
      <c r="D537" t="s">
        <v>56</v>
      </c>
      <c r="E537">
        <v>71</v>
      </c>
      <c r="F537">
        <v>202</v>
      </c>
      <c r="G537" t="s">
        <v>78</v>
      </c>
      <c r="H537">
        <v>2020</v>
      </c>
      <c r="I537" t="s">
        <v>33</v>
      </c>
      <c r="J537">
        <v>17</v>
      </c>
      <c r="K537">
        <v>1</v>
      </c>
      <c r="L537">
        <v>2</v>
      </c>
      <c r="M537">
        <v>1</v>
      </c>
      <c r="N537">
        <v>3</v>
      </c>
      <c r="O537">
        <v>0</v>
      </c>
      <c r="P537">
        <v>0</v>
      </c>
      <c r="Q537">
        <v>0</v>
      </c>
      <c r="R537">
        <v>0</v>
      </c>
      <c r="S537">
        <v>33</v>
      </c>
      <c r="T537">
        <v>24</v>
      </c>
      <c r="U537" s="5">
        <f>IF(Merge1[[#This Row],[team_defense_snaps]]=0, "", Merge1[[#This Row],[defense_snaps]] / Merge1[[#This Row],[team_defense_snaps]])</f>
        <v>0.40677966101694918</v>
      </c>
      <c r="V537">
        <v>59</v>
      </c>
      <c r="W537">
        <v>9</v>
      </c>
      <c r="X537" s="5" t="s">
        <v>138</v>
      </c>
      <c r="Y537">
        <v>3</v>
      </c>
      <c r="Z537">
        <v>0</v>
      </c>
      <c r="AA537" t="s">
        <v>25</v>
      </c>
      <c r="AB537" t="s">
        <v>26</v>
      </c>
      <c r="AC537" t="s">
        <v>27</v>
      </c>
      <c r="AD537" t="s">
        <v>28</v>
      </c>
      <c r="AE537" t="s">
        <v>25</v>
      </c>
      <c r="AF5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7.575757575757576E-2</v>
      </c>
      <c r="AG537" t="s">
        <v>942</v>
      </c>
      <c r="AH537">
        <v>83.5</v>
      </c>
      <c r="AI537" t="s">
        <v>939</v>
      </c>
      <c r="AJ537">
        <v>2</v>
      </c>
      <c r="AK5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MIN(AJ537/8, 1) +
  Merge1[[#This Row],[index_defensive_effort]],
  2
)</f>
        <v>0.83</v>
      </c>
    </row>
    <row r="538" spans="1:37" x14ac:dyDescent="0.25">
      <c r="A538" t="s">
        <v>239</v>
      </c>
      <c r="B538" t="s">
        <v>240</v>
      </c>
      <c r="C538">
        <v>25</v>
      </c>
      <c r="D538" t="s">
        <v>56</v>
      </c>
      <c r="E538">
        <v>71</v>
      </c>
      <c r="F538">
        <v>202</v>
      </c>
      <c r="G538" t="s">
        <v>78</v>
      </c>
      <c r="H538">
        <v>2020</v>
      </c>
      <c r="I538" t="s">
        <v>33</v>
      </c>
      <c r="J538">
        <v>15</v>
      </c>
      <c r="K538">
        <v>6</v>
      </c>
      <c r="L538">
        <v>2</v>
      </c>
      <c r="M538">
        <v>0</v>
      </c>
      <c r="N538">
        <v>2</v>
      </c>
      <c r="O538">
        <v>0</v>
      </c>
      <c r="P538">
        <v>0</v>
      </c>
      <c r="Q538">
        <v>0</v>
      </c>
      <c r="R538">
        <v>0</v>
      </c>
      <c r="S538">
        <v>88</v>
      </c>
      <c r="T538">
        <v>80</v>
      </c>
      <c r="U538" s="5">
        <f>IF(Merge1[[#This Row],[team_defense_snaps]]=0, "", Merge1[[#This Row],[defense_snaps]] / Merge1[[#This Row],[team_defense_snaps]])</f>
        <v>0.95238095238095233</v>
      </c>
      <c r="V538">
        <v>84</v>
      </c>
      <c r="W538">
        <v>8</v>
      </c>
      <c r="X538" s="5" t="s">
        <v>293</v>
      </c>
      <c r="Y538">
        <v>3</v>
      </c>
      <c r="Z538">
        <v>0</v>
      </c>
      <c r="AA538" t="s">
        <v>25</v>
      </c>
      <c r="AB538" t="s">
        <v>26</v>
      </c>
      <c r="AC538" t="s">
        <v>27</v>
      </c>
      <c r="AD538" t="s">
        <v>42</v>
      </c>
      <c r="AE538" t="s">
        <v>25</v>
      </c>
      <c r="AF5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7.9545454545454544E-2</v>
      </c>
      <c r="AG538" t="s">
        <v>942</v>
      </c>
      <c r="AH538">
        <v>68.5</v>
      </c>
      <c r="AI538" t="s">
        <v>939</v>
      </c>
      <c r="AJ538">
        <v>1</v>
      </c>
      <c r="AK5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MIN(AJ538/8, 1) +
  Merge1[[#This Row],[index_defensive_effort]],
  2
)</f>
        <v>0.7</v>
      </c>
    </row>
    <row r="539" spans="1:37" x14ac:dyDescent="0.25">
      <c r="A539" t="s">
        <v>241</v>
      </c>
      <c r="B539" t="s">
        <v>242</v>
      </c>
      <c r="C539">
        <v>30</v>
      </c>
      <c r="D539" t="s">
        <v>22</v>
      </c>
      <c r="E539">
        <v>70</v>
      </c>
      <c r="F539">
        <v>207</v>
      </c>
      <c r="G539" t="s">
        <v>153</v>
      </c>
      <c r="H539">
        <v>2020</v>
      </c>
      <c r="I539" t="s">
        <v>33</v>
      </c>
      <c r="J539">
        <v>1</v>
      </c>
      <c r="K539">
        <v>3</v>
      </c>
      <c r="L539">
        <v>3</v>
      </c>
      <c r="M539">
        <v>0</v>
      </c>
      <c r="N539">
        <v>3</v>
      </c>
      <c r="O539">
        <v>0</v>
      </c>
      <c r="P539">
        <v>0</v>
      </c>
      <c r="Q539">
        <v>0</v>
      </c>
      <c r="R539">
        <v>0</v>
      </c>
      <c r="S539">
        <v>73</v>
      </c>
      <c r="T539">
        <v>58</v>
      </c>
      <c r="U539" s="5">
        <f>IF(Merge1[[#This Row],[team_defense_snaps]]=0, "", Merge1[[#This Row],[defense_snaps]] / Merge1[[#This Row],[team_defense_snaps]])</f>
        <v>0.86567164179104472</v>
      </c>
      <c r="V539">
        <v>67</v>
      </c>
      <c r="W539">
        <v>15</v>
      </c>
      <c r="X539" s="5" t="s">
        <v>112</v>
      </c>
      <c r="Y539">
        <v>7</v>
      </c>
      <c r="Z539">
        <v>0</v>
      </c>
      <c r="AA539" t="s">
        <v>25</v>
      </c>
      <c r="AB539" t="s">
        <v>26</v>
      </c>
      <c r="AC539" t="s">
        <v>27</v>
      </c>
      <c r="AD539" t="s">
        <v>28</v>
      </c>
      <c r="AE539" t="s">
        <v>25</v>
      </c>
      <c r="AF5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6.1643835616438353E-2</v>
      </c>
      <c r="AG539" t="s">
        <v>941</v>
      </c>
      <c r="AH539">
        <v>80</v>
      </c>
      <c r="AI539" t="s">
        <v>939</v>
      </c>
      <c r="AJ539">
        <v>2</v>
      </c>
      <c r="AK5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MIN(AJ539/8, 1) +
  Merge1[[#This Row],[index_defensive_effort]],
  2
)</f>
        <v>0.91</v>
      </c>
    </row>
    <row r="540" spans="1:37" x14ac:dyDescent="0.25">
      <c r="A540" t="s">
        <v>241</v>
      </c>
      <c r="B540" t="s">
        <v>242</v>
      </c>
      <c r="C540">
        <v>30</v>
      </c>
      <c r="D540" t="s">
        <v>22</v>
      </c>
      <c r="E540">
        <v>70</v>
      </c>
      <c r="F540">
        <v>207</v>
      </c>
      <c r="G540" t="s">
        <v>153</v>
      </c>
      <c r="H540">
        <v>2020</v>
      </c>
      <c r="I540" t="s">
        <v>33</v>
      </c>
      <c r="J540">
        <v>2</v>
      </c>
      <c r="K540">
        <v>6</v>
      </c>
      <c r="L540">
        <v>3</v>
      </c>
      <c r="M540">
        <v>1</v>
      </c>
      <c r="N540">
        <v>4</v>
      </c>
      <c r="O540">
        <v>0</v>
      </c>
      <c r="P540">
        <v>1</v>
      </c>
      <c r="Q540">
        <v>0</v>
      </c>
      <c r="R540">
        <v>0</v>
      </c>
      <c r="S540">
        <v>69</v>
      </c>
      <c r="T540">
        <v>63</v>
      </c>
      <c r="U540" s="5">
        <f>IF(Merge1[[#This Row],[team_defense_snaps]]=0, "", Merge1[[#This Row],[defense_snaps]] / Merge1[[#This Row],[team_defense_snaps]])</f>
        <v>0.95454545454545459</v>
      </c>
      <c r="V540">
        <v>66</v>
      </c>
      <c r="W540">
        <v>6</v>
      </c>
      <c r="X540" s="5" t="s">
        <v>293</v>
      </c>
      <c r="Y540">
        <v>7</v>
      </c>
      <c r="Z540">
        <v>0</v>
      </c>
      <c r="AA540" t="s">
        <v>25</v>
      </c>
      <c r="AB540" t="s">
        <v>26</v>
      </c>
      <c r="AC540" t="s">
        <v>27</v>
      </c>
      <c r="AD540" t="s">
        <v>42</v>
      </c>
      <c r="AE540" t="s">
        <v>25</v>
      </c>
      <c r="AF5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0.14492753623188406</v>
      </c>
      <c r="AG540" t="s">
        <v>941</v>
      </c>
      <c r="AH540">
        <v>95</v>
      </c>
      <c r="AI540" t="s">
        <v>939</v>
      </c>
      <c r="AJ540">
        <v>3</v>
      </c>
      <c r="AK5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MIN(AJ540/8, 1) +
  Merge1[[#This Row],[index_defensive_effort]],
  2
)</f>
        <v>1.1200000000000001</v>
      </c>
    </row>
    <row r="541" spans="1:37" x14ac:dyDescent="0.25">
      <c r="A541" t="s">
        <v>241</v>
      </c>
      <c r="B541" t="s">
        <v>242</v>
      </c>
      <c r="C541">
        <v>30</v>
      </c>
      <c r="D541" t="s">
        <v>22</v>
      </c>
      <c r="E541">
        <v>70</v>
      </c>
      <c r="F541">
        <v>207</v>
      </c>
      <c r="G541" t="s">
        <v>153</v>
      </c>
      <c r="H541">
        <v>2020</v>
      </c>
      <c r="I541" t="s">
        <v>33</v>
      </c>
      <c r="J541">
        <v>3</v>
      </c>
      <c r="K541">
        <v>4</v>
      </c>
      <c r="L541">
        <v>1</v>
      </c>
      <c r="M541">
        <v>1</v>
      </c>
      <c r="N541">
        <v>2</v>
      </c>
      <c r="O541">
        <v>0</v>
      </c>
      <c r="P541">
        <v>1</v>
      </c>
      <c r="Q541">
        <v>0</v>
      </c>
      <c r="R541">
        <v>0</v>
      </c>
      <c r="S541">
        <v>19</v>
      </c>
      <c r="T541">
        <v>18</v>
      </c>
      <c r="U541" s="5">
        <f>IF(Merge1[[#This Row],[team_defense_snaps]]=0, "", Merge1[[#This Row],[defense_snaps]] / Merge1[[#This Row],[team_defense_snaps]])</f>
        <v>0.26865671641791045</v>
      </c>
      <c r="V541">
        <v>67</v>
      </c>
      <c r="W541">
        <v>1</v>
      </c>
      <c r="X541" s="5" t="s">
        <v>193</v>
      </c>
      <c r="Y541">
        <v>7</v>
      </c>
      <c r="Z541">
        <v>0</v>
      </c>
      <c r="AA541" t="s">
        <v>25</v>
      </c>
      <c r="AB541" t="s">
        <v>26</v>
      </c>
      <c r="AC541" t="s">
        <v>27</v>
      </c>
      <c r="AD541" t="s">
        <v>42</v>
      </c>
      <c r="AE541" t="s">
        <v>25</v>
      </c>
      <c r="AF5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0.36842105263157893</v>
      </c>
      <c r="AG541" t="s">
        <v>941</v>
      </c>
      <c r="AH541">
        <v>92</v>
      </c>
      <c r="AI541" t="s">
        <v>939</v>
      </c>
      <c r="AJ541">
        <v>1</v>
      </c>
      <c r="AK5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MIN(AJ541/8, 1) +
  Merge1[[#This Row],[index_defensive_effort]],
  2
)</f>
        <v>1.0900000000000001</v>
      </c>
    </row>
    <row r="542" spans="1:37" x14ac:dyDescent="0.25">
      <c r="A542" t="s">
        <v>241</v>
      </c>
      <c r="B542" t="s">
        <v>242</v>
      </c>
      <c r="C542">
        <v>30</v>
      </c>
      <c r="D542" t="s">
        <v>22</v>
      </c>
      <c r="E542">
        <v>70</v>
      </c>
      <c r="F542">
        <v>207</v>
      </c>
      <c r="G542" t="s">
        <v>153</v>
      </c>
      <c r="H542">
        <v>2020</v>
      </c>
      <c r="I542" t="s">
        <v>33</v>
      </c>
      <c r="J542">
        <v>11</v>
      </c>
      <c r="K542">
        <v>2</v>
      </c>
      <c r="L542">
        <v>2</v>
      </c>
      <c r="M542">
        <v>0</v>
      </c>
      <c r="N542">
        <v>2</v>
      </c>
      <c r="O542">
        <v>0</v>
      </c>
      <c r="P542">
        <v>0</v>
      </c>
      <c r="Q542">
        <v>0</v>
      </c>
      <c r="R542">
        <v>0</v>
      </c>
      <c r="S542">
        <v>49</v>
      </c>
      <c r="T542">
        <v>29</v>
      </c>
      <c r="U542" s="5">
        <f>IF(Merge1[[#This Row],[team_defense_snaps]]=0, "", Merge1[[#This Row],[defense_snaps]] / Merge1[[#This Row],[team_defense_snaps]])</f>
        <v>0.43939393939393939</v>
      </c>
      <c r="V542">
        <v>66</v>
      </c>
      <c r="W542">
        <v>20</v>
      </c>
      <c r="X542" s="5" t="s">
        <v>218</v>
      </c>
      <c r="Y542">
        <v>7</v>
      </c>
      <c r="Z542">
        <v>0</v>
      </c>
      <c r="AA542" t="s">
        <v>25</v>
      </c>
      <c r="AB542" t="s">
        <v>26</v>
      </c>
      <c r="AC542" t="s">
        <v>27</v>
      </c>
      <c r="AD542" t="s">
        <v>28</v>
      </c>
      <c r="AE542" t="s">
        <v>25</v>
      </c>
      <c r="AF5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6.1224489795918366E-2</v>
      </c>
      <c r="AG542" t="s">
        <v>941</v>
      </c>
      <c r="AH542">
        <v>93.5</v>
      </c>
      <c r="AI542" t="s">
        <v>939</v>
      </c>
      <c r="AJ542">
        <v>2</v>
      </c>
      <c r="AK5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MIN(AJ542/8, 1) +
  Merge1[[#This Row],[index_defensive_effort]],
  2
)</f>
        <v>0.91</v>
      </c>
    </row>
    <row r="543" spans="1:37" x14ac:dyDescent="0.25">
      <c r="A543" t="s">
        <v>241</v>
      </c>
      <c r="B543" t="s">
        <v>242</v>
      </c>
      <c r="C543">
        <v>30</v>
      </c>
      <c r="D543" t="s">
        <v>22</v>
      </c>
      <c r="E543">
        <v>70</v>
      </c>
      <c r="F543">
        <v>207</v>
      </c>
      <c r="G543" t="s">
        <v>153</v>
      </c>
      <c r="H543">
        <v>2020</v>
      </c>
      <c r="I543" t="s">
        <v>33</v>
      </c>
      <c r="J543">
        <v>12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37</v>
      </c>
      <c r="T543">
        <v>22</v>
      </c>
      <c r="U543" s="5">
        <f>IF(Merge1[[#This Row],[team_defense_snaps]]=0, "", Merge1[[#This Row],[defense_snaps]] / Merge1[[#This Row],[team_defense_snaps]])</f>
        <v>0.41509433962264153</v>
      </c>
      <c r="V543">
        <v>53</v>
      </c>
      <c r="W543">
        <v>15</v>
      </c>
      <c r="X543" s="5" t="s">
        <v>176</v>
      </c>
      <c r="Y543">
        <v>7</v>
      </c>
      <c r="Z543">
        <v>0</v>
      </c>
      <c r="AA543" t="s">
        <v>25</v>
      </c>
      <c r="AB543" t="s">
        <v>26</v>
      </c>
      <c r="AC543" t="s">
        <v>27</v>
      </c>
      <c r="AD543" t="s">
        <v>28</v>
      </c>
      <c r="AE543" t="s">
        <v>25</v>
      </c>
      <c r="AF5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2.7027027027027029E-2</v>
      </c>
      <c r="AG543" t="s">
        <v>941</v>
      </c>
      <c r="AH543">
        <v>74</v>
      </c>
      <c r="AI543" t="s">
        <v>939</v>
      </c>
      <c r="AJ543">
        <v>3</v>
      </c>
      <c r="AK5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MIN(AJ543/8, 1) +
  Merge1[[#This Row],[index_defensive_effort]],
  2
)</f>
        <v>1</v>
      </c>
    </row>
    <row r="544" spans="1:37" x14ac:dyDescent="0.25">
      <c r="A544" t="s">
        <v>241</v>
      </c>
      <c r="B544" t="s">
        <v>242</v>
      </c>
      <c r="C544">
        <v>30</v>
      </c>
      <c r="D544" t="s">
        <v>22</v>
      </c>
      <c r="E544">
        <v>70</v>
      </c>
      <c r="F544">
        <v>207</v>
      </c>
      <c r="G544" t="s">
        <v>153</v>
      </c>
      <c r="H544">
        <v>2020</v>
      </c>
      <c r="I544" t="s">
        <v>33</v>
      </c>
      <c r="J544">
        <v>13</v>
      </c>
      <c r="K544">
        <v>9</v>
      </c>
      <c r="L544">
        <v>1</v>
      </c>
      <c r="M544">
        <v>1</v>
      </c>
      <c r="N544">
        <v>2</v>
      </c>
      <c r="O544">
        <v>0</v>
      </c>
      <c r="P544">
        <v>0</v>
      </c>
      <c r="Q544">
        <v>0</v>
      </c>
      <c r="R544">
        <v>0</v>
      </c>
      <c r="S544">
        <v>90</v>
      </c>
      <c r="T544">
        <v>78</v>
      </c>
      <c r="U544" s="5">
        <f>IF(Merge1[[#This Row],[team_defense_snaps]]=0, "", Merge1[[#This Row],[defense_snaps]] / Merge1[[#This Row],[team_defense_snaps]])</f>
        <v>0.95121951219512191</v>
      </c>
      <c r="V544">
        <v>82</v>
      </c>
      <c r="W544">
        <v>12</v>
      </c>
      <c r="X544" s="5" t="s">
        <v>221</v>
      </c>
      <c r="Y544">
        <v>7</v>
      </c>
      <c r="Z544">
        <v>0</v>
      </c>
      <c r="AA544" t="s">
        <v>25</v>
      </c>
      <c r="AB544" t="s">
        <v>26</v>
      </c>
      <c r="AC544" t="s">
        <v>27</v>
      </c>
      <c r="AD544" t="s">
        <v>42</v>
      </c>
      <c r="AE544" t="s">
        <v>25</v>
      </c>
      <c r="AF5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0.1111111111111111</v>
      </c>
      <c r="AG544" t="s">
        <v>941</v>
      </c>
      <c r="AH544">
        <v>72.5</v>
      </c>
      <c r="AI544" t="s">
        <v>939</v>
      </c>
      <c r="AJ544">
        <v>4</v>
      </c>
      <c r="AK5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MIN(AJ544/8, 1) +
  Merge1[[#This Row],[index_defensive_effort]],
  2
)</f>
        <v>1.21</v>
      </c>
    </row>
    <row r="545" spans="1:37" x14ac:dyDescent="0.25">
      <c r="A545" t="s">
        <v>241</v>
      </c>
      <c r="B545" t="s">
        <v>242</v>
      </c>
      <c r="C545">
        <v>30</v>
      </c>
      <c r="D545" t="s">
        <v>22</v>
      </c>
      <c r="E545">
        <v>70</v>
      </c>
      <c r="F545">
        <v>207</v>
      </c>
      <c r="G545" t="s">
        <v>153</v>
      </c>
      <c r="H545">
        <v>2020</v>
      </c>
      <c r="I545" t="s">
        <v>33</v>
      </c>
      <c r="J545">
        <v>14</v>
      </c>
      <c r="K545">
        <v>1</v>
      </c>
      <c r="L545">
        <v>1</v>
      </c>
      <c r="M545">
        <v>1</v>
      </c>
      <c r="N545">
        <v>2</v>
      </c>
      <c r="O545">
        <v>0</v>
      </c>
      <c r="P545">
        <v>0</v>
      </c>
      <c r="Q545">
        <v>0</v>
      </c>
      <c r="R545">
        <v>0</v>
      </c>
      <c r="S545">
        <v>49</v>
      </c>
      <c r="T545">
        <v>44</v>
      </c>
      <c r="U545" s="5">
        <f>IF(Merge1[[#This Row],[team_defense_snaps]]=0, "", Merge1[[#This Row],[defense_snaps]] / Merge1[[#This Row],[team_defense_snaps]])</f>
        <v>0.89795918367346939</v>
      </c>
      <c r="V545">
        <v>49</v>
      </c>
      <c r="W545">
        <v>5</v>
      </c>
      <c r="X545" s="5" t="s">
        <v>181</v>
      </c>
      <c r="Y545">
        <v>7</v>
      </c>
      <c r="Z545">
        <v>0</v>
      </c>
      <c r="AA545" t="s">
        <v>25</v>
      </c>
      <c r="AB545" t="s">
        <v>26</v>
      </c>
      <c r="AC545" t="s">
        <v>27</v>
      </c>
      <c r="AD545" t="s">
        <v>42</v>
      </c>
      <c r="AE545" t="s">
        <v>25</v>
      </c>
      <c r="AF5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4.0816326530612242E-2</v>
      </c>
      <c r="AG545" t="s">
        <v>941</v>
      </c>
      <c r="AH545">
        <v>75.5</v>
      </c>
      <c r="AI545" t="s">
        <v>939</v>
      </c>
      <c r="AJ545">
        <v>5</v>
      </c>
      <c r="AK5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MIN(AJ545/8, 1) +
  Merge1[[#This Row],[index_defensive_effort]],
  2
)</f>
        <v>1.27</v>
      </c>
    </row>
    <row r="546" spans="1:37" x14ac:dyDescent="0.25">
      <c r="A546" t="s">
        <v>241</v>
      </c>
      <c r="B546" t="s">
        <v>242</v>
      </c>
      <c r="C546">
        <v>30</v>
      </c>
      <c r="D546" t="s">
        <v>22</v>
      </c>
      <c r="E546">
        <v>70</v>
      </c>
      <c r="F546">
        <v>207</v>
      </c>
      <c r="G546" t="s">
        <v>153</v>
      </c>
      <c r="H546">
        <v>2020</v>
      </c>
      <c r="I546" t="s">
        <v>33</v>
      </c>
      <c r="J546">
        <v>15</v>
      </c>
      <c r="K546">
        <v>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71</v>
      </c>
      <c r="T546">
        <v>63</v>
      </c>
      <c r="U546" s="5">
        <f>IF(Merge1[[#This Row],[team_defense_snaps]]=0, "", Merge1[[#This Row],[defense_snaps]] / Merge1[[#This Row],[team_defense_snaps]])</f>
        <v>0.75</v>
      </c>
      <c r="V546">
        <v>84</v>
      </c>
      <c r="W546">
        <v>8</v>
      </c>
      <c r="X546" s="5" t="s">
        <v>137</v>
      </c>
      <c r="Y546">
        <v>7</v>
      </c>
      <c r="Z546">
        <v>0</v>
      </c>
      <c r="AA546" t="s">
        <v>25</v>
      </c>
      <c r="AB546" t="s">
        <v>26</v>
      </c>
      <c r="AC546" t="s">
        <v>27</v>
      </c>
      <c r="AD546" t="s">
        <v>28</v>
      </c>
      <c r="AE546" t="s">
        <v>25</v>
      </c>
      <c r="AF5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7.0422535211267609E-2</v>
      </c>
      <c r="AG546" t="s">
        <v>941</v>
      </c>
      <c r="AH546">
        <v>78.5</v>
      </c>
      <c r="AI546" t="s">
        <v>939</v>
      </c>
      <c r="AJ546">
        <v>6</v>
      </c>
      <c r="AK5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MIN(AJ546/8, 1) +
  Merge1[[#This Row],[index_defensive_effort]],
  2
)</f>
        <v>1.42</v>
      </c>
    </row>
    <row r="547" spans="1:37" x14ac:dyDescent="0.25">
      <c r="A547" t="s">
        <v>241</v>
      </c>
      <c r="B547" t="s">
        <v>242</v>
      </c>
      <c r="C547">
        <v>30</v>
      </c>
      <c r="D547" t="s">
        <v>22</v>
      </c>
      <c r="E547">
        <v>70</v>
      </c>
      <c r="F547">
        <v>207</v>
      </c>
      <c r="G547" t="s">
        <v>153</v>
      </c>
      <c r="H547">
        <v>2020</v>
      </c>
      <c r="I547" t="s">
        <v>33</v>
      </c>
      <c r="J547">
        <v>16</v>
      </c>
      <c r="K547">
        <v>2</v>
      </c>
      <c r="L547">
        <v>4</v>
      </c>
      <c r="M547">
        <v>1</v>
      </c>
      <c r="N547">
        <v>5</v>
      </c>
      <c r="O547">
        <v>0</v>
      </c>
      <c r="P547">
        <v>0</v>
      </c>
      <c r="Q547">
        <v>0</v>
      </c>
      <c r="R547">
        <v>0</v>
      </c>
      <c r="S547">
        <v>55</v>
      </c>
      <c r="T547">
        <v>46</v>
      </c>
      <c r="U547" s="5">
        <f>IF(Merge1[[#This Row],[team_defense_snaps]]=0, "", Merge1[[#This Row],[defense_snaps]] / Merge1[[#This Row],[team_defense_snaps]])</f>
        <v>0.80701754385964908</v>
      </c>
      <c r="V547">
        <v>57</v>
      </c>
      <c r="W547">
        <v>9</v>
      </c>
      <c r="X547" s="5" t="s">
        <v>158</v>
      </c>
      <c r="Y547">
        <v>7</v>
      </c>
      <c r="Z547">
        <v>0</v>
      </c>
      <c r="AA547" t="s">
        <v>25</v>
      </c>
      <c r="AB547" t="s">
        <v>26</v>
      </c>
      <c r="AC547" t="s">
        <v>27</v>
      </c>
      <c r="AD547" t="s">
        <v>28</v>
      </c>
      <c r="AE547" t="s">
        <v>25</v>
      </c>
      <c r="AF5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8.1818181818181818E-2</v>
      </c>
      <c r="AG547" t="s">
        <v>941</v>
      </c>
      <c r="AH547">
        <v>77</v>
      </c>
      <c r="AI547" t="s">
        <v>939</v>
      </c>
      <c r="AJ547">
        <v>1</v>
      </c>
      <c r="AK5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MIN(AJ547/8, 1) +
  Merge1[[#This Row],[index_defensive_effort]],
  2
)</f>
        <v>0.81</v>
      </c>
    </row>
    <row r="548" spans="1:37" x14ac:dyDescent="0.25">
      <c r="A548" t="s">
        <v>248</v>
      </c>
      <c r="B548" t="s">
        <v>249</v>
      </c>
      <c r="C548">
        <v>23</v>
      </c>
      <c r="D548" t="s">
        <v>56</v>
      </c>
      <c r="E548">
        <v>69</v>
      </c>
      <c r="F548">
        <v>180</v>
      </c>
      <c r="G548" t="s">
        <v>180</v>
      </c>
      <c r="H548">
        <v>2020</v>
      </c>
      <c r="I548" t="s">
        <v>33</v>
      </c>
      <c r="J548">
        <v>1</v>
      </c>
      <c r="K548">
        <v>3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29</v>
      </c>
      <c r="T548">
        <v>10</v>
      </c>
      <c r="U548" s="5">
        <f>IF(Merge1[[#This Row],[team_defense_snaps]]=0, "", Merge1[[#This Row],[defense_snaps]] / Merge1[[#This Row],[team_defense_snaps]])</f>
        <v>0.13513513513513514</v>
      </c>
      <c r="V548">
        <v>74</v>
      </c>
      <c r="W548">
        <v>19</v>
      </c>
      <c r="X548" s="5" t="s">
        <v>49</v>
      </c>
      <c r="Y548">
        <v>0</v>
      </c>
      <c r="Z548">
        <v>0</v>
      </c>
      <c r="AA548" t="s">
        <v>25</v>
      </c>
      <c r="AB548" t="s">
        <v>26</v>
      </c>
      <c r="AC548" t="s">
        <v>27</v>
      </c>
      <c r="AD548" t="s">
        <v>28</v>
      </c>
      <c r="AE548" t="s">
        <v>25</v>
      </c>
      <c r="AF5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0.17241379310344829</v>
      </c>
      <c r="AG548" t="s">
        <v>941</v>
      </c>
      <c r="AH548">
        <v>63.5</v>
      </c>
      <c r="AI548" t="s">
        <v>939</v>
      </c>
      <c r="AJ548">
        <v>1</v>
      </c>
      <c r="AK5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MIN(AJ548/8, 1) +
  Merge1[[#This Row],[index_defensive_effort]],
  2
)</f>
        <v>0.7</v>
      </c>
    </row>
    <row r="549" spans="1:37" x14ac:dyDescent="0.25">
      <c r="A549" t="s">
        <v>248</v>
      </c>
      <c r="B549" t="s">
        <v>249</v>
      </c>
      <c r="C549">
        <v>23</v>
      </c>
      <c r="D549" t="s">
        <v>56</v>
      </c>
      <c r="E549">
        <v>69</v>
      </c>
      <c r="F549">
        <v>180</v>
      </c>
      <c r="G549" t="s">
        <v>180</v>
      </c>
      <c r="H549">
        <v>2020</v>
      </c>
      <c r="I549" t="s">
        <v>33</v>
      </c>
      <c r="J549">
        <v>4</v>
      </c>
      <c r="K549">
        <v>6</v>
      </c>
      <c r="L549">
        <v>2</v>
      </c>
      <c r="M549">
        <v>0</v>
      </c>
      <c r="N549">
        <v>2</v>
      </c>
      <c r="O549">
        <v>0</v>
      </c>
      <c r="P549">
        <v>1</v>
      </c>
      <c r="Q549">
        <v>0</v>
      </c>
      <c r="R549">
        <v>0</v>
      </c>
      <c r="S549">
        <v>71</v>
      </c>
      <c r="T549">
        <v>54</v>
      </c>
      <c r="U549" s="5">
        <f>IF(Merge1[[#This Row],[team_defense_snaps]]=0, "", Merge1[[#This Row],[defense_snaps]] / Merge1[[#This Row],[team_defense_snaps]])</f>
        <v>0.72</v>
      </c>
      <c r="V549">
        <v>75</v>
      </c>
      <c r="W549">
        <v>17</v>
      </c>
      <c r="X549" s="5" t="s">
        <v>182</v>
      </c>
      <c r="Y549">
        <v>0</v>
      </c>
      <c r="Z549">
        <v>0</v>
      </c>
      <c r="AA549" t="s">
        <v>25</v>
      </c>
      <c r="AB549" t="s">
        <v>26</v>
      </c>
      <c r="AC549" t="s">
        <v>27</v>
      </c>
      <c r="AD549" t="s">
        <v>28</v>
      </c>
      <c r="AE549" t="s">
        <v>25</v>
      </c>
      <c r="AF5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0.12676056338028169</v>
      </c>
      <c r="AG549" t="s">
        <v>941</v>
      </c>
      <c r="AH549">
        <v>72.5</v>
      </c>
      <c r="AI549" t="s">
        <v>939</v>
      </c>
      <c r="AJ549">
        <v>2</v>
      </c>
      <c r="AK5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MIN(AJ549/8, 1) +
  Merge1[[#This Row],[index_defensive_effort]],
  2
)</f>
        <v>0.78</v>
      </c>
    </row>
    <row r="550" spans="1:37" x14ac:dyDescent="0.25">
      <c r="A550" t="s">
        <v>248</v>
      </c>
      <c r="B550" t="s">
        <v>249</v>
      </c>
      <c r="C550">
        <v>23</v>
      </c>
      <c r="D550" t="s">
        <v>56</v>
      </c>
      <c r="E550">
        <v>69</v>
      </c>
      <c r="F550">
        <v>180</v>
      </c>
      <c r="G550" t="s">
        <v>180</v>
      </c>
      <c r="H550">
        <v>2020</v>
      </c>
      <c r="I550" t="s">
        <v>33</v>
      </c>
      <c r="J550">
        <v>5</v>
      </c>
      <c r="K550">
        <v>5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65</v>
      </c>
      <c r="T550">
        <v>58</v>
      </c>
      <c r="U550" s="5">
        <f>IF(Merge1[[#This Row],[team_defense_snaps]]=0, "", Merge1[[#This Row],[defense_snaps]] / Merge1[[#This Row],[team_defense_snaps]])</f>
        <v>1</v>
      </c>
      <c r="V550">
        <v>58</v>
      </c>
      <c r="W550">
        <v>7</v>
      </c>
      <c r="X550" s="5" t="s">
        <v>113</v>
      </c>
      <c r="Y550">
        <v>0</v>
      </c>
      <c r="Z550">
        <v>0</v>
      </c>
      <c r="AA550" t="s">
        <v>25</v>
      </c>
      <c r="AB550" t="s">
        <v>26</v>
      </c>
      <c r="AC550" t="s">
        <v>27</v>
      </c>
      <c r="AD550" t="s">
        <v>42</v>
      </c>
      <c r="AE550" t="s">
        <v>25</v>
      </c>
      <c r="AF5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7.6923076923076927E-2</v>
      </c>
      <c r="AG550" t="s">
        <v>941</v>
      </c>
      <c r="AH550">
        <v>80</v>
      </c>
      <c r="AI550" t="s">
        <v>939</v>
      </c>
      <c r="AJ550">
        <v>1</v>
      </c>
      <c r="AK5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MIN(AJ550/8, 1) +
  Merge1[[#This Row],[index_defensive_effort]],
  2
)</f>
        <v>0.6</v>
      </c>
    </row>
    <row r="551" spans="1:37" x14ac:dyDescent="0.25">
      <c r="A551" t="s">
        <v>248</v>
      </c>
      <c r="B551" t="s">
        <v>249</v>
      </c>
      <c r="C551">
        <v>23</v>
      </c>
      <c r="D551" t="s">
        <v>56</v>
      </c>
      <c r="E551">
        <v>69</v>
      </c>
      <c r="F551">
        <v>180</v>
      </c>
      <c r="G551" t="s">
        <v>180</v>
      </c>
      <c r="H551">
        <v>2020</v>
      </c>
      <c r="I551" t="s">
        <v>33</v>
      </c>
      <c r="J551">
        <v>9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33</v>
      </c>
      <c r="T551">
        <v>8</v>
      </c>
      <c r="U551" s="5">
        <f>IF(Merge1[[#This Row],[team_defense_snaps]]=0, "", Merge1[[#This Row],[defense_snaps]] / Merge1[[#This Row],[team_defense_snaps]])</f>
        <v>0.12307692307692308</v>
      </c>
      <c r="V551">
        <v>65</v>
      </c>
      <c r="W551">
        <v>25</v>
      </c>
      <c r="X551" s="5" t="s">
        <v>103</v>
      </c>
      <c r="Y551">
        <v>0</v>
      </c>
      <c r="Z551">
        <v>0</v>
      </c>
      <c r="AA551" t="s">
        <v>25</v>
      </c>
      <c r="AB551" t="s">
        <v>26</v>
      </c>
      <c r="AC551" t="s">
        <v>27</v>
      </c>
      <c r="AD551" t="s">
        <v>28</v>
      </c>
      <c r="AE551" t="s">
        <v>25</v>
      </c>
      <c r="AF5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3.0303030303030304E-2</v>
      </c>
      <c r="AG551" t="s">
        <v>941</v>
      </c>
      <c r="AH551">
        <v>81.5</v>
      </c>
      <c r="AI551" t="s">
        <v>939</v>
      </c>
      <c r="AJ551">
        <v>2</v>
      </c>
      <c r="AK5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MIN(AJ551/8, 1) +
  Merge1[[#This Row],[index_defensive_effort]],
  2
)</f>
        <v>0.68</v>
      </c>
    </row>
    <row r="552" spans="1:37" x14ac:dyDescent="0.25">
      <c r="A552" t="s">
        <v>248</v>
      </c>
      <c r="B552" t="s">
        <v>249</v>
      </c>
      <c r="C552">
        <v>23</v>
      </c>
      <c r="D552" t="s">
        <v>56</v>
      </c>
      <c r="E552">
        <v>69</v>
      </c>
      <c r="F552">
        <v>180</v>
      </c>
      <c r="G552" t="s">
        <v>180</v>
      </c>
      <c r="H552">
        <v>2020</v>
      </c>
      <c r="I552" t="s">
        <v>33</v>
      </c>
      <c r="J552">
        <v>10</v>
      </c>
      <c r="K552">
        <v>2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30</v>
      </c>
      <c r="T552">
        <v>6</v>
      </c>
      <c r="U552" s="5">
        <f>IF(Merge1[[#This Row],[team_defense_snaps]]=0, "", Merge1[[#This Row],[defense_snaps]] / Merge1[[#This Row],[team_defense_snaps]])</f>
        <v>8.9552238805970144E-2</v>
      </c>
      <c r="V552">
        <v>67</v>
      </c>
      <c r="W552">
        <v>24</v>
      </c>
      <c r="X552" s="5" t="s">
        <v>68</v>
      </c>
      <c r="Y552">
        <v>0</v>
      </c>
      <c r="Z552">
        <v>0</v>
      </c>
      <c r="AA552" t="s">
        <v>25</v>
      </c>
      <c r="AB552" t="s">
        <v>26</v>
      </c>
      <c r="AC552" t="s">
        <v>27</v>
      </c>
      <c r="AD552" t="s">
        <v>28</v>
      </c>
      <c r="AE552" t="s">
        <v>25</v>
      </c>
      <c r="AF5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552" t="s">
        <v>941</v>
      </c>
      <c r="AH552">
        <v>74</v>
      </c>
      <c r="AI552" t="s">
        <v>939</v>
      </c>
      <c r="AJ552">
        <v>3</v>
      </c>
      <c r="AK5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MIN(AJ552/8, 1) +
  Merge1[[#This Row],[index_defensive_effort]],
  2
)</f>
        <v>0.84</v>
      </c>
    </row>
    <row r="553" spans="1:37" x14ac:dyDescent="0.25">
      <c r="A553" t="s">
        <v>248</v>
      </c>
      <c r="B553" t="s">
        <v>249</v>
      </c>
      <c r="C553">
        <v>23</v>
      </c>
      <c r="D553" t="s">
        <v>56</v>
      </c>
      <c r="E553">
        <v>69</v>
      </c>
      <c r="F553">
        <v>180</v>
      </c>
      <c r="G553" t="s">
        <v>180</v>
      </c>
      <c r="H553">
        <v>2020</v>
      </c>
      <c r="I553" t="s">
        <v>33</v>
      </c>
      <c r="J553">
        <v>11</v>
      </c>
      <c r="K553">
        <v>7</v>
      </c>
      <c r="L553">
        <v>2</v>
      </c>
      <c r="M553">
        <v>0</v>
      </c>
      <c r="N553">
        <v>2</v>
      </c>
      <c r="O553">
        <v>0</v>
      </c>
      <c r="P553">
        <v>0</v>
      </c>
      <c r="Q553">
        <v>0</v>
      </c>
      <c r="R553">
        <v>0</v>
      </c>
      <c r="S553">
        <v>65</v>
      </c>
      <c r="T553">
        <v>56</v>
      </c>
      <c r="U553" s="5">
        <f>IF(Merge1[[#This Row],[team_defense_snaps]]=0, "", Merge1[[#This Row],[defense_snaps]] / Merge1[[#This Row],[team_defense_snaps]])</f>
        <v>0.7</v>
      </c>
      <c r="V553">
        <v>80</v>
      </c>
      <c r="W553">
        <v>9</v>
      </c>
      <c r="X553" s="5" t="s">
        <v>70</v>
      </c>
      <c r="Y553">
        <v>0</v>
      </c>
      <c r="Z553">
        <v>0</v>
      </c>
      <c r="AA553" t="s">
        <v>25</v>
      </c>
      <c r="AB553" t="s">
        <v>26</v>
      </c>
      <c r="AC553" t="s">
        <v>27</v>
      </c>
      <c r="AD553" t="s">
        <v>42</v>
      </c>
      <c r="AE553" t="s">
        <v>25</v>
      </c>
      <c r="AF5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0.12307692307692308</v>
      </c>
      <c r="AG553" t="s">
        <v>941</v>
      </c>
      <c r="AH553">
        <v>62</v>
      </c>
      <c r="AI553" t="s">
        <v>938</v>
      </c>
      <c r="AJ553">
        <v>1</v>
      </c>
      <c r="AK5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MIN(AJ553/8, 1) +
  Merge1[[#This Row],[index_defensive_effort]],
  2
)</f>
        <v>0.65</v>
      </c>
    </row>
    <row r="554" spans="1:37" x14ac:dyDescent="0.25">
      <c r="A554" t="s">
        <v>248</v>
      </c>
      <c r="B554" t="s">
        <v>249</v>
      </c>
      <c r="C554">
        <v>23</v>
      </c>
      <c r="D554" t="s">
        <v>56</v>
      </c>
      <c r="E554">
        <v>69</v>
      </c>
      <c r="F554">
        <v>180</v>
      </c>
      <c r="G554" t="s">
        <v>180</v>
      </c>
      <c r="H554">
        <v>2020</v>
      </c>
      <c r="I554" t="s">
        <v>33</v>
      </c>
      <c r="J554">
        <v>15</v>
      </c>
      <c r="K554">
        <v>1</v>
      </c>
      <c r="L554">
        <v>1</v>
      </c>
      <c r="M554">
        <v>1</v>
      </c>
      <c r="N554">
        <v>2</v>
      </c>
      <c r="O554">
        <v>0</v>
      </c>
      <c r="P554">
        <v>0</v>
      </c>
      <c r="Q554">
        <v>0</v>
      </c>
      <c r="R554">
        <v>0</v>
      </c>
      <c r="S554">
        <v>40</v>
      </c>
      <c r="T554">
        <v>40</v>
      </c>
      <c r="U554" s="5">
        <f>IF(Merge1[[#This Row],[team_defense_snaps]]=0, "", Merge1[[#This Row],[defense_snaps]] / Merge1[[#This Row],[team_defense_snaps]])</f>
        <v>0.59701492537313428</v>
      </c>
      <c r="V554">
        <v>67</v>
      </c>
      <c r="W554">
        <v>0</v>
      </c>
      <c r="X554" s="5" t="s">
        <v>29</v>
      </c>
      <c r="Y554">
        <v>0</v>
      </c>
      <c r="Z554">
        <v>0</v>
      </c>
      <c r="AA554" t="s">
        <v>25</v>
      </c>
      <c r="AB554" t="s">
        <v>62</v>
      </c>
      <c r="AC554" t="s">
        <v>27</v>
      </c>
      <c r="AD554" t="s">
        <v>42</v>
      </c>
      <c r="AE554" t="s">
        <v>25</v>
      </c>
      <c r="AF5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554" t="s">
        <v>941</v>
      </c>
      <c r="AH554">
        <v>71</v>
      </c>
      <c r="AI554" t="s">
        <v>939</v>
      </c>
      <c r="AJ554">
        <v>2</v>
      </c>
      <c r="AK5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MIN(AJ554/8, 1) +
  Merge1[[#This Row],[index_defensive_effort]],
  2
)</f>
        <v>0.7</v>
      </c>
    </row>
    <row r="555" spans="1:37" x14ac:dyDescent="0.25">
      <c r="A555" t="s">
        <v>248</v>
      </c>
      <c r="B555" t="s">
        <v>249</v>
      </c>
      <c r="C555">
        <v>23</v>
      </c>
      <c r="D555" t="s">
        <v>56</v>
      </c>
      <c r="E555">
        <v>69</v>
      </c>
      <c r="F555">
        <v>180</v>
      </c>
      <c r="G555" t="s">
        <v>180</v>
      </c>
      <c r="H555">
        <v>2020</v>
      </c>
      <c r="I555" t="s">
        <v>33</v>
      </c>
      <c r="J555">
        <v>16</v>
      </c>
      <c r="K555">
        <v>2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45</v>
      </c>
      <c r="T555">
        <v>40</v>
      </c>
      <c r="U555" s="5">
        <f>IF(Merge1[[#This Row],[team_defense_snaps]]=0, "", Merge1[[#This Row],[defense_snaps]] / Merge1[[#This Row],[team_defense_snaps]])</f>
        <v>0.55555555555555558</v>
      </c>
      <c r="V555">
        <v>72</v>
      </c>
      <c r="W555">
        <v>5</v>
      </c>
      <c r="X555" s="5" t="s">
        <v>159</v>
      </c>
      <c r="Y555">
        <v>0</v>
      </c>
      <c r="Z555">
        <v>0</v>
      </c>
      <c r="AA555" t="s">
        <v>25</v>
      </c>
      <c r="AB555" t="s">
        <v>26</v>
      </c>
      <c r="AC555" t="s">
        <v>27</v>
      </c>
      <c r="AD555" t="s">
        <v>28</v>
      </c>
      <c r="AE555" t="s">
        <v>25</v>
      </c>
      <c r="AF5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4.4444444444444446E-2</v>
      </c>
      <c r="AG555" t="s">
        <v>941</v>
      </c>
      <c r="AH555">
        <v>65</v>
      </c>
      <c r="AI555" t="s">
        <v>939</v>
      </c>
      <c r="AJ555">
        <v>3</v>
      </c>
      <c r="AK5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MIN(AJ555/8, 1) +
  Merge1[[#This Row],[index_defensive_effort]],
  2
)</f>
        <v>0.82</v>
      </c>
    </row>
    <row r="556" spans="1:37" x14ac:dyDescent="0.25">
      <c r="A556" t="s">
        <v>248</v>
      </c>
      <c r="B556" t="s">
        <v>249</v>
      </c>
      <c r="C556">
        <v>23</v>
      </c>
      <c r="D556" t="s">
        <v>56</v>
      </c>
      <c r="E556">
        <v>69</v>
      </c>
      <c r="F556">
        <v>180</v>
      </c>
      <c r="G556" t="s">
        <v>180</v>
      </c>
      <c r="H556">
        <v>2020</v>
      </c>
      <c r="I556" t="s">
        <v>33</v>
      </c>
      <c r="J556">
        <v>17</v>
      </c>
      <c r="K556">
        <v>5</v>
      </c>
      <c r="L556">
        <v>2</v>
      </c>
      <c r="M556">
        <v>1</v>
      </c>
      <c r="N556">
        <v>3</v>
      </c>
      <c r="O556">
        <v>0</v>
      </c>
      <c r="P556">
        <v>0</v>
      </c>
      <c r="Q556">
        <v>0</v>
      </c>
      <c r="R556">
        <v>0</v>
      </c>
      <c r="S556">
        <v>60</v>
      </c>
      <c r="T556">
        <v>52</v>
      </c>
      <c r="U556" s="5">
        <f>IF(Merge1[[#This Row],[team_defense_snaps]]=0, "", Merge1[[#This Row],[defense_snaps]] / Merge1[[#This Row],[team_defense_snaps]])</f>
        <v>0.76470588235294112</v>
      </c>
      <c r="V556">
        <v>68</v>
      </c>
      <c r="W556">
        <v>8</v>
      </c>
      <c r="X556" s="5" t="s">
        <v>113</v>
      </c>
      <c r="Y556">
        <v>0</v>
      </c>
      <c r="Z556">
        <v>0</v>
      </c>
      <c r="AA556" t="s">
        <v>25</v>
      </c>
      <c r="AB556" t="s">
        <v>26</v>
      </c>
      <c r="AC556" t="s">
        <v>27</v>
      </c>
      <c r="AD556" t="s">
        <v>42</v>
      </c>
      <c r="AE556" t="s">
        <v>25</v>
      </c>
      <c r="AF5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0.10833333333333334</v>
      </c>
      <c r="AG556" t="s">
        <v>941</v>
      </c>
      <c r="AH556">
        <v>86</v>
      </c>
      <c r="AI556" t="s">
        <v>27</v>
      </c>
      <c r="AJ556">
        <v>1</v>
      </c>
      <c r="AK5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MIN(AJ556/8, 1) +
  Merge1[[#This Row],[index_defensive_effort]],
  2
)</f>
        <v>0.63</v>
      </c>
    </row>
    <row r="557" spans="1:37" x14ac:dyDescent="0.25">
      <c r="A557" t="s">
        <v>268</v>
      </c>
      <c r="B557" t="s">
        <v>269</v>
      </c>
      <c r="C557">
        <v>31</v>
      </c>
      <c r="D557" t="s">
        <v>56</v>
      </c>
      <c r="E557">
        <v>70</v>
      </c>
      <c r="F557">
        <v>199</v>
      </c>
      <c r="G557" t="s">
        <v>120</v>
      </c>
      <c r="H557">
        <v>2020</v>
      </c>
      <c r="I557" t="s">
        <v>33</v>
      </c>
      <c r="J557">
        <v>1</v>
      </c>
      <c r="K557">
        <v>2</v>
      </c>
      <c r="L557">
        <v>1</v>
      </c>
      <c r="M557">
        <v>1</v>
      </c>
      <c r="N557">
        <v>2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 s="5">
        <f>IF(Merge1[[#This Row],[team_defense_snaps]]=0, "", Merge1[[#This Row],[defense_snaps]] / Merge1[[#This Row],[team_defense_snaps]])</f>
        <v>0</v>
      </c>
      <c r="V557">
        <v>68</v>
      </c>
      <c r="W557">
        <v>0</v>
      </c>
      <c r="X557" s="5" t="s">
        <v>29</v>
      </c>
      <c r="Y557">
        <v>9</v>
      </c>
      <c r="Z557">
        <v>0</v>
      </c>
      <c r="AA557" t="s">
        <v>25</v>
      </c>
      <c r="AB557" t="s">
        <v>26</v>
      </c>
      <c r="AC557" t="s">
        <v>27</v>
      </c>
      <c r="AD557" t="s">
        <v>42</v>
      </c>
      <c r="AE557" t="s">
        <v>25</v>
      </c>
      <c r="AF5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557" t="s">
        <v>942</v>
      </c>
      <c r="AH557">
        <v>64</v>
      </c>
      <c r="AI557" t="s">
        <v>27</v>
      </c>
      <c r="AJ557">
        <v>2</v>
      </c>
      <c r="AK5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MIN(AJ557/8, 1) +
  Merge1[[#This Row],[index_defensive_effort]],
  2
)</f>
        <v>0.95</v>
      </c>
    </row>
    <row r="558" spans="1:37" x14ac:dyDescent="0.25">
      <c r="A558" t="s">
        <v>268</v>
      </c>
      <c r="B558" t="s">
        <v>269</v>
      </c>
      <c r="C558">
        <v>31</v>
      </c>
      <c r="D558" t="s">
        <v>56</v>
      </c>
      <c r="E558">
        <v>70</v>
      </c>
      <c r="F558">
        <v>199</v>
      </c>
      <c r="G558" t="s">
        <v>120</v>
      </c>
      <c r="H558">
        <v>2020</v>
      </c>
      <c r="I558" t="s">
        <v>33</v>
      </c>
      <c r="J558">
        <v>2</v>
      </c>
      <c r="K558">
        <v>5</v>
      </c>
      <c r="L558">
        <v>4</v>
      </c>
      <c r="M558">
        <v>0</v>
      </c>
      <c r="N558">
        <v>4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 s="5">
        <f>IF(Merge1[[#This Row],[team_defense_snaps]]=0, "", Merge1[[#This Row],[defense_snaps]] / Merge1[[#This Row],[team_defense_snaps]])</f>
        <v>0</v>
      </c>
      <c r="V558">
        <v>77</v>
      </c>
      <c r="W558">
        <v>0</v>
      </c>
      <c r="X558" s="5" t="s">
        <v>29</v>
      </c>
      <c r="Y558">
        <v>9</v>
      </c>
      <c r="Z558">
        <v>0</v>
      </c>
      <c r="AA558" t="s">
        <v>25</v>
      </c>
      <c r="AB558" t="s">
        <v>26</v>
      </c>
      <c r="AC558" t="s">
        <v>27</v>
      </c>
      <c r="AD558" t="s">
        <v>42</v>
      </c>
      <c r="AE558" t="s">
        <v>25</v>
      </c>
      <c r="AF5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558" t="s">
        <v>942</v>
      </c>
      <c r="AH558">
        <v>58</v>
      </c>
      <c r="AI558" t="s">
        <v>27</v>
      </c>
      <c r="AJ558">
        <v>3</v>
      </c>
      <c r="AK5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MIN(AJ558/8, 1) +
  Merge1[[#This Row],[index_defensive_effort]],
  2
)</f>
        <v>1.08</v>
      </c>
    </row>
    <row r="559" spans="1:37" x14ac:dyDescent="0.25">
      <c r="A559" t="s">
        <v>268</v>
      </c>
      <c r="B559" t="s">
        <v>269</v>
      </c>
      <c r="C559">
        <v>31</v>
      </c>
      <c r="D559" t="s">
        <v>56</v>
      </c>
      <c r="E559">
        <v>70</v>
      </c>
      <c r="F559">
        <v>199</v>
      </c>
      <c r="G559" t="s">
        <v>120</v>
      </c>
      <c r="H559">
        <v>2020</v>
      </c>
      <c r="I559" t="s">
        <v>33</v>
      </c>
      <c r="J559">
        <v>3</v>
      </c>
      <c r="K559">
        <v>2</v>
      </c>
      <c r="L559">
        <v>2</v>
      </c>
      <c r="M559">
        <v>0</v>
      </c>
      <c r="N559">
        <v>2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 s="5">
        <f>IF(Merge1[[#This Row],[team_defense_snaps]]=0, "", Merge1[[#This Row],[defense_snaps]] / Merge1[[#This Row],[team_defense_snaps]])</f>
        <v>0</v>
      </c>
      <c r="V559">
        <v>51</v>
      </c>
      <c r="W559">
        <v>0</v>
      </c>
      <c r="X559" s="5" t="s">
        <v>29</v>
      </c>
      <c r="Y559">
        <v>9</v>
      </c>
      <c r="Z559">
        <v>0</v>
      </c>
      <c r="AA559" t="s">
        <v>25</v>
      </c>
      <c r="AB559" t="s">
        <v>26</v>
      </c>
      <c r="AC559" t="s">
        <v>27</v>
      </c>
      <c r="AD559" t="s">
        <v>42</v>
      </c>
      <c r="AE559" t="s">
        <v>25</v>
      </c>
      <c r="AF5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559" t="s">
        <v>942</v>
      </c>
      <c r="AH559">
        <v>62.5</v>
      </c>
      <c r="AI559" t="s">
        <v>27</v>
      </c>
      <c r="AJ559">
        <v>1</v>
      </c>
      <c r="AK5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MIN(AJ559/8, 1) +
  Merge1[[#This Row],[index_defensive_effort]],
  2
)</f>
        <v>0.83</v>
      </c>
    </row>
    <row r="560" spans="1:37" x14ac:dyDescent="0.25">
      <c r="A560" t="s">
        <v>268</v>
      </c>
      <c r="B560" t="s">
        <v>269</v>
      </c>
      <c r="C560">
        <v>31</v>
      </c>
      <c r="D560" t="s">
        <v>56</v>
      </c>
      <c r="E560">
        <v>70</v>
      </c>
      <c r="F560">
        <v>199</v>
      </c>
      <c r="G560" t="s">
        <v>120</v>
      </c>
      <c r="H560">
        <v>2020</v>
      </c>
      <c r="I560" t="s">
        <v>33</v>
      </c>
      <c r="J560">
        <v>12</v>
      </c>
      <c r="K560">
        <v>3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 s="5">
        <f>IF(Merge1[[#This Row],[team_defense_snaps]]=0, "", Merge1[[#This Row],[defense_snaps]] / Merge1[[#This Row],[team_defense_snaps]])</f>
        <v>0</v>
      </c>
      <c r="V560">
        <v>62</v>
      </c>
      <c r="W560">
        <v>0</v>
      </c>
      <c r="X560" s="5" t="s">
        <v>29</v>
      </c>
      <c r="Y560">
        <v>9</v>
      </c>
      <c r="Z560">
        <v>0</v>
      </c>
      <c r="AA560" t="s">
        <v>25</v>
      </c>
      <c r="AB560" t="s">
        <v>26</v>
      </c>
      <c r="AC560" t="s">
        <v>27</v>
      </c>
      <c r="AD560" t="s">
        <v>42</v>
      </c>
      <c r="AE560" t="s">
        <v>25</v>
      </c>
      <c r="AF5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560" t="s">
        <v>942</v>
      </c>
      <c r="AH560">
        <v>59.5</v>
      </c>
      <c r="AI560" t="s">
        <v>939</v>
      </c>
      <c r="AJ560">
        <v>2</v>
      </c>
      <c r="AK5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MIN(AJ560/8, 1) +
  Merge1[[#This Row],[index_defensive_effort]],
  2
)</f>
        <v>0.95</v>
      </c>
    </row>
    <row r="561" spans="1:37" x14ac:dyDescent="0.25">
      <c r="A561" t="s">
        <v>268</v>
      </c>
      <c r="B561" t="s">
        <v>269</v>
      </c>
      <c r="C561">
        <v>31</v>
      </c>
      <c r="D561" t="s">
        <v>56</v>
      </c>
      <c r="E561">
        <v>70</v>
      </c>
      <c r="F561">
        <v>199</v>
      </c>
      <c r="G561" t="s">
        <v>120</v>
      </c>
      <c r="H561">
        <v>2020</v>
      </c>
      <c r="I561" t="s">
        <v>33</v>
      </c>
      <c r="J561">
        <v>13</v>
      </c>
      <c r="K561">
        <v>2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2</v>
      </c>
      <c r="T561">
        <v>0</v>
      </c>
      <c r="U561" s="5">
        <f>IF(Merge1[[#This Row],[team_defense_snaps]]=0, "", Merge1[[#This Row],[defense_snaps]] / Merge1[[#This Row],[team_defense_snaps]])</f>
        <v>0</v>
      </c>
      <c r="V561">
        <v>67</v>
      </c>
      <c r="W561">
        <v>2</v>
      </c>
      <c r="X561" s="5" t="s">
        <v>167</v>
      </c>
      <c r="Y561">
        <v>9</v>
      </c>
      <c r="Z561">
        <v>0</v>
      </c>
      <c r="AA561" t="s">
        <v>25</v>
      </c>
      <c r="AB561" t="s">
        <v>26</v>
      </c>
      <c r="AC561" t="s">
        <v>27</v>
      </c>
      <c r="AD561" t="s">
        <v>42</v>
      </c>
      <c r="AE561" t="s">
        <v>25</v>
      </c>
      <c r="AF5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561" t="s">
        <v>942</v>
      </c>
      <c r="AH561">
        <v>79</v>
      </c>
      <c r="AI561" t="s">
        <v>27</v>
      </c>
      <c r="AJ561">
        <v>3</v>
      </c>
      <c r="AK5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MIN(AJ561/8, 1) +
  Merge1[[#This Row],[index_defensive_effort]],
  2
)</f>
        <v>2.08</v>
      </c>
    </row>
    <row r="562" spans="1:37" x14ac:dyDescent="0.25">
      <c r="A562" t="s">
        <v>268</v>
      </c>
      <c r="B562" t="s">
        <v>269</v>
      </c>
      <c r="C562">
        <v>31</v>
      </c>
      <c r="D562" t="s">
        <v>56</v>
      </c>
      <c r="E562">
        <v>70</v>
      </c>
      <c r="F562">
        <v>199</v>
      </c>
      <c r="G562" t="s">
        <v>120</v>
      </c>
      <c r="H562">
        <v>2020</v>
      </c>
      <c r="I562" t="s">
        <v>33</v>
      </c>
      <c r="J562">
        <v>14</v>
      </c>
      <c r="K562">
        <v>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 s="5">
        <f>IF(Merge1[[#This Row],[team_defense_snaps]]=0, "", Merge1[[#This Row],[defense_snaps]] / Merge1[[#This Row],[team_defense_snaps]])</f>
        <v>0</v>
      </c>
      <c r="V562">
        <v>57</v>
      </c>
      <c r="W562">
        <v>0</v>
      </c>
      <c r="X562" s="5" t="s">
        <v>29</v>
      </c>
      <c r="Y562">
        <v>9</v>
      </c>
      <c r="Z562">
        <v>0</v>
      </c>
      <c r="AA562" t="s">
        <v>25</v>
      </c>
      <c r="AB562" t="s">
        <v>26</v>
      </c>
      <c r="AC562" t="s">
        <v>27</v>
      </c>
      <c r="AD562" t="s">
        <v>42</v>
      </c>
      <c r="AE562" t="s">
        <v>25</v>
      </c>
      <c r="AF5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562" t="s">
        <v>942</v>
      </c>
      <c r="AH562">
        <v>82</v>
      </c>
      <c r="AI562" t="s">
        <v>27</v>
      </c>
      <c r="AJ562">
        <v>4</v>
      </c>
      <c r="AK5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MIN(AJ562/8, 1) +
  Merge1[[#This Row],[index_defensive_effort]],
  2
)</f>
        <v>1.2</v>
      </c>
    </row>
    <row r="563" spans="1:37" x14ac:dyDescent="0.25">
      <c r="A563" t="s">
        <v>268</v>
      </c>
      <c r="B563" t="s">
        <v>269</v>
      </c>
      <c r="C563">
        <v>31</v>
      </c>
      <c r="D563" t="s">
        <v>56</v>
      </c>
      <c r="E563">
        <v>70</v>
      </c>
      <c r="F563">
        <v>199</v>
      </c>
      <c r="G563" t="s">
        <v>120</v>
      </c>
      <c r="H563">
        <v>2020</v>
      </c>
      <c r="I563" t="s">
        <v>33</v>
      </c>
      <c r="J563">
        <v>15</v>
      </c>
      <c r="K563">
        <v>6</v>
      </c>
      <c r="L563">
        <v>1</v>
      </c>
      <c r="M563">
        <v>0</v>
      </c>
      <c r="N563">
        <v>1</v>
      </c>
      <c r="O563">
        <v>0</v>
      </c>
      <c r="P563">
        <v>0</v>
      </c>
      <c r="Q563">
        <v>2</v>
      </c>
      <c r="R563">
        <v>0</v>
      </c>
      <c r="S563">
        <v>0</v>
      </c>
      <c r="T563">
        <v>0</v>
      </c>
      <c r="U563" s="5">
        <f>IF(Merge1[[#This Row],[team_defense_snaps]]=0, "", Merge1[[#This Row],[defense_snaps]] / Merge1[[#This Row],[team_defense_snaps]])</f>
        <v>0</v>
      </c>
      <c r="V563">
        <v>77</v>
      </c>
      <c r="W563">
        <v>0</v>
      </c>
      <c r="X563" s="5" t="s">
        <v>29</v>
      </c>
      <c r="Y563">
        <v>9</v>
      </c>
      <c r="Z563">
        <v>0</v>
      </c>
      <c r="AA563" t="s">
        <v>25</v>
      </c>
      <c r="AB563" t="s">
        <v>26</v>
      </c>
      <c r="AC563" t="s">
        <v>27</v>
      </c>
      <c r="AD563" t="s">
        <v>42</v>
      </c>
      <c r="AE563" t="s">
        <v>25</v>
      </c>
      <c r="AF5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563" t="s">
        <v>942</v>
      </c>
      <c r="AH563">
        <v>65.5</v>
      </c>
      <c r="AI563" t="s">
        <v>27</v>
      </c>
      <c r="AJ563">
        <v>5</v>
      </c>
      <c r="AK5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MIN(AJ563/8, 1) +
  Merge1[[#This Row],[index_defensive_effort]],
  2
)</f>
        <v>1.33</v>
      </c>
    </row>
    <row r="564" spans="1:37" x14ac:dyDescent="0.25">
      <c r="A564" t="s">
        <v>268</v>
      </c>
      <c r="B564" t="s">
        <v>269</v>
      </c>
      <c r="C564">
        <v>31</v>
      </c>
      <c r="D564" t="s">
        <v>56</v>
      </c>
      <c r="E564">
        <v>70</v>
      </c>
      <c r="F564">
        <v>199</v>
      </c>
      <c r="G564" t="s">
        <v>120</v>
      </c>
      <c r="H564">
        <v>2020</v>
      </c>
      <c r="I564" t="s">
        <v>33</v>
      </c>
      <c r="J564">
        <v>16</v>
      </c>
      <c r="K564">
        <v>3</v>
      </c>
      <c r="L564">
        <v>5</v>
      </c>
      <c r="M564">
        <v>1</v>
      </c>
      <c r="N564">
        <v>6</v>
      </c>
      <c r="O564">
        <v>3</v>
      </c>
      <c r="P564">
        <v>3</v>
      </c>
      <c r="Q564">
        <v>0</v>
      </c>
      <c r="R564">
        <v>0</v>
      </c>
      <c r="S564">
        <v>0</v>
      </c>
      <c r="T564">
        <v>0</v>
      </c>
      <c r="U564" s="5">
        <f>IF(Merge1[[#This Row],[team_defense_snaps]]=0, "", Merge1[[#This Row],[defense_snaps]] / Merge1[[#This Row],[team_defense_snaps]])</f>
        <v>0</v>
      </c>
      <c r="V564">
        <v>77</v>
      </c>
      <c r="W564">
        <v>0</v>
      </c>
      <c r="X564" s="5" t="s">
        <v>29</v>
      </c>
      <c r="Y564">
        <v>9</v>
      </c>
      <c r="Z564">
        <v>0</v>
      </c>
      <c r="AA564" t="s">
        <v>25</v>
      </c>
      <c r="AB564" t="s">
        <v>26</v>
      </c>
      <c r="AC564" t="s">
        <v>27</v>
      </c>
      <c r="AD564" t="s">
        <v>42</v>
      </c>
      <c r="AE564" t="s">
        <v>25</v>
      </c>
      <c r="AF5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564" t="s">
        <v>942</v>
      </c>
      <c r="AH564">
        <v>80.5</v>
      </c>
      <c r="AI564" t="s">
        <v>27</v>
      </c>
      <c r="AJ564">
        <v>6</v>
      </c>
      <c r="AK5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MIN(AJ564/8, 1) +
  Merge1[[#This Row],[index_defensive_effort]],
  2
)</f>
        <v>1.45</v>
      </c>
    </row>
    <row r="565" spans="1:37" x14ac:dyDescent="0.25">
      <c r="A565" t="s">
        <v>268</v>
      </c>
      <c r="B565" t="s">
        <v>269</v>
      </c>
      <c r="C565">
        <v>31</v>
      </c>
      <c r="D565" t="s">
        <v>56</v>
      </c>
      <c r="E565">
        <v>70</v>
      </c>
      <c r="F565">
        <v>199</v>
      </c>
      <c r="G565" t="s">
        <v>120</v>
      </c>
      <c r="H565">
        <v>2020</v>
      </c>
      <c r="I565" t="s">
        <v>33</v>
      </c>
      <c r="J565">
        <v>17</v>
      </c>
      <c r="K565">
        <v>3</v>
      </c>
      <c r="L565">
        <v>1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 s="5">
        <f>IF(Merge1[[#This Row],[team_defense_snaps]]=0, "", Merge1[[#This Row],[defense_snaps]] / Merge1[[#This Row],[team_defense_snaps]])</f>
        <v>0</v>
      </c>
      <c r="V565">
        <v>53</v>
      </c>
      <c r="W565">
        <v>0</v>
      </c>
      <c r="X565" s="5" t="s">
        <v>29</v>
      </c>
      <c r="Y565">
        <v>9</v>
      </c>
      <c r="Z565">
        <v>0</v>
      </c>
      <c r="AA565" t="s">
        <v>25</v>
      </c>
      <c r="AB565" t="s">
        <v>26</v>
      </c>
      <c r="AC565" t="s">
        <v>27</v>
      </c>
      <c r="AD565" t="s">
        <v>42</v>
      </c>
      <c r="AE565" t="s">
        <v>25</v>
      </c>
      <c r="AF5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565" t="s">
        <v>942</v>
      </c>
      <c r="AH565">
        <v>61</v>
      </c>
      <c r="AI565" t="s">
        <v>939</v>
      </c>
      <c r="AJ565">
        <v>1</v>
      </c>
      <c r="AK5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MIN(AJ565/8, 1) +
  Merge1[[#This Row],[index_defensive_effort]],
  2
)</f>
        <v>0.83</v>
      </c>
    </row>
    <row r="566" spans="1:37" x14ac:dyDescent="0.25">
      <c r="A566" t="s">
        <v>273</v>
      </c>
      <c r="B566" t="s">
        <v>274</v>
      </c>
      <c r="C566">
        <v>22</v>
      </c>
      <c r="D566" t="s">
        <v>56</v>
      </c>
      <c r="E566">
        <v>70</v>
      </c>
      <c r="F566">
        <v>193</v>
      </c>
      <c r="G566" t="s">
        <v>130</v>
      </c>
      <c r="H566">
        <v>2020</v>
      </c>
      <c r="I566" t="s">
        <v>33</v>
      </c>
      <c r="J566">
        <v>1</v>
      </c>
      <c r="K566">
        <v>0</v>
      </c>
      <c r="L566">
        <v>1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42</v>
      </c>
      <c r="T566">
        <v>35</v>
      </c>
      <c r="U566" s="5">
        <f>IF(Merge1[[#This Row],[team_defense_snaps]]=0, "", Merge1[[#This Row],[defense_snaps]] / Merge1[[#This Row],[team_defense_snaps]])</f>
        <v>0.58333333333333337</v>
      </c>
      <c r="V566">
        <v>60</v>
      </c>
      <c r="W566">
        <v>7</v>
      </c>
      <c r="X566" s="5" t="s">
        <v>113</v>
      </c>
      <c r="Y566">
        <v>0</v>
      </c>
      <c r="Z566">
        <v>0</v>
      </c>
      <c r="AA566" t="s">
        <v>25</v>
      </c>
      <c r="AB566" t="s">
        <v>26</v>
      </c>
      <c r="AC566" t="s">
        <v>27</v>
      </c>
      <c r="AD566" t="s">
        <v>42</v>
      </c>
      <c r="AE566" t="s">
        <v>25</v>
      </c>
      <c r="AF5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1.1904761904761904E-2</v>
      </c>
      <c r="AG566" t="s">
        <v>941</v>
      </c>
      <c r="AH566">
        <v>57</v>
      </c>
      <c r="AI566" t="s">
        <v>939</v>
      </c>
      <c r="AJ566">
        <v>2</v>
      </c>
      <c r="AK5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MIN(AJ566/8, 1) +
  Merge1[[#This Row],[index_defensive_effort]],
  2
)</f>
        <v>0.76</v>
      </c>
    </row>
    <row r="567" spans="1:37" x14ac:dyDescent="0.25">
      <c r="A567" t="s">
        <v>273</v>
      </c>
      <c r="B567" t="s">
        <v>274</v>
      </c>
      <c r="C567">
        <v>22</v>
      </c>
      <c r="D567" t="s">
        <v>56</v>
      </c>
      <c r="E567">
        <v>70</v>
      </c>
      <c r="F567">
        <v>193</v>
      </c>
      <c r="G567" t="s">
        <v>130</v>
      </c>
      <c r="H567">
        <v>2020</v>
      </c>
      <c r="I567" t="s">
        <v>33</v>
      </c>
      <c r="J567">
        <v>2</v>
      </c>
      <c r="K567">
        <v>3</v>
      </c>
      <c r="L567">
        <v>3</v>
      </c>
      <c r="M567">
        <v>1</v>
      </c>
      <c r="N567">
        <v>4</v>
      </c>
      <c r="O567">
        <v>0</v>
      </c>
      <c r="P567">
        <v>0</v>
      </c>
      <c r="Q567">
        <v>0</v>
      </c>
      <c r="R567">
        <v>0</v>
      </c>
      <c r="S567">
        <v>46</v>
      </c>
      <c r="T567">
        <v>38</v>
      </c>
      <c r="U567" s="5">
        <f>IF(Merge1[[#This Row],[team_defense_snaps]]=0, "", Merge1[[#This Row],[defense_snaps]] / Merge1[[#This Row],[team_defense_snaps]])</f>
        <v>0.4935064935064935</v>
      </c>
      <c r="V567">
        <v>77</v>
      </c>
      <c r="W567">
        <v>8</v>
      </c>
      <c r="X567" s="5" t="s">
        <v>113</v>
      </c>
      <c r="Y567">
        <v>0</v>
      </c>
      <c r="Z567">
        <v>0</v>
      </c>
      <c r="AA567" t="s">
        <v>25</v>
      </c>
      <c r="AB567" t="s">
        <v>26</v>
      </c>
      <c r="AC567" t="s">
        <v>27</v>
      </c>
      <c r="AD567" t="s">
        <v>28</v>
      </c>
      <c r="AE567" t="s">
        <v>25</v>
      </c>
      <c r="AF5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0.10869565217391304</v>
      </c>
      <c r="AG567" t="s">
        <v>941</v>
      </c>
      <c r="AH567">
        <v>76.5</v>
      </c>
      <c r="AI567" t="s">
        <v>939</v>
      </c>
      <c r="AJ567">
        <v>1</v>
      </c>
      <c r="AK5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MIN(AJ567/8, 1) +
  Merge1[[#This Row],[index_defensive_effort]],
  2
)</f>
        <v>0.73</v>
      </c>
    </row>
    <row r="568" spans="1:37" x14ac:dyDescent="0.25">
      <c r="A568" t="s">
        <v>273</v>
      </c>
      <c r="B568" t="s">
        <v>274</v>
      </c>
      <c r="C568">
        <v>22</v>
      </c>
      <c r="D568" t="s">
        <v>56</v>
      </c>
      <c r="E568">
        <v>70</v>
      </c>
      <c r="F568">
        <v>193</v>
      </c>
      <c r="G568" t="s">
        <v>130</v>
      </c>
      <c r="H568">
        <v>2020</v>
      </c>
      <c r="I568" t="s">
        <v>33</v>
      </c>
      <c r="J568">
        <v>5</v>
      </c>
      <c r="K568">
        <v>2</v>
      </c>
      <c r="L568">
        <v>2</v>
      </c>
      <c r="M568">
        <v>2</v>
      </c>
      <c r="N568">
        <v>4</v>
      </c>
      <c r="O568">
        <v>0</v>
      </c>
      <c r="P568">
        <v>0</v>
      </c>
      <c r="Q568">
        <v>0</v>
      </c>
      <c r="R568">
        <v>0</v>
      </c>
      <c r="S568">
        <v>53</v>
      </c>
      <c r="T568">
        <v>53</v>
      </c>
      <c r="U568" s="5">
        <f>IF(Merge1[[#This Row],[team_defense_snaps]]=0, "", Merge1[[#This Row],[defense_snaps]] / Merge1[[#This Row],[team_defense_snaps]])</f>
        <v>0.73611111111111116</v>
      </c>
      <c r="V568">
        <v>72</v>
      </c>
      <c r="W568">
        <v>0</v>
      </c>
      <c r="X568" s="5" t="s">
        <v>29</v>
      </c>
      <c r="Y568">
        <v>0</v>
      </c>
      <c r="Z568">
        <v>0</v>
      </c>
      <c r="AA568" t="s">
        <v>25</v>
      </c>
      <c r="AB568" t="s">
        <v>26</v>
      </c>
      <c r="AC568" t="s">
        <v>27</v>
      </c>
      <c r="AD568" t="s">
        <v>42</v>
      </c>
      <c r="AE568" t="s">
        <v>25</v>
      </c>
      <c r="AF5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7.5471698113207544E-2</v>
      </c>
      <c r="AG568" t="s">
        <v>941</v>
      </c>
      <c r="AH568">
        <v>69</v>
      </c>
      <c r="AI568" t="s">
        <v>939</v>
      </c>
      <c r="AJ568">
        <v>1</v>
      </c>
      <c r="AK5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MIN(AJ568/8, 1) +
  Merge1[[#This Row],[index_defensive_effort]],
  2
)</f>
        <v>0.7</v>
      </c>
    </row>
    <row r="569" spans="1:37" x14ac:dyDescent="0.25">
      <c r="A569" t="s">
        <v>273</v>
      </c>
      <c r="B569" t="s">
        <v>274</v>
      </c>
      <c r="C569">
        <v>22</v>
      </c>
      <c r="D569" t="s">
        <v>56</v>
      </c>
      <c r="E569">
        <v>70</v>
      </c>
      <c r="F569">
        <v>193</v>
      </c>
      <c r="G569" t="s">
        <v>130</v>
      </c>
      <c r="H569">
        <v>2020</v>
      </c>
      <c r="I569" t="s">
        <v>33</v>
      </c>
      <c r="J569">
        <v>7</v>
      </c>
      <c r="K569">
        <v>2</v>
      </c>
      <c r="L569">
        <v>1</v>
      </c>
      <c r="M569">
        <v>1</v>
      </c>
      <c r="N569">
        <v>2</v>
      </c>
      <c r="O569">
        <v>0</v>
      </c>
      <c r="P569">
        <v>0</v>
      </c>
      <c r="Q569">
        <v>0</v>
      </c>
      <c r="R569">
        <v>0</v>
      </c>
      <c r="S569">
        <v>32</v>
      </c>
      <c r="T569">
        <v>32</v>
      </c>
      <c r="U569" s="5">
        <f>IF(Merge1[[#This Row],[team_defense_snaps]]=0, "", Merge1[[#This Row],[defense_snaps]] / Merge1[[#This Row],[team_defense_snaps]])</f>
        <v>0.32</v>
      </c>
      <c r="V569">
        <v>100</v>
      </c>
      <c r="W569">
        <v>0</v>
      </c>
      <c r="X569" s="5" t="s">
        <v>29</v>
      </c>
      <c r="Y569">
        <v>0</v>
      </c>
      <c r="Z569">
        <v>0</v>
      </c>
      <c r="AA569" t="s">
        <v>25</v>
      </c>
      <c r="AB569" t="s">
        <v>26</v>
      </c>
      <c r="AC569" t="s">
        <v>27</v>
      </c>
      <c r="AD569" t="s">
        <v>28</v>
      </c>
      <c r="AE569" t="s">
        <v>25</v>
      </c>
      <c r="AF5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9.375E-2</v>
      </c>
      <c r="AG569" t="s">
        <v>941</v>
      </c>
      <c r="AH569">
        <v>72</v>
      </c>
      <c r="AI569" t="s">
        <v>939</v>
      </c>
      <c r="AJ569">
        <v>2</v>
      </c>
      <c r="AK5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MIN(AJ569/8, 1) +
  Merge1[[#This Row],[index_defensive_effort]],
  2
)</f>
        <v>0.84</v>
      </c>
    </row>
    <row r="570" spans="1:37" x14ac:dyDescent="0.25">
      <c r="A570" t="s">
        <v>273</v>
      </c>
      <c r="B570" t="s">
        <v>274</v>
      </c>
      <c r="C570">
        <v>22</v>
      </c>
      <c r="D570" t="s">
        <v>56</v>
      </c>
      <c r="E570">
        <v>70</v>
      </c>
      <c r="F570">
        <v>193</v>
      </c>
      <c r="G570" t="s">
        <v>130</v>
      </c>
      <c r="H570">
        <v>2020</v>
      </c>
      <c r="I570" t="s">
        <v>33</v>
      </c>
      <c r="J570">
        <v>8</v>
      </c>
      <c r="K570">
        <v>3</v>
      </c>
      <c r="L570">
        <v>2</v>
      </c>
      <c r="M570">
        <v>0</v>
      </c>
      <c r="N570">
        <v>2</v>
      </c>
      <c r="O570">
        <v>0</v>
      </c>
      <c r="P570">
        <v>0</v>
      </c>
      <c r="Q570">
        <v>0</v>
      </c>
      <c r="R570">
        <v>0</v>
      </c>
      <c r="S570">
        <v>48</v>
      </c>
      <c r="T570">
        <v>44</v>
      </c>
      <c r="U570" s="5">
        <f>IF(Merge1[[#This Row],[team_defense_snaps]]=0, "", Merge1[[#This Row],[defense_snaps]] / Merge1[[#This Row],[team_defense_snaps]])</f>
        <v>0.59459459459459463</v>
      </c>
      <c r="V570">
        <v>74</v>
      </c>
      <c r="W570">
        <v>4</v>
      </c>
      <c r="X570" s="5" t="s">
        <v>124</v>
      </c>
      <c r="Y570">
        <v>0</v>
      </c>
      <c r="Z570">
        <v>0</v>
      </c>
      <c r="AA570" t="s">
        <v>25</v>
      </c>
      <c r="AB570" t="s">
        <v>26</v>
      </c>
      <c r="AC570" t="s">
        <v>27</v>
      </c>
      <c r="AD570" t="s">
        <v>42</v>
      </c>
      <c r="AE570" t="s">
        <v>25</v>
      </c>
      <c r="AF5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570" t="s">
        <v>941</v>
      </c>
      <c r="AH570">
        <v>78</v>
      </c>
      <c r="AI570" t="s">
        <v>939</v>
      </c>
      <c r="AJ570">
        <v>1</v>
      </c>
      <c r="AK5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MIN(AJ570/8, 1) +
  Merge1[[#This Row],[index_defensive_effort]],
  2
)</f>
        <v>0.71</v>
      </c>
    </row>
    <row r="571" spans="1:37" x14ac:dyDescent="0.25">
      <c r="A571" t="s">
        <v>273</v>
      </c>
      <c r="B571" t="s">
        <v>274</v>
      </c>
      <c r="C571">
        <v>22</v>
      </c>
      <c r="D571" t="s">
        <v>56</v>
      </c>
      <c r="E571">
        <v>70</v>
      </c>
      <c r="F571">
        <v>193</v>
      </c>
      <c r="G571" t="s">
        <v>130</v>
      </c>
      <c r="H571">
        <v>2020</v>
      </c>
      <c r="I571" t="s">
        <v>33</v>
      </c>
      <c r="J571">
        <v>15</v>
      </c>
      <c r="K571">
        <v>1</v>
      </c>
      <c r="L571">
        <v>2</v>
      </c>
      <c r="M571">
        <v>2</v>
      </c>
      <c r="N571">
        <v>4</v>
      </c>
      <c r="O571">
        <v>0</v>
      </c>
      <c r="P571">
        <v>0</v>
      </c>
      <c r="Q571">
        <v>0</v>
      </c>
      <c r="R571">
        <v>0</v>
      </c>
      <c r="S571">
        <v>11</v>
      </c>
      <c r="T571">
        <v>9</v>
      </c>
      <c r="U571" s="5">
        <f>IF(Merge1[[#This Row],[team_defense_snaps]]=0, "", Merge1[[#This Row],[defense_snaps]] / Merge1[[#This Row],[team_defense_snaps]])</f>
        <v>0.13846153846153847</v>
      </c>
      <c r="V571">
        <v>65</v>
      </c>
      <c r="W571">
        <v>2</v>
      </c>
      <c r="X571" s="5" t="s">
        <v>167</v>
      </c>
      <c r="Y571">
        <v>0</v>
      </c>
      <c r="Z571">
        <v>0</v>
      </c>
      <c r="AA571" t="s">
        <v>25</v>
      </c>
      <c r="AB571" t="s">
        <v>26</v>
      </c>
      <c r="AC571" t="s">
        <v>27</v>
      </c>
      <c r="AD571" t="s">
        <v>28</v>
      </c>
      <c r="AE571" t="s">
        <v>25</v>
      </c>
      <c r="AF5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0.27272727272727271</v>
      </c>
      <c r="AG571" t="s">
        <v>941</v>
      </c>
      <c r="AH571">
        <v>67.5</v>
      </c>
      <c r="AI571" t="s">
        <v>940</v>
      </c>
      <c r="AJ571">
        <v>1</v>
      </c>
      <c r="AK5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MIN(AJ571/8, 1) +
  Merge1[[#This Row],[index_defensive_effort]],
  2
)</f>
        <v>0.9</v>
      </c>
    </row>
    <row r="572" spans="1:37" x14ac:dyDescent="0.25">
      <c r="A572" t="s">
        <v>279</v>
      </c>
      <c r="B572" t="s">
        <v>280</v>
      </c>
      <c r="C572">
        <v>25</v>
      </c>
      <c r="D572" t="s">
        <v>56</v>
      </c>
      <c r="E572">
        <v>72</v>
      </c>
      <c r="F572">
        <v>200</v>
      </c>
      <c r="G572" t="s">
        <v>117</v>
      </c>
      <c r="H572">
        <v>2020</v>
      </c>
      <c r="I572" t="s">
        <v>33</v>
      </c>
      <c r="J572">
        <v>9</v>
      </c>
      <c r="K572">
        <v>3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58</v>
      </c>
      <c r="T572">
        <v>58</v>
      </c>
      <c r="U572" s="5">
        <f>IF(Merge1[[#This Row],[team_defense_snaps]]=0, "", Merge1[[#This Row],[defense_snaps]] / Merge1[[#This Row],[team_defense_snaps]])</f>
        <v>0.77333333333333332</v>
      </c>
      <c r="V572">
        <v>75</v>
      </c>
      <c r="W572">
        <v>0</v>
      </c>
      <c r="X572" s="5" t="s">
        <v>29</v>
      </c>
      <c r="Y572">
        <v>2</v>
      </c>
      <c r="Z572">
        <v>0</v>
      </c>
      <c r="AA572" t="s">
        <v>207</v>
      </c>
      <c r="AB572" t="s">
        <v>62</v>
      </c>
      <c r="AC572" t="s">
        <v>27</v>
      </c>
      <c r="AD572" t="s">
        <v>204</v>
      </c>
      <c r="AE572" t="s">
        <v>25</v>
      </c>
      <c r="AF5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5.1724137931034482E-2</v>
      </c>
      <c r="AG572" t="s">
        <v>942</v>
      </c>
      <c r="AH572">
        <v>52</v>
      </c>
      <c r="AI572" t="s">
        <v>939</v>
      </c>
      <c r="AJ572">
        <v>1</v>
      </c>
      <c r="AK5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MIN(AJ572/8, 1) +
  Merge1[[#This Row],[index_defensive_effort]],
  2
)</f>
        <v>0.68</v>
      </c>
    </row>
    <row r="573" spans="1:37" x14ac:dyDescent="0.25">
      <c r="A573" t="s">
        <v>279</v>
      </c>
      <c r="B573" t="s">
        <v>280</v>
      </c>
      <c r="C573">
        <v>25</v>
      </c>
      <c r="D573" t="s">
        <v>56</v>
      </c>
      <c r="E573">
        <v>72</v>
      </c>
      <c r="F573">
        <v>200</v>
      </c>
      <c r="G573" t="s">
        <v>117</v>
      </c>
      <c r="H573">
        <v>2020</v>
      </c>
      <c r="I573" t="s">
        <v>33</v>
      </c>
      <c r="J573">
        <v>9</v>
      </c>
      <c r="K573">
        <v>3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60</v>
      </c>
      <c r="T573">
        <v>58</v>
      </c>
      <c r="U573" s="5">
        <f>IF(Merge1[[#This Row],[team_defense_snaps]]=0, "", Merge1[[#This Row],[defense_snaps]] / Merge1[[#This Row],[team_defense_snaps]])</f>
        <v>0.77333333333333332</v>
      </c>
      <c r="V573">
        <v>75</v>
      </c>
      <c r="W573">
        <v>2</v>
      </c>
      <c r="X573" s="5" t="s">
        <v>208</v>
      </c>
      <c r="Y573">
        <v>2</v>
      </c>
      <c r="Z573">
        <v>0</v>
      </c>
      <c r="AA573" t="s">
        <v>25</v>
      </c>
      <c r="AB573" t="s">
        <v>26</v>
      </c>
      <c r="AC573" t="s">
        <v>27</v>
      </c>
      <c r="AD573" t="s">
        <v>28</v>
      </c>
      <c r="AE573" t="s">
        <v>25</v>
      </c>
      <c r="AF5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573" t="s">
        <v>942</v>
      </c>
      <c r="AH573">
        <v>53.5</v>
      </c>
      <c r="AI573" t="s">
        <v>939</v>
      </c>
      <c r="AJ573">
        <v>1</v>
      </c>
      <c r="AK5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MIN(AJ573/8, 1) +
  Merge1[[#This Row],[index_defensive_effort]],
  2
)</f>
        <v>0.68</v>
      </c>
    </row>
    <row r="574" spans="1:37" x14ac:dyDescent="0.25">
      <c r="A574" t="s">
        <v>279</v>
      </c>
      <c r="B574" t="s">
        <v>280</v>
      </c>
      <c r="C574">
        <v>25</v>
      </c>
      <c r="D574" t="s">
        <v>56</v>
      </c>
      <c r="E574">
        <v>72</v>
      </c>
      <c r="F574">
        <v>200</v>
      </c>
      <c r="G574" t="s">
        <v>117</v>
      </c>
      <c r="H574">
        <v>2020</v>
      </c>
      <c r="I574" t="s">
        <v>33</v>
      </c>
      <c r="J574">
        <v>10</v>
      </c>
      <c r="K574">
        <v>3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31</v>
      </c>
      <c r="T574">
        <v>30</v>
      </c>
      <c r="U574" s="5">
        <f>IF(Merge1[[#This Row],[team_defense_snaps]]=0, "", Merge1[[#This Row],[defense_snaps]] / Merge1[[#This Row],[team_defense_snaps]])</f>
        <v>0.6</v>
      </c>
      <c r="V574">
        <v>50</v>
      </c>
      <c r="W574">
        <v>1</v>
      </c>
      <c r="X574" s="5" t="s">
        <v>193</v>
      </c>
      <c r="Y574">
        <v>2</v>
      </c>
      <c r="Z574">
        <v>0</v>
      </c>
      <c r="AA574" t="s">
        <v>25</v>
      </c>
      <c r="AB574" t="s">
        <v>26</v>
      </c>
      <c r="AC574" t="s">
        <v>27</v>
      </c>
      <c r="AD574" t="s">
        <v>42</v>
      </c>
      <c r="AE574" t="s">
        <v>25</v>
      </c>
      <c r="AF5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0.16129032258064516</v>
      </c>
      <c r="AG574" t="s">
        <v>942</v>
      </c>
      <c r="AH574">
        <v>58</v>
      </c>
      <c r="AI574" t="s">
        <v>939</v>
      </c>
      <c r="AJ574">
        <v>2</v>
      </c>
      <c r="AK5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MIN(AJ574/8, 1) +
  Merge1[[#This Row],[index_defensive_effort]],
  2
)</f>
        <v>0.91</v>
      </c>
    </row>
    <row r="575" spans="1:37" x14ac:dyDescent="0.25">
      <c r="A575" t="s">
        <v>279</v>
      </c>
      <c r="B575" t="s">
        <v>280</v>
      </c>
      <c r="C575">
        <v>25</v>
      </c>
      <c r="D575" t="s">
        <v>56</v>
      </c>
      <c r="E575">
        <v>72</v>
      </c>
      <c r="F575">
        <v>200</v>
      </c>
      <c r="G575" t="s">
        <v>117</v>
      </c>
      <c r="H575">
        <v>2020</v>
      </c>
      <c r="I575" t="s">
        <v>33</v>
      </c>
      <c r="J575">
        <v>11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31</v>
      </c>
      <c r="T575">
        <v>31</v>
      </c>
      <c r="U575" s="5">
        <f>IF(Merge1[[#This Row],[team_defense_snaps]]=0, "", Merge1[[#This Row],[defense_snaps]] / Merge1[[#This Row],[team_defense_snaps]])</f>
        <v>0.46969696969696972</v>
      </c>
      <c r="V575">
        <v>66</v>
      </c>
      <c r="W575">
        <v>0</v>
      </c>
      <c r="X575" s="5" t="s">
        <v>29</v>
      </c>
      <c r="Y575">
        <v>2</v>
      </c>
      <c r="Z575">
        <v>0</v>
      </c>
      <c r="AA575" t="s">
        <v>207</v>
      </c>
      <c r="AB575" t="s">
        <v>62</v>
      </c>
      <c r="AC575" t="s">
        <v>27</v>
      </c>
      <c r="AD575" t="s">
        <v>204</v>
      </c>
      <c r="AE575" t="s">
        <v>25</v>
      </c>
      <c r="AF5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3.2258064516129031E-2</v>
      </c>
      <c r="AG575" t="s">
        <v>942</v>
      </c>
      <c r="AH575">
        <v>50.5</v>
      </c>
      <c r="AI575" t="s">
        <v>940</v>
      </c>
      <c r="AJ575">
        <v>3</v>
      </c>
      <c r="AK5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MIN(AJ575/8, 1) +
  Merge1[[#This Row],[index_defensive_effort]],
  2
)</f>
        <v>0.91</v>
      </c>
    </row>
    <row r="576" spans="1:37" x14ac:dyDescent="0.25">
      <c r="A576" t="s">
        <v>279</v>
      </c>
      <c r="B576" t="s">
        <v>280</v>
      </c>
      <c r="C576">
        <v>25</v>
      </c>
      <c r="D576" t="s">
        <v>56</v>
      </c>
      <c r="E576">
        <v>72</v>
      </c>
      <c r="F576">
        <v>200</v>
      </c>
      <c r="G576" t="s">
        <v>117</v>
      </c>
      <c r="H576">
        <v>2020</v>
      </c>
      <c r="I576" t="s">
        <v>33</v>
      </c>
      <c r="J576">
        <v>11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36</v>
      </c>
      <c r="T576">
        <v>31</v>
      </c>
      <c r="U576" s="5">
        <f>IF(Merge1[[#This Row],[team_defense_snaps]]=0, "", Merge1[[#This Row],[defense_snaps]] / Merge1[[#This Row],[team_defense_snaps]])</f>
        <v>0.46969696969696972</v>
      </c>
      <c r="V576">
        <v>66</v>
      </c>
      <c r="W576">
        <v>5</v>
      </c>
      <c r="X576" s="5" t="s">
        <v>59</v>
      </c>
      <c r="Y576">
        <v>2</v>
      </c>
      <c r="Z576">
        <v>0</v>
      </c>
      <c r="AA576" t="s">
        <v>25</v>
      </c>
      <c r="AB576" t="s">
        <v>26</v>
      </c>
      <c r="AC576" t="s">
        <v>27</v>
      </c>
      <c r="AD576" t="s">
        <v>42</v>
      </c>
      <c r="AE576" t="s">
        <v>25</v>
      </c>
      <c r="AF5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2.7777777777777776E-2</v>
      </c>
      <c r="AG576" t="s">
        <v>942</v>
      </c>
      <c r="AH576">
        <v>49</v>
      </c>
      <c r="AI576" t="s">
        <v>939</v>
      </c>
      <c r="AJ576">
        <v>1</v>
      </c>
      <c r="AK5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MIN(AJ576/8, 1) +
  Merge1[[#This Row],[index_defensive_effort]],
  2
)</f>
        <v>0.65</v>
      </c>
    </row>
    <row r="577" spans="1:37" x14ac:dyDescent="0.25">
      <c r="A577" t="s">
        <v>279</v>
      </c>
      <c r="B577" t="s">
        <v>280</v>
      </c>
      <c r="C577">
        <v>25</v>
      </c>
      <c r="D577" t="s">
        <v>56</v>
      </c>
      <c r="E577">
        <v>72</v>
      </c>
      <c r="F577">
        <v>200</v>
      </c>
      <c r="G577" t="s">
        <v>117</v>
      </c>
      <c r="H577">
        <v>2020</v>
      </c>
      <c r="I577" t="s">
        <v>33</v>
      </c>
      <c r="J577">
        <v>11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45</v>
      </c>
      <c r="T577">
        <v>31</v>
      </c>
      <c r="U577" s="5">
        <f>IF(Merge1[[#This Row],[team_defense_snaps]]=0, "", Merge1[[#This Row],[defense_snaps]] / Merge1[[#This Row],[team_defense_snaps]])</f>
        <v>0.46969696969696972</v>
      </c>
      <c r="V577">
        <v>66</v>
      </c>
      <c r="W577">
        <v>14</v>
      </c>
      <c r="X577" s="5" t="s">
        <v>52</v>
      </c>
      <c r="Y577">
        <v>2</v>
      </c>
      <c r="Z577">
        <v>0</v>
      </c>
      <c r="AA577" t="s">
        <v>25</v>
      </c>
      <c r="AB577" t="s">
        <v>26</v>
      </c>
      <c r="AC577" t="s">
        <v>27</v>
      </c>
      <c r="AD577" t="s">
        <v>42</v>
      </c>
      <c r="AE577" t="s">
        <v>25</v>
      </c>
      <c r="AF5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2.2222222222222223E-2</v>
      </c>
      <c r="AG577" t="s">
        <v>942</v>
      </c>
      <c r="AH577">
        <v>55</v>
      </c>
      <c r="AI577" t="s">
        <v>939</v>
      </c>
      <c r="AJ577">
        <v>1</v>
      </c>
      <c r="AK5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MIN(AJ577/8, 1) +
  Merge1[[#This Row],[index_defensive_effort]],
  2
)</f>
        <v>0.65</v>
      </c>
    </row>
    <row r="578" spans="1:37" x14ac:dyDescent="0.25">
      <c r="A578" t="s">
        <v>279</v>
      </c>
      <c r="B578" t="s">
        <v>280</v>
      </c>
      <c r="C578">
        <v>25</v>
      </c>
      <c r="D578" t="s">
        <v>56</v>
      </c>
      <c r="E578">
        <v>72</v>
      </c>
      <c r="F578">
        <v>200</v>
      </c>
      <c r="G578" t="s">
        <v>117</v>
      </c>
      <c r="H578">
        <v>2020</v>
      </c>
      <c r="I578" t="s">
        <v>33</v>
      </c>
      <c r="J578">
        <v>12</v>
      </c>
      <c r="K578">
        <v>0</v>
      </c>
      <c r="L578">
        <v>1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23</v>
      </c>
      <c r="T578">
        <v>23</v>
      </c>
      <c r="U578" s="5">
        <f>IF(Merge1[[#This Row],[team_defense_snaps]]=0, "", Merge1[[#This Row],[defense_snaps]] / Merge1[[#This Row],[team_defense_snaps]])</f>
        <v>0.34848484848484851</v>
      </c>
      <c r="V578">
        <v>66</v>
      </c>
      <c r="W578">
        <v>0</v>
      </c>
      <c r="X578" s="5" t="s">
        <v>29</v>
      </c>
      <c r="Y578">
        <v>2</v>
      </c>
      <c r="Z578">
        <v>0</v>
      </c>
      <c r="AA578" t="s">
        <v>207</v>
      </c>
      <c r="AB578" t="s">
        <v>62</v>
      </c>
      <c r="AC578" t="s">
        <v>27</v>
      </c>
      <c r="AD578" t="s">
        <v>204</v>
      </c>
      <c r="AE578" t="s">
        <v>25</v>
      </c>
      <c r="AF5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2.1739130434782608E-2</v>
      </c>
      <c r="AG578" t="s">
        <v>942</v>
      </c>
      <c r="AH578">
        <v>47.5</v>
      </c>
      <c r="AI578" t="s">
        <v>940</v>
      </c>
      <c r="AJ578">
        <v>2</v>
      </c>
      <c r="AK5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MIN(AJ578/8, 1) +
  Merge1[[#This Row],[index_defensive_effort]],
  2
)</f>
        <v>0.77</v>
      </c>
    </row>
    <row r="579" spans="1:37" x14ac:dyDescent="0.25">
      <c r="A579" t="s">
        <v>279</v>
      </c>
      <c r="B579" t="s">
        <v>280</v>
      </c>
      <c r="C579">
        <v>25</v>
      </c>
      <c r="D579" t="s">
        <v>56</v>
      </c>
      <c r="E579">
        <v>72</v>
      </c>
      <c r="F579">
        <v>200</v>
      </c>
      <c r="G579" t="s">
        <v>117</v>
      </c>
      <c r="H579">
        <v>2020</v>
      </c>
      <c r="I579" t="s">
        <v>33</v>
      </c>
      <c r="J579">
        <v>12</v>
      </c>
      <c r="K579">
        <v>0</v>
      </c>
      <c r="L579">
        <v>1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25</v>
      </c>
      <c r="T579">
        <v>23</v>
      </c>
      <c r="U579" s="5">
        <f>IF(Merge1[[#This Row],[team_defense_snaps]]=0, "", Merge1[[#This Row],[defense_snaps]] / Merge1[[#This Row],[team_defense_snaps]])</f>
        <v>0.34848484848484851</v>
      </c>
      <c r="V579">
        <v>66</v>
      </c>
      <c r="W579">
        <v>2</v>
      </c>
      <c r="X579" s="5" t="s">
        <v>208</v>
      </c>
      <c r="Y579">
        <v>2</v>
      </c>
      <c r="Z579">
        <v>0</v>
      </c>
      <c r="AA579" t="s">
        <v>25</v>
      </c>
      <c r="AB579" t="s">
        <v>26</v>
      </c>
      <c r="AC579" t="s">
        <v>27</v>
      </c>
      <c r="AD579" t="s">
        <v>42</v>
      </c>
      <c r="AE579" t="s">
        <v>25</v>
      </c>
      <c r="AF5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0.02</v>
      </c>
      <c r="AG579" t="s">
        <v>942</v>
      </c>
      <c r="AH579">
        <v>50.5</v>
      </c>
      <c r="AI579" t="s">
        <v>939</v>
      </c>
      <c r="AJ579">
        <v>1</v>
      </c>
      <c r="AK5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MIN(AJ579/8, 1) +
  Merge1[[#This Row],[index_defensive_effort]],
  2
)</f>
        <v>0.65</v>
      </c>
    </row>
    <row r="580" spans="1:37" x14ac:dyDescent="0.25">
      <c r="A580" t="s">
        <v>279</v>
      </c>
      <c r="B580" t="s">
        <v>280</v>
      </c>
      <c r="C580">
        <v>25</v>
      </c>
      <c r="D580" t="s">
        <v>56</v>
      </c>
      <c r="E580">
        <v>72</v>
      </c>
      <c r="F580">
        <v>200</v>
      </c>
      <c r="G580" t="s">
        <v>117</v>
      </c>
      <c r="H580">
        <v>2020</v>
      </c>
      <c r="I580" t="s">
        <v>33</v>
      </c>
      <c r="J580">
        <v>12</v>
      </c>
      <c r="K580">
        <v>0</v>
      </c>
      <c r="L580">
        <v>1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31</v>
      </c>
      <c r="T580">
        <v>23</v>
      </c>
      <c r="U580" s="5">
        <f>IF(Merge1[[#This Row],[team_defense_snaps]]=0, "", Merge1[[#This Row],[defense_snaps]] / Merge1[[#This Row],[team_defense_snaps]])</f>
        <v>0.34848484848484851</v>
      </c>
      <c r="V580">
        <v>66</v>
      </c>
      <c r="W580">
        <v>8</v>
      </c>
      <c r="X580" s="5" t="s">
        <v>261</v>
      </c>
      <c r="Y580">
        <v>2</v>
      </c>
      <c r="Z580">
        <v>0</v>
      </c>
      <c r="AA580" t="s">
        <v>25</v>
      </c>
      <c r="AB580" t="s">
        <v>26</v>
      </c>
      <c r="AC580" t="s">
        <v>27</v>
      </c>
      <c r="AD580" t="s">
        <v>28</v>
      </c>
      <c r="AE580" t="s">
        <v>25</v>
      </c>
      <c r="AF5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1.6129032258064516E-2</v>
      </c>
      <c r="AG580" t="s">
        <v>942</v>
      </c>
      <c r="AH580">
        <v>58</v>
      </c>
      <c r="AI580" t="s">
        <v>939</v>
      </c>
      <c r="AJ580">
        <v>1</v>
      </c>
      <c r="AK5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MIN(AJ580/8, 1) +
  Merge1[[#This Row],[index_defensive_effort]],
  2
)</f>
        <v>0.64</v>
      </c>
    </row>
    <row r="581" spans="1:37" x14ac:dyDescent="0.25">
      <c r="A581" t="s">
        <v>279</v>
      </c>
      <c r="B581" t="s">
        <v>280</v>
      </c>
      <c r="C581">
        <v>25</v>
      </c>
      <c r="D581" t="s">
        <v>56</v>
      </c>
      <c r="E581">
        <v>72</v>
      </c>
      <c r="F581">
        <v>200</v>
      </c>
      <c r="G581" t="s">
        <v>117</v>
      </c>
      <c r="H581">
        <v>2020</v>
      </c>
      <c r="I581" t="s">
        <v>33</v>
      </c>
      <c r="J581">
        <v>13</v>
      </c>
      <c r="K581">
        <v>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20</v>
      </c>
      <c r="T581">
        <v>20</v>
      </c>
      <c r="U581" s="5">
        <f>IF(Merge1[[#This Row],[team_defense_snaps]]=0, "", Merge1[[#This Row],[defense_snaps]] / Merge1[[#This Row],[team_defense_snaps]])</f>
        <v>0.28169014084507044</v>
      </c>
      <c r="V581">
        <v>71</v>
      </c>
      <c r="W581">
        <v>0</v>
      </c>
      <c r="X581" s="5" t="s">
        <v>29</v>
      </c>
      <c r="Y581">
        <v>2</v>
      </c>
      <c r="Z581">
        <v>0</v>
      </c>
      <c r="AA581" t="s">
        <v>207</v>
      </c>
      <c r="AB581" t="s">
        <v>62</v>
      </c>
      <c r="AC581" t="s">
        <v>27</v>
      </c>
      <c r="AD581" t="s">
        <v>204</v>
      </c>
      <c r="AE581" t="s">
        <v>25</v>
      </c>
      <c r="AF5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581" t="s">
        <v>942</v>
      </c>
      <c r="AH581">
        <v>49</v>
      </c>
      <c r="AI581" t="s">
        <v>940</v>
      </c>
      <c r="AJ581">
        <v>2</v>
      </c>
      <c r="AK5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MIN(AJ581/8, 1) +
  Merge1[[#This Row],[index_defensive_effort]],
  2
)</f>
        <v>0.85</v>
      </c>
    </row>
    <row r="582" spans="1:37" x14ac:dyDescent="0.25">
      <c r="A582" t="s">
        <v>279</v>
      </c>
      <c r="B582" t="s">
        <v>280</v>
      </c>
      <c r="C582">
        <v>25</v>
      </c>
      <c r="D582" t="s">
        <v>56</v>
      </c>
      <c r="E582">
        <v>72</v>
      </c>
      <c r="F582">
        <v>200</v>
      </c>
      <c r="G582" t="s">
        <v>117</v>
      </c>
      <c r="H582">
        <v>2020</v>
      </c>
      <c r="I582" t="s">
        <v>33</v>
      </c>
      <c r="J582">
        <v>13</v>
      </c>
      <c r="K582">
        <v>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21</v>
      </c>
      <c r="T582">
        <v>20</v>
      </c>
      <c r="U582" s="5">
        <f>IF(Merge1[[#This Row],[team_defense_snaps]]=0, "", Merge1[[#This Row],[defense_snaps]] / Merge1[[#This Row],[team_defense_snaps]])</f>
        <v>0.28169014084507044</v>
      </c>
      <c r="V582">
        <v>71</v>
      </c>
      <c r="W582">
        <v>1</v>
      </c>
      <c r="X582" s="5" t="s">
        <v>193</v>
      </c>
      <c r="Y582">
        <v>2</v>
      </c>
      <c r="Z582">
        <v>0</v>
      </c>
      <c r="AA582" t="s">
        <v>25</v>
      </c>
      <c r="AB582" t="s">
        <v>26</v>
      </c>
      <c r="AC582" t="s">
        <v>27</v>
      </c>
      <c r="AD582" t="s">
        <v>42</v>
      </c>
      <c r="AE582" t="s">
        <v>25</v>
      </c>
      <c r="AF5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9.5238095238095233E-2</v>
      </c>
      <c r="AG582" t="s">
        <v>942</v>
      </c>
      <c r="AH582">
        <v>52</v>
      </c>
      <c r="AI582" t="s">
        <v>939</v>
      </c>
      <c r="AJ582">
        <v>1</v>
      </c>
      <c r="AK5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MIN(AJ582/8, 1) +
  Merge1[[#This Row],[index_defensive_effort]],
  2
)</f>
        <v>0.72</v>
      </c>
    </row>
    <row r="583" spans="1:37" x14ac:dyDescent="0.25">
      <c r="A583" t="s">
        <v>279</v>
      </c>
      <c r="B583" t="s">
        <v>280</v>
      </c>
      <c r="C583">
        <v>25</v>
      </c>
      <c r="D583" t="s">
        <v>56</v>
      </c>
      <c r="E583">
        <v>72</v>
      </c>
      <c r="F583">
        <v>200</v>
      </c>
      <c r="G583" t="s">
        <v>117</v>
      </c>
      <c r="H583">
        <v>2020</v>
      </c>
      <c r="I583" t="s">
        <v>33</v>
      </c>
      <c r="J583">
        <v>13</v>
      </c>
      <c r="K583">
        <v>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35</v>
      </c>
      <c r="T583">
        <v>20</v>
      </c>
      <c r="U583" s="5">
        <f>IF(Merge1[[#This Row],[team_defense_snaps]]=0, "", Merge1[[#This Row],[defense_snaps]] / Merge1[[#This Row],[team_defense_snaps]])</f>
        <v>0.28169014084507044</v>
      </c>
      <c r="V583">
        <v>71</v>
      </c>
      <c r="W583">
        <v>15</v>
      </c>
      <c r="X583" s="5" t="s">
        <v>243</v>
      </c>
      <c r="Y583">
        <v>2</v>
      </c>
      <c r="Z583">
        <v>0</v>
      </c>
      <c r="AA583" t="s">
        <v>25</v>
      </c>
      <c r="AB583" t="s">
        <v>26</v>
      </c>
      <c r="AC583" t="s">
        <v>27</v>
      </c>
      <c r="AD583" t="s">
        <v>28</v>
      </c>
      <c r="AE583" t="s">
        <v>25</v>
      </c>
      <c r="AF5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5.7142857142857141E-2</v>
      </c>
      <c r="AG583" t="s">
        <v>942</v>
      </c>
      <c r="AH583">
        <v>55</v>
      </c>
      <c r="AI583" t="s">
        <v>939</v>
      </c>
      <c r="AJ583">
        <v>1</v>
      </c>
      <c r="AK5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MIN(AJ583/8, 1) +
  Merge1[[#This Row],[index_defensive_effort]],
  2
)</f>
        <v>0.68</v>
      </c>
    </row>
    <row r="584" spans="1:37" x14ac:dyDescent="0.25">
      <c r="A584" t="s">
        <v>279</v>
      </c>
      <c r="B584" t="s">
        <v>280</v>
      </c>
      <c r="C584">
        <v>25</v>
      </c>
      <c r="D584" t="s">
        <v>56</v>
      </c>
      <c r="E584">
        <v>72</v>
      </c>
      <c r="F584">
        <v>200</v>
      </c>
      <c r="G584" t="s">
        <v>117</v>
      </c>
      <c r="H584">
        <v>2020</v>
      </c>
      <c r="I584" t="s">
        <v>33</v>
      </c>
      <c r="J584">
        <v>14</v>
      </c>
      <c r="K584">
        <v>3</v>
      </c>
      <c r="L584">
        <v>0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31</v>
      </c>
      <c r="T584">
        <v>31</v>
      </c>
      <c r="U584" s="5">
        <f>IF(Merge1[[#This Row],[team_defense_snaps]]=0, "", Merge1[[#This Row],[defense_snaps]] / Merge1[[#This Row],[team_defense_snaps]])</f>
        <v>0.60784313725490191</v>
      </c>
      <c r="V584">
        <v>51</v>
      </c>
      <c r="W584">
        <v>0</v>
      </c>
      <c r="X584" s="5" t="s">
        <v>29</v>
      </c>
      <c r="Y584">
        <v>2</v>
      </c>
      <c r="Z584">
        <v>0</v>
      </c>
      <c r="AA584" t="s">
        <v>207</v>
      </c>
      <c r="AB584" t="s">
        <v>62</v>
      </c>
      <c r="AC584" t="s">
        <v>27</v>
      </c>
      <c r="AD584" t="s">
        <v>204</v>
      </c>
      <c r="AE584" t="s">
        <v>25</v>
      </c>
      <c r="AF5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0.16129032258064516</v>
      </c>
      <c r="AG584" t="s">
        <v>942</v>
      </c>
      <c r="AH584">
        <v>53.5</v>
      </c>
      <c r="AI584" t="s">
        <v>940</v>
      </c>
      <c r="AJ584">
        <v>2</v>
      </c>
      <c r="AK5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MIN(AJ584/8, 1) +
  Merge1[[#This Row],[index_defensive_effort]],
  2
)</f>
        <v>0.91</v>
      </c>
    </row>
    <row r="585" spans="1:37" x14ac:dyDescent="0.25">
      <c r="A585" t="s">
        <v>279</v>
      </c>
      <c r="B585" t="s">
        <v>280</v>
      </c>
      <c r="C585">
        <v>25</v>
      </c>
      <c r="D585" t="s">
        <v>56</v>
      </c>
      <c r="E585">
        <v>72</v>
      </c>
      <c r="F585">
        <v>200</v>
      </c>
      <c r="G585" t="s">
        <v>117</v>
      </c>
      <c r="H585">
        <v>2020</v>
      </c>
      <c r="I585" t="s">
        <v>33</v>
      </c>
      <c r="J585">
        <v>14</v>
      </c>
      <c r="K585">
        <v>3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32</v>
      </c>
      <c r="T585">
        <v>31</v>
      </c>
      <c r="U585" s="5">
        <f>IF(Merge1[[#This Row],[team_defense_snaps]]=0, "", Merge1[[#This Row],[defense_snaps]] / Merge1[[#This Row],[team_defense_snaps]])</f>
        <v>0.60784313725490191</v>
      </c>
      <c r="V585">
        <v>51</v>
      </c>
      <c r="W585">
        <v>1</v>
      </c>
      <c r="X585" s="5" t="s">
        <v>303</v>
      </c>
      <c r="Y585">
        <v>2</v>
      </c>
      <c r="Z585">
        <v>0</v>
      </c>
      <c r="AA585" t="s">
        <v>25</v>
      </c>
      <c r="AB585" t="s">
        <v>26</v>
      </c>
      <c r="AC585" t="s">
        <v>27</v>
      </c>
      <c r="AD585" t="s">
        <v>42</v>
      </c>
      <c r="AE585" t="s">
        <v>25</v>
      </c>
      <c r="AF5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0.15625</v>
      </c>
      <c r="AG585" t="s">
        <v>942</v>
      </c>
      <c r="AH585">
        <v>47.5</v>
      </c>
      <c r="AI585" t="s">
        <v>939</v>
      </c>
      <c r="AJ585">
        <v>1</v>
      </c>
      <c r="AK5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MIN(AJ585/8, 1) +
  Merge1[[#This Row],[index_defensive_effort]],
  2
)</f>
        <v>0.78</v>
      </c>
    </row>
    <row r="586" spans="1:37" x14ac:dyDescent="0.25">
      <c r="A586" t="s">
        <v>279</v>
      </c>
      <c r="B586" t="s">
        <v>280</v>
      </c>
      <c r="C586">
        <v>25</v>
      </c>
      <c r="D586" t="s">
        <v>56</v>
      </c>
      <c r="E586">
        <v>72</v>
      </c>
      <c r="F586">
        <v>200</v>
      </c>
      <c r="G586" t="s">
        <v>117</v>
      </c>
      <c r="H586">
        <v>2020</v>
      </c>
      <c r="I586" t="s">
        <v>33</v>
      </c>
      <c r="J586">
        <v>14</v>
      </c>
      <c r="K586">
        <v>3</v>
      </c>
      <c r="L586">
        <v>0</v>
      </c>
      <c r="M586">
        <v>0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42</v>
      </c>
      <c r="T586">
        <v>31</v>
      </c>
      <c r="U586" s="5">
        <f>IF(Merge1[[#This Row],[team_defense_snaps]]=0, "", Merge1[[#This Row],[defense_snaps]] / Merge1[[#This Row],[team_defense_snaps]])</f>
        <v>0.60784313725490191</v>
      </c>
      <c r="V586">
        <v>51</v>
      </c>
      <c r="W586">
        <v>11</v>
      </c>
      <c r="X586" s="5" t="s">
        <v>275</v>
      </c>
      <c r="Y586">
        <v>2</v>
      </c>
      <c r="Z586">
        <v>0</v>
      </c>
      <c r="AA586" t="s">
        <v>25</v>
      </c>
      <c r="AB586" t="s">
        <v>26</v>
      </c>
      <c r="AC586" t="s">
        <v>27</v>
      </c>
      <c r="AD586" t="s">
        <v>28</v>
      </c>
      <c r="AE586" t="s">
        <v>25</v>
      </c>
      <c r="AF5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0.11904761904761904</v>
      </c>
      <c r="AG586" t="s">
        <v>942</v>
      </c>
      <c r="AH586">
        <v>52</v>
      </c>
      <c r="AI586" t="s">
        <v>939</v>
      </c>
      <c r="AJ586">
        <v>1</v>
      </c>
      <c r="AK5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MIN(AJ586/8, 1) +
  Merge1[[#This Row],[index_defensive_effort]],
  2
)</f>
        <v>0.74</v>
      </c>
    </row>
    <row r="587" spans="1:37" x14ac:dyDescent="0.25">
      <c r="A587" t="s">
        <v>279</v>
      </c>
      <c r="B587" t="s">
        <v>280</v>
      </c>
      <c r="C587">
        <v>25</v>
      </c>
      <c r="D587" t="s">
        <v>56</v>
      </c>
      <c r="E587">
        <v>72</v>
      </c>
      <c r="F587">
        <v>200</v>
      </c>
      <c r="G587" t="s">
        <v>117</v>
      </c>
      <c r="H587">
        <v>2020</v>
      </c>
      <c r="I587" t="s">
        <v>33</v>
      </c>
      <c r="J587">
        <v>15</v>
      </c>
      <c r="K587">
        <v>3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31</v>
      </c>
      <c r="T587">
        <v>31</v>
      </c>
      <c r="U587" s="5">
        <f>IF(Merge1[[#This Row],[team_defense_snaps]]=0, "", Merge1[[#This Row],[defense_snaps]] / Merge1[[#This Row],[team_defense_snaps]])</f>
        <v>0.47692307692307695</v>
      </c>
      <c r="V587">
        <v>65</v>
      </c>
      <c r="W587">
        <v>0</v>
      </c>
      <c r="X587" s="5" t="s">
        <v>29</v>
      </c>
      <c r="Y587">
        <v>2</v>
      </c>
      <c r="Z587">
        <v>0</v>
      </c>
      <c r="AA587" t="s">
        <v>207</v>
      </c>
      <c r="AB587" t="s">
        <v>62</v>
      </c>
      <c r="AC587" t="s">
        <v>27</v>
      </c>
      <c r="AD587" t="s">
        <v>204</v>
      </c>
      <c r="AE587" t="s">
        <v>25</v>
      </c>
      <c r="AF5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9.6774193548387094E-2</v>
      </c>
      <c r="AG587" t="s">
        <v>942</v>
      </c>
      <c r="AH587">
        <v>50.5</v>
      </c>
      <c r="AI587" t="s">
        <v>940</v>
      </c>
      <c r="AJ587">
        <v>2</v>
      </c>
      <c r="AK5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MIN(AJ587/8, 1) +
  Merge1[[#This Row],[index_defensive_effort]],
  2
)</f>
        <v>0.85</v>
      </c>
    </row>
    <row r="588" spans="1:37" x14ac:dyDescent="0.25">
      <c r="A588" t="s">
        <v>279</v>
      </c>
      <c r="B588" t="s">
        <v>280</v>
      </c>
      <c r="C588">
        <v>25</v>
      </c>
      <c r="D588" t="s">
        <v>56</v>
      </c>
      <c r="E588">
        <v>72</v>
      </c>
      <c r="F588">
        <v>200</v>
      </c>
      <c r="G588" t="s">
        <v>117</v>
      </c>
      <c r="H588">
        <v>2020</v>
      </c>
      <c r="I588" t="s">
        <v>33</v>
      </c>
      <c r="J588">
        <v>15</v>
      </c>
      <c r="K588">
        <v>3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31</v>
      </c>
      <c r="T588">
        <v>31</v>
      </c>
      <c r="U588" s="5">
        <f>IF(Merge1[[#This Row],[team_defense_snaps]]=0, "", Merge1[[#This Row],[defense_snaps]] / Merge1[[#This Row],[team_defense_snaps]])</f>
        <v>0.47692307692307695</v>
      </c>
      <c r="V588">
        <v>65</v>
      </c>
      <c r="W588">
        <v>0</v>
      </c>
      <c r="X588" s="5" t="s">
        <v>29</v>
      </c>
      <c r="Y588">
        <v>2</v>
      </c>
      <c r="Z588">
        <v>0</v>
      </c>
      <c r="AA588" t="s">
        <v>25</v>
      </c>
      <c r="AB588" t="s">
        <v>26</v>
      </c>
      <c r="AC588" t="s">
        <v>27</v>
      </c>
      <c r="AD588" t="s">
        <v>42</v>
      </c>
      <c r="AE588" t="s">
        <v>25</v>
      </c>
      <c r="AF5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9.6774193548387094E-2</v>
      </c>
      <c r="AG588" t="s">
        <v>942</v>
      </c>
      <c r="AH588">
        <v>49</v>
      </c>
      <c r="AI588" t="s">
        <v>939</v>
      </c>
      <c r="AJ588">
        <v>1</v>
      </c>
      <c r="AK5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MIN(AJ588/8, 1) +
  Merge1[[#This Row],[index_defensive_effort]],
  2
)</f>
        <v>0.72</v>
      </c>
    </row>
    <row r="589" spans="1:37" x14ac:dyDescent="0.25">
      <c r="A589" t="s">
        <v>279</v>
      </c>
      <c r="B589" t="s">
        <v>280</v>
      </c>
      <c r="C589">
        <v>25</v>
      </c>
      <c r="D589" t="s">
        <v>56</v>
      </c>
      <c r="E589">
        <v>72</v>
      </c>
      <c r="F589">
        <v>200</v>
      </c>
      <c r="G589" t="s">
        <v>117</v>
      </c>
      <c r="H589">
        <v>2020</v>
      </c>
      <c r="I589" t="s">
        <v>33</v>
      </c>
      <c r="J589">
        <v>15</v>
      </c>
      <c r="K589">
        <v>3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31</v>
      </c>
      <c r="T589">
        <v>31</v>
      </c>
      <c r="U589" s="5">
        <f>IF(Merge1[[#This Row],[team_defense_snaps]]=0, "", Merge1[[#This Row],[defense_snaps]] / Merge1[[#This Row],[team_defense_snaps]])</f>
        <v>0.47692307692307695</v>
      </c>
      <c r="V589">
        <v>65</v>
      </c>
      <c r="W589">
        <v>0</v>
      </c>
      <c r="X589" s="5" t="s">
        <v>29</v>
      </c>
      <c r="Y589">
        <v>2</v>
      </c>
      <c r="Z589">
        <v>0</v>
      </c>
      <c r="AA589" t="s">
        <v>25</v>
      </c>
      <c r="AB589" t="s">
        <v>26</v>
      </c>
      <c r="AC589" t="s">
        <v>27</v>
      </c>
      <c r="AD589" t="s">
        <v>28</v>
      </c>
      <c r="AE589" t="s">
        <v>25</v>
      </c>
      <c r="AF5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9.6774193548387094E-2</v>
      </c>
      <c r="AG589" t="s">
        <v>942</v>
      </c>
      <c r="AH589">
        <v>55</v>
      </c>
      <c r="AI589" t="s">
        <v>939</v>
      </c>
      <c r="AJ589">
        <v>1</v>
      </c>
      <c r="AK5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MIN(AJ589/8, 1) +
  Merge1[[#This Row],[index_defensive_effort]],
  2
)</f>
        <v>0.72</v>
      </c>
    </row>
    <row r="590" spans="1:37" x14ac:dyDescent="0.25">
      <c r="A590" t="s">
        <v>279</v>
      </c>
      <c r="B590" t="s">
        <v>280</v>
      </c>
      <c r="C590">
        <v>25</v>
      </c>
      <c r="D590" t="s">
        <v>56</v>
      </c>
      <c r="E590">
        <v>72</v>
      </c>
      <c r="F590">
        <v>200</v>
      </c>
      <c r="G590" t="s">
        <v>117</v>
      </c>
      <c r="H590">
        <v>2020</v>
      </c>
      <c r="I590" t="s">
        <v>33</v>
      </c>
      <c r="J590">
        <v>16</v>
      </c>
      <c r="K590">
        <v>3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43</v>
      </c>
      <c r="T590">
        <v>43</v>
      </c>
      <c r="U590" s="5">
        <f>IF(Merge1[[#This Row],[team_defense_snaps]]=0, "", Merge1[[#This Row],[defense_snaps]] / Merge1[[#This Row],[team_defense_snaps]])</f>
        <v>0.56578947368421051</v>
      </c>
      <c r="V590">
        <v>76</v>
      </c>
      <c r="W590">
        <v>0</v>
      </c>
      <c r="X590" s="5" t="s">
        <v>29</v>
      </c>
      <c r="Y590">
        <v>2</v>
      </c>
      <c r="Z590">
        <v>0</v>
      </c>
      <c r="AA590" t="s">
        <v>207</v>
      </c>
      <c r="AB590" t="s">
        <v>62</v>
      </c>
      <c r="AC590" t="s">
        <v>27</v>
      </c>
      <c r="AD590" t="s">
        <v>204</v>
      </c>
      <c r="AE590" t="s">
        <v>25</v>
      </c>
      <c r="AF5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6.9767441860465115E-2</v>
      </c>
      <c r="AG590" t="s">
        <v>942</v>
      </c>
      <c r="AH590">
        <v>53.5</v>
      </c>
      <c r="AI590" t="s">
        <v>940</v>
      </c>
      <c r="AJ590">
        <v>2</v>
      </c>
      <c r="AK5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MIN(AJ590/8, 1) +
  Merge1[[#This Row],[index_defensive_effort]],
  2
)</f>
        <v>0.82</v>
      </c>
    </row>
    <row r="591" spans="1:37" x14ac:dyDescent="0.25">
      <c r="A591" t="s">
        <v>279</v>
      </c>
      <c r="B591" t="s">
        <v>280</v>
      </c>
      <c r="C591">
        <v>25</v>
      </c>
      <c r="D591" t="s">
        <v>56</v>
      </c>
      <c r="E591">
        <v>72</v>
      </c>
      <c r="F591">
        <v>200</v>
      </c>
      <c r="G591" t="s">
        <v>117</v>
      </c>
      <c r="H591">
        <v>2020</v>
      </c>
      <c r="I591" t="s">
        <v>33</v>
      </c>
      <c r="J591">
        <v>16</v>
      </c>
      <c r="K591">
        <v>3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44</v>
      </c>
      <c r="T591">
        <v>43</v>
      </c>
      <c r="U591" s="5">
        <f>IF(Merge1[[#This Row],[team_defense_snaps]]=0, "", Merge1[[#This Row],[defense_snaps]] / Merge1[[#This Row],[team_defense_snaps]])</f>
        <v>0.56578947368421051</v>
      </c>
      <c r="V591">
        <v>76</v>
      </c>
      <c r="W591">
        <v>1</v>
      </c>
      <c r="X591" s="5" t="s">
        <v>34</v>
      </c>
      <c r="Y591">
        <v>2</v>
      </c>
      <c r="Z591">
        <v>0</v>
      </c>
      <c r="AA591" t="s">
        <v>25</v>
      </c>
      <c r="AB591" t="s">
        <v>26</v>
      </c>
      <c r="AC591" t="s">
        <v>27</v>
      </c>
      <c r="AD591" t="s">
        <v>42</v>
      </c>
      <c r="AE591" t="s">
        <v>25</v>
      </c>
      <c r="AF5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6.8181818181818177E-2</v>
      </c>
      <c r="AG591" t="s">
        <v>942</v>
      </c>
      <c r="AH591">
        <v>47.5</v>
      </c>
      <c r="AI591" t="s">
        <v>939</v>
      </c>
      <c r="AJ591">
        <v>1</v>
      </c>
      <c r="AK5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MIN(AJ591/8, 1) +
  Merge1[[#This Row],[index_defensive_effort]],
  2
)</f>
        <v>0.69</v>
      </c>
    </row>
    <row r="592" spans="1:37" x14ac:dyDescent="0.25">
      <c r="A592" t="s">
        <v>279</v>
      </c>
      <c r="B592" t="s">
        <v>280</v>
      </c>
      <c r="C592">
        <v>25</v>
      </c>
      <c r="D592" t="s">
        <v>56</v>
      </c>
      <c r="E592">
        <v>72</v>
      </c>
      <c r="F592">
        <v>200</v>
      </c>
      <c r="G592" t="s">
        <v>117</v>
      </c>
      <c r="H592">
        <v>2020</v>
      </c>
      <c r="I592" t="s">
        <v>33</v>
      </c>
      <c r="J592">
        <v>16</v>
      </c>
      <c r="K592">
        <v>3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45</v>
      </c>
      <c r="T592">
        <v>43</v>
      </c>
      <c r="U592" s="5">
        <f>IF(Merge1[[#This Row],[team_defense_snaps]]=0, "", Merge1[[#This Row],[defense_snaps]] / Merge1[[#This Row],[team_defense_snaps]])</f>
        <v>0.56578947368421051</v>
      </c>
      <c r="V592">
        <v>76</v>
      </c>
      <c r="W592">
        <v>2</v>
      </c>
      <c r="X592" s="5" t="s">
        <v>114</v>
      </c>
      <c r="Y592">
        <v>2</v>
      </c>
      <c r="Z592">
        <v>0</v>
      </c>
      <c r="AA592" t="s">
        <v>25</v>
      </c>
      <c r="AB592" t="s">
        <v>26</v>
      </c>
      <c r="AC592" t="s">
        <v>27</v>
      </c>
      <c r="AD592" t="s">
        <v>42</v>
      </c>
      <c r="AE592" t="s">
        <v>25</v>
      </c>
      <c r="AF5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592" t="s">
        <v>942</v>
      </c>
      <c r="AH592">
        <v>56.5</v>
      </c>
      <c r="AI592" t="s">
        <v>939</v>
      </c>
      <c r="AJ592">
        <v>1</v>
      </c>
      <c r="AK5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MIN(AJ592/8, 1) +
  Merge1[[#This Row],[index_defensive_effort]],
  2
)</f>
        <v>0.69</v>
      </c>
    </row>
    <row r="593" spans="1:37" x14ac:dyDescent="0.25">
      <c r="A593" t="s">
        <v>279</v>
      </c>
      <c r="B593" t="s">
        <v>280</v>
      </c>
      <c r="C593">
        <v>25</v>
      </c>
      <c r="D593" t="s">
        <v>56</v>
      </c>
      <c r="E593">
        <v>72</v>
      </c>
      <c r="F593">
        <v>200</v>
      </c>
      <c r="G593" t="s">
        <v>117</v>
      </c>
      <c r="H593">
        <v>2020</v>
      </c>
      <c r="I593" t="s">
        <v>33</v>
      </c>
      <c r="J593">
        <v>9</v>
      </c>
      <c r="K593">
        <v>3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63</v>
      </c>
      <c r="T593">
        <v>58</v>
      </c>
      <c r="U593" s="5">
        <f>IF(Merge1[[#This Row],[team_defense_snaps]]=0, "", Merge1[[#This Row],[defense_snaps]] / Merge1[[#This Row],[team_defense_snaps]])</f>
        <v>0.77333333333333332</v>
      </c>
      <c r="V593">
        <v>75</v>
      </c>
      <c r="W593">
        <v>5</v>
      </c>
      <c r="X593" s="5" t="s">
        <v>159</v>
      </c>
      <c r="Y593">
        <v>2</v>
      </c>
      <c r="Z593">
        <v>0</v>
      </c>
      <c r="AA593" t="s">
        <v>25</v>
      </c>
      <c r="AB593" t="s">
        <v>26</v>
      </c>
      <c r="AC593" t="s">
        <v>27</v>
      </c>
      <c r="AD593" t="s">
        <v>42</v>
      </c>
      <c r="AE593" t="s">
        <v>25</v>
      </c>
      <c r="AF5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4.7619047619047616E-2</v>
      </c>
      <c r="AG593" t="s">
        <v>942</v>
      </c>
      <c r="AH593">
        <v>58</v>
      </c>
      <c r="AI593" t="s">
        <v>939</v>
      </c>
      <c r="AJ593">
        <v>1</v>
      </c>
      <c r="AK5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MIN(AJ593/8, 1) +
  Merge1[[#This Row],[index_defensive_effort]],
  2
)</f>
        <v>0.67</v>
      </c>
    </row>
    <row r="594" spans="1:37" x14ac:dyDescent="0.25">
      <c r="A594" t="s">
        <v>914</v>
      </c>
      <c r="B594" t="s">
        <v>915</v>
      </c>
      <c r="C594">
        <v>23</v>
      </c>
      <c r="D594" t="s">
        <v>56</v>
      </c>
      <c r="E594">
        <v>76</v>
      </c>
      <c r="F594">
        <v>197</v>
      </c>
      <c r="G594" t="s">
        <v>78</v>
      </c>
      <c r="H594">
        <v>2020</v>
      </c>
      <c r="I594" t="s">
        <v>33</v>
      </c>
      <c r="J594">
        <v>14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9</v>
      </c>
      <c r="T594">
        <v>9</v>
      </c>
      <c r="U594" s="5">
        <f>IF(Merge1[[#This Row],[team_defense_snaps]]=0, "", Merge1[[#This Row],[defense_snaps]] / Merge1[[#This Row],[team_defense_snaps]])</f>
        <v>0.12162162162162163</v>
      </c>
      <c r="V594">
        <v>74</v>
      </c>
      <c r="W594">
        <v>0</v>
      </c>
      <c r="X594" s="5">
        <v>0</v>
      </c>
      <c r="Y594">
        <v>1</v>
      </c>
      <c r="Z594">
        <v>0</v>
      </c>
      <c r="AA594" t="s">
        <v>25</v>
      </c>
      <c r="AB594" t="s">
        <v>26</v>
      </c>
      <c r="AC594" t="s">
        <v>27</v>
      </c>
      <c r="AD594" t="s">
        <v>42</v>
      </c>
      <c r="AE594" t="s">
        <v>25</v>
      </c>
      <c r="AF5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0.1111111111111111</v>
      </c>
      <c r="AG594" t="s">
        <v>942</v>
      </c>
      <c r="AH594">
        <v>65.5</v>
      </c>
      <c r="AI594" t="s">
        <v>939</v>
      </c>
      <c r="AJ594">
        <v>1</v>
      </c>
      <c r="AK5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MIN(AJ594/8, 1) +
  Merge1[[#This Row],[index_defensive_effort]],
  2
)</f>
        <v>0.64</v>
      </c>
    </row>
    <row r="595" spans="1:37" x14ac:dyDescent="0.25">
      <c r="A595" t="s">
        <v>245</v>
      </c>
      <c r="B595" t="s">
        <v>246</v>
      </c>
      <c r="C595">
        <v>25</v>
      </c>
      <c r="D595" t="s">
        <v>22</v>
      </c>
      <c r="E595">
        <v>72</v>
      </c>
      <c r="F595">
        <v>209</v>
      </c>
      <c r="G595" t="s">
        <v>32</v>
      </c>
      <c r="H595">
        <v>2020</v>
      </c>
      <c r="I595" t="s">
        <v>33</v>
      </c>
      <c r="J595">
        <v>1</v>
      </c>
      <c r="K595">
        <v>2</v>
      </c>
      <c r="L595">
        <v>4</v>
      </c>
      <c r="M595">
        <v>2</v>
      </c>
      <c r="N595">
        <v>6</v>
      </c>
      <c r="O595">
        <v>0</v>
      </c>
      <c r="P595">
        <v>0</v>
      </c>
      <c r="Q595">
        <v>0</v>
      </c>
      <c r="R595">
        <v>2</v>
      </c>
      <c r="S595">
        <v>75</v>
      </c>
      <c r="T595">
        <v>73</v>
      </c>
      <c r="U595" s="5">
        <f>IF(Merge1[[#This Row],[team_defense_snaps]]=0, "", Merge1[[#This Row],[defense_snaps]] / Merge1[[#This Row],[team_defense_snaps]])</f>
        <v>1</v>
      </c>
      <c r="V595">
        <v>73</v>
      </c>
      <c r="W595">
        <v>2</v>
      </c>
      <c r="X595" s="5" t="s">
        <v>167</v>
      </c>
      <c r="Y595">
        <v>3</v>
      </c>
      <c r="Z595">
        <v>0</v>
      </c>
      <c r="AA595" t="s">
        <v>25</v>
      </c>
      <c r="AB595" t="s">
        <v>26</v>
      </c>
      <c r="AC595" t="s">
        <v>27</v>
      </c>
      <c r="AD595" t="s">
        <v>42</v>
      </c>
      <c r="AE595" t="s">
        <v>25</v>
      </c>
      <c r="AF5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</v>
      </c>
      <c r="AG595" t="s">
        <v>941</v>
      </c>
      <c r="AH595">
        <v>52</v>
      </c>
      <c r="AI595" t="s">
        <v>939</v>
      </c>
      <c r="AJ595">
        <v>2</v>
      </c>
      <c r="AK5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MIN(AJ595/8, 1) +
  Merge1[[#This Row],[index_defensive_effort]],
  2
)</f>
        <v>0.87</v>
      </c>
    </row>
    <row r="596" spans="1:37" x14ac:dyDescent="0.25">
      <c r="A596" t="s">
        <v>245</v>
      </c>
      <c r="B596" t="s">
        <v>246</v>
      </c>
      <c r="C596">
        <v>25</v>
      </c>
      <c r="D596" t="s">
        <v>22</v>
      </c>
      <c r="E596">
        <v>72</v>
      </c>
      <c r="F596">
        <v>209</v>
      </c>
      <c r="G596" t="s">
        <v>32</v>
      </c>
      <c r="H596">
        <v>2020</v>
      </c>
      <c r="I596" t="s">
        <v>33</v>
      </c>
      <c r="J596">
        <v>2</v>
      </c>
      <c r="K596">
        <v>3</v>
      </c>
      <c r="L596">
        <v>5</v>
      </c>
      <c r="M596">
        <v>1</v>
      </c>
      <c r="N596">
        <v>6</v>
      </c>
      <c r="O596">
        <v>3</v>
      </c>
      <c r="P596">
        <v>3</v>
      </c>
      <c r="Q596">
        <v>0</v>
      </c>
      <c r="R596">
        <v>0</v>
      </c>
      <c r="S596">
        <v>62</v>
      </c>
      <c r="T596">
        <v>59</v>
      </c>
      <c r="U596" s="5">
        <f>IF(Merge1[[#This Row],[team_defense_snaps]]=0, "", Merge1[[#This Row],[defense_snaps]] / Merge1[[#This Row],[team_defense_snaps]])</f>
        <v>1</v>
      </c>
      <c r="V596">
        <v>59</v>
      </c>
      <c r="W596">
        <v>3</v>
      </c>
      <c r="X596" s="5" t="s">
        <v>35</v>
      </c>
      <c r="Y596">
        <v>3</v>
      </c>
      <c r="Z596">
        <v>0</v>
      </c>
      <c r="AA596" t="s">
        <v>25</v>
      </c>
      <c r="AB596" t="s">
        <v>26</v>
      </c>
      <c r="AC596" t="s">
        <v>27</v>
      </c>
      <c r="AD596" t="s">
        <v>42</v>
      </c>
      <c r="AE596" t="s">
        <v>25</v>
      </c>
      <c r="AF5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0.33870967741935482</v>
      </c>
      <c r="AG596" t="s">
        <v>941</v>
      </c>
      <c r="AH596">
        <v>61.5</v>
      </c>
      <c r="AI596" t="s">
        <v>939</v>
      </c>
      <c r="AJ596">
        <v>3</v>
      </c>
      <c r="AK5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MIN(AJ596/8, 1) +
  Merge1[[#This Row],[index_defensive_effort]],
  2
)</f>
        <v>1.21</v>
      </c>
    </row>
    <row r="597" spans="1:37" x14ac:dyDescent="0.25">
      <c r="A597" t="s">
        <v>245</v>
      </c>
      <c r="B597" t="s">
        <v>246</v>
      </c>
      <c r="C597">
        <v>25</v>
      </c>
      <c r="D597" t="s">
        <v>22</v>
      </c>
      <c r="E597">
        <v>72</v>
      </c>
      <c r="F597">
        <v>209</v>
      </c>
      <c r="G597" t="s">
        <v>32</v>
      </c>
      <c r="H597">
        <v>2020</v>
      </c>
      <c r="I597" t="s">
        <v>33</v>
      </c>
      <c r="J597">
        <v>3</v>
      </c>
      <c r="K597">
        <v>6</v>
      </c>
      <c r="L597">
        <v>4</v>
      </c>
      <c r="M597">
        <v>0</v>
      </c>
      <c r="N597">
        <v>4</v>
      </c>
      <c r="O597">
        <v>0</v>
      </c>
      <c r="P597">
        <v>0</v>
      </c>
      <c r="Q597">
        <v>0</v>
      </c>
      <c r="R597">
        <v>2</v>
      </c>
      <c r="S597">
        <v>75</v>
      </c>
      <c r="T597">
        <v>75</v>
      </c>
      <c r="U597" s="5">
        <f>IF(Merge1[[#This Row],[team_defense_snaps]]=0, "", Merge1[[#This Row],[defense_snaps]] / Merge1[[#This Row],[team_defense_snaps]])</f>
        <v>0.98684210526315785</v>
      </c>
      <c r="V597">
        <v>76</v>
      </c>
      <c r="W597">
        <v>0</v>
      </c>
      <c r="X597" s="5" t="s">
        <v>29</v>
      </c>
      <c r="Y597">
        <v>3</v>
      </c>
      <c r="Z597">
        <v>0</v>
      </c>
      <c r="AA597" t="s">
        <v>25</v>
      </c>
      <c r="AB597" t="s">
        <v>26</v>
      </c>
      <c r="AC597" t="s">
        <v>27</v>
      </c>
      <c r="AD597" t="s">
        <v>42</v>
      </c>
      <c r="AE597" t="s">
        <v>25</v>
      </c>
      <c r="AF5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</v>
      </c>
      <c r="AG597" t="s">
        <v>941</v>
      </c>
      <c r="AH597">
        <v>58.5</v>
      </c>
      <c r="AI597" t="s">
        <v>939</v>
      </c>
      <c r="AJ597">
        <v>4</v>
      </c>
      <c r="AK5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MIN(AJ597/8, 1) +
  Merge1[[#This Row],[index_defensive_effort]],
  2
)</f>
        <v>1.1599999999999999</v>
      </c>
    </row>
    <row r="598" spans="1:37" x14ac:dyDescent="0.25">
      <c r="A598" t="s">
        <v>245</v>
      </c>
      <c r="B598" t="s">
        <v>246</v>
      </c>
      <c r="C598">
        <v>25</v>
      </c>
      <c r="D598" t="s">
        <v>22</v>
      </c>
      <c r="E598">
        <v>72</v>
      </c>
      <c r="F598">
        <v>209</v>
      </c>
      <c r="G598" t="s">
        <v>32</v>
      </c>
      <c r="H598">
        <v>2020</v>
      </c>
      <c r="I598" t="s">
        <v>33</v>
      </c>
      <c r="J598">
        <v>4</v>
      </c>
      <c r="K598">
        <v>3</v>
      </c>
      <c r="L598">
        <v>3</v>
      </c>
      <c r="M598">
        <v>0</v>
      </c>
      <c r="N598">
        <v>3</v>
      </c>
      <c r="O598">
        <v>0</v>
      </c>
      <c r="P598">
        <v>0</v>
      </c>
      <c r="Q598">
        <v>0</v>
      </c>
      <c r="R598">
        <v>0</v>
      </c>
      <c r="S598">
        <v>75</v>
      </c>
      <c r="T598">
        <v>71</v>
      </c>
      <c r="U598" s="5">
        <f>IF(Merge1[[#This Row],[team_defense_snaps]]=0, "", Merge1[[#This Row],[defense_snaps]] / Merge1[[#This Row],[team_defense_snaps]])</f>
        <v>1</v>
      </c>
      <c r="V598">
        <v>71</v>
      </c>
      <c r="W598">
        <v>4</v>
      </c>
      <c r="X598" s="5" t="s">
        <v>168</v>
      </c>
      <c r="Y598">
        <v>3</v>
      </c>
      <c r="Z598">
        <v>0</v>
      </c>
      <c r="AA598" t="s">
        <v>25</v>
      </c>
      <c r="AB598" t="s">
        <v>26</v>
      </c>
      <c r="AC598" t="s">
        <v>27</v>
      </c>
      <c r="AD598" t="s">
        <v>42</v>
      </c>
      <c r="AE598" t="s">
        <v>25</v>
      </c>
      <c r="AF5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0.06</v>
      </c>
      <c r="AG598" t="s">
        <v>941</v>
      </c>
      <c r="AH598">
        <v>70.5</v>
      </c>
      <c r="AI598" t="s">
        <v>939</v>
      </c>
      <c r="AJ598">
        <v>5</v>
      </c>
      <c r="AK5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MIN(AJ598/8, 1) +
  Merge1[[#This Row],[index_defensive_effort]],
  2
)</f>
        <v>1.19</v>
      </c>
    </row>
    <row r="599" spans="1:37" x14ac:dyDescent="0.25">
      <c r="A599" t="s">
        <v>245</v>
      </c>
      <c r="B599" t="s">
        <v>246</v>
      </c>
      <c r="C599">
        <v>25</v>
      </c>
      <c r="D599" t="s">
        <v>22</v>
      </c>
      <c r="E599">
        <v>72</v>
      </c>
      <c r="F599">
        <v>209</v>
      </c>
      <c r="G599" t="s">
        <v>32</v>
      </c>
      <c r="H599">
        <v>2020</v>
      </c>
      <c r="I599" t="s">
        <v>33</v>
      </c>
      <c r="J599">
        <v>5</v>
      </c>
      <c r="K599">
        <v>9</v>
      </c>
      <c r="L599">
        <v>4</v>
      </c>
      <c r="M599">
        <v>0</v>
      </c>
      <c r="N599">
        <v>4</v>
      </c>
      <c r="O599">
        <v>4</v>
      </c>
      <c r="P599">
        <v>7</v>
      </c>
      <c r="Q599">
        <v>1</v>
      </c>
      <c r="R599">
        <v>0</v>
      </c>
      <c r="S599">
        <v>68</v>
      </c>
      <c r="T599">
        <v>67</v>
      </c>
      <c r="U599" s="5">
        <f>IF(Merge1[[#This Row],[team_defense_snaps]]=0, "", Merge1[[#This Row],[defense_snaps]] / Merge1[[#This Row],[team_defense_snaps]])</f>
        <v>1</v>
      </c>
      <c r="V599">
        <v>67</v>
      </c>
      <c r="W599">
        <v>1</v>
      </c>
      <c r="X599" s="5" t="s">
        <v>193</v>
      </c>
      <c r="Y599">
        <v>3</v>
      </c>
      <c r="Z599">
        <v>0</v>
      </c>
      <c r="AA599" t="s">
        <v>25</v>
      </c>
      <c r="AB599" t="s">
        <v>26</v>
      </c>
      <c r="AC599" t="s">
        <v>27</v>
      </c>
      <c r="AD599" t="s">
        <v>42</v>
      </c>
      <c r="AE599" t="s">
        <v>25</v>
      </c>
      <c r="AF5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0.6029411764705882</v>
      </c>
      <c r="AG599" t="s">
        <v>941</v>
      </c>
      <c r="AH599">
        <v>51</v>
      </c>
      <c r="AI599" t="s">
        <v>939</v>
      </c>
      <c r="AJ599">
        <v>6</v>
      </c>
      <c r="AK5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MIN(AJ599/8, 1) +
  Merge1[[#This Row],[index_defensive_effort]],
  2
)</f>
        <v>1.85</v>
      </c>
    </row>
    <row r="600" spans="1:37" x14ac:dyDescent="0.25">
      <c r="A600" t="s">
        <v>245</v>
      </c>
      <c r="B600" t="s">
        <v>246</v>
      </c>
      <c r="C600">
        <v>25</v>
      </c>
      <c r="D600" t="s">
        <v>22</v>
      </c>
      <c r="E600">
        <v>72</v>
      </c>
      <c r="F600">
        <v>209</v>
      </c>
      <c r="G600" t="s">
        <v>32</v>
      </c>
      <c r="H600">
        <v>2020</v>
      </c>
      <c r="I600" t="s">
        <v>33</v>
      </c>
      <c r="J600">
        <v>6</v>
      </c>
      <c r="K600">
        <v>2</v>
      </c>
      <c r="L600">
        <v>1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80</v>
      </c>
      <c r="T600">
        <v>72</v>
      </c>
      <c r="U600" s="5">
        <f>IF(Merge1[[#This Row],[team_defense_snaps]]=0, "", Merge1[[#This Row],[defense_snaps]] / Merge1[[#This Row],[team_defense_snaps]])</f>
        <v>1</v>
      </c>
      <c r="V600">
        <v>72</v>
      </c>
      <c r="W600">
        <v>8</v>
      </c>
      <c r="X600" s="5" t="s">
        <v>135</v>
      </c>
      <c r="Y600">
        <v>3</v>
      </c>
      <c r="Z600">
        <v>0</v>
      </c>
      <c r="AA600" t="s">
        <v>25</v>
      </c>
      <c r="AB600" t="s">
        <v>26</v>
      </c>
      <c r="AC600" t="s">
        <v>27</v>
      </c>
      <c r="AD600" t="s">
        <v>42</v>
      </c>
      <c r="AE600" t="s">
        <v>25</v>
      </c>
      <c r="AF6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3.125E-2</v>
      </c>
      <c r="AG600" t="s">
        <v>941</v>
      </c>
      <c r="AH600">
        <v>52</v>
      </c>
      <c r="AI600" t="s">
        <v>939</v>
      </c>
      <c r="AJ600">
        <v>1</v>
      </c>
      <c r="AK6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MIN(AJ600/8, 1) +
  Merge1[[#This Row],[index_defensive_effort]],
  2
)</f>
        <v>0.66</v>
      </c>
    </row>
    <row r="601" spans="1:37" x14ac:dyDescent="0.25">
      <c r="A601" t="s">
        <v>245</v>
      </c>
      <c r="B601" t="s">
        <v>246</v>
      </c>
      <c r="C601">
        <v>25</v>
      </c>
      <c r="D601" t="s">
        <v>22</v>
      </c>
      <c r="E601">
        <v>72</v>
      </c>
      <c r="F601">
        <v>209</v>
      </c>
      <c r="G601" t="s">
        <v>32</v>
      </c>
      <c r="H601">
        <v>2020</v>
      </c>
      <c r="I601" t="s">
        <v>33</v>
      </c>
      <c r="J601">
        <v>8</v>
      </c>
      <c r="K601">
        <v>3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53</v>
      </c>
      <c r="T601">
        <v>53</v>
      </c>
      <c r="U601" s="5">
        <f>IF(Merge1[[#This Row],[team_defense_snaps]]=0, "", Merge1[[#This Row],[defense_snaps]] / Merge1[[#This Row],[team_defense_snaps]])</f>
        <v>0.96363636363636362</v>
      </c>
      <c r="V601">
        <v>55</v>
      </c>
      <c r="W601">
        <v>0</v>
      </c>
      <c r="X601" s="5" t="s">
        <v>29</v>
      </c>
      <c r="Y601">
        <v>3</v>
      </c>
      <c r="Z601">
        <v>0</v>
      </c>
      <c r="AA601" t="s">
        <v>25</v>
      </c>
      <c r="AB601" t="s">
        <v>26</v>
      </c>
      <c r="AC601" t="s">
        <v>27</v>
      </c>
      <c r="AD601" t="s">
        <v>42</v>
      </c>
      <c r="AE601" t="s">
        <v>25</v>
      </c>
      <c r="AF6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5.6603773584905662E-2</v>
      </c>
      <c r="AG601" t="s">
        <v>941</v>
      </c>
      <c r="AH601">
        <v>57</v>
      </c>
      <c r="AI601" t="s">
        <v>939</v>
      </c>
      <c r="AJ601">
        <v>2</v>
      </c>
      <c r="AK6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MIN(AJ601/8, 1) +
  Merge1[[#This Row],[index_defensive_effort]],
  2
)</f>
        <v>0.81</v>
      </c>
    </row>
    <row r="602" spans="1:37" x14ac:dyDescent="0.25">
      <c r="A602" t="s">
        <v>245</v>
      </c>
      <c r="B602" t="s">
        <v>246</v>
      </c>
      <c r="C602">
        <v>25</v>
      </c>
      <c r="D602" t="s">
        <v>22</v>
      </c>
      <c r="E602">
        <v>72</v>
      </c>
      <c r="F602">
        <v>209</v>
      </c>
      <c r="G602" t="s">
        <v>32</v>
      </c>
      <c r="H602">
        <v>2020</v>
      </c>
      <c r="I602" t="s">
        <v>33</v>
      </c>
      <c r="J602">
        <v>9</v>
      </c>
      <c r="K602">
        <v>3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69</v>
      </c>
      <c r="T602">
        <v>69</v>
      </c>
      <c r="U602" s="5">
        <f>IF(Merge1[[#This Row],[team_defense_snaps]]=0, "", Merge1[[#This Row],[defense_snaps]] / Merge1[[#This Row],[team_defense_snaps]])</f>
        <v>1</v>
      </c>
      <c r="V602">
        <v>69</v>
      </c>
      <c r="W602">
        <v>0</v>
      </c>
      <c r="X602" s="5" t="s">
        <v>29</v>
      </c>
      <c r="Y602">
        <v>3</v>
      </c>
      <c r="Z602">
        <v>0</v>
      </c>
      <c r="AA602" t="s">
        <v>25</v>
      </c>
      <c r="AB602" t="s">
        <v>26</v>
      </c>
      <c r="AC602" t="s">
        <v>27</v>
      </c>
      <c r="AD602" t="s">
        <v>42</v>
      </c>
      <c r="AE602" t="s">
        <v>25</v>
      </c>
      <c r="AF6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4.3478260869565216E-2</v>
      </c>
      <c r="AG602" t="s">
        <v>941</v>
      </c>
      <c r="AH602">
        <v>49.5</v>
      </c>
      <c r="AI602" t="s">
        <v>939</v>
      </c>
      <c r="AJ602">
        <v>3</v>
      </c>
      <c r="AK6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MIN(AJ602/8, 1) +
  Merge1[[#This Row],[index_defensive_effort]],
  2
)</f>
        <v>0.92</v>
      </c>
    </row>
    <row r="603" spans="1:37" x14ac:dyDescent="0.25">
      <c r="A603" t="s">
        <v>245</v>
      </c>
      <c r="B603" t="s">
        <v>246</v>
      </c>
      <c r="C603">
        <v>25</v>
      </c>
      <c r="D603" t="s">
        <v>22</v>
      </c>
      <c r="E603">
        <v>72</v>
      </c>
      <c r="F603">
        <v>209</v>
      </c>
      <c r="G603" t="s">
        <v>32</v>
      </c>
      <c r="H603">
        <v>2020</v>
      </c>
      <c r="I603" t="s">
        <v>33</v>
      </c>
      <c r="J603">
        <v>10</v>
      </c>
      <c r="K603">
        <v>4</v>
      </c>
      <c r="L603">
        <v>3</v>
      </c>
      <c r="M603">
        <v>1</v>
      </c>
      <c r="N603">
        <v>4</v>
      </c>
      <c r="O603">
        <v>0</v>
      </c>
      <c r="P603">
        <v>0</v>
      </c>
      <c r="Q603">
        <v>0</v>
      </c>
      <c r="R603">
        <v>0</v>
      </c>
      <c r="S603">
        <v>58</v>
      </c>
      <c r="T603">
        <v>58</v>
      </c>
      <c r="U603" s="5">
        <f>IF(Merge1[[#This Row],[team_defense_snaps]]=0, "", Merge1[[#This Row],[defense_snaps]] / Merge1[[#This Row],[team_defense_snaps]])</f>
        <v>1</v>
      </c>
      <c r="V603">
        <v>58</v>
      </c>
      <c r="W603">
        <v>0</v>
      </c>
      <c r="X603" s="5" t="s">
        <v>29</v>
      </c>
      <c r="Y603">
        <v>3</v>
      </c>
      <c r="Z603">
        <v>0</v>
      </c>
      <c r="AA603" t="s">
        <v>25</v>
      </c>
      <c r="AB603" t="s">
        <v>26</v>
      </c>
      <c r="AC603" t="s">
        <v>27</v>
      </c>
      <c r="AD603" t="s">
        <v>42</v>
      </c>
      <c r="AE603" t="s">
        <v>25</v>
      </c>
      <c r="AF6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0.10344827586206896</v>
      </c>
      <c r="AG603" t="s">
        <v>941</v>
      </c>
      <c r="AH603">
        <v>54</v>
      </c>
      <c r="AI603" t="s">
        <v>939</v>
      </c>
      <c r="AJ603">
        <v>4</v>
      </c>
      <c r="AK6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MIN(AJ603/8, 1) +
  Merge1[[#This Row],[index_defensive_effort]],
  2
)</f>
        <v>1.1000000000000001</v>
      </c>
    </row>
    <row r="604" spans="1:37" x14ac:dyDescent="0.25">
      <c r="A604" t="s">
        <v>245</v>
      </c>
      <c r="B604" t="s">
        <v>246</v>
      </c>
      <c r="C604">
        <v>25</v>
      </c>
      <c r="D604" t="s">
        <v>22</v>
      </c>
      <c r="E604">
        <v>72</v>
      </c>
      <c r="F604">
        <v>209</v>
      </c>
      <c r="G604" t="s">
        <v>32</v>
      </c>
      <c r="H604">
        <v>2020</v>
      </c>
      <c r="I604" t="s">
        <v>33</v>
      </c>
      <c r="J604">
        <v>11</v>
      </c>
      <c r="K604">
        <v>4</v>
      </c>
      <c r="L604">
        <v>1</v>
      </c>
      <c r="M604">
        <v>0</v>
      </c>
      <c r="N604">
        <v>1</v>
      </c>
      <c r="O604">
        <v>0</v>
      </c>
      <c r="P604">
        <v>1</v>
      </c>
      <c r="Q604">
        <v>0</v>
      </c>
      <c r="R604">
        <v>0</v>
      </c>
      <c r="S604">
        <v>78</v>
      </c>
      <c r="T604">
        <v>70</v>
      </c>
      <c r="U604" s="5">
        <f>IF(Merge1[[#This Row],[team_defense_snaps]]=0, "", Merge1[[#This Row],[defense_snaps]] / Merge1[[#This Row],[team_defense_snaps]])</f>
        <v>1</v>
      </c>
      <c r="V604">
        <v>70</v>
      </c>
      <c r="W604">
        <v>8</v>
      </c>
      <c r="X604" s="5" t="s">
        <v>138</v>
      </c>
      <c r="Y604">
        <v>3</v>
      </c>
      <c r="Z604">
        <v>0</v>
      </c>
      <c r="AA604" t="s">
        <v>25</v>
      </c>
      <c r="AB604" t="s">
        <v>26</v>
      </c>
      <c r="AC604" t="s">
        <v>27</v>
      </c>
      <c r="AD604" t="s">
        <v>42</v>
      </c>
      <c r="AE604" t="s">
        <v>25</v>
      </c>
      <c r="AF6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604" t="s">
        <v>941</v>
      </c>
      <c r="AH604">
        <v>72</v>
      </c>
      <c r="AI604" t="s">
        <v>939</v>
      </c>
      <c r="AJ604">
        <v>5</v>
      </c>
      <c r="AK6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MIN(AJ604/8, 1) +
  Merge1[[#This Row],[index_defensive_effort]],
  2
)</f>
        <v>1.21</v>
      </c>
    </row>
    <row r="605" spans="1:37" x14ac:dyDescent="0.25">
      <c r="A605" t="s">
        <v>245</v>
      </c>
      <c r="B605" t="s">
        <v>246</v>
      </c>
      <c r="C605">
        <v>25</v>
      </c>
      <c r="D605" t="s">
        <v>22</v>
      </c>
      <c r="E605">
        <v>72</v>
      </c>
      <c r="F605">
        <v>209</v>
      </c>
      <c r="G605" t="s">
        <v>32</v>
      </c>
      <c r="H605">
        <v>2020</v>
      </c>
      <c r="I605" t="s">
        <v>33</v>
      </c>
      <c r="J605">
        <v>12</v>
      </c>
      <c r="K605">
        <v>5</v>
      </c>
      <c r="L605">
        <v>9</v>
      </c>
      <c r="M605">
        <v>4</v>
      </c>
      <c r="N605">
        <v>13</v>
      </c>
      <c r="O605">
        <v>0</v>
      </c>
      <c r="P605">
        <v>0</v>
      </c>
      <c r="Q605">
        <v>0</v>
      </c>
      <c r="R605">
        <v>0</v>
      </c>
      <c r="S605">
        <v>77</v>
      </c>
      <c r="T605">
        <v>72</v>
      </c>
      <c r="U605" s="5">
        <f>IF(Merge1[[#This Row],[team_defense_snaps]]=0, "", Merge1[[#This Row],[defense_snaps]] / Merge1[[#This Row],[team_defense_snaps]])</f>
        <v>0.97297297297297303</v>
      </c>
      <c r="V605">
        <v>74</v>
      </c>
      <c r="W605">
        <v>5</v>
      </c>
      <c r="X605" s="5" t="s">
        <v>58</v>
      </c>
      <c r="Y605">
        <v>3</v>
      </c>
      <c r="Z605">
        <v>0</v>
      </c>
      <c r="AA605" t="s">
        <v>25</v>
      </c>
      <c r="AB605" t="s">
        <v>26</v>
      </c>
      <c r="AC605" t="s">
        <v>27</v>
      </c>
      <c r="AD605" t="s">
        <v>42</v>
      </c>
      <c r="AE605" t="s">
        <v>25</v>
      </c>
      <c r="AF6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0.14935064935064934</v>
      </c>
      <c r="AG605" t="s">
        <v>941</v>
      </c>
      <c r="AH605">
        <v>48</v>
      </c>
      <c r="AI605" t="s">
        <v>939</v>
      </c>
      <c r="AJ605">
        <v>6</v>
      </c>
      <c r="AK6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MIN(AJ605/8, 1) +
  Merge1[[#This Row],[index_defensive_effort]],
  2
)</f>
        <v>1.4</v>
      </c>
    </row>
    <row r="606" spans="1:37" x14ac:dyDescent="0.25">
      <c r="A606" t="s">
        <v>245</v>
      </c>
      <c r="B606" t="s">
        <v>246</v>
      </c>
      <c r="C606">
        <v>25</v>
      </c>
      <c r="D606" t="s">
        <v>22</v>
      </c>
      <c r="E606">
        <v>72</v>
      </c>
      <c r="F606">
        <v>209</v>
      </c>
      <c r="G606" t="s">
        <v>32</v>
      </c>
      <c r="H606">
        <v>2020</v>
      </c>
      <c r="I606" t="s">
        <v>33</v>
      </c>
      <c r="J606">
        <v>13</v>
      </c>
      <c r="K606">
        <v>1</v>
      </c>
      <c r="L606">
        <v>4</v>
      </c>
      <c r="M606">
        <v>0</v>
      </c>
      <c r="N606">
        <v>4</v>
      </c>
      <c r="O606">
        <v>0</v>
      </c>
      <c r="P606">
        <v>0</v>
      </c>
      <c r="Q606">
        <v>0</v>
      </c>
      <c r="R606">
        <v>0</v>
      </c>
      <c r="S606">
        <v>86</v>
      </c>
      <c r="T606">
        <v>79</v>
      </c>
      <c r="U606" s="5">
        <f>IF(Merge1[[#This Row],[team_defense_snaps]]=0, "", Merge1[[#This Row],[defense_snaps]] / Merge1[[#This Row],[team_defense_snaps]])</f>
        <v>0.98750000000000004</v>
      </c>
      <c r="V606">
        <v>80</v>
      </c>
      <c r="W606">
        <v>7</v>
      </c>
      <c r="X606" s="5" t="s">
        <v>136</v>
      </c>
      <c r="Y606">
        <v>3</v>
      </c>
      <c r="Z606">
        <v>0</v>
      </c>
      <c r="AA606" t="s">
        <v>25</v>
      </c>
      <c r="AB606" t="s">
        <v>36</v>
      </c>
      <c r="AC606" t="s">
        <v>247</v>
      </c>
      <c r="AD606" t="s">
        <v>42</v>
      </c>
      <c r="AE606" t="s">
        <v>25</v>
      </c>
      <c r="AF6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3.4883720930232558E-2</v>
      </c>
      <c r="AG606" t="s">
        <v>941</v>
      </c>
      <c r="AH606">
        <v>64.5</v>
      </c>
      <c r="AI606" t="s">
        <v>939</v>
      </c>
      <c r="AJ606">
        <v>7</v>
      </c>
      <c r="AK6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MIN(AJ606/8, 1) +
  Merge1[[#This Row],[index_defensive_effort]],
  2
)</f>
        <v>1.41</v>
      </c>
    </row>
    <row r="607" spans="1:37" x14ac:dyDescent="0.25">
      <c r="A607" t="s">
        <v>245</v>
      </c>
      <c r="B607" t="s">
        <v>246</v>
      </c>
      <c r="C607">
        <v>25</v>
      </c>
      <c r="D607" t="s">
        <v>22</v>
      </c>
      <c r="E607">
        <v>72</v>
      </c>
      <c r="F607">
        <v>209</v>
      </c>
      <c r="G607" t="s">
        <v>32</v>
      </c>
      <c r="H607">
        <v>2020</v>
      </c>
      <c r="I607" t="s">
        <v>33</v>
      </c>
      <c r="J607">
        <v>14</v>
      </c>
      <c r="K607">
        <v>5</v>
      </c>
      <c r="L607">
        <v>5</v>
      </c>
      <c r="M607">
        <v>0</v>
      </c>
      <c r="N607">
        <v>5</v>
      </c>
      <c r="O607">
        <v>0</v>
      </c>
      <c r="P607">
        <v>0</v>
      </c>
      <c r="Q607">
        <v>0</v>
      </c>
      <c r="R607">
        <v>0</v>
      </c>
      <c r="S607">
        <v>95</v>
      </c>
      <c r="T607">
        <v>84</v>
      </c>
      <c r="U607" s="5">
        <f>IF(Merge1[[#This Row],[team_defense_snaps]]=0, "", Merge1[[#This Row],[defense_snaps]] / Merge1[[#This Row],[team_defense_snaps]])</f>
        <v>0.9882352941176471</v>
      </c>
      <c r="V607">
        <v>85</v>
      </c>
      <c r="W607">
        <v>11</v>
      </c>
      <c r="X607" s="5" t="s">
        <v>123</v>
      </c>
      <c r="Y607">
        <v>3</v>
      </c>
      <c r="Z607">
        <v>0</v>
      </c>
      <c r="AA607" t="s">
        <v>25</v>
      </c>
      <c r="AB607" t="s">
        <v>26</v>
      </c>
      <c r="AC607" t="s">
        <v>27</v>
      </c>
      <c r="AD607" t="s">
        <v>42</v>
      </c>
      <c r="AE607" t="s">
        <v>25</v>
      </c>
      <c r="AF6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7.8947368421052627E-2</v>
      </c>
      <c r="AG607" t="s">
        <v>941</v>
      </c>
      <c r="AH607">
        <v>67.5</v>
      </c>
      <c r="AI607" t="s">
        <v>939</v>
      </c>
      <c r="AJ607">
        <v>8</v>
      </c>
      <c r="AK6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MIN(AJ607/8, 1) +
  Merge1[[#This Row],[index_defensive_effort]],
  2
)</f>
        <v>1.58</v>
      </c>
    </row>
    <row r="608" spans="1:37" x14ac:dyDescent="0.25">
      <c r="A608" t="s">
        <v>245</v>
      </c>
      <c r="B608" t="s">
        <v>246</v>
      </c>
      <c r="C608">
        <v>25</v>
      </c>
      <c r="D608" t="s">
        <v>22</v>
      </c>
      <c r="E608">
        <v>72</v>
      </c>
      <c r="F608">
        <v>209</v>
      </c>
      <c r="G608" t="s">
        <v>32</v>
      </c>
      <c r="H608">
        <v>2020</v>
      </c>
      <c r="I608" t="s">
        <v>33</v>
      </c>
      <c r="J608">
        <v>15</v>
      </c>
      <c r="K608">
        <v>2</v>
      </c>
      <c r="L608">
        <v>1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60</v>
      </c>
      <c r="T608">
        <v>58</v>
      </c>
      <c r="U608" s="5">
        <f>IF(Merge1[[#This Row],[team_defense_snaps]]=0, "", Merge1[[#This Row],[defense_snaps]] / Merge1[[#This Row],[team_defense_snaps]])</f>
        <v>1</v>
      </c>
      <c r="V608">
        <v>58</v>
      </c>
      <c r="W608">
        <v>2</v>
      </c>
      <c r="X608" s="5" t="s">
        <v>250</v>
      </c>
      <c r="Y608">
        <v>3</v>
      </c>
      <c r="Z608">
        <v>0</v>
      </c>
      <c r="AA608" t="s">
        <v>25</v>
      </c>
      <c r="AB608" t="s">
        <v>26</v>
      </c>
      <c r="AC608" t="s">
        <v>27</v>
      </c>
      <c r="AD608" t="s">
        <v>42</v>
      </c>
      <c r="AE608" t="s">
        <v>25</v>
      </c>
      <c r="AF6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608" t="s">
        <v>941</v>
      </c>
      <c r="AH608">
        <v>55.5</v>
      </c>
      <c r="AI608" t="s">
        <v>939</v>
      </c>
      <c r="AJ608">
        <v>9</v>
      </c>
      <c r="AK6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MIN(AJ608/8, 1) +
  Merge1[[#This Row],[index_defensive_effort]],
  2
)</f>
        <v>1.54</v>
      </c>
    </row>
    <row r="609" spans="1:37" x14ac:dyDescent="0.25">
      <c r="A609" t="s">
        <v>245</v>
      </c>
      <c r="B609" t="s">
        <v>246</v>
      </c>
      <c r="C609">
        <v>25</v>
      </c>
      <c r="D609" t="s">
        <v>22</v>
      </c>
      <c r="E609">
        <v>72</v>
      </c>
      <c r="F609">
        <v>209</v>
      </c>
      <c r="G609" t="s">
        <v>32</v>
      </c>
      <c r="H609">
        <v>2020</v>
      </c>
      <c r="I609" t="s">
        <v>33</v>
      </c>
      <c r="J609">
        <v>16</v>
      </c>
      <c r="K609">
        <v>3</v>
      </c>
      <c r="L609">
        <v>1</v>
      </c>
      <c r="M609">
        <v>0</v>
      </c>
      <c r="N609">
        <v>1</v>
      </c>
      <c r="O609">
        <v>0</v>
      </c>
      <c r="P609">
        <v>2</v>
      </c>
      <c r="Q609">
        <v>0</v>
      </c>
      <c r="R609">
        <v>0</v>
      </c>
      <c r="S609">
        <v>69</v>
      </c>
      <c r="T609">
        <v>64</v>
      </c>
      <c r="U609" s="5">
        <f>IF(Merge1[[#This Row],[team_defense_snaps]]=0, "", Merge1[[#This Row],[defense_snaps]] / Merge1[[#This Row],[team_defense_snaps]])</f>
        <v>1</v>
      </c>
      <c r="V609">
        <v>64</v>
      </c>
      <c r="W609">
        <v>5</v>
      </c>
      <c r="X609" s="5" t="s">
        <v>139</v>
      </c>
      <c r="Y609">
        <v>3</v>
      </c>
      <c r="Z609">
        <v>0</v>
      </c>
      <c r="AA609" t="s">
        <v>25</v>
      </c>
      <c r="AB609" t="s">
        <v>26</v>
      </c>
      <c r="AC609" t="s">
        <v>27</v>
      </c>
      <c r="AD609" t="s">
        <v>42</v>
      </c>
      <c r="AE609" t="s">
        <v>25</v>
      </c>
      <c r="AF6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0.10869565217391304</v>
      </c>
      <c r="AG609" t="s">
        <v>941</v>
      </c>
      <c r="AH609">
        <v>52.5</v>
      </c>
      <c r="AI609" t="s">
        <v>939</v>
      </c>
      <c r="AJ609">
        <v>10</v>
      </c>
      <c r="AK6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MIN(AJ609/8, 1) +
  Merge1[[#This Row],[index_defensive_effort]],
  2
)</f>
        <v>1.61</v>
      </c>
    </row>
    <row r="610" spans="1:37" x14ac:dyDescent="0.25">
      <c r="A610" t="s">
        <v>245</v>
      </c>
      <c r="B610" t="s">
        <v>246</v>
      </c>
      <c r="C610">
        <v>25</v>
      </c>
      <c r="D610" t="s">
        <v>22</v>
      </c>
      <c r="E610">
        <v>72</v>
      </c>
      <c r="F610">
        <v>209</v>
      </c>
      <c r="G610" t="s">
        <v>32</v>
      </c>
      <c r="H610">
        <v>2020</v>
      </c>
      <c r="I610" t="s">
        <v>33</v>
      </c>
      <c r="J610">
        <v>17</v>
      </c>
      <c r="K610">
        <v>3</v>
      </c>
      <c r="L610">
        <v>1</v>
      </c>
      <c r="M610">
        <v>0</v>
      </c>
      <c r="N610">
        <v>1</v>
      </c>
      <c r="O610">
        <v>0</v>
      </c>
      <c r="P610">
        <v>0</v>
      </c>
      <c r="Q610">
        <v>2</v>
      </c>
      <c r="R610">
        <v>0</v>
      </c>
      <c r="S610">
        <v>43</v>
      </c>
      <c r="T610">
        <v>41</v>
      </c>
      <c r="U610" s="5">
        <f>IF(Merge1[[#This Row],[team_defense_snaps]]=0, "", Merge1[[#This Row],[defense_snaps]] / Merge1[[#This Row],[team_defense_snaps]])</f>
        <v>0.95348837209302328</v>
      </c>
      <c r="V610">
        <v>43</v>
      </c>
      <c r="W610">
        <v>2</v>
      </c>
      <c r="X610" s="5" t="s">
        <v>167</v>
      </c>
      <c r="Y610">
        <v>3</v>
      </c>
      <c r="Z610">
        <v>0</v>
      </c>
      <c r="AA610" t="s">
        <v>25</v>
      </c>
      <c r="AB610" t="s">
        <v>26</v>
      </c>
      <c r="AC610" t="s">
        <v>27</v>
      </c>
      <c r="AD610" t="s">
        <v>42</v>
      </c>
      <c r="AE610" t="s">
        <v>25</v>
      </c>
      <c r="AF6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0.26744186046511625</v>
      </c>
      <c r="AG610" t="s">
        <v>941</v>
      </c>
      <c r="AH610">
        <v>69</v>
      </c>
      <c r="AI610" t="s">
        <v>939</v>
      </c>
      <c r="AJ610">
        <v>11</v>
      </c>
      <c r="AK6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MIN(AJ610/8, 1) +
  Merge1[[#This Row],[index_defensive_effort]],
  2
)</f>
        <v>1.77</v>
      </c>
    </row>
    <row r="611" spans="1:37" x14ac:dyDescent="0.25">
      <c r="A611" t="s">
        <v>245</v>
      </c>
      <c r="B611" t="s">
        <v>246</v>
      </c>
      <c r="C611">
        <v>25</v>
      </c>
      <c r="D611" t="s">
        <v>22</v>
      </c>
      <c r="E611">
        <v>72</v>
      </c>
      <c r="F611">
        <v>209</v>
      </c>
      <c r="G611" t="s">
        <v>32</v>
      </c>
      <c r="H611">
        <v>2020</v>
      </c>
      <c r="I611" t="s">
        <v>24</v>
      </c>
      <c r="J611">
        <v>18</v>
      </c>
      <c r="K611">
        <v>2</v>
      </c>
      <c r="L611">
        <v>1</v>
      </c>
      <c r="M611">
        <v>1</v>
      </c>
      <c r="N611">
        <v>2</v>
      </c>
      <c r="O611">
        <v>0</v>
      </c>
      <c r="P611">
        <v>0</v>
      </c>
      <c r="Q611">
        <v>0</v>
      </c>
      <c r="R611">
        <v>0</v>
      </c>
      <c r="S611">
        <v>53</v>
      </c>
      <c r="T611">
        <v>50</v>
      </c>
      <c r="U611" s="5">
        <f>IF(Merge1[[#This Row],[team_defense_snaps]]=0, "", Merge1[[#This Row],[defense_snaps]] / Merge1[[#This Row],[team_defense_snaps]])</f>
        <v>1</v>
      </c>
      <c r="V611">
        <v>50</v>
      </c>
      <c r="W611">
        <v>3</v>
      </c>
      <c r="X611" s="5" t="s">
        <v>251</v>
      </c>
      <c r="Y611">
        <v>3</v>
      </c>
      <c r="Z611">
        <v>0</v>
      </c>
      <c r="AA611" t="s">
        <v>25</v>
      </c>
      <c r="AB611" t="s">
        <v>26</v>
      </c>
      <c r="AC611" t="s">
        <v>27</v>
      </c>
      <c r="AD611" t="s">
        <v>42</v>
      </c>
      <c r="AE611" t="s">
        <v>25</v>
      </c>
      <c r="AF6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5.6603773584905662E-2</v>
      </c>
      <c r="AG611" t="s">
        <v>941</v>
      </c>
      <c r="AH611">
        <v>66</v>
      </c>
      <c r="AI611" t="s">
        <v>939</v>
      </c>
      <c r="AJ611">
        <v>12</v>
      </c>
      <c r="AK6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MIN(AJ611/8, 1) +
  Merge1[[#This Row],[index_defensive_effort]],
  2
)</f>
        <v>1.76</v>
      </c>
    </row>
    <row r="612" spans="1:37" x14ac:dyDescent="0.25">
      <c r="A612" t="s">
        <v>245</v>
      </c>
      <c r="B612" t="s">
        <v>246</v>
      </c>
      <c r="C612">
        <v>25</v>
      </c>
      <c r="D612" t="s">
        <v>22</v>
      </c>
      <c r="E612">
        <v>72</v>
      </c>
      <c r="F612">
        <v>209</v>
      </c>
      <c r="G612" t="s">
        <v>32</v>
      </c>
      <c r="H612">
        <v>2020</v>
      </c>
      <c r="I612" t="s">
        <v>24</v>
      </c>
      <c r="J612">
        <v>19</v>
      </c>
      <c r="K612">
        <v>0</v>
      </c>
      <c r="L612">
        <v>5</v>
      </c>
      <c r="M612">
        <v>3</v>
      </c>
      <c r="N612">
        <v>8</v>
      </c>
      <c r="O612">
        <v>0</v>
      </c>
      <c r="P612">
        <v>0</v>
      </c>
      <c r="Q612">
        <v>0</v>
      </c>
      <c r="R612">
        <v>0</v>
      </c>
      <c r="S612">
        <v>61</v>
      </c>
      <c r="T612">
        <v>56</v>
      </c>
      <c r="U612" s="5">
        <f>IF(Merge1[[#This Row],[team_defense_snaps]]=0, "", Merge1[[#This Row],[defense_snaps]] / Merge1[[#This Row],[team_defense_snaps]])</f>
        <v>0.98245614035087714</v>
      </c>
      <c r="V612">
        <v>57</v>
      </c>
      <c r="W612">
        <v>5</v>
      </c>
      <c r="X612" s="5" t="s">
        <v>293</v>
      </c>
      <c r="Y612">
        <v>3</v>
      </c>
      <c r="Z612">
        <v>0</v>
      </c>
      <c r="AA612" t="s">
        <v>25</v>
      </c>
      <c r="AB612" t="s">
        <v>26</v>
      </c>
      <c r="AC612" t="s">
        <v>27</v>
      </c>
      <c r="AD612" t="s">
        <v>42</v>
      </c>
      <c r="AE612" t="s">
        <v>25</v>
      </c>
      <c r="AF6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6.5573770491803282E-2</v>
      </c>
      <c r="AG612" t="s">
        <v>941</v>
      </c>
      <c r="AH612">
        <v>60</v>
      </c>
      <c r="AI612" t="s">
        <v>939</v>
      </c>
      <c r="AJ612">
        <v>1</v>
      </c>
      <c r="AK6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MIN(AJ612/8, 1) +
  Merge1[[#This Row],[index_defensive_effort]],
  2
)</f>
        <v>0.89</v>
      </c>
    </row>
    <row r="613" spans="1:37" x14ac:dyDescent="0.25">
      <c r="A613" t="s">
        <v>918</v>
      </c>
      <c r="B613" t="s">
        <v>919</v>
      </c>
      <c r="C613">
        <v>22</v>
      </c>
      <c r="D613" t="s">
        <v>56</v>
      </c>
      <c r="E613">
        <v>73</v>
      </c>
      <c r="F613">
        <v>204</v>
      </c>
      <c r="G613" t="s">
        <v>180</v>
      </c>
      <c r="H613">
        <v>2020</v>
      </c>
      <c r="I613" t="s">
        <v>33</v>
      </c>
      <c r="J613">
        <v>1</v>
      </c>
      <c r="K613">
        <v>7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2</v>
      </c>
      <c r="R613">
        <v>0</v>
      </c>
      <c r="S613">
        <v>0</v>
      </c>
      <c r="T613">
        <v>0</v>
      </c>
      <c r="U613" s="5">
        <f>IF(Merge1[[#This Row],[team_defense_snaps]]=0, "", Merge1[[#This Row],[defense_snaps]] / Merge1[[#This Row],[team_defense_snaps]])</f>
        <v>0</v>
      </c>
      <c r="V613">
        <v>74</v>
      </c>
      <c r="W613">
        <v>0</v>
      </c>
      <c r="X613" s="5">
        <v>0</v>
      </c>
      <c r="Y613">
        <v>0</v>
      </c>
      <c r="Z613">
        <v>0</v>
      </c>
      <c r="AA613" t="s">
        <v>25</v>
      </c>
      <c r="AB613" t="s">
        <v>36</v>
      </c>
      <c r="AC613" t="s">
        <v>188</v>
      </c>
      <c r="AD613" t="s">
        <v>42</v>
      </c>
      <c r="AE613" t="s">
        <v>25</v>
      </c>
      <c r="AF6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613" t="s">
        <v>941</v>
      </c>
      <c r="AH613">
        <v>86</v>
      </c>
      <c r="AI613" t="s">
        <v>939</v>
      </c>
      <c r="AJ613">
        <v>1</v>
      </c>
      <c r="AK6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MIN(AJ613/8, 1) +
  Merge1[[#This Row],[index_defensive_effort]],
  2
)</f>
        <v>0.53</v>
      </c>
    </row>
    <row r="614" spans="1:37" x14ac:dyDescent="0.25">
      <c r="A614" t="s">
        <v>918</v>
      </c>
      <c r="B614" t="s">
        <v>919</v>
      </c>
      <c r="C614">
        <v>22</v>
      </c>
      <c r="D614" t="s">
        <v>56</v>
      </c>
      <c r="E614">
        <v>73</v>
      </c>
      <c r="F614">
        <v>204</v>
      </c>
      <c r="G614" t="s">
        <v>180</v>
      </c>
      <c r="H614">
        <v>2020</v>
      </c>
      <c r="I614" t="s">
        <v>33</v>
      </c>
      <c r="J614">
        <v>2</v>
      </c>
      <c r="K614">
        <v>4</v>
      </c>
      <c r="L614">
        <v>2</v>
      </c>
      <c r="M614">
        <v>0</v>
      </c>
      <c r="N614">
        <v>2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 s="5">
        <f>IF(Merge1[[#This Row],[team_defense_snaps]]=0, "", Merge1[[#This Row],[defense_snaps]] / Merge1[[#This Row],[team_defense_snaps]])</f>
        <v>0</v>
      </c>
      <c r="V614">
        <v>62</v>
      </c>
      <c r="W614">
        <v>0</v>
      </c>
      <c r="X614" s="5">
        <v>0</v>
      </c>
      <c r="Y614">
        <v>0</v>
      </c>
      <c r="Z614">
        <v>0</v>
      </c>
      <c r="AA614" t="s">
        <v>25</v>
      </c>
      <c r="AB614" t="s">
        <v>36</v>
      </c>
      <c r="AC614" t="s">
        <v>188</v>
      </c>
      <c r="AD614" t="s">
        <v>42</v>
      </c>
      <c r="AE614" t="s">
        <v>25</v>
      </c>
      <c r="AF6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614" t="s">
        <v>941</v>
      </c>
      <c r="AH614">
        <v>84.5</v>
      </c>
      <c r="AI614" t="s">
        <v>939</v>
      </c>
      <c r="AJ614">
        <v>2</v>
      </c>
      <c r="AK6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MIN(AJ614/8, 1) +
  Merge1[[#This Row],[index_defensive_effort]],
  2
)</f>
        <v>0.65</v>
      </c>
    </row>
    <row r="615" spans="1:37" x14ac:dyDescent="0.25">
      <c r="A615" t="s">
        <v>918</v>
      </c>
      <c r="B615" t="s">
        <v>919</v>
      </c>
      <c r="C615">
        <v>22</v>
      </c>
      <c r="D615" t="s">
        <v>56</v>
      </c>
      <c r="E615">
        <v>73</v>
      </c>
      <c r="F615">
        <v>204</v>
      </c>
      <c r="G615" t="s">
        <v>180</v>
      </c>
      <c r="H615">
        <v>2020</v>
      </c>
      <c r="I615" t="s">
        <v>33</v>
      </c>
      <c r="J615">
        <v>3</v>
      </c>
      <c r="K615">
        <v>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 s="5">
        <f>IF(Merge1[[#This Row],[team_defense_snaps]]=0, "", Merge1[[#This Row],[defense_snaps]] / Merge1[[#This Row],[team_defense_snaps]])</f>
        <v>0</v>
      </c>
      <c r="V615">
        <v>62</v>
      </c>
      <c r="W615">
        <v>0</v>
      </c>
      <c r="X615" s="5">
        <v>0</v>
      </c>
      <c r="Y615">
        <v>0</v>
      </c>
      <c r="Z615">
        <v>0</v>
      </c>
      <c r="AA615" t="s">
        <v>25</v>
      </c>
      <c r="AB615" t="s">
        <v>26</v>
      </c>
      <c r="AC615" t="s">
        <v>27</v>
      </c>
      <c r="AD615" t="s">
        <v>42</v>
      </c>
      <c r="AE615" t="s">
        <v>25</v>
      </c>
      <c r="AF6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615" t="s">
        <v>941</v>
      </c>
      <c r="AH615">
        <v>83</v>
      </c>
      <c r="AI615" t="s">
        <v>27</v>
      </c>
      <c r="AJ615">
        <v>3</v>
      </c>
      <c r="AK6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MIN(AJ615/8, 1) +
  Merge1[[#This Row],[index_defensive_effort]],
  2
)</f>
        <v>0.78</v>
      </c>
    </row>
    <row r="616" spans="1:37" x14ac:dyDescent="0.25">
      <c r="A616" t="s">
        <v>918</v>
      </c>
      <c r="B616" t="s">
        <v>919</v>
      </c>
      <c r="C616">
        <v>22</v>
      </c>
      <c r="D616" t="s">
        <v>56</v>
      </c>
      <c r="E616">
        <v>73</v>
      </c>
      <c r="F616">
        <v>204</v>
      </c>
      <c r="G616" t="s">
        <v>180</v>
      </c>
      <c r="H616">
        <v>2020</v>
      </c>
      <c r="I616" t="s">
        <v>33</v>
      </c>
      <c r="J616">
        <v>4</v>
      </c>
      <c r="K616">
        <v>1</v>
      </c>
      <c r="L616">
        <v>1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 s="5">
        <f>IF(Merge1[[#This Row],[team_defense_snaps]]=0, "", Merge1[[#This Row],[defense_snaps]] / Merge1[[#This Row],[team_defense_snaps]])</f>
        <v>0</v>
      </c>
      <c r="V616">
        <v>75</v>
      </c>
      <c r="W616">
        <v>0</v>
      </c>
      <c r="X616" s="5">
        <v>0</v>
      </c>
      <c r="Y616">
        <v>0</v>
      </c>
      <c r="Z616">
        <v>0</v>
      </c>
      <c r="AA616" t="s">
        <v>25</v>
      </c>
      <c r="AB616" t="s">
        <v>26</v>
      </c>
      <c r="AC616" t="s">
        <v>27</v>
      </c>
      <c r="AD616" t="s">
        <v>42</v>
      </c>
      <c r="AE616" t="s">
        <v>25</v>
      </c>
      <c r="AF6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616" t="s">
        <v>941</v>
      </c>
      <c r="AH616">
        <v>81.5</v>
      </c>
      <c r="AI616" t="s">
        <v>27</v>
      </c>
      <c r="AJ616">
        <v>4</v>
      </c>
      <c r="AK6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MIN(AJ616/8, 1) +
  Merge1[[#This Row],[index_defensive_effort]],
  2
)</f>
        <v>0.9</v>
      </c>
    </row>
    <row r="617" spans="1:37" x14ac:dyDescent="0.25">
      <c r="A617" t="s">
        <v>918</v>
      </c>
      <c r="B617" t="s">
        <v>919</v>
      </c>
      <c r="C617">
        <v>22</v>
      </c>
      <c r="D617" t="s">
        <v>56</v>
      </c>
      <c r="E617">
        <v>73</v>
      </c>
      <c r="F617">
        <v>204</v>
      </c>
      <c r="G617" t="s">
        <v>180</v>
      </c>
      <c r="H617">
        <v>2020</v>
      </c>
      <c r="I617" t="s">
        <v>33</v>
      </c>
      <c r="J617">
        <v>6</v>
      </c>
      <c r="K617">
        <v>4</v>
      </c>
      <c r="L617">
        <v>2</v>
      </c>
      <c r="M617">
        <v>0</v>
      </c>
      <c r="N617">
        <v>2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 s="5">
        <f>IF(Merge1[[#This Row],[team_defense_snaps]]=0, "", Merge1[[#This Row],[defense_snaps]] / Merge1[[#This Row],[team_defense_snaps]])</f>
        <v>0</v>
      </c>
      <c r="V617">
        <v>77</v>
      </c>
      <c r="W617">
        <v>0</v>
      </c>
      <c r="X617" s="5">
        <v>0</v>
      </c>
      <c r="Y617">
        <v>0</v>
      </c>
      <c r="Z617">
        <v>0</v>
      </c>
      <c r="AA617" t="s">
        <v>25</v>
      </c>
      <c r="AB617" t="s">
        <v>26</v>
      </c>
      <c r="AC617" t="s">
        <v>27</v>
      </c>
      <c r="AD617" t="s">
        <v>42</v>
      </c>
      <c r="AE617" t="s">
        <v>25</v>
      </c>
      <c r="AF6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617" t="s">
        <v>941</v>
      </c>
      <c r="AH617">
        <v>78.5</v>
      </c>
      <c r="AI617" t="s">
        <v>27</v>
      </c>
      <c r="AJ617">
        <v>1</v>
      </c>
      <c r="AK6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MIN(AJ617/8, 1) +
  Merge1[[#This Row],[index_defensive_effort]],
  2
)</f>
        <v>0.53</v>
      </c>
    </row>
    <row r="618" spans="1:37" x14ac:dyDescent="0.25">
      <c r="A618" t="s">
        <v>918</v>
      </c>
      <c r="B618" t="s">
        <v>919</v>
      </c>
      <c r="C618">
        <v>22</v>
      </c>
      <c r="D618" t="s">
        <v>56</v>
      </c>
      <c r="E618">
        <v>73</v>
      </c>
      <c r="F618">
        <v>204</v>
      </c>
      <c r="G618" t="s">
        <v>180</v>
      </c>
      <c r="H618">
        <v>2020</v>
      </c>
      <c r="I618" t="s">
        <v>33</v>
      </c>
      <c r="J618">
        <v>7</v>
      </c>
      <c r="K618">
        <v>5</v>
      </c>
      <c r="L618">
        <v>3</v>
      </c>
      <c r="M618">
        <v>0</v>
      </c>
      <c r="N618">
        <v>3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 s="5">
        <f>IF(Merge1[[#This Row],[team_defense_snaps]]=0, "", Merge1[[#This Row],[defense_snaps]] / Merge1[[#This Row],[team_defense_snaps]])</f>
        <v>0</v>
      </c>
      <c r="V618">
        <v>100</v>
      </c>
      <c r="W618">
        <v>0</v>
      </c>
      <c r="X618" s="5">
        <v>0</v>
      </c>
      <c r="Y618">
        <v>0</v>
      </c>
      <c r="Z618">
        <v>0</v>
      </c>
      <c r="AA618" t="s">
        <v>25</v>
      </c>
      <c r="AB618" t="s">
        <v>26</v>
      </c>
      <c r="AC618" t="s">
        <v>27</v>
      </c>
      <c r="AD618" t="s">
        <v>42</v>
      </c>
      <c r="AE618" t="s">
        <v>25</v>
      </c>
      <c r="AF6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618" t="s">
        <v>941</v>
      </c>
      <c r="AH618">
        <v>77</v>
      </c>
      <c r="AI618" t="s">
        <v>27</v>
      </c>
      <c r="AJ618">
        <v>2</v>
      </c>
      <c r="AK6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MIN(AJ618/8, 1) +
  Merge1[[#This Row],[index_defensive_effort]],
  2
)</f>
        <v>0.65</v>
      </c>
    </row>
    <row r="619" spans="1:37" x14ac:dyDescent="0.25">
      <c r="A619" t="s">
        <v>918</v>
      </c>
      <c r="B619" t="s">
        <v>919</v>
      </c>
      <c r="C619">
        <v>22</v>
      </c>
      <c r="D619" t="s">
        <v>56</v>
      </c>
      <c r="E619">
        <v>73</v>
      </c>
      <c r="F619">
        <v>204</v>
      </c>
      <c r="G619" t="s">
        <v>180</v>
      </c>
      <c r="H619">
        <v>2020</v>
      </c>
      <c r="I619" t="s">
        <v>33</v>
      </c>
      <c r="J619">
        <v>9</v>
      </c>
      <c r="K619">
        <v>3</v>
      </c>
      <c r="L619">
        <v>1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 s="5">
        <f>IF(Merge1[[#This Row],[team_defense_snaps]]=0, "", Merge1[[#This Row],[defense_snaps]] / Merge1[[#This Row],[team_defense_snaps]])</f>
        <v>0</v>
      </c>
      <c r="V619">
        <v>65</v>
      </c>
      <c r="W619">
        <v>0</v>
      </c>
      <c r="X619" s="5">
        <v>0</v>
      </c>
      <c r="Y619">
        <v>0</v>
      </c>
      <c r="Z619">
        <v>0</v>
      </c>
      <c r="AA619" t="s">
        <v>25</v>
      </c>
      <c r="AB619" t="s">
        <v>26</v>
      </c>
      <c r="AC619" t="s">
        <v>27</v>
      </c>
      <c r="AD619" t="s">
        <v>42</v>
      </c>
      <c r="AE619" t="s">
        <v>25</v>
      </c>
      <c r="AF6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619" t="s">
        <v>941</v>
      </c>
      <c r="AH619">
        <v>74</v>
      </c>
      <c r="AI619" t="s">
        <v>27</v>
      </c>
      <c r="AJ619">
        <v>1</v>
      </c>
      <c r="AK6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MIN(AJ619/8, 1) +
  Merge1[[#This Row],[index_defensive_effort]],
  2
)</f>
        <v>0.53</v>
      </c>
    </row>
    <row r="620" spans="1:37" x14ac:dyDescent="0.25">
      <c r="A620" t="s">
        <v>918</v>
      </c>
      <c r="B620" t="s">
        <v>919</v>
      </c>
      <c r="C620">
        <v>22</v>
      </c>
      <c r="D620" t="s">
        <v>56</v>
      </c>
      <c r="E620">
        <v>73</v>
      </c>
      <c r="F620">
        <v>204</v>
      </c>
      <c r="G620" t="s">
        <v>180</v>
      </c>
      <c r="H620">
        <v>2020</v>
      </c>
      <c r="I620" t="s">
        <v>33</v>
      </c>
      <c r="J620">
        <v>10</v>
      </c>
      <c r="K620">
        <v>3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</v>
      </c>
      <c r="S620">
        <v>0</v>
      </c>
      <c r="T620">
        <v>0</v>
      </c>
      <c r="U620" s="5">
        <f>IF(Merge1[[#This Row],[team_defense_snaps]]=0, "", Merge1[[#This Row],[defense_snaps]] / Merge1[[#This Row],[team_defense_snaps]])</f>
        <v>0</v>
      </c>
      <c r="V620">
        <v>67</v>
      </c>
      <c r="W620">
        <v>0</v>
      </c>
      <c r="X620" s="5">
        <v>0</v>
      </c>
      <c r="Y620">
        <v>0</v>
      </c>
      <c r="Z620">
        <v>0</v>
      </c>
      <c r="AA620" t="s">
        <v>25</v>
      </c>
      <c r="AB620" t="s">
        <v>26</v>
      </c>
      <c r="AC620" t="s">
        <v>27</v>
      </c>
      <c r="AD620" t="s">
        <v>42</v>
      </c>
      <c r="AE620" t="s">
        <v>25</v>
      </c>
      <c r="AF6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620" t="s">
        <v>941</v>
      </c>
      <c r="AH620">
        <v>72.5</v>
      </c>
      <c r="AI620" t="s">
        <v>939</v>
      </c>
      <c r="AJ620">
        <v>1</v>
      </c>
      <c r="AK6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MIN(AJ620/8, 1) +
  Merge1[[#This Row],[index_defensive_effort]],
  2
)</f>
        <v>0.53</v>
      </c>
    </row>
    <row r="621" spans="1:37" x14ac:dyDescent="0.25">
      <c r="A621" t="s">
        <v>262</v>
      </c>
      <c r="B621" t="s">
        <v>263</v>
      </c>
      <c r="C621">
        <v>27</v>
      </c>
      <c r="D621" t="s">
        <v>22</v>
      </c>
      <c r="E621">
        <v>72</v>
      </c>
      <c r="F621">
        <v>205</v>
      </c>
      <c r="G621" t="s">
        <v>203</v>
      </c>
      <c r="H621">
        <v>2020</v>
      </c>
      <c r="I621" t="s">
        <v>33</v>
      </c>
      <c r="J621">
        <v>6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25</v>
      </c>
      <c r="T621">
        <v>1</v>
      </c>
      <c r="U621" s="5">
        <f>IF(Merge1[[#This Row],[team_defense_snaps]]=0, "", Merge1[[#This Row],[defense_snaps]] / Merge1[[#This Row],[team_defense_snaps]])</f>
        <v>0.01</v>
      </c>
      <c r="V621">
        <v>100</v>
      </c>
      <c r="W621">
        <v>24</v>
      </c>
      <c r="X621" s="5" t="s">
        <v>90</v>
      </c>
      <c r="Y621">
        <v>4</v>
      </c>
      <c r="Z621">
        <v>0</v>
      </c>
      <c r="AA621" t="s">
        <v>25</v>
      </c>
      <c r="AB621" t="s">
        <v>26</v>
      </c>
      <c r="AC621" t="s">
        <v>27</v>
      </c>
      <c r="AD621" t="s">
        <v>28</v>
      </c>
      <c r="AE621" t="s">
        <v>25</v>
      </c>
      <c r="AF6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0.04</v>
      </c>
      <c r="AG621" t="s">
        <v>941</v>
      </c>
      <c r="AH621">
        <v>80.5</v>
      </c>
      <c r="AI621" t="s">
        <v>939</v>
      </c>
      <c r="AJ621">
        <v>1</v>
      </c>
      <c r="AK6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MIN(AJ621/8, 1) +
  Merge1[[#This Row],[index_defensive_effort]],
  2
)</f>
        <v>0.77</v>
      </c>
    </row>
    <row r="622" spans="1:37" x14ac:dyDescent="0.25">
      <c r="A622" t="s">
        <v>284</v>
      </c>
      <c r="B622" t="s">
        <v>285</v>
      </c>
      <c r="C622">
        <v>25</v>
      </c>
      <c r="D622" t="s">
        <v>56</v>
      </c>
      <c r="E622">
        <v>71</v>
      </c>
      <c r="F622">
        <v>200</v>
      </c>
      <c r="G622" t="s">
        <v>286</v>
      </c>
      <c r="H622">
        <v>2020</v>
      </c>
      <c r="I622" t="s">
        <v>33</v>
      </c>
      <c r="J622">
        <v>12</v>
      </c>
      <c r="K622">
        <v>0</v>
      </c>
      <c r="L622">
        <v>1</v>
      </c>
      <c r="M622">
        <v>1</v>
      </c>
      <c r="N622">
        <v>2</v>
      </c>
      <c r="O622">
        <v>0</v>
      </c>
      <c r="P622">
        <v>0</v>
      </c>
      <c r="Q622">
        <v>0</v>
      </c>
      <c r="R622">
        <v>0</v>
      </c>
      <c r="S622">
        <v>16</v>
      </c>
      <c r="T622">
        <v>0</v>
      </c>
      <c r="U622" s="5">
        <f>IF(Merge1[[#This Row],[team_defense_snaps]]=0, "", Merge1[[#This Row],[defense_snaps]] / Merge1[[#This Row],[team_defense_snaps]])</f>
        <v>0</v>
      </c>
      <c r="V622">
        <v>59</v>
      </c>
      <c r="W622">
        <v>16</v>
      </c>
      <c r="X622" s="5" t="s">
        <v>182</v>
      </c>
      <c r="Y622">
        <v>3</v>
      </c>
      <c r="Z622">
        <v>0</v>
      </c>
      <c r="AA622" t="s">
        <v>25</v>
      </c>
      <c r="AB622" t="s">
        <v>26</v>
      </c>
      <c r="AC622" t="s">
        <v>27</v>
      </c>
      <c r="AD622" t="s">
        <v>28</v>
      </c>
      <c r="AE622" t="s">
        <v>25</v>
      </c>
      <c r="AF6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622" t="s">
        <v>941</v>
      </c>
      <c r="AH622">
        <v>57.5</v>
      </c>
      <c r="AI622" t="s">
        <v>939</v>
      </c>
      <c r="AJ622">
        <v>1</v>
      </c>
      <c r="AK6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MIN(AJ622/8, 1) +
  Merge1[[#This Row],[index_defensive_effort]],
  2
)</f>
        <v>0.69</v>
      </c>
    </row>
    <row r="623" spans="1:37" x14ac:dyDescent="0.25">
      <c r="A623" t="s">
        <v>284</v>
      </c>
      <c r="B623" t="s">
        <v>285</v>
      </c>
      <c r="C623">
        <v>25</v>
      </c>
      <c r="D623" t="s">
        <v>56</v>
      </c>
      <c r="E623">
        <v>71</v>
      </c>
      <c r="F623">
        <v>200</v>
      </c>
      <c r="G623" t="s">
        <v>286</v>
      </c>
      <c r="H623">
        <v>2020</v>
      </c>
      <c r="I623" t="s">
        <v>33</v>
      </c>
      <c r="J623">
        <v>12</v>
      </c>
      <c r="K623">
        <v>0</v>
      </c>
      <c r="L623">
        <v>1</v>
      </c>
      <c r="M623">
        <v>1</v>
      </c>
      <c r="N623">
        <v>2</v>
      </c>
      <c r="O623">
        <v>0</v>
      </c>
      <c r="P623">
        <v>0</v>
      </c>
      <c r="Q623">
        <v>0</v>
      </c>
      <c r="R623">
        <v>0</v>
      </c>
      <c r="S623">
        <v>16</v>
      </c>
      <c r="T623">
        <v>0</v>
      </c>
      <c r="U623" s="5">
        <f>IF(Merge1[[#This Row],[team_defense_snaps]]=0, "", Merge1[[#This Row],[defense_snaps]] / Merge1[[#This Row],[team_defense_snaps]])</f>
        <v>0</v>
      </c>
      <c r="V623">
        <v>59</v>
      </c>
      <c r="W623">
        <v>16</v>
      </c>
      <c r="X623" s="5" t="s">
        <v>182</v>
      </c>
      <c r="Y623">
        <v>3</v>
      </c>
      <c r="Z623">
        <v>0</v>
      </c>
      <c r="AA623" t="s">
        <v>25</v>
      </c>
      <c r="AB623" t="s">
        <v>26</v>
      </c>
      <c r="AC623" t="s">
        <v>27</v>
      </c>
      <c r="AD623" t="s">
        <v>28</v>
      </c>
      <c r="AE623" t="s">
        <v>25</v>
      </c>
      <c r="AF6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623" t="s">
        <v>941</v>
      </c>
      <c r="AH623">
        <v>57.5</v>
      </c>
      <c r="AI623" t="s">
        <v>939</v>
      </c>
      <c r="AJ623">
        <v>1</v>
      </c>
      <c r="AK6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MIN(AJ623/8, 1) +
  Merge1[[#This Row],[index_defensive_effort]],
  2
)</f>
        <v>0.69</v>
      </c>
    </row>
    <row r="624" spans="1:37" x14ac:dyDescent="0.25">
      <c r="A624" t="s">
        <v>294</v>
      </c>
      <c r="B624" t="s">
        <v>295</v>
      </c>
      <c r="C624">
        <v>27</v>
      </c>
      <c r="D624" t="s">
        <v>56</v>
      </c>
      <c r="E624">
        <v>73</v>
      </c>
      <c r="F624">
        <v>200</v>
      </c>
      <c r="G624" t="s">
        <v>117</v>
      </c>
      <c r="H624">
        <v>2020</v>
      </c>
      <c r="I624" t="s">
        <v>33</v>
      </c>
      <c r="J624">
        <v>17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41</v>
      </c>
      <c r="T624">
        <v>22</v>
      </c>
      <c r="U624" s="5">
        <f>IF(Merge1[[#This Row],[team_defense_snaps]]=0, "", Merge1[[#This Row],[defense_snaps]] / Merge1[[#This Row],[team_defense_snaps]])</f>
        <v>0.37931034482758619</v>
      </c>
      <c r="V624">
        <v>58</v>
      </c>
      <c r="W624">
        <v>19</v>
      </c>
      <c r="X624" s="5" t="s">
        <v>215</v>
      </c>
      <c r="Y624">
        <v>3</v>
      </c>
      <c r="Z624">
        <v>0</v>
      </c>
      <c r="AA624" t="s">
        <v>25</v>
      </c>
      <c r="AB624" t="s">
        <v>26</v>
      </c>
      <c r="AC624" t="s">
        <v>27</v>
      </c>
      <c r="AD624" t="s">
        <v>42</v>
      </c>
      <c r="AE624" t="s">
        <v>25</v>
      </c>
      <c r="AF6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2.4390243902439025E-2</v>
      </c>
      <c r="AG624" t="s">
        <v>942</v>
      </c>
      <c r="AH624">
        <v>46</v>
      </c>
      <c r="AI624" t="s">
        <v>27</v>
      </c>
      <c r="AJ624">
        <v>1</v>
      </c>
      <c r="AK6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MIN(AJ624/8, 1) +
  Merge1[[#This Row],[index_defensive_effort]],
  2
)</f>
        <v>0.65</v>
      </c>
    </row>
    <row r="625" spans="1:37" x14ac:dyDescent="0.25">
      <c r="A625" t="s">
        <v>916</v>
      </c>
      <c r="B625" t="s">
        <v>917</v>
      </c>
      <c r="C625">
        <v>24</v>
      </c>
      <c r="D625" t="s">
        <v>56</v>
      </c>
      <c r="E625">
        <v>71</v>
      </c>
      <c r="F625">
        <v>196</v>
      </c>
      <c r="G625" t="s">
        <v>94</v>
      </c>
      <c r="H625">
        <v>2020</v>
      </c>
      <c r="I625" t="s">
        <v>33</v>
      </c>
      <c r="J625">
        <v>1</v>
      </c>
      <c r="K625">
        <v>7</v>
      </c>
      <c r="L625">
        <v>2</v>
      </c>
      <c r="M625">
        <v>1</v>
      </c>
      <c r="N625">
        <v>3</v>
      </c>
      <c r="O625">
        <v>0</v>
      </c>
      <c r="P625">
        <v>1</v>
      </c>
      <c r="Q625">
        <v>0</v>
      </c>
      <c r="R625">
        <v>0</v>
      </c>
      <c r="S625">
        <v>59</v>
      </c>
      <c r="T625">
        <v>59</v>
      </c>
      <c r="U625" s="5">
        <f>IF(Merge1[[#This Row],[team_defense_snaps]]=0, "", Merge1[[#This Row],[defense_snaps]] / Merge1[[#This Row],[team_defense_snaps]])</f>
        <v>0.921875</v>
      </c>
      <c r="V625">
        <v>64</v>
      </c>
      <c r="W625">
        <v>0</v>
      </c>
      <c r="X625" s="5">
        <v>0</v>
      </c>
      <c r="Y625">
        <v>1</v>
      </c>
      <c r="Z625">
        <v>0</v>
      </c>
      <c r="AA625" t="s">
        <v>25</v>
      </c>
      <c r="AB625" t="s">
        <v>26</v>
      </c>
      <c r="AC625" t="s">
        <v>27</v>
      </c>
      <c r="AD625" t="s">
        <v>42</v>
      </c>
      <c r="AE625" t="s">
        <v>25</v>
      </c>
      <c r="AF6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0.17796610169491525</v>
      </c>
      <c r="AG625" t="s">
        <v>942</v>
      </c>
      <c r="AH625">
        <v>72</v>
      </c>
      <c r="AI625" t="s">
        <v>939</v>
      </c>
      <c r="AJ625">
        <v>1</v>
      </c>
      <c r="AK6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MIN(AJ625/8, 1) +
  Merge1[[#This Row],[index_defensive_effort]],
  2
)</f>
        <v>0.8</v>
      </c>
    </row>
    <row r="626" spans="1:37" x14ac:dyDescent="0.25">
      <c r="A626" t="s">
        <v>916</v>
      </c>
      <c r="B626" t="s">
        <v>917</v>
      </c>
      <c r="C626">
        <v>24</v>
      </c>
      <c r="D626" t="s">
        <v>56</v>
      </c>
      <c r="E626">
        <v>71</v>
      </c>
      <c r="F626">
        <v>196</v>
      </c>
      <c r="G626" t="s">
        <v>94</v>
      </c>
      <c r="H626">
        <v>2020</v>
      </c>
      <c r="I626" t="s">
        <v>33</v>
      </c>
      <c r="J626">
        <v>2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29</v>
      </c>
      <c r="T626">
        <v>29</v>
      </c>
      <c r="U626" s="5">
        <f>IF(Merge1[[#This Row],[team_defense_snaps]]=0, "", Merge1[[#This Row],[defense_snaps]] / Merge1[[#This Row],[team_defense_snaps]])</f>
        <v>0.43939393939393939</v>
      </c>
      <c r="V626">
        <v>66</v>
      </c>
      <c r="W626">
        <v>0</v>
      </c>
      <c r="X626" s="5">
        <v>0</v>
      </c>
      <c r="Y626">
        <v>1</v>
      </c>
      <c r="Z626">
        <v>0</v>
      </c>
      <c r="AA626" t="s">
        <v>25</v>
      </c>
      <c r="AB626" t="s">
        <v>26</v>
      </c>
      <c r="AC626" t="s">
        <v>27</v>
      </c>
      <c r="AD626" t="s">
        <v>42</v>
      </c>
      <c r="AE626" t="s">
        <v>25</v>
      </c>
      <c r="AF6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3.4482758620689655E-2</v>
      </c>
      <c r="AG626" t="s">
        <v>942</v>
      </c>
      <c r="AH626">
        <v>70.5</v>
      </c>
      <c r="AI626" t="s">
        <v>939</v>
      </c>
      <c r="AJ626">
        <v>1</v>
      </c>
      <c r="AK6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MIN(AJ626/8, 1) +
  Merge1[[#This Row],[index_defensive_effort]],
  2
)</f>
        <v>0.66</v>
      </c>
    </row>
    <row r="627" spans="1:37" x14ac:dyDescent="0.25">
      <c r="A627" t="s">
        <v>257</v>
      </c>
      <c r="B627" t="s">
        <v>258</v>
      </c>
      <c r="C627">
        <v>26</v>
      </c>
      <c r="D627" t="s">
        <v>56</v>
      </c>
      <c r="E627">
        <v>70</v>
      </c>
      <c r="F627">
        <v>185</v>
      </c>
      <c r="G627" t="s">
        <v>259</v>
      </c>
      <c r="H627">
        <v>2020</v>
      </c>
      <c r="I627" t="s">
        <v>33</v>
      </c>
      <c r="J627">
        <v>1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24</v>
      </c>
      <c r="T627">
        <v>6</v>
      </c>
      <c r="U627" s="5">
        <f>IF(Merge1[[#This Row],[team_defense_snaps]]=0, "", Merge1[[#This Row],[defense_snaps]] / Merge1[[#This Row],[team_defense_snaps]])</f>
        <v>9.5238095238095233E-2</v>
      </c>
      <c r="V627">
        <v>63</v>
      </c>
      <c r="W627">
        <v>18</v>
      </c>
      <c r="X627" s="5" t="s">
        <v>256</v>
      </c>
      <c r="Y627">
        <v>3</v>
      </c>
      <c r="Z627">
        <v>0</v>
      </c>
      <c r="AA627" t="s">
        <v>25</v>
      </c>
      <c r="AB627" t="s">
        <v>26</v>
      </c>
      <c r="AC627" t="s">
        <v>27</v>
      </c>
      <c r="AD627" t="s">
        <v>28</v>
      </c>
      <c r="AE627" t="s">
        <v>25</v>
      </c>
      <c r="AF6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627" t="s">
        <v>942</v>
      </c>
      <c r="AH627">
        <v>66</v>
      </c>
      <c r="AI627" t="s">
        <v>939</v>
      </c>
      <c r="AJ627">
        <v>2</v>
      </c>
      <c r="AK6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MIN(AJ627/8, 1) +
  Merge1[[#This Row],[index_defensive_effort]],
  2
)</f>
        <v>0.79</v>
      </c>
    </row>
    <row r="628" spans="1:37" x14ac:dyDescent="0.25">
      <c r="A628" t="s">
        <v>257</v>
      </c>
      <c r="B628" t="s">
        <v>258</v>
      </c>
      <c r="C628">
        <v>26</v>
      </c>
      <c r="D628" t="s">
        <v>56</v>
      </c>
      <c r="E628">
        <v>70</v>
      </c>
      <c r="F628">
        <v>185</v>
      </c>
      <c r="G628" t="s">
        <v>259</v>
      </c>
      <c r="H628">
        <v>2020</v>
      </c>
      <c r="I628" t="s">
        <v>33</v>
      </c>
      <c r="J628">
        <v>2</v>
      </c>
      <c r="K628">
        <v>1</v>
      </c>
      <c r="L628">
        <v>2</v>
      </c>
      <c r="M628">
        <v>0</v>
      </c>
      <c r="N628">
        <v>2</v>
      </c>
      <c r="O628">
        <v>0</v>
      </c>
      <c r="P628">
        <v>0</v>
      </c>
      <c r="Q628">
        <v>0</v>
      </c>
      <c r="R628">
        <v>0</v>
      </c>
      <c r="S628">
        <v>30</v>
      </c>
      <c r="T628">
        <v>17</v>
      </c>
      <c r="U628" s="5">
        <f>IF(Merge1[[#This Row],[team_defense_snaps]]=0, "", Merge1[[#This Row],[defense_snaps]] / Merge1[[#This Row],[team_defense_snaps]])</f>
        <v>0.27868852459016391</v>
      </c>
      <c r="V628">
        <v>61</v>
      </c>
      <c r="W628">
        <v>13</v>
      </c>
      <c r="X628" s="5" t="s">
        <v>52</v>
      </c>
      <c r="Y628">
        <v>3</v>
      </c>
      <c r="Z628">
        <v>0</v>
      </c>
      <c r="AA628" t="s">
        <v>25</v>
      </c>
      <c r="AB628" t="s">
        <v>26</v>
      </c>
      <c r="AC628" t="s">
        <v>27</v>
      </c>
      <c r="AD628" t="s">
        <v>28</v>
      </c>
      <c r="AE628" t="s">
        <v>25</v>
      </c>
      <c r="AF6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628" t="s">
        <v>942</v>
      </c>
      <c r="AH628">
        <v>69</v>
      </c>
      <c r="AI628" t="s">
        <v>939</v>
      </c>
      <c r="AJ628">
        <v>3</v>
      </c>
      <c r="AK6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MIN(AJ628/8, 1) +
  Merge1[[#This Row],[index_defensive_effort]],
  2
)</f>
        <v>0.94</v>
      </c>
    </row>
    <row r="629" spans="1:37" x14ac:dyDescent="0.25">
      <c r="A629" t="s">
        <v>257</v>
      </c>
      <c r="B629" t="s">
        <v>258</v>
      </c>
      <c r="C629">
        <v>26</v>
      </c>
      <c r="D629" t="s">
        <v>56</v>
      </c>
      <c r="E629">
        <v>70</v>
      </c>
      <c r="F629">
        <v>185</v>
      </c>
      <c r="G629" t="s">
        <v>259</v>
      </c>
      <c r="H629">
        <v>2020</v>
      </c>
      <c r="I629" t="s">
        <v>33</v>
      </c>
      <c r="J629">
        <v>3</v>
      </c>
      <c r="K629">
        <v>2</v>
      </c>
      <c r="L629">
        <v>2</v>
      </c>
      <c r="M629">
        <v>0</v>
      </c>
      <c r="N629">
        <v>2</v>
      </c>
      <c r="O629">
        <v>0</v>
      </c>
      <c r="P629">
        <v>0</v>
      </c>
      <c r="Q629">
        <v>0</v>
      </c>
      <c r="R629">
        <v>0</v>
      </c>
      <c r="S629">
        <v>52</v>
      </c>
      <c r="T629">
        <v>40</v>
      </c>
      <c r="U629" s="5">
        <f>IF(Merge1[[#This Row],[team_defense_snaps]]=0, "", Merge1[[#This Row],[defense_snaps]] / Merge1[[#This Row],[team_defense_snaps]])</f>
        <v>0.51282051282051277</v>
      </c>
      <c r="V629">
        <v>78</v>
      </c>
      <c r="W629">
        <v>12</v>
      </c>
      <c r="X629" s="5" t="s">
        <v>260</v>
      </c>
      <c r="Y629">
        <v>3</v>
      </c>
      <c r="Z629">
        <v>0</v>
      </c>
      <c r="AA629" t="s">
        <v>25</v>
      </c>
      <c r="AB629" t="s">
        <v>26</v>
      </c>
      <c r="AC629" t="s">
        <v>27</v>
      </c>
      <c r="AD629" t="s">
        <v>28</v>
      </c>
      <c r="AE629" t="s">
        <v>25</v>
      </c>
      <c r="AF6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5.7692307692307696E-2</v>
      </c>
      <c r="AG629" t="s">
        <v>942</v>
      </c>
      <c r="AH629">
        <v>61.5</v>
      </c>
      <c r="AI629" t="s">
        <v>939</v>
      </c>
      <c r="AJ629">
        <v>4</v>
      </c>
      <c r="AK6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MIN(AJ629/8, 1) +
  Merge1[[#This Row],[index_defensive_effort]],
  2
)</f>
        <v>1.06</v>
      </c>
    </row>
    <row r="630" spans="1:37" x14ac:dyDescent="0.25">
      <c r="A630" t="s">
        <v>257</v>
      </c>
      <c r="B630" t="s">
        <v>258</v>
      </c>
      <c r="C630">
        <v>26</v>
      </c>
      <c r="D630" t="s">
        <v>56</v>
      </c>
      <c r="E630">
        <v>70</v>
      </c>
      <c r="F630">
        <v>185</v>
      </c>
      <c r="G630" t="s">
        <v>259</v>
      </c>
      <c r="H630">
        <v>2020</v>
      </c>
      <c r="I630" t="s">
        <v>33</v>
      </c>
      <c r="J630">
        <v>4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39</v>
      </c>
      <c r="T630">
        <v>25</v>
      </c>
      <c r="U630" s="5">
        <f>IF(Merge1[[#This Row],[team_defense_snaps]]=0, "", Merge1[[#This Row],[defense_snaps]] / Merge1[[#This Row],[team_defense_snaps]])</f>
        <v>0.43859649122807015</v>
      </c>
      <c r="V630">
        <v>57</v>
      </c>
      <c r="W630">
        <v>14</v>
      </c>
      <c r="X630" s="5" t="s">
        <v>111</v>
      </c>
      <c r="Y630">
        <v>3</v>
      </c>
      <c r="Z630">
        <v>0</v>
      </c>
      <c r="AA630" t="s">
        <v>25</v>
      </c>
      <c r="AB630" t="s">
        <v>26</v>
      </c>
      <c r="AC630" t="s">
        <v>27</v>
      </c>
      <c r="AD630" t="s">
        <v>28</v>
      </c>
      <c r="AE630" t="s">
        <v>25</v>
      </c>
      <c r="AF6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2.564102564102564E-2</v>
      </c>
      <c r="AG630" t="s">
        <v>942</v>
      </c>
      <c r="AH630">
        <v>67.5</v>
      </c>
      <c r="AI630" t="s">
        <v>939</v>
      </c>
      <c r="AJ630">
        <v>5</v>
      </c>
      <c r="AK6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MIN(AJ630/8, 1) +
  Merge1[[#This Row],[index_defensive_effort]],
  2
)</f>
        <v>1.1499999999999999</v>
      </c>
    </row>
    <row r="631" spans="1:37" x14ac:dyDescent="0.25">
      <c r="A631" t="s">
        <v>257</v>
      </c>
      <c r="B631" t="s">
        <v>258</v>
      </c>
      <c r="C631">
        <v>26</v>
      </c>
      <c r="D631" t="s">
        <v>56</v>
      </c>
      <c r="E631">
        <v>70</v>
      </c>
      <c r="F631">
        <v>185</v>
      </c>
      <c r="G631" t="s">
        <v>259</v>
      </c>
      <c r="H631">
        <v>2020</v>
      </c>
      <c r="I631" t="s">
        <v>33</v>
      </c>
      <c r="J631">
        <v>5</v>
      </c>
      <c r="K631">
        <v>2</v>
      </c>
      <c r="L631">
        <v>0</v>
      </c>
      <c r="M631">
        <v>0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46</v>
      </c>
      <c r="T631">
        <v>30</v>
      </c>
      <c r="U631" s="5">
        <f>IF(Merge1[[#This Row],[team_defense_snaps]]=0, "", Merge1[[#This Row],[defense_snaps]] / Merge1[[#This Row],[team_defense_snaps]])</f>
        <v>0.46153846153846156</v>
      </c>
      <c r="V631">
        <v>65</v>
      </c>
      <c r="W631">
        <v>16</v>
      </c>
      <c r="X631" s="5" t="s">
        <v>256</v>
      </c>
      <c r="Y631">
        <v>3</v>
      </c>
      <c r="Z631">
        <v>0</v>
      </c>
      <c r="AA631" t="s">
        <v>25</v>
      </c>
      <c r="AB631" t="s">
        <v>26</v>
      </c>
      <c r="AC631" t="s">
        <v>27</v>
      </c>
      <c r="AD631" t="s">
        <v>28</v>
      </c>
      <c r="AE631" t="s">
        <v>25</v>
      </c>
      <c r="AF6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8.6956521739130432E-2</v>
      </c>
      <c r="AG631" t="s">
        <v>942</v>
      </c>
      <c r="AH631">
        <v>63</v>
      </c>
      <c r="AI631" t="s">
        <v>939</v>
      </c>
      <c r="AJ631">
        <v>6</v>
      </c>
      <c r="AK6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MIN(AJ631/8, 1) +
  Merge1[[#This Row],[index_defensive_effort]],
  2
)</f>
        <v>1.34</v>
      </c>
    </row>
    <row r="632" spans="1:37" x14ac:dyDescent="0.25">
      <c r="A632" t="s">
        <v>257</v>
      </c>
      <c r="B632" t="s">
        <v>258</v>
      </c>
      <c r="C632">
        <v>26</v>
      </c>
      <c r="D632" t="s">
        <v>56</v>
      </c>
      <c r="E632">
        <v>70</v>
      </c>
      <c r="F632">
        <v>185</v>
      </c>
      <c r="G632" t="s">
        <v>259</v>
      </c>
      <c r="H632">
        <v>2020</v>
      </c>
      <c r="I632" t="s">
        <v>33</v>
      </c>
      <c r="J632">
        <v>6</v>
      </c>
      <c r="K632">
        <v>3</v>
      </c>
      <c r="L632">
        <v>1</v>
      </c>
      <c r="M632">
        <v>1</v>
      </c>
      <c r="N632">
        <v>2</v>
      </c>
      <c r="O632">
        <v>0</v>
      </c>
      <c r="P632">
        <v>0</v>
      </c>
      <c r="Q632">
        <v>0</v>
      </c>
      <c r="R632">
        <v>0</v>
      </c>
      <c r="S632">
        <v>31</v>
      </c>
      <c r="T632">
        <v>28</v>
      </c>
      <c r="U632" s="5">
        <f>IF(Merge1[[#This Row],[team_defense_snaps]]=0, "", Merge1[[#This Row],[defense_snaps]] / Merge1[[#This Row],[team_defense_snaps]])</f>
        <v>0.41791044776119401</v>
      </c>
      <c r="V632">
        <v>67</v>
      </c>
      <c r="W632">
        <v>3</v>
      </c>
      <c r="X632" s="5" t="s">
        <v>251</v>
      </c>
      <c r="Y632">
        <v>3</v>
      </c>
      <c r="Z632">
        <v>0</v>
      </c>
      <c r="AA632" t="s">
        <v>25</v>
      </c>
      <c r="AB632" t="s">
        <v>26</v>
      </c>
      <c r="AC632" t="s">
        <v>27</v>
      </c>
      <c r="AD632" t="s">
        <v>28</v>
      </c>
      <c r="AE632" t="s">
        <v>25</v>
      </c>
      <c r="AF6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0.12903225806451613</v>
      </c>
      <c r="AG632" t="s">
        <v>942</v>
      </c>
      <c r="AH632">
        <v>75</v>
      </c>
      <c r="AI632" t="s">
        <v>939</v>
      </c>
      <c r="AJ632">
        <v>7</v>
      </c>
      <c r="AK6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MIN(AJ632/8, 1) +
  Merge1[[#This Row],[index_defensive_effort]],
  2
)</f>
        <v>1.5</v>
      </c>
    </row>
    <row r="633" spans="1:37" x14ac:dyDescent="0.25">
      <c r="A633" t="s">
        <v>257</v>
      </c>
      <c r="B633" t="s">
        <v>258</v>
      </c>
      <c r="C633">
        <v>26</v>
      </c>
      <c r="D633" t="s">
        <v>56</v>
      </c>
      <c r="E633">
        <v>70</v>
      </c>
      <c r="F633">
        <v>185</v>
      </c>
      <c r="G633" t="s">
        <v>259</v>
      </c>
      <c r="H633">
        <v>2020</v>
      </c>
      <c r="I633" t="s">
        <v>33</v>
      </c>
      <c r="J633">
        <v>7</v>
      </c>
      <c r="K633">
        <v>2</v>
      </c>
      <c r="L633">
        <v>1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33</v>
      </c>
      <c r="T633">
        <v>28</v>
      </c>
      <c r="U633" s="5">
        <f>IF(Merge1[[#This Row],[team_defense_snaps]]=0, "", Merge1[[#This Row],[defense_snaps]] / Merge1[[#This Row],[team_defense_snaps]])</f>
        <v>0.4</v>
      </c>
      <c r="V633">
        <v>70</v>
      </c>
      <c r="W633">
        <v>5</v>
      </c>
      <c r="X633" s="5" t="s">
        <v>132</v>
      </c>
      <c r="Y633">
        <v>3</v>
      </c>
      <c r="Z633">
        <v>0</v>
      </c>
      <c r="AA633" t="s">
        <v>25</v>
      </c>
      <c r="AB633" t="s">
        <v>26</v>
      </c>
      <c r="AC633" t="s">
        <v>27</v>
      </c>
      <c r="AD633" t="s">
        <v>28</v>
      </c>
      <c r="AE633" t="s">
        <v>25</v>
      </c>
      <c r="AF6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7.575757575757576E-2</v>
      </c>
      <c r="AG633" t="s">
        <v>942</v>
      </c>
      <c r="AH633">
        <v>72</v>
      </c>
      <c r="AI633" t="s">
        <v>939</v>
      </c>
      <c r="AJ633">
        <v>8</v>
      </c>
      <c r="AK6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MIN(AJ633/8, 1) +
  Merge1[[#This Row],[index_defensive_effort]],
  2
)</f>
        <v>1.58</v>
      </c>
    </row>
    <row r="634" spans="1:37" x14ac:dyDescent="0.25">
      <c r="A634" t="s">
        <v>257</v>
      </c>
      <c r="B634" t="s">
        <v>258</v>
      </c>
      <c r="C634">
        <v>26</v>
      </c>
      <c r="D634" t="s">
        <v>56</v>
      </c>
      <c r="E634">
        <v>70</v>
      </c>
      <c r="F634">
        <v>185</v>
      </c>
      <c r="G634" t="s">
        <v>259</v>
      </c>
      <c r="H634">
        <v>2020</v>
      </c>
      <c r="I634" t="s">
        <v>33</v>
      </c>
      <c r="J634">
        <v>8</v>
      </c>
      <c r="K634">
        <v>3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57</v>
      </c>
      <c r="T634">
        <v>53</v>
      </c>
      <c r="U634" s="5">
        <f>IF(Merge1[[#This Row],[team_defense_snaps]]=0, "", Merge1[[#This Row],[defense_snaps]] / Merge1[[#This Row],[team_defense_snaps]])</f>
        <v>0.74647887323943662</v>
      </c>
      <c r="V634">
        <v>71</v>
      </c>
      <c r="W634">
        <v>4</v>
      </c>
      <c r="X634" s="5" t="s">
        <v>124</v>
      </c>
      <c r="Y634">
        <v>3</v>
      </c>
      <c r="Z634">
        <v>0</v>
      </c>
      <c r="AA634" t="s">
        <v>25</v>
      </c>
      <c r="AB634" t="s">
        <v>26</v>
      </c>
      <c r="AC634" t="s">
        <v>27</v>
      </c>
      <c r="AD634" t="s">
        <v>28</v>
      </c>
      <c r="AE634" t="s">
        <v>25</v>
      </c>
      <c r="AF6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5.2631578947368418E-2</v>
      </c>
      <c r="AG634" t="s">
        <v>942</v>
      </c>
      <c r="AH634">
        <v>64.5</v>
      </c>
      <c r="AI634" t="s">
        <v>939</v>
      </c>
      <c r="AJ634">
        <v>9</v>
      </c>
      <c r="AK6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MIN(AJ634/8, 1) +
  Merge1[[#This Row],[index_defensive_effort]],
  2
)</f>
        <v>1.55</v>
      </c>
    </row>
    <row r="635" spans="1:37" x14ac:dyDescent="0.25">
      <c r="A635" t="s">
        <v>257</v>
      </c>
      <c r="B635" t="s">
        <v>258</v>
      </c>
      <c r="C635">
        <v>26</v>
      </c>
      <c r="D635" t="s">
        <v>56</v>
      </c>
      <c r="E635">
        <v>70</v>
      </c>
      <c r="F635">
        <v>185</v>
      </c>
      <c r="G635" t="s">
        <v>259</v>
      </c>
      <c r="H635">
        <v>2020</v>
      </c>
      <c r="I635" t="s">
        <v>33</v>
      </c>
      <c r="J635">
        <v>9</v>
      </c>
      <c r="K635">
        <v>3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</v>
      </c>
      <c r="S635">
        <v>52</v>
      </c>
      <c r="T635">
        <v>49</v>
      </c>
      <c r="U635" s="5">
        <f>IF(Merge1[[#This Row],[team_defense_snaps]]=0, "", Merge1[[#This Row],[defense_snaps]] / Merge1[[#This Row],[team_defense_snaps]])</f>
        <v>0.79032258064516125</v>
      </c>
      <c r="V635">
        <v>62</v>
      </c>
      <c r="W635">
        <v>3</v>
      </c>
      <c r="X635" s="5" t="s">
        <v>38</v>
      </c>
      <c r="Y635">
        <v>3</v>
      </c>
      <c r="Z635">
        <v>0</v>
      </c>
      <c r="AA635" t="s">
        <v>25</v>
      </c>
      <c r="AB635" t="s">
        <v>26</v>
      </c>
      <c r="AC635" t="s">
        <v>27</v>
      </c>
      <c r="AD635" t="s">
        <v>42</v>
      </c>
      <c r="AE635" t="s">
        <v>25</v>
      </c>
      <c r="AF6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0.13461538461538461</v>
      </c>
      <c r="AG635" t="s">
        <v>942</v>
      </c>
      <c r="AH635">
        <v>73.5</v>
      </c>
      <c r="AI635" t="s">
        <v>939</v>
      </c>
      <c r="AJ635">
        <v>10</v>
      </c>
      <c r="AK6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MIN(AJ635/8, 1) +
  Merge1[[#This Row],[index_defensive_effort]],
  2
)</f>
        <v>1.63</v>
      </c>
    </row>
    <row r="636" spans="1:37" x14ac:dyDescent="0.25">
      <c r="A636" t="s">
        <v>257</v>
      </c>
      <c r="B636" t="s">
        <v>258</v>
      </c>
      <c r="C636">
        <v>26</v>
      </c>
      <c r="D636" t="s">
        <v>56</v>
      </c>
      <c r="E636">
        <v>70</v>
      </c>
      <c r="F636">
        <v>185</v>
      </c>
      <c r="G636" t="s">
        <v>259</v>
      </c>
      <c r="H636">
        <v>2020</v>
      </c>
      <c r="I636" t="s">
        <v>33</v>
      </c>
      <c r="J636">
        <v>10</v>
      </c>
      <c r="K636">
        <v>5</v>
      </c>
      <c r="L636">
        <v>3</v>
      </c>
      <c r="M636">
        <v>0</v>
      </c>
      <c r="N636">
        <v>3</v>
      </c>
      <c r="O636">
        <v>0</v>
      </c>
      <c r="P636">
        <v>0</v>
      </c>
      <c r="Q636">
        <v>0</v>
      </c>
      <c r="R636">
        <v>0</v>
      </c>
      <c r="S636">
        <v>60</v>
      </c>
      <c r="T636">
        <v>58</v>
      </c>
      <c r="U636" s="5">
        <f>IF(Merge1[[#This Row],[team_defense_snaps]]=0, "", Merge1[[#This Row],[defense_snaps]] / Merge1[[#This Row],[team_defense_snaps]])</f>
        <v>0.72499999999999998</v>
      </c>
      <c r="V636">
        <v>80</v>
      </c>
      <c r="W636">
        <v>2</v>
      </c>
      <c r="X636" s="5" t="s">
        <v>114</v>
      </c>
      <c r="Y636">
        <v>3</v>
      </c>
      <c r="Z636">
        <v>0</v>
      </c>
      <c r="AA636" t="s">
        <v>25</v>
      </c>
      <c r="AB636" t="s">
        <v>26</v>
      </c>
      <c r="AC636" t="s">
        <v>27</v>
      </c>
      <c r="AD636" t="s">
        <v>28</v>
      </c>
      <c r="AE636" t="s">
        <v>25</v>
      </c>
      <c r="AF6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0.10833333333333334</v>
      </c>
      <c r="AG636" t="s">
        <v>942</v>
      </c>
      <c r="AH636">
        <v>60</v>
      </c>
      <c r="AI636" t="s">
        <v>939</v>
      </c>
      <c r="AJ636">
        <v>11</v>
      </c>
      <c r="AK6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MIN(AJ636/8, 1) +
  Merge1[[#This Row],[index_defensive_effort]],
  2
)</f>
        <v>1.61</v>
      </c>
    </row>
    <row r="637" spans="1:37" x14ac:dyDescent="0.25">
      <c r="A637" t="s">
        <v>257</v>
      </c>
      <c r="B637" t="s">
        <v>258</v>
      </c>
      <c r="C637">
        <v>26</v>
      </c>
      <c r="D637" t="s">
        <v>56</v>
      </c>
      <c r="E637">
        <v>70</v>
      </c>
      <c r="F637">
        <v>185</v>
      </c>
      <c r="G637" t="s">
        <v>259</v>
      </c>
      <c r="H637">
        <v>2020</v>
      </c>
      <c r="I637" t="s">
        <v>33</v>
      </c>
      <c r="J637">
        <v>11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26</v>
      </c>
      <c r="T637">
        <v>26</v>
      </c>
      <c r="U637" s="5">
        <f>IF(Merge1[[#This Row],[team_defense_snaps]]=0, "", Merge1[[#This Row],[defense_snaps]] / Merge1[[#This Row],[team_defense_snaps]])</f>
        <v>0.45614035087719296</v>
      </c>
      <c r="V637">
        <v>57</v>
      </c>
      <c r="W637">
        <v>0</v>
      </c>
      <c r="X637" s="5" t="s">
        <v>29</v>
      </c>
      <c r="Y637">
        <v>3</v>
      </c>
      <c r="Z637">
        <v>0</v>
      </c>
      <c r="AA637" t="s">
        <v>25</v>
      </c>
      <c r="AB637" t="s">
        <v>26</v>
      </c>
      <c r="AC637" t="s">
        <v>27</v>
      </c>
      <c r="AD637" t="s">
        <v>28</v>
      </c>
      <c r="AE637" t="s">
        <v>25</v>
      </c>
      <c r="AF6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637" t="s">
        <v>942</v>
      </c>
      <c r="AH637">
        <v>70.5</v>
      </c>
      <c r="AI637" t="s">
        <v>939</v>
      </c>
      <c r="AJ637">
        <v>12</v>
      </c>
      <c r="AK6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MIN(AJ637/8, 1) +
  Merge1[[#This Row],[index_defensive_effort]],
  2
)</f>
        <v>1.5</v>
      </c>
    </row>
    <row r="638" spans="1:37" x14ac:dyDescent="0.25">
      <c r="A638" t="s">
        <v>257</v>
      </c>
      <c r="B638" t="s">
        <v>258</v>
      </c>
      <c r="C638">
        <v>26</v>
      </c>
      <c r="D638" t="s">
        <v>56</v>
      </c>
      <c r="E638">
        <v>70</v>
      </c>
      <c r="F638">
        <v>185</v>
      </c>
      <c r="G638" t="s">
        <v>259</v>
      </c>
      <c r="H638">
        <v>2020</v>
      </c>
      <c r="I638" t="s">
        <v>33</v>
      </c>
      <c r="J638">
        <v>12</v>
      </c>
      <c r="K638">
        <v>5</v>
      </c>
      <c r="L638">
        <v>1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35</v>
      </c>
      <c r="T638">
        <v>32</v>
      </c>
      <c r="U638" s="5">
        <f>IF(Merge1[[#This Row],[team_defense_snaps]]=0, "", Merge1[[#This Row],[defense_snaps]] / Merge1[[#This Row],[team_defense_snaps]])</f>
        <v>0.43835616438356162</v>
      </c>
      <c r="V638">
        <v>73</v>
      </c>
      <c r="W638">
        <v>3</v>
      </c>
      <c r="X638" s="5" t="s">
        <v>38</v>
      </c>
      <c r="Y638">
        <v>3</v>
      </c>
      <c r="Z638">
        <v>0</v>
      </c>
      <c r="AA638" t="s">
        <v>25</v>
      </c>
      <c r="AB638" t="s">
        <v>26</v>
      </c>
      <c r="AC638" t="s">
        <v>27</v>
      </c>
      <c r="AD638" t="s">
        <v>28</v>
      </c>
      <c r="AE638" t="s">
        <v>25</v>
      </c>
      <c r="AF6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0.15714285714285714</v>
      </c>
      <c r="AG638" t="s">
        <v>942</v>
      </c>
      <c r="AH638">
        <v>58.5</v>
      </c>
      <c r="AI638" t="s">
        <v>938</v>
      </c>
      <c r="AJ638">
        <v>1</v>
      </c>
      <c r="AK6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MIN(AJ638/8, 1) +
  Merge1[[#This Row],[index_defensive_effort]],
  2
)</f>
        <v>0.78</v>
      </c>
    </row>
    <row r="639" spans="1:37" x14ac:dyDescent="0.25">
      <c r="A639" t="s">
        <v>277</v>
      </c>
      <c r="B639" t="s">
        <v>278</v>
      </c>
      <c r="C639">
        <v>24</v>
      </c>
      <c r="D639" t="s">
        <v>56</v>
      </c>
      <c r="E639">
        <v>70</v>
      </c>
      <c r="F639">
        <v>195</v>
      </c>
      <c r="G639" t="s">
        <v>150</v>
      </c>
      <c r="H639">
        <v>2020</v>
      </c>
      <c r="I639" t="s">
        <v>33</v>
      </c>
      <c r="J639">
        <v>5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31</v>
      </c>
      <c r="T639">
        <v>14</v>
      </c>
      <c r="U639" s="5">
        <f>IF(Merge1[[#This Row],[team_defense_snaps]]=0, "", Merge1[[#This Row],[defense_snaps]] / Merge1[[#This Row],[team_defense_snaps]])</f>
        <v>0.17948717948717949</v>
      </c>
      <c r="V639">
        <v>78</v>
      </c>
      <c r="W639">
        <v>17</v>
      </c>
      <c r="X639" s="5" t="s">
        <v>281</v>
      </c>
      <c r="Y639">
        <v>2</v>
      </c>
      <c r="Z639">
        <v>0</v>
      </c>
      <c r="AA639" t="s">
        <v>25</v>
      </c>
      <c r="AB639" t="s">
        <v>62</v>
      </c>
      <c r="AC639" t="s">
        <v>27</v>
      </c>
      <c r="AD639" t="s">
        <v>28</v>
      </c>
      <c r="AE639" t="s">
        <v>25</v>
      </c>
      <c r="AF6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3.2258064516129031E-2</v>
      </c>
      <c r="AG639" t="s">
        <v>943</v>
      </c>
      <c r="AH639">
        <v>67</v>
      </c>
      <c r="AI639" t="s">
        <v>939</v>
      </c>
      <c r="AJ639">
        <v>1</v>
      </c>
      <c r="AK6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MIN(AJ639/8, 1) +
  Merge1[[#This Row],[index_defensive_effort]],
  2
)</f>
        <v>0.66</v>
      </c>
    </row>
    <row r="640" spans="1:37" x14ac:dyDescent="0.25">
      <c r="A640" t="s">
        <v>282</v>
      </c>
      <c r="B640" t="s">
        <v>283</v>
      </c>
      <c r="C640">
        <v>26</v>
      </c>
      <c r="D640" t="s">
        <v>56</v>
      </c>
      <c r="E640">
        <v>70</v>
      </c>
      <c r="F640">
        <v>190</v>
      </c>
      <c r="G640" t="s">
        <v>150</v>
      </c>
      <c r="H640">
        <v>2020</v>
      </c>
      <c r="I640" t="s">
        <v>33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14</v>
      </c>
      <c r="T640">
        <v>10</v>
      </c>
      <c r="U640" s="5">
        <f>IF(Merge1[[#This Row],[team_defense_snaps]]=0, "", Merge1[[#This Row],[defense_snaps]] / Merge1[[#This Row],[team_defense_snaps]])</f>
        <v>0.13333333333333333</v>
      </c>
      <c r="V640">
        <v>75</v>
      </c>
      <c r="W640">
        <v>4</v>
      </c>
      <c r="X640" s="5" t="s">
        <v>251</v>
      </c>
      <c r="Y640">
        <v>4</v>
      </c>
      <c r="Z640">
        <v>0</v>
      </c>
      <c r="AA640" t="s">
        <v>25</v>
      </c>
      <c r="AB640" t="s">
        <v>26</v>
      </c>
      <c r="AC640" t="s">
        <v>27</v>
      </c>
      <c r="AD640" t="s">
        <v>42</v>
      </c>
      <c r="AE640" t="s">
        <v>25</v>
      </c>
      <c r="AF6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0.14285714285714285</v>
      </c>
      <c r="AG640" t="s">
        <v>943</v>
      </c>
      <c r="AH640">
        <v>58</v>
      </c>
      <c r="AI640" t="s">
        <v>939</v>
      </c>
      <c r="AJ640">
        <v>1</v>
      </c>
      <c r="AK6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MIN(AJ640/8, 1) +
  Merge1[[#This Row],[index_defensive_effort]],
  2
)</f>
        <v>0.87</v>
      </c>
    </row>
    <row r="641" spans="1:37" x14ac:dyDescent="0.25">
      <c r="A641" t="s">
        <v>282</v>
      </c>
      <c r="B641" t="s">
        <v>283</v>
      </c>
      <c r="C641">
        <v>26</v>
      </c>
      <c r="D641" t="s">
        <v>56</v>
      </c>
      <c r="E641">
        <v>70</v>
      </c>
      <c r="F641">
        <v>190</v>
      </c>
      <c r="G641" t="s">
        <v>150</v>
      </c>
      <c r="H641">
        <v>2020</v>
      </c>
      <c r="I641" t="s">
        <v>33</v>
      </c>
      <c r="J641">
        <v>3</v>
      </c>
      <c r="K641">
        <v>6</v>
      </c>
      <c r="L641">
        <v>2</v>
      </c>
      <c r="M641">
        <v>1</v>
      </c>
      <c r="N641">
        <v>3</v>
      </c>
      <c r="O641">
        <v>0</v>
      </c>
      <c r="P641">
        <v>2</v>
      </c>
      <c r="Q641">
        <v>0</v>
      </c>
      <c r="R641">
        <v>0</v>
      </c>
      <c r="S641">
        <v>60</v>
      </c>
      <c r="T641">
        <v>59</v>
      </c>
      <c r="U641" s="5">
        <f>IF(Merge1[[#This Row],[team_defense_snaps]]=0, "", Merge1[[#This Row],[defense_snaps]] / Merge1[[#This Row],[team_defense_snaps]])</f>
        <v>0.80821917808219179</v>
      </c>
      <c r="V641">
        <v>73</v>
      </c>
      <c r="W641">
        <v>1</v>
      </c>
      <c r="X641" s="5" t="s">
        <v>303</v>
      </c>
      <c r="Y641">
        <v>4</v>
      </c>
      <c r="Z641">
        <v>0</v>
      </c>
      <c r="AA641" t="s">
        <v>25</v>
      </c>
      <c r="AB641" t="s">
        <v>26</v>
      </c>
      <c r="AC641" t="s">
        <v>27</v>
      </c>
      <c r="AD641" t="s">
        <v>28</v>
      </c>
      <c r="AE641" t="s">
        <v>25</v>
      </c>
      <c r="AF6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0.19166666666666668</v>
      </c>
      <c r="AG641" t="s">
        <v>943</v>
      </c>
      <c r="AH641">
        <v>67</v>
      </c>
      <c r="AI641" t="s">
        <v>939</v>
      </c>
      <c r="AJ641">
        <v>2</v>
      </c>
      <c r="AK6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MIN(AJ641/8, 1) +
  Merge1[[#This Row],[index_defensive_effort]],
  2
)</f>
        <v>1.04</v>
      </c>
    </row>
    <row r="642" spans="1:37" x14ac:dyDescent="0.25">
      <c r="A642" t="s">
        <v>282</v>
      </c>
      <c r="B642" t="s">
        <v>283</v>
      </c>
      <c r="C642">
        <v>26</v>
      </c>
      <c r="D642" t="s">
        <v>56</v>
      </c>
      <c r="E642">
        <v>70</v>
      </c>
      <c r="F642">
        <v>190</v>
      </c>
      <c r="G642" t="s">
        <v>150</v>
      </c>
      <c r="H642">
        <v>2020</v>
      </c>
      <c r="I642" t="s">
        <v>33</v>
      </c>
      <c r="J642">
        <v>4</v>
      </c>
      <c r="K642">
        <v>6</v>
      </c>
      <c r="L642">
        <v>2</v>
      </c>
      <c r="M642">
        <v>0</v>
      </c>
      <c r="N642">
        <v>2</v>
      </c>
      <c r="O642">
        <v>3</v>
      </c>
      <c r="P642">
        <v>4</v>
      </c>
      <c r="Q642">
        <v>0</v>
      </c>
      <c r="R642">
        <v>4</v>
      </c>
      <c r="S642">
        <v>32</v>
      </c>
      <c r="T642">
        <v>31</v>
      </c>
      <c r="U642" s="5">
        <f>IF(Merge1[[#This Row],[team_defense_snaps]]=0, "", Merge1[[#This Row],[defense_snaps]] / Merge1[[#This Row],[team_defense_snaps]])</f>
        <v>0.41891891891891891</v>
      </c>
      <c r="V642">
        <v>74</v>
      </c>
      <c r="W642">
        <v>1</v>
      </c>
      <c r="X642" s="5" t="s">
        <v>193</v>
      </c>
      <c r="Y642">
        <v>4</v>
      </c>
      <c r="Z642">
        <v>0</v>
      </c>
      <c r="AA642" t="s">
        <v>25</v>
      </c>
      <c r="AB642" t="s">
        <v>26</v>
      </c>
      <c r="AC642" t="s">
        <v>27</v>
      </c>
      <c r="AD642" t="s">
        <v>28</v>
      </c>
      <c r="AE642" t="s">
        <v>25</v>
      </c>
      <c r="AF6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642" t="s">
        <v>943</v>
      </c>
      <c r="AH642">
        <v>70</v>
      </c>
      <c r="AI642" t="s">
        <v>939</v>
      </c>
      <c r="AJ642">
        <v>3</v>
      </c>
      <c r="AK6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MIN(AJ642/8, 1) +
  Merge1[[#This Row],[index_defensive_effort]],
  2
)</f>
        <v>1.98</v>
      </c>
    </row>
    <row r="643" spans="1:37" x14ac:dyDescent="0.25">
      <c r="A643" t="s">
        <v>282</v>
      </c>
      <c r="B643" t="s">
        <v>283</v>
      </c>
      <c r="C643">
        <v>26</v>
      </c>
      <c r="D643" t="s">
        <v>56</v>
      </c>
      <c r="E643">
        <v>70</v>
      </c>
      <c r="F643">
        <v>190</v>
      </c>
      <c r="G643" t="s">
        <v>150</v>
      </c>
      <c r="H643">
        <v>2020</v>
      </c>
      <c r="I643" t="s">
        <v>33</v>
      </c>
      <c r="J643">
        <v>5</v>
      </c>
      <c r="K643">
        <v>2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35</v>
      </c>
      <c r="T643">
        <v>30</v>
      </c>
      <c r="U643" s="5">
        <f>IF(Merge1[[#This Row],[team_defense_snaps]]=0, "", Merge1[[#This Row],[defense_snaps]] / Merge1[[#This Row],[team_defense_snaps]])</f>
        <v>0.38461538461538464</v>
      </c>
      <c r="V643">
        <v>78</v>
      </c>
      <c r="W643">
        <v>5</v>
      </c>
      <c r="X643" s="5" t="s">
        <v>59</v>
      </c>
      <c r="Y643">
        <v>4</v>
      </c>
      <c r="Z643">
        <v>0</v>
      </c>
      <c r="AA643" t="s">
        <v>25</v>
      </c>
      <c r="AB643" t="s">
        <v>26</v>
      </c>
      <c r="AC643" t="s">
        <v>27</v>
      </c>
      <c r="AD643" t="s">
        <v>28</v>
      </c>
      <c r="AE643" t="s">
        <v>25</v>
      </c>
      <c r="AF6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5.7142857142857141E-2</v>
      </c>
      <c r="AG643" t="s">
        <v>943</v>
      </c>
      <c r="AH643">
        <v>68.5</v>
      </c>
      <c r="AI643" t="s">
        <v>939</v>
      </c>
      <c r="AJ643">
        <v>4</v>
      </c>
      <c r="AK6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MIN(AJ643/8, 1) +
  Merge1[[#This Row],[index_defensive_effort]],
  2
)</f>
        <v>1.1599999999999999</v>
      </c>
    </row>
    <row r="644" spans="1:37" x14ac:dyDescent="0.25">
      <c r="A644" t="s">
        <v>282</v>
      </c>
      <c r="B644" t="s">
        <v>283</v>
      </c>
      <c r="C644">
        <v>26</v>
      </c>
      <c r="D644" t="s">
        <v>56</v>
      </c>
      <c r="E644">
        <v>70</v>
      </c>
      <c r="F644">
        <v>190</v>
      </c>
      <c r="G644" t="s">
        <v>150</v>
      </c>
      <c r="H644">
        <v>2020</v>
      </c>
      <c r="I644" t="s">
        <v>33</v>
      </c>
      <c r="J644">
        <v>6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28</v>
      </c>
      <c r="T644">
        <v>23</v>
      </c>
      <c r="U644" s="5">
        <f>IF(Merge1[[#This Row],[team_defense_snaps]]=0, "", Merge1[[#This Row],[defense_snaps]] / Merge1[[#This Row],[team_defense_snaps]])</f>
        <v>0.3108108108108108</v>
      </c>
      <c r="V644">
        <v>74</v>
      </c>
      <c r="W644">
        <v>5</v>
      </c>
      <c r="X644" s="5" t="s">
        <v>159</v>
      </c>
      <c r="Y644">
        <v>4</v>
      </c>
      <c r="Z644">
        <v>0</v>
      </c>
      <c r="AA644" t="s">
        <v>25</v>
      </c>
      <c r="AB644" t="s">
        <v>26</v>
      </c>
      <c r="AC644" t="s">
        <v>27</v>
      </c>
      <c r="AD644" t="s">
        <v>28</v>
      </c>
      <c r="AE644" t="s">
        <v>25</v>
      </c>
      <c r="AF6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3.5714285714285712E-2</v>
      </c>
      <c r="AG644" t="s">
        <v>943</v>
      </c>
      <c r="AH644">
        <v>65.5</v>
      </c>
      <c r="AI644" t="s">
        <v>939</v>
      </c>
      <c r="AJ644">
        <v>5</v>
      </c>
      <c r="AK6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MIN(AJ644/8, 1) +
  Merge1[[#This Row],[index_defensive_effort]],
  2
)</f>
        <v>1.26</v>
      </c>
    </row>
    <row r="645" spans="1:37" x14ac:dyDescent="0.25">
      <c r="A645" t="s">
        <v>282</v>
      </c>
      <c r="B645" t="s">
        <v>283</v>
      </c>
      <c r="C645">
        <v>26</v>
      </c>
      <c r="D645" t="s">
        <v>56</v>
      </c>
      <c r="E645">
        <v>70</v>
      </c>
      <c r="F645">
        <v>190</v>
      </c>
      <c r="G645" t="s">
        <v>150</v>
      </c>
      <c r="H645">
        <v>2020</v>
      </c>
      <c r="I645" t="s">
        <v>33</v>
      </c>
      <c r="J645">
        <v>7</v>
      </c>
      <c r="K645">
        <v>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37</v>
      </c>
      <c r="T645">
        <v>32</v>
      </c>
      <c r="U645" s="5">
        <f>IF(Merge1[[#This Row],[team_defense_snaps]]=0, "", Merge1[[#This Row],[defense_snaps]] / Merge1[[#This Row],[team_defense_snaps]])</f>
        <v>0.52459016393442626</v>
      </c>
      <c r="V645">
        <v>61</v>
      </c>
      <c r="W645">
        <v>5</v>
      </c>
      <c r="X645" s="5" t="s">
        <v>59</v>
      </c>
      <c r="Y645">
        <v>4</v>
      </c>
      <c r="Z645">
        <v>0</v>
      </c>
      <c r="AA645" t="s">
        <v>25</v>
      </c>
      <c r="AB645" t="s">
        <v>26</v>
      </c>
      <c r="AC645" t="s">
        <v>27</v>
      </c>
      <c r="AD645" t="s">
        <v>28</v>
      </c>
      <c r="AE645" t="s">
        <v>25</v>
      </c>
      <c r="AF6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5.4054054054054057E-2</v>
      </c>
      <c r="AG645" t="s">
        <v>943</v>
      </c>
      <c r="AH645">
        <v>64</v>
      </c>
      <c r="AI645" t="s">
        <v>939</v>
      </c>
      <c r="AJ645">
        <v>1</v>
      </c>
      <c r="AK6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MIN(AJ645/8, 1) +
  Merge1[[#This Row],[index_defensive_effort]],
  2
)</f>
        <v>0.78</v>
      </c>
    </row>
    <row r="646" spans="1:37" x14ac:dyDescent="0.25">
      <c r="A646" t="s">
        <v>282</v>
      </c>
      <c r="B646" t="s">
        <v>283</v>
      </c>
      <c r="C646">
        <v>26</v>
      </c>
      <c r="D646" t="s">
        <v>56</v>
      </c>
      <c r="E646">
        <v>70</v>
      </c>
      <c r="F646">
        <v>190</v>
      </c>
      <c r="G646" t="s">
        <v>150</v>
      </c>
      <c r="H646">
        <v>2020</v>
      </c>
      <c r="I646" t="s">
        <v>33</v>
      </c>
      <c r="J646">
        <v>10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16</v>
      </c>
      <c r="T646">
        <v>16</v>
      </c>
      <c r="U646" s="5">
        <f>IF(Merge1[[#This Row],[team_defense_snaps]]=0, "", Merge1[[#This Row],[defense_snaps]] / Merge1[[#This Row],[team_defense_snaps]])</f>
        <v>0.22535211267605634</v>
      </c>
      <c r="V646">
        <v>71</v>
      </c>
      <c r="W646">
        <v>0</v>
      </c>
      <c r="X646" s="5" t="s">
        <v>29</v>
      </c>
      <c r="Y646">
        <v>4</v>
      </c>
      <c r="Z646">
        <v>0</v>
      </c>
      <c r="AA646" t="s">
        <v>25</v>
      </c>
      <c r="AB646" t="s">
        <v>26</v>
      </c>
      <c r="AC646" t="s">
        <v>27</v>
      </c>
      <c r="AD646" t="s">
        <v>28</v>
      </c>
      <c r="AE646" t="s">
        <v>25</v>
      </c>
      <c r="AF6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646" t="s">
        <v>943</v>
      </c>
      <c r="AH646">
        <v>73</v>
      </c>
      <c r="AI646" t="s">
        <v>939</v>
      </c>
      <c r="AJ646">
        <v>2</v>
      </c>
      <c r="AK6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MIN(AJ646/8, 1) +
  Merge1[[#This Row],[index_defensive_effort]],
  2
)</f>
        <v>0.91</v>
      </c>
    </row>
    <row r="647" spans="1:37" x14ac:dyDescent="0.25">
      <c r="A647" t="s">
        <v>282</v>
      </c>
      <c r="B647" t="s">
        <v>283</v>
      </c>
      <c r="C647">
        <v>26</v>
      </c>
      <c r="D647" t="s">
        <v>56</v>
      </c>
      <c r="E647">
        <v>70</v>
      </c>
      <c r="F647">
        <v>190</v>
      </c>
      <c r="G647" t="s">
        <v>150</v>
      </c>
      <c r="H647">
        <v>2020</v>
      </c>
      <c r="I647" t="s">
        <v>33</v>
      </c>
      <c r="J647">
        <v>11</v>
      </c>
      <c r="K647">
        <v>3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16</v>
      </c>
      <c r="T647">
        <v>13</v>
      </c>
      <c r="U647" s="5">
        <f>IF(Merge1[[#This Row],[team_defense_snaps]]=0, "", Merge1[[#This Row],[defense_snaps]] / Merge1[[#This Row],[team_defense_snaps]])</f>
        <v>0.19117647058823528</v>
      </c>
      <c r="V647">
        <v>68</v>
      </c>
      <c r="W647">
        <v>3</v>
      </c>
      <c r="X647" s="5" t="s">
        <v>38</v>
      </c>
      <c r="Y647">
        <v>4</v>
      </c>
      <c r="Z647">
        <v>0</v>
      </c>
      <c r="AA647" t="s">
        <v>25</v>
      </c>
      <c r="AB647" t="s">
        <v>26</v>
      </c>
      <c r="AC647" t="s">
        <v>27</v>
      </c>
      <c r="AD647" t="s">
        <v>28</v>
      </c>
      <c r="AE647" t="s">
        <v>25</v>
      </c>
      <c r="AF6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0.1875</v>
      </c>
      <c r="AG647" t="s">
        <v>943</v>
      </c>
      <c r="AH647">
        <v>59.5</v>
      </c>
      <c r="AI647" t="s">
        <v>939</v>
      </c>
      <c r="AJ647">
        <v>1</v>
      </c>
      <c r="AK6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MIN(AJ647/8, 1) +
  Merge1[[#This Row],[index_defensive_effort]],
  2
)</f>
        <v>0.91</v>
      </c>
    </row>
    <row r="648" spans="1:37" x14ac:dyDescent="0.25">
      <c r="A648" t="s">
        <v>882</v>
      </c>
      <c r="B648" t="s">
        <v>883</v>
      </c>
      <c r="C648">
        <v>28</v>
      </c>
      <c r="D648" t="s">
        <v>22</v>
      </c>
      <c r="E648">
        <v>72</v>
      </c>
      <c r="F648">
        <v>190</v>
      </c>
      <c r="G648" t="s">
        <v>153</v>
      </c>
      <c r="H648">
        <v>2020</v>
      </c>
      <c r="I648" t="s">
        <v>33</v>
      </c>
      <c r="J648">
        <v>3</v>
      </c>
      <c r="K648">
        <v>1</v>
      </c>
      <c r="L648">
        <v>1</v>
      </c>
      <c r="M648">
        <v>0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12</v>
      </c>
      <c r="T648">
        <v>12</v>
      </c>
      <c r="U648" s="5">
        <f>IF(Merge1[[#This Row],[team_defense_snaps]]=0, "", Merge1[[#This Row],[defense_snaps]] / Merge1[[#This Row],[team_defense_snaps]])</f>
        <v>0.17910447761194029</v>
      </c>
      <c r="V648">
        <v>67</v>
      </c>
      <c r="W648">
        <v>0</v>
      </c>
      <c r="X648" s="5">
        <v>0</v>
      </c>
      <c r="Y648">
        <v>5</v>
      </c>
      <c r="Z648">
        <v>0</v>
      </c>
      <c r="AA648" t="s">
        <v>25</v>
      </c>
      <c r="AB648" t="s">
        <v>26</v>
      </c>
      <c r="AC648" t="s">
        <v>27</v>
      </c>
      <c r="AD648" t="s">
        <v>42</v>
      </c>
      <c r="AE648" t="s">
        <v>25</v>
      </c>
      <c r="AF6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648" t="s">
        <v>941</v>
      </c>
      <c r="AH648">
        <v>92</v>
      </c>
      <c r="AI648" t="s">
        <v>939</v>
      </c>
      <c r="AJ648">
        <v>1</v>
      </c>
      <c r="AK6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MIN(AJ648/8, 1) +
  Merge1[[#This Row],[index_defensive_effort]],
  2
)</f>
        <v>0.75</v>
      </c>
    </row>
    <row r="649" spans="1:37" x14ac:dyDescent="0.25">
      <c r="A649" t="s">
        <v>882</v>
      </c>
      <c r="B649" t="s">
        <v>883</v>
      </c>
      <c r="C649">
        <v>28</v>
      </c>
      <c r="D649" t="s">
        <v>22</v>
      </c>
      <c r="E649">
        <v>72</v>
      </c>
      <c r="F649">
        <v>190</v>
      </c>
      <c r="G649" t="s">
        <v>153</v>
      </c>
      <c r="H649">
        <v>2020</v>
      </c>
      <c r="I649" t="s">
        <v>33</v>
      </c>
      <c r="J649">
        <v>4</v>
      </c>
      <c r="K649">
        <v>5</v>
      </c>
      <c r="L649">
        <v>1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60</v>
      </c>
      <c r="T649">
        <v>60</v>
      </c>
      <c r="U649" s="5">
        <f>IF(Merge1[[#This Row],[team_defense_snaps]]=0, "", Merge1[[#This Row],[defense_snaps]] / Merge1[[#This Row],[team_defense_snaps]])</f>
        <v>0.78947368421052633</v>
      </c>
      <c r="V649">
        <v>76</v>
      </c>
      <c r="W649">
        <v>0</v>
      </c>
      <c r="X649" s="5">
        <v>0</v>
      </c>
      <c r="Y649">
        <v>5</v>
      </c>
      <c r="Z649">
        <v>0</v>
      </c>
      <c r="AA649" t="s">
        <v>25</v>
      </c>
      <c r="AB649" t="s">
        <v>26</v>
      </c>
      <c r="AC649" t="s">
        <v>27</v>
      </c>
      <c r="AD649" t="s">
        <v>42</v>
      </c>
      <c r="AE649" t="s">
        <v>25</v>
      </c>
      <c r="AF6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9.166666666666666E-2</v>
      </c>
      <c r="AG649" t="s">
        <v>941</v>
      </c>
      <c r="AH649">
        <v>90.5</v>
      </c>
      <c r="AI649" t="s">
        <v>939</v>
      </c>
      <c r="AJ649">
        <v>1</v>
      </c>
      <c r="AK6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MIN(AJ649/8, 1) +
  Merge1[[#This Row],[index_defensive_effort]],
  2
)</f>
        <v>0.72</v>
      </c>
    </row>
    <row r="650" spans="1:37" x14ac:dyDescent="0.25">
      <c r="A650" t="s">
        <v>326</v>
      </c>
      <c r="B650" t="s">
        <v>327</v>
      </c>
      <c r="C650">
        <v>30</v>
      </c>
      <c r="D650" t="s">
        <v>56</v>
      </c>
      <c r="E650">
        <v>71</v>
      </c>
      <c r="F650">
        <v>190</v>
      </c>
      <c r="G650" t="s">
        <v>180</v>
      </c>
      <c r="H650">
        <v>2020</v>
      </c>
      <c r="I650" t="s">
        <v>33</v>
      </c>
      <c r="J650">
        <v>1</v>
      </c>
      <c r="K650">
        <v>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66</v>
      </c>
      <c r="T650">
        <v>66</v>
      </c>
      <c r="U650" s="5">
        <f>IF(Merge1[[#This Row],[team_defense_snaps]]=0, "", Merge1[[#This Row],[defense_snaps]] / Merge1[[#This Row],[team_defense_snaps]])</f>
        <v>0.89189189189189189</v>
      </c>
      <c r="V650">
        <v>74</v>
      </c>
      <c r="W650">
        <v>0</v>
      </c>
      <c r="X650" s="5" t="s">
        <v>29</v>
      </c>
      <c r="Y650">
        <v>7</v>
      </c>
      <c r="Z650">
        <v>0</v>
      </c>
      <c r="AA650" t="s">
        <v>25</v>
      </c>
      <c r="AB650" t="s">
        <v>26</v>
      </c>
      <c r="AC650" t="s">
        <v>27</v>
      </c>
      <c r="AD650" t="s">
        <v>42</v>
      </c>
      <c r="AE650" t="s">
        <v>25</v>
      </c>
      <c r="AF6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9.0909090909090912E-2</v>
      </c>
      <c r="AG650" t="s">
        <v>941</v>
      </c>
      <c r="AH650">
        <v>81.5</v>
      </c>
      <c r="AI650" t="s">
        <v>939</v>
      </c>
      <c r="AJ650">
        <v>2</v>
      </c>
      <c r="AK6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MIN(AJ650/8, 1) +
  Merge1[[#This Row],[index_defensive_effort]],
  2
)</f>
        <v>0.84</v>
      </c>
    </row>
    <row r="651" spans="1:37" x14ac:dyDescent="0.25">
      <c r="A651" t="s">
        <v>326</v>
      </c>
      <c r="B651" t="s">
        <v>327</v>
      </c>
      <c r="C651">
        <v>30</v>
      </c>
      <c r="D651" t="s">
        <v>56</v>
      </c>
      <c r="E651">
        <v>71</v>
      </c>
      <c r="F651">
        <v>190</v>
      </c>
      <c r="G651" t="s">
        <v>180</v>
      </c>
      <c r="H651">
        <v>2020</v>
      </c>
      <c r="I651" t="s">
        <v>33</v>
      </c>
      <c r="J651">
        <v>2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28</v>
      </c>
      <c r="T651">
        <v>28</v>
      </c>
      <c r="U651" s="5">
        <f>IF(Merge1[[#This Row],[team_defense_snaps]]=0, "", Merge1[[#This Row],[defense_snaps]] / Merge1[[#This Row],[team_defense_snaps]])</f>
        <v>0.45161290322580644</v>
      </c>
      <c r="V651">
        <v>62</v>
      </c>
      <c r="W651">
        <v>0</v>
      </c>
      <c r="X651" s="5" t="s">
        <v>29</v>
      </c>
      <c r="Y651">
        <v>7</v>
      </c>
      <c r="Z651">
        <v>0</v>
      </c>
      <c r="AA651" t="s">
        <v>25</v>
      </c>
      <c r="AB651" t="s">
        <v>26</v>
      </c>
      <c r="AC651" t="s">
        <v>27</v>
      </c>
      <c r="AD651" t="s">
        <v>28</v>
      </c>
      <c r="AE651" t="s">
        <v>25</v>
      </c>
      <c r="AF6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3.5714285714285712E-2</v>
      </c>
      <c r="AG651" t="s">
        <v>941</v>
      </c>
      <c r="AH651">
        <v>71</v>
      </c>
      <c r="AI651" t="s">
        <v>939</v>
      </c>
      <c r="AJ651">
        <v>3</v>
      </c>
      <c r="AK6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MIN(AJ651/8, 1) +
  Merge1[[#This Row],[index_defensive_effort]],
  2
)</f>
        <v>0.91</v>
      </c>
    </row>
    <row r="652" spans="1:37" x14ac:dyDescent="0.25">
      <c r="A652" t="s">
        <v>326</v>
      </c>
      <c r="B652" t="s">
        <v>327</v>
      </c>
      <c r="C652">
        <v>30</v>
      </c>
      <c r="D652" t="s">
        <v>56</v>
      </c>
      <c r="E652">
        <v>71</v>
      </c>
      <c r="F652">
        <v>190</v>
      </c>
      <c r="G652" t="s">
        <v>180</v>
      </c>
      <c r="H652">
        <v>2020</v>
      </c>
      <c r="I652" t="s">
        <v>33</v>
      </c>
      <c r="J652">
        <v>3</v>
      </c>
      <c r="K652">
        <v>2</v>
      </c>
      <c r="L652">
        <v>1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27</v>
      </c>
      <c r="T652">
        <v>27</v>
      </c>
      <c r="U652" s="5">
        <f>IF(Merge1[[#This Row],[team_defense_snaps]]=0, "", Merge1[[#This Row],[defense_snaps]] / Merge1[[#This Row],[team_defense_snaps]])</f>
        <v>0.43548387096774194</v>
      </c>
      <c r="V652">
        <v>62</v>
      </c>
      <c r="W652">
        <v>0</v>
      </c>
      <c r="X652" s="5" t="s">
        <v>29</v>
      </c>
      <c r="Y652">
        <v>7</v>
      </c>
      <c r="Z652">
        <v>0</v>
      </c>
      <c r="AA652" t="s">
        <v>25</v>
      </c>
      <c r="AB652" t="s">
        <v>26</v>
      </c>
      <c r="AC652" t="s">
        <v>27</v>
      </c>
      <c r="AD652" t="s">
        <v>28</v>
      </c>
      <c r="AE652" t="s">
        <v>25</v>
      </c>
      <c r="AF6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9.2592592592592587E-2</v>
      </c>
      <c r="AG652" t="s">
        <v>941</v>
      </c>
      <c r="AH652">
        <v>83</v>
      </c>
      <c r="AI652" t="s">
        <v>939</v>
      </c>
      <c r="AJ652">
        <v>4</v>
      </c>
      <c r="AK6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MIN(AJ652/8, 1) +
  Merge1[[#This Row],[index_defensive_effort]],
  2
)</f>
        <v>1.0900000000000001</v>
      </c>
    </row>
    <row r="653" spans="1:37" x14ac:dyDescent="0.25">
      <c r="A653" t="s">
        <v>326</v>
      </c>
      <c r="B653" t="s">
        <v>327</v>
      </c>
      <c r="C653">
        <v>30</v>
      </c>
      <c r="D653" t="s">
        <v>56</v>
      </c>
      <c r="E653">
        <v>71</v>
      </c>
      <c r="F653">
        <v>190</v>
      </c>
      <c r="G653" t="s">
        <v>180</v>
      </c>
      <c r="H653">
        <v>2020</v>
      </c>
      <c r="I653" t="s">
        <v>33</v>
      </c>
      <c r="J653">
        <v>4</v>
      </c>
      <c r="K653">
        <v>3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56</v>
      </c>
      <c r="T653">
        <v>56</v>
      </c>
      <c r="U653" s="5">
        <f>IF(Merge1[[#This Row],[team_defense_snaps]]=0, "", Merge1[[#This Row],[defense_snaps]] / Merge1[[#This Row],[team_defense_snaps]])</f>
        <v>0.7466666666666667</v>
      </c>
      <c r="V653">
        <v>75</v>
      </c>
      <c r="W653">
        <v>0</v>
      </c>
      <c r="X653" s="5" t="s">
        <v>29</v>
      </c>
      <c r="Y653">
        <v>7</v>
      </c>
      <c r="Z653">
        <v>0</v>
      </c>
      <c r="AA653" t="s">
        <v>25</v>
      </c>
      <c r="AB653" t="s">
        <v>26</v>
      </c>
      <c r="AC653" t="s">
        <v>27</v>
      </c>
      <c r="AD653" t="s">
        <v>28</v>
      </c>
      <c r="AE653" t="s">
        <v>25</v>
      </c>
      <c r="AF6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5.3571428571428568E-2</v>
      </c>
      <c r="AG653" t="s">
        <v>941</v>
      </c>
      <c r="AH653">
        <v>84.5</v>
      </c>
      <c r="AI653" t="s">
        <v>938</v>
      </c>
      <c r="AJ653">
        <v>1</v>
      </c>
      <c r="AK6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MIN(AJ653/8, 1) +
  Merge1[[#This Row],[index_defensive_effort]],
  2
)</f>
        <v>0.68</v>
      </c>
    </row>
    <row r="654" spans="1:37" x14ac:dyDescent="0.25">
      <c r="A654" t="s">
        <v>326</v>
      </c>
      <c r="B654" t="s">
        <v>327</v>
      </c>
      <c r="C654">
        <v>30</v>
      </c>
      <c r="D654" t="s">
        <v>56</v>
      </c>
      <c r="E654">
        <v>71</v>
      </c>
      <c r="F654">
        <v>190</v>
      </c>
      <c r="G654" t="s">
        <v>180</v>
      </c>
      <c r="H654">
        <v>2020</v>
      </c>
      <c r="I654" t="s">
        <v>33</v>
      </c>
      <c r="J654">
        <v>11</v>
      </c>
      <c r="K654">
        <v>5</v>
      </c>
      <c r="L654">
        <v>2</v>
      </c>
      <c r="M654">
        <v>0</v>
      </c>
      <c r="N654">
        <v>2</v>
      </c>
      <c r="O654">
        <v>0</v>
      </c>
      <c r="P654">
        <v>1</v>
      </c>
      <c r="Q654">
        <v>0</v>
      </c>
      <c r="R654">
        <v>0</v>
      </c>
      <c r="S654">
        <v>57</v>
      </c>
      <c r="T654">
        <v>57</v>
      </c>
      <c r="U654" s="5">
        <f>IF(Merge1[[#This Row],[team_defense_snaps]]=0, "", Merge1[[#This Row],[defense_snaps]] / Merge1[[#This Row],[team_defense_snaps]])</f>
        <v>0.71250000000000002</v>
      </c>
      <c r="V654">
        <v>80</v>
      </c>
      <c r="W654">
        <v>0</v>
      </c>
      <c r="X654" s="5" t="s">
        <v>29</v>
      </c>
      <c r="Y654">
        <v>7</v>
      </c>
      <c r="Z654">
        <v>0</v>
      </c>
      <c r="AA654" t="s">
        <v>25</v>
      </c>
      <c r="AB654" t="s">
        <v>62</v>
      </c>
      <c r="AC654" t="s">
        <v>27</v>
      </c>
      <c r="AD654" t="s">
        <v>28</v>
      </c>
      <c r="AE654" t="s">
        <v>25</v>
      </c>
      <c r="AF6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0.14035087719298245</v>
      </c>
      <c r="AG654" t="s">
        <v>941</v>
      </c>
      <c r="AH654">
        <v>86</v>
      </c>
      <c r="AI654" t="s">
        <v>938</v>
      </c>
      <c r="AJ654">
        <v>1</v>
      </c>
      <c r="AK6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MIN(AJ654/8, 1) +
  Merge1[[#This Row],[index_defensive_effort]],
  2
)</f>
        <v>0.77</v>
      </c>
    </row>
    <row r="655" spans="1:37" x14ac:dyDescent="0.25">
      <c r="A655" t="s">
        <v>367</v>
      </c>
      <c r="B655" t="s">
        <v>368</v>
      </c>
      <c r="C655">
        <v>24</v>
      </c>
      <c r="D655" t="s">
        <v>56</v>
      </c>
      <c r="E655">
        <v>69</v>
      </c>
      <c r="F655">
        <v>188</v>
      </c>
      <c r="G655" t="s">
        <v>330</v>
      </c>
      <c r="H655">
        <v>2020</v>
      </c>
      <c r="I655" t="s">
        <v>33</v>
      </c>
      <c r="J655">
        <v>8</v>
      </c>
      <c r="K655">
        <v>8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2</v>
      </c>
      <c r="R655">
        <v>0</v>
      </c>
      <c r="S655">
        <v>37</v>
      </c>
      <c r="T655">
        <v>36</v>
      </c>
      <c r="U655" s="5">
        <f>IF(Merge1[[#This Row],[team_defense_snaps]]=0, "", Merge1[[#This Row],[defense_snaps]] / Merge1[[#This Row],[team_defense_snaps]])</f>
        <v>0.50704225352112675</v>
      </c>
      <c r="V655">
        <v>71</v>
      </c>
      <c r="W655">
        <v>1</v>
      </c>
      <c r="X655" s="5" t="s">
        <v>303</v>
      </c>
      <c r="Y655">
        <v>2</v>
      </c>
      <c r="Z655">
        <v>0</v>
      </c>
      <c r="AA655" t="s">
        <v>25</v>
      </c>
      <c r="AB655" t="s">
        <v>36</v>
      </c>
      <c r="AC655" t="s">
        <v>147</v>
      </c>
      <c r="AD655" t="s">
        <v>28</v>
      </c>
      <c r="AE655" t="s">
        <v>25</v>
      </c>
      <c r="AF6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0.48648648648648651</v>
      </c>
      <c r="AG655" t="s">
        <v>942</v>
      </c>
      <c r="AH655">
        <v>58</v>
      </c>
      <c r="AI655" t="s">
        <v>939</v>
      </c>
      <c r="AJ655">
        <v>2</v>
      </c>
      <c r="AK6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MIN(AJ655/8, 1) +
  Merge1[[#This Row],[index_defensive_effort]],
  2
)</f>
        <v>1.24</v>
      </c>
    </row>
    <row r="656" spans="1:37" x14ac:dyDescent="0.25">
      <c r="A656" t="s">
        <v>367</v>
      </c>
      <c r="B656" t="s">
        <v>368</v>
      </c>
      <c r="C656">
        <v>24</v>
      </c>
      <c r="D656" t="s">
        <v>56</v>
      </c>
      <c r="E656">
        <v>69</v>
      </c>
      <c r="F656">
        <v>188</v>
      </c>
      <c r="G656" t="s">
        <v>330</v>
      </c>
      <c r="H656">
        <v>2020</v>
      </c>
      <c r="I656" t="s">
        <v>33</v>
      </c>
      <c r="J656">
        <v>9</v>
      </c>
      <c r="K656">
        <v>5</v>
      </c>
      <c r="L656">
        <v>1</v>
      </c>
      <c r="M656">
        <v>1</v>
      </c>
      <c r="N656">
        <v>2</v>
      </c>
      <c r="O656">
        <v>0</v>
      </c>
      <c r="P656">
        <v>0</v>
      </c>
      <c r="Q656">
        <v>0</v>
      </c>
      <c r="R656">
        <v>0</v>
      </c>
      <c r="S656">
        <v>59</v>
      </c>
      <c r="T656">
        <v>58</v>
      </c>
      <c r="U656" s="5">
        <f>IF(Merge1[[#This Row],[team_defense_snaps]]=0, "", Merge1[[#This Row],[defense_snaps]] / Merge1[[#This Row],[team_defense_snaps]])</f>
        <v>0.77333333333333332</v>
      </c>
      <c r="V656">
        <v>75</v>
      </c>
      <c r="W656">
        <v>1</v>
      </c>
      <c r="X656" s="5" t="s">
        <v>303</v>
      </c>
      <c r="Y656">
        <v>2</v>
      </c>
      <c r="Z656">
        <v>0</v>
      </c>
      <c r="AA656" t="s">
        <v>25</v>
      </c>
      <c r="AB656" t="s">
        <v>26</v>
      </c>
      <c r="AC656" t="s">
        <v>27</v>
      </c>
      <c r="AD656" t="s">
        <v>42</v>
      </c>
      <c r="AE656" t="s">
        <v>25</v>
      </c>
      <c r="AF6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0.10169491525423729</v>
      </c>
      <c r="AG656" t="s">
        <v>942</v>
      </c>
      <c r="AH656">
        <v>56.5</v>
      </c>
      <c r="AI656" t="s">
        <v>939</v>
      </c>
      <c r="AJ656">
        <v>3</v>
      </c>
      <c r="AK6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MIN(AJ656/8, 1) +
  Merge1[[#This Row],[index_defensive_effort]],
  2
)</f>
        <v>0.98</v>
      </c>
    </row>
    <row r="657" spans="1:37" x14ac:dyDescent="0.25">
      <c r="A657" t="s">
        <v>367</v>
      </c>
      <c r="B657" t="s">
        <v>368</v>
      </c>
      <c r="C657">
        <v>24</v>
      </c>
      <c r="D657" t="s">
        <v>56</v>
      </c>
      <c r="E657">
        <v>69</v>
      </c>
      <c r="F657">
        <v>188</v>
      </c>
      <c r="G657" t="s">
        <v>330</v>
      </c>
      <c r="H657">
        <v>2020</v>
      </c>
      <c r="I657" t="s">
        <v>33</v>
      </c>
      <c r="J657">
        <v>10</v>
      </c>
      <c r="K657">
        <v>11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72</v>
      </c>
      <c r="T657">
        <v>70</v>
      </c>
      <c r="U657" s="5">
        <f>IF(Merge1[[#This Row],[team_defense_snaps]]=0, "", Merge1[[#This Row],[defense_snaps]] / Merge1[[#This Row],[team_defense_snaps]])</f>
        <v>1</v>
      </c>
      <c r="V657">
        <v>70</v>
      </c>
      <c r="W657">
        <v>2</v>
      </c>
      <c r="X657" s="5" t="s">
        <v>167</v>
      </c>
      <c r="Y657">
        <v>2</v>
      </c>
      <c r="Z657">
        <v>0</v>
      </c>
      <c r="AA657" t="s">
        <v>25</v>
      </c>
      <c r="AB657" t="s">
        <v>26</v>
      </c>
      <c r="AC657" t="s">
        <v>27</v>
      </c>
      <c r="AD657" t="s">
        <v>42</v>
      </c>
      <c r="AE657" t="s">
        <v>25</v>
      </c>
      <c r="AF6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0.15277777777777779</v>
      </c>
      <c r="AG657" t="s">
        <v>942</v>
      </c>
      <c r="AH657">
        <v>46</v>
      </c>
      <c r="AI657" t="s">
        <v>939</v>
      </c>
      <c r="AJ657">
        <v>4</v>
      </c>
      <c r="AK6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MIN(AJ657/8, 1) +
  Merge1[[#This Row],[index_defensive_effort]],
  2
)</f>
        <v>1.1499999999999999</v>
      </c>
    </row>
    <row r="658" spans="1:37" x14ac:dyDescent="0.25">
      <c r="A658" t="s">
        <v>367</v>
      </c>
      <c r="B658" t="s">
        <v>368</v>
      </c>
      <c r="C658">
        <v>24</v>
      </c>
      <c r="D658" t="s">
        <v>56</v>
      </c>
      <c r="E658">
        <v>69</v>
      </c>
      <c r="F658">
        <v>188</v>
      </c>
      <c r="G658" t="s">
        <v>330</v>
      </c>
      <c r="H658">
        <v>2020</v>
      </c>
      <c r="I658" t="s">
        <v>33</v>
      </c>
      <c r="J658">
        <v>11</v>
      </c>
      <c r="K658">
        <v>9</v>
      </c>
      <c r="L658">
        <v>2</v>
      </c>
      <c r="M658">
        <v>0</v>
      </c>
      <c r="N658">
        <v>2</v>
      </c>
      <c r="O658">
        <v>0</v>
      </c>
      <c r="P658">
        <v>1</v>
      </c>
      <c r="Q658">
        <v>0</v>
      </c>
      <c r="R658">
        <v>0</v>
      </c>
      <c r="S658">
        <v>74</v>
      </c>
      <c r="T658">
        <v>67</v>
      </c>
      <c r="U658" s="5">
        <f>IF(Merge1[[#This Row],[team_defense_snaps]]=0, "", Merge1[[#This Row],[defense_snaps]] / Merge1[[#This Row],[team_defense_snaps]])</f>
        <v>1</v>
      </c>
      <c r="V658">
        <v>67</v>
      </c>
      <c r="W658">
        <v>7</v>
      </c>
      <c r="X658" s="5" t="s">
        <v>136</v>
      </c>
      <c r="Y658">
        <v>2</v>
      </c>
      <c r="Z658">
        <v>0</v>
      </c>
      <c r="AA658" t="s">
        <v>25</v>
      </c>
      <c r="AB658" t="s">
        <v>26</v>
      </c>
      <c r="AC658" t="s">
        <v>27</v>
      </c>
      <c r="AD658" t="s">
        <v>42</v>
      </c>
      <c r="AE658" t="s">
        <v>25</v>
      </c>
      <c r="AF6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0.16216216216216217</v>
      </c>
      <c r="AG658" t="s">
        <v>942</v>
      </c>
      <c r="AH658">
        <v>49</v>
      </c>
      <c r="AI658" t="s">
        <v>939</v>
      </c>
      <c r="AJ658">
        <v>1</v>
      </c>
      <c r="AK6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MIN(AJ658/8, 1) +
  Merge1[[#This Row],[index_defensive_effort]],
  2
)</f>
        <v>0.79</v>
      </c>
    </row>
    <row r="659" spans="1:37" x14ac:dyDescent="0.25">
      <c r="A659" t="s">
        <v>367</v>
      </c>
      <c r="B659" t="s">
        <v>368</v>
      </c>
      <c r="C659">
        <v>24</v>
      </c>
      <c r="D659" t="s">
        <v>56</v>
      </c>
      <c r="E659">
        <v>69</v>
      </c>
      <c r="F659">
        <v>188</v>
      </c>
      <c r="G659" t="s">
        <v>330</v>
      </c>
      <c r="H659">
        <v>2020</v>
      </c>
      <c r="I659" t="s">
        <v>33</v>
      </c>
      <c r="J659">
        <v>13</v>
      </c>
      <c r="K659">
        <v>3</v>
      </c>
      <c r="L659">
        <v>4</v>
      </c>
      <c r="M659">
        <v>1</v>
      </c>
      <c r="N659">
        <v>5</v>
      </c>
      <c r="O659">
        <v>0</v>
      </c>
      <c r="P659">
        <v>0</v>
      </c>
      <c r="Q659">
        <v>0</v>
      </c>
      <c r="R659">
        <v>0</v>
      </c>
      <c r="S659">
        <v>61</v>
      </c>
      <c r="T659">
        <v>56</v>
      </c>
      <c r="U659" s="5">
        <f>IF(Merge1[[#This Row],[team_defense_snaps]]=0, "", Merge1[[#This Row],[defense_snaps]] / Merge1[[#This Row],[team_defense_snaps]])</f>
        <v>0.98245614035087714</v>
      </c>
      <c r="V659">
        <v>57</v>
      </c>
      <c r="W659">
        <v>5</v>
      </c>
      <c r="X659" s="5" t="s">
        <v>293</v>
      </c>
      <c r="Y659">
        <v>2</v>
      </c>
      <c r="Z659">
        <v>0</v>
      </c>
      <c r="AA659" t="s">
        <v>25</v>
      </c>
      <c r="AB659" t="s">
        <v>26</v>
      </c>
      <c r="AC659" t="s">
        <v>27</v>
      </c>
      <c r="AD659" t="s">
        <v>42</v>
      </c>
      <c r="AE659" t="s">
        <v>25</v>
      </c>
      <c r="AF6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9.0163934426229511E-2</v>
      </c>
      <c r="AG659" t="s">
        <v>942</v>
      </c>
      <c r="AH659">
        <v>59.5</v>
      </c>
      <c r="AI659" t="s">
        <v>939</v>
      </c>
      <c r="AJ659">
        <v>2</v>
      </c>
      <c r="AK6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MIN(AJ659/8, 1) +
  Merge1[[#This Row],[index_defensive_effort]],
  2
)</f>
        <v>0.84</v>
      </c>
    </row>
    <row r="660" spans="1:37" x14ac:dyDescent="0.25">
      <c r="A660" t="s">
        <v>367</v>
      </c>
      <c r="B660" t="s">
        <v>368</v>
      </c>
      <c r="C660">
        <v>24</v>
      </c>
      <c r="D660" t="s">
        <v>56</v>
      </c>
      <c r="E660">
        <v>69</v>
      </c>
      <c r="F660">
        <v>188</v>
      </c>
      <c r="G660" t="s">
        <v>330</v>
      </c>
      <c r="H660">
        <v>2020</v>
      </c>
      <c r="I660" t="s">
        <v>33</v>
      </c>
      <c r="J660">
        <v>14</v>
      </c>
      <c r="K660">
        <v>2</v>
      </c>
      <c r="L660">
        <v>2</v>
      </c>
      <c r="M660">
        <v>1</v>
      </c>
      <c r="N660">
        <v>3</v>
      </c>
      <c r="O660">
        <v>0</v>
      </c>
      <c r="P660">
        <v>1</v>
      </c>
      <c r="Q660">
        <v>0</v>
      </c>
      <c r="R660">
        <v>0</v>
      </c>
      <c r="S660">
        <v>61</v>
      </c>
      <c r="T660">
        <v>52</v>
      </c>
      <c r="U660" s="5">
        <f>IF(Merge1[[#This Row],[team_defense_snaps]]=0, "", Merge1[[#This Row],[defense_snaps]] / Merge1[[#This Row],[team_defense_snaps]])</f>
        <v>0.98113207547169812</v>
      </c>
      <c r="V660">
        <v>53</v>
      </c>
      <c r="W660">
        <v>9</v>
      </c>
      <c r="X660" s="5" t="s">
        <v>108</v>
      </c>
      <c r="Y660">
        <v>2</v>
      </c>
      <c r="Z660">
        <v>0</v>
      </c>
      <c r="AA660" t="s">
        <v>25</v>
      </c>
      <c r="AB660" t="s">
        <v>26</v>
      </c>
      <c r="AC660" t="s">
        <v>27</v>
      </c>
      <c r="AD660" t="s">
        <v>42</v>
      </c>
      <c r="AE660" t="s">
        <v>25</v>
      </c>
      <c r="AF6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9.0163934426229511E-2</v>
      </c>
      <c r="AG660" t="s">
        <v>942</v>
      </c>
      <c r="AH660">
        <v>50</v>
      </c>
      <c r="AI660" t="s">
        <v>939</v>
      </c>
      <c r="AJ660">
        <v>3</v>
      </c>
      <c r="AK6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MIN(AJ660/8, 1) +
  Merge1[[#This Row],[index_defensive_effort]],
  2
)</f>
        <v>0.97</v>
      </c>
    </row>
    <row r="661" spans="1:37" x14ac:dyDescent="0.25">
      <c r="A661" t="s">
        <v>367</v>
      </c>
      <c r="B661" t="s">
        <v>368</v>
      </c>
      <c r="C661">
        <v>24</v>
      </c>
      <c r="D661" t="s">
        <v>56</v>
      </c>
      <c r="E661">
        <v>69</v>
      </c>
      <c r="F661">
        <v>188</v>
      </c>
      <c r="G661" t="s">
        <v>330</v>
      </c>
      <c r="H661">
        <v>2020</v>
      </c>
      <c r="I661" t="s">
        <v>33</v>
      </c>
      <c r="J661">
        <v>15</v>
      </c>
      <c r="K661">
        <v>6</v>
      </c>
      <c r="L661">
        <v>2</v>
      </c>
      <c r="M661">
        <v>0</v>
      </c>
      <c r="N661">
        <v>2</v>
      </c>
      <c r="O661">
        <v>0</v>
      </c>
      <c r="P661">
        <v>0</v>
      </c>
      <c r="Q661">
        <v>2</v>
      </c>
      <c r="R661">
        <v>0</v>
      </c>
      <c r="S661">
        <v>86</v>
      </c>
      <c r="T661">
        <v>80</v>
      </c>
      <c r="U661" s="5">
        <f>IF(Merge1[[#This Row],[team_defense_snaps]]=0, "", Merge1[[#This Row],[defense_snaps]] / Merge1[[#This Row],[team_defense_snaps]])</f>
        <v>1</v>
      </c>
      <c r="V661">
        <v>80</v>
      </c>
      <c r="W661">
        <v>6</v>
      </c>
      <c r="X661" s="5" t="s">
        <v>137</v>
      </c>
      <c r="Y661">
        <v>2</v>
      </c>
      <c r="Z661">
        <v>0</v>
      </c>
      <c r="AA661" t="s">
        <v>25</v>
      </c>
      <c r="AB661" t="s">
        <v>26</v>
      </c>
      <c r="AC661" t="s">
        <v>27</v>
      </c>
      <c r="AD661" t="s">
        <v>42</v>
      </c>
      <c r="AE661" t="s">
        <v>25</v>
      </c>
      <c r="AF6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0.1744186046511628</v>
      </c>
      <c r="AG661" t="s">
        <v>942</v>
      </c>
      <c r="AH661">
        <v>50.5</v>
      </c>
      <c r="AI661" t="s">
        <v>939</v>
      </c>
      <c r="AJ661">
        <v>4</v>
      </c>
      <c r="AK6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MIN(AJ661/8, 1) +
  Merge1[[#This Row],[index_defensive_effort]],
  2
)</f>
        <v>1.17</v>
      </c>
    </row>
    <row r="662" spans="1:37" x14ac:dyDescent="0.25">
      <c r="A662" t="s">
        <v>367</v>
      </c>
      <c r="B662" t="s">
        <v>368</v>
      </c>
      <c r="C662">
        <v>24</v>
      </c>
      <c r="D662" t="s">
        <v>56</v>
      </c>
      <c r="E662">
        <v>69</v>
      </c>
      <c r="F662">
        <v>188</v>
      </c>
      <c r="G662" t="s">
        <v>330</v>
      </c>
      <c r="H662">
        <v>2020</v>
      </c>
      <c r="I662" t="s">
        <v>33</v>
      </c>
      <c r="J662">
        <v>16</v>
      </c>
      <c r="K662">
        <v>3</v>
      </c>
      <c r="L662">
        <v>5</v>
      </c>
      <c r="M662">
        <v>1</v>
      </c>
      <c r="N662">
        <v>6</v>
      </c>
      <c r="O662">
        <v>0</v>
      </c>
      <c r="P662">
        <v>1</v>
      </c>
      <c r="Q662">
        <v>0</v>
      </c>
      <c r="R662">
        <v>0</v>
      </c>
      <c r="S662">
        <v>83</v>
      </c>
      <c r="T662">
        <v>75</v>
      </c>
      <c r="U662" s="5">
        <f>IF(Merge1[[#This Row],[team_defense_snaps]]=0, "", Merge1[[#This Row],[defense_snaps]] / Merge1[[#This Row],[team_defense_snaps]])</f>
        <v>1</v>
      </c>
      <c r="V662">
        <v>75</v>
      </c>
      <c r="W662">
        <v>8</v>
      </c>
      <c r="X662" s="5" t="s">
        <v>314</v>
      </c>
      <c r="Y662">
        <v>2</v>
      </c>
      <c r="Z662">
        <v>0</v>
      </c>
      <c r="AA662" t="s">
        <v>25</v>
      </c>
      <c r="AB662" t="s">
        <v>26</v>
      </c>
      <c r="AC662" t="s">
        <v>27</v>
      </c>
      <c r="AD662" t="s">
        <v>42</v>
      </c>
      <c r="AE662" t="s">
        <v>25</v>
      </c>
      <c r="AF6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9.6385542168674704E-2</v>
      </c>
      <c r="AG662" t="s">
        <v>942</v>
      </c>
      <c r="AH662">
        <v>55</v>
      </c>
      <c r="AI662" t="s">
        <v>939</v>
      </c>
      <c r="AJ662">
        <v>5</v>
      </c>
      <c r="AK6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MIN(AJ662/8, 1) +
  Merge1[[#This Row],[index_defensive_effort]],
  2
)</f>
        <v>1.22</v>
      </c>
    </row>
    <row r="663" spans="1:37" x14ac:dyDescent="0.25">
      <c r="A663" t="s">
        <v>367</v>
      </c>
      <c r="B663" t="s">
        <v>368</v>
      </c>
      <c r="C663">
        <v>24</v>
      </c>
      <c r="D663" t="s">
        <v>56</v>
      </c>
      <c r="E663">
        <v>69</v>
      </c>
      <c r="F663">
        <v>188</v>
      </c>
      <c r="G663" t="s">
        <v>330</v>
      </c>
      <c r="H663">
        <v>2020</v>
      </c>
      <c r="I663" t="s">
        <v>33</v>
      </c>
      <c r="J663">
        <v>17</v>
      </c>
      <c r="K663">
        <v>2</v>
      </c>
      <c r="L663">
        <v>3</v>
      </c>
      <c r="M663">
        <v>0</v>
      </c>
      <c r="N663">
        <v>3</v>
      </c>
      <c r="O663">
        <v>0</v>
      </c>
      <c r="P663">
        <v>2</v>
      </c>
      <c r="Q663">
        <v>0</v>
      </c>
      <c r="R663">
        <v>0</v>
      </c>
      <c r="S663">
        <v>77</v>
      </c>
      <c r="T663">
        <v>66</v>
      </c>
      <c r="U663" s="5">
        <f>IF(Merge1[[#This Row],[team_defense_snaps]]=0, "", Merge1[[#This Row],[defense_snaps]] / Merge1[[#This Row],[team_defense_snaps]])</f>
        <v>0.9850746268656716</v>
      </c>
      <c r="V663">
        <v>67</v>
      </c>
      <c r="W663">
        <v>11</v>
      </c>
      <c r="X663" s="5" t="s">
        <v>334</v>
      </c>
      <c r="Y663">
        <v>2</v>
      </c>
      <c r="Z663">
        <v>0</v>
      </c>
      <c r="AA663" t="s">
        <v>25</v>
      </c>
      <c r="AB663" t="s">
        <v>26</v>
      </c>
      <c r="AC663" t="s">
        <v>27</v>
      </c>
      <c r="AD663" t="s">
        <v>42</v>
      </c>
      <c r="AE663" t="s">
        <v>25</v>
      </c>
      <c r="AF6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9.7402597402597407E-2</v>
      </c>
      <c r="AG663" t="s">
        <v>942</v>
      </c>
      <c r="AH663">
        <v>47.5</v>
      </c>
      <c r="AI663" t="s">
        <v>939</v>
      </c>
      <c r="AJ663">
        <v>6</v>
      </c>
      <c r="AK6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MIN(AJ663/8, 1) +
  Merge1[[#This Row],[index_defensive_effort]],
  2
)</f>
        <v>1.35</v>
      </c>
    </row>
    <row r="664" spans="1:37" x14ac:dyDescent="0.25">
      <c r="A664" t="s">
        <v>367</v>
      </c>
      <c r="B664" t="s">
        <v>368</v>
      </c>
      <c r="C664">
        <v>24</v>
      </c>
      <c r="D664" t="s">
        <v>56</v>
      </c>
      <c r="E664">
        <v>69</v>
      </c>
      <c r="F664">
        <v>188</v>
      </c>
      <c r="G664" t="s">
        <v>330</v>
      </c>
      <c r="H664">
        <v>2020</v>
      </c>
      <c r="I664" t="s">
        <v>24</v>
      </c>
      <c r="J664">
        <v>18</v>
      </c>
      <c r="K664">
        <v>3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86</v>
      </c>
      <c r="T664">
        <v>70</v>
      </c>
      <c r="U664" s="5">
        <f>IF(Merge1[[#This Row],[team_defense_snaps]]=0, "", Merge1[[#This Row],[defense_snaps]] / Merge1[[#This Row],[team_defense_snaps]])</f>
        <v>0.9859154929577465</v>
      </c>
      <c r="V664">
        <v>71</v>
      </c>
      <c r="W664">
        <v>16</v>
      </c>
      <c r="X664" s="5" t="s">
        <v>75</v>
      </c>
      <c r="Y664">
        <v>2</v>
      </c>
      <c r="Z664">
        <v>0</v>
      </c>
      <c r="AA664" t="s">
        <v>25</v>
      </c>
      <c r="AB664" t="s">
        <v>26</v>
      </c>
      <c r="AC664" t="s">
        <v>27</v>
      </c>
      <c r="AD664" t="s">
        <v>42</v>
      </c>
      <c r="AE664" t="s">
        <v>25</v>
      </c>
      <c r="AF6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3.4883720930232558E-2</v>
      </c>
      <c r="AG664" t="s">
        <v>942</v>
      </c>
      <c r="AH664">
        <v>52</v>
      </c>
      <c r="AI664" t="s">
        <v>939</v>
      </c>
      <c r="AJ664">
        <v>1</v>
      </c>
      <c r="AK6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MIN(AJ664/8, 1) +
  Merge1[[#This Row],[index_defensive_effort]],
  2
)</f>
        <v>0.86</v>
      </c>
    </row>
    <row r="665" spans="1:37" x14ac:dyDescent="0.25">
      <c r="A665" t="s">
        <v>380</v>
      </c>
      <c r="B665" t="s">
        <v>381</v>
      </c>
      <c r="C665">
        <v>29</v>
      </c>
      <c r="D665" t="s">
        <v>22</v>
      </c>
      <c r="E665">
        <v>70</v>
      </c>
      <c r="F665">
        <v>205</v>
      </c>
      <c r="G665" t="s">
        <v>28</v>
      </c>
      <c r="H665">
        <v>2020</v>
      </c>
      <c r="I665" t="s">
        <v>33</v>
      </c>
      <c r="J665">
        <v>1</v>
      </c>
      <c r="K665">
        <v>3</v>
      </c>
      <c r="L665">
        <v>1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41</v>
      </c>
      <c r="T665">
        <v>34</v>
      </c>
      <c r="U665" s="5">
        <f>IF(Merge1[[#This Row],[team_defense_snaps]]=0, "", Merge1[[#This Row],[defense_snaps]] / Merge1[[#This Row],[team_defense_snaps]])</f>
        <v>0.48571428571428571</v>
      </c>
      <c r="V665">
        <v>70</v>
      </c>
      <c r="W665">
        <v>7</v>
      </c>
      <c r="X665" s="5" t="s">
        <v>293</v>
      </c>
      <c r="Y665">
        <v>7</v>
      </c>
      <c r="Z665">
        <v>0</v>
      </c>
      <c r="AA665" t="s">
        <v>25</v>
      </c>
      <c r="AB665" t="s">
        <v>26</v>
      </c>
      <c r="AC665" t="s">
        <v>27</v>
      </c>
      <c r="AD665" t="s">
        <v>28</v>
      </c>
      <c r="AE665" t="s">
        <v>25</v>
      </c>
      <c r="AF6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8.5365853658536592E-2</v>
      </c>
      <c r="AG665" t="s">
        <v>942</v>
      </c>
      <c r="AH665">
        <v>62.5</v>
      </c>
      <c r="AI665" t="s">
        <v>939</v>
      </c>
      <c r="AJ665">
        <v>1</v>
      </c>
      <c r="AK6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MIN(AJ665/8, 1) +
  Merge1[[#This Row],[index_defensive_effort]],
  2
)</f>
        <v>0.81</v>
      </c>
    </row>
    <row r="666" spans="1:37" x14ac:dyDescent="0.25">
      <c r="A666" t="s">
        <v>380</v>
      </c>
      <c r="B666" t="s">
        <v>381</v>
      </c>
      <c r="C666">
        <v>29</v>
      </c>
      <c r="D666" t="s">
        <v>22</v>
      </c>
      <c r="E666">
        <v>70</v>
      </c>
      <c r="F666">
        <v>205</v>
      </c>
      <c r="G666" t="s">
        <v>28</v>
      </c>
      <c r="H666">
        <v>2020</v>
      </c>
      <c r="I666" t="s">
        <v>33</v>
      </c>
      <c r="J666">
        <v>4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23</v>
      </c>
      <c r="T666">
        <v>17</v>
      </c>
      <c r="U666" s="5">
        <f>IF(Merge1[[#This Row],[team_defense_snaps]]=0, "", Merge1[[#This Row],[defense_snaps]] / Merge1[[#This Row],[team_defense_snaps]])</f>
        <v>0.27868852459016391</v>
      </c>
      <c r="V666">
        <v>61</v>
      </c>
      <c r="W666">
        <v>6</v>
      </c>
      <c r="X666" s="5" t="s">
        <v>133</v>
      </c>
      <c r="Y666">
        <v>7</v>
      </c>
      <c r="Z666">
        <v>0</v>
      </c>
      <c r="AA666" t="s">
        <v>25</v>
      </c>
      <c r="AB666" t="s">
        <v>26</v>
      </c>
      <c r="AC666" t="s">
        <v>27</v>
      </c>
      <c r="AD666" t="s">
        <v>28</v>
      </c>
      <c r="AE666" t="s">
        <v>25</v>
      </c>
      <c r="AF6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4.3478260869565216E-2</v>
      </c>
      <c r="AG666" t="s">
        <v>942</v>
      </c>
      <c r="AH666">
        <v>68.5</v>
      </c>
      <c r="AI666" t="s">
        <v>939</v>
      </c>
      <c r="AJ666">
        <v>1</v>
      </c>
      <c r="AK6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MIN(AJ666/8, 1) +
  Merge1[[#This Row],[index_defensive_effort]],
  2
)</f>
        <v>0.77</v>
      </c>
    </row>
    <row r="667" spans="1:37" x14ac:dyDescent="0.25">
      <c r="A667" t="s">
        <v>380</v>
      </c>
      <c r="B667" t="s">
        <v>381</v>
      </c>
      <c r="C667">
        <v>29</v>
      </c>
      <c r="D667" t="s">
        <v>22</v>
      </c>
      <c r="E667">
        <v>70</v>
      </c>
      <c r="F667">
        <v>205</v>
      </c>
      <c r="G667" t="s">
        <v>28</v>
      </c>
      <c r="H667">
        <v>2020</v>
      </c>
      <c r="I667" t="s">
        <v>33</v>
      </c>
      <c r="J667">
        <v>9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16</v>
      </c>
      <c r="T667">
        <v>8</v>
      </c>
      <c r="U667" s="5">
        <f>IF(Merge1[[#This Row],[team_defense_snaps]]=0, "", Merge1[[#This Row],[defense_snaps]] / Merge1[[#This Row],[team_defense_snaps]])</f>
        <v>0.16</v>
      </c>
      <c r="V667">
        <v>50</v>
      </c>
      <c r="W667">
        <v>8</v>
      </c>
      <c r="X667" s="5" t="s">
        <v>158</v>
      </c>
      <c r="Y667">
        <v>7</v>
      </c>
      <c r="Z667">
        <v>0</v>
      </c>
      <c r="AA667" t="s">
        <v>25</v>
      </c>
      <c r="AB667" t="s">
        <v>26</v>
      </c>
      <c r="AC667" t="s">
        <v>27</v>
      </c>
      <c r="AD667" t="s">
        <v>28</v>
      </c>
      <c r="AE667" t="s">
        <v>25</v>
      </c>
      <c r="AF6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667" t="s">
        <v>942</v>
      </c>
      <c r="AH667">
        <v>67</v>
      </c>
      <c r="AI667" t="s">
        <v>939</v>
      </c>
      <c r="AJ667">
        <v>2</v>
      </c>
      <c r="AK6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MIN(AJ667/8, 1) +
  Merge1[[#This Row],[index_defensive_effort]],
  2
)</f>
        <v>0.91</v>
      </c>
    </row>
    <row r="668" spans="1:37" x14ac:dyDescent="0.25">
      <c r="A668" t="s">
        <v>380</v>
      </c>
      <c r="B668" t="s">
        <v>381</v>
      </c>
      <c r="C668">
        <v>29</v>
      </c>
      <c r="D668" t="s">
        <v>22</v>
      </c>
      <c r="E668">
        <v>70</v>
      </c>
      <c r="F668">
        <v>205</v>
      </c>
      <c r="G668" t="s">
        <v>28</v>
      </c>
      <c r="H668">
        <v>2020</v>
      </c>
      <c r="I668" t="s">
        <v>33</v>
      </c>
      <c r="J668">
        <v>10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18</v>
      </c>
      <c r="T668">
        <v>9</v>
      </c>
      <c r="U668" s="5">
        <f>IF(Merge1[[#This Row],[team_defense_snaps]]=0, "", Merge1[[#This Row],[defense_snaps]] / Merge1[[#This Row],[team_defense_snaps]])</f>
        <v>0.125</v>
      </c>
      <c r="V668">
        <v>72</v>
      </c>
      <c r="W668">
        <v>9</v>
      </c>
      <c r="X668" s="5" t="s">
        <v>108</v>
      </c>
      <c r="Y668">
        <v>7</v>
      </c>
      <c r="Z668">
        <v>0</v>
      </c>
      <c r="AA668" t="s">
        <v>25</v>
      </c>
      <c r="AB668" t="s">
        <v>26</v>
      </c>
      <c r="AC668" t="s">
        <v>27</v>
      </c>
      <c r="AD668" t="s">
        <v>28</v>
      </c>
      <c r="AE668" t="s">
        <v>25</v>
      </c>
      <c r="AF6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668" t="s">
        <v>942</v>
      </c>
      <c r="AH668">
        <v>85</v>
      </c>
      <c r="AI668" t="s">
        <v>939</v>
      </c>
      <c r="AJ668">
        <v>1</v>
      </c>
      <c r="AK6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MIN(AJ668/8, 1) +
  Merge1[[#This Row],[index_defensive_effort]],
  2
)</f>
        <v>0.78</v>
      </c>
    </row>
    <row r="669" spans="1:37" x14ac:dyDescent="0.25">
      <c r="A669" t="s">
        <v>380</v>
      </c>
      <c r="B669" t="s">
        <v>381</v>
      </c>
      <c r="C669">
        <v>29</v>
      </c>
      <c r="D669" t="s">
        <v>22</v>
      </c>
      <c r="E669">
        <v>70</v>
      </c>
      <c r="F669">
        <v>205</v>
      </c>
      <c r="G669" t="s">
        <v>28</v>
      </c>
      <c r="H669">
        <v>2020</v>
      </c>
      <c r="I669" t="s">
        <v>33</v>
      </c>
      <c r="J669">
        <v>12</v>
      </c>
      <c r="K669">
        <v>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14</v>
      </c>
      <c r="T669">
        <v>7</v>
      </c>
      <c r="U669" s="5">
        <f>IF(Merge1[[#This Row],[team_defense_snaps]]=0, "", Merge1[[#This Row],[defense_snaps]] / Merge1[[#This Row],[team_defense_snaps]])</f>
        <v>0.15909090909090909</v>
      </c>
      <c r="V669">
        <v>44</v>
      </c>
      <c r="W669">
        <v>7</v>
      </c>
      <c r="X669" s="5" t="s">
        <v>137</v>
      </c>
      <c r="Y669">
        <v>7</v>
      </c>
      <c r="Z669">
        <v>0</v>
      </c>
      <c r="AA669" t="s">
        <v>25</v>
      </c>
      <c r="AB669" t="s">
        <v>26</v>
      </c>
      <c r="AC669" t="s">
        <v>27</v>
      </c>
      <c r="AD669" t="s">
        <v>28</v>
      </c>
      <c r="AE669" t="s">
        <v>25</v>
      </c>
      <c r="AF6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0.14285714285714285</v>
      </c>
      <c r="AG669" t="s">
        <v>942</v>
      </c>
      <c r="AH669">
        <v>80.5</v>
      </c>
      <c r="AI669" t="s">
        <v>939</v>
      </c>
      <c r="AJ669">
        <v>2</v>
      </c>
      <c r="AK6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MIN(AJ669/8, 1) +
  Merge1[[#This Row],[index_defensive_effort]],
  2
)</f>
        <v>0.99</v>
      </c>
    </row>
    <row r="670" spans="1:37" x14ac:dyDescent="0.25">
      <c r="A670" t="s">
        <v>380</v>
      </c>
      <c r="B670" t="s">
        <v>381</v>
      </c>
      <c r="C670">
        <v>29</v>
      </c>
      <c r="D670" t="s">
        <v>22</v>
      </c>
      <c r="E670">
        <v>70</v>
      </c>
      <c r="F670">
        <v>205</v>
      </c>
      <c r="G670" t="s">
        <v>28</v>
      </c>
      <c r="H670">
        <v>2020</v>
      </c>
      <c r="I670" t="s">
        <v>33</v>
      </c>
      <c r="J670">
        <v>13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34</v>
      </c>
      <c r="T670">
        <v>24</v>
      </c>
      <c r="U670" s="5">
        <f>IF(Merge1[[#This Row],[team_defense_snaps]]=0, "", Merge1[[#This Row],[defense_snaps]] / Merge1[[#This Row],[team_defense_snaps]])</f>
        <v>0.35820895522388058</v>
      </c>
      <c r="V670">
        <v>67</v>
      </c>
      <c r="W670">
        <v>10</v>
      </c>
      <c r="X670" s="5" t="s">
        <v>158</v>
      </c>
      <c r="Y670">
        <v>7</v>
      </c>
      <c r="Z670">
        <v>0</v>
      </c>
      <c r="AA670" t="s">
        <v>25</v>
      </c>
      <c r="AB670" t="s">
        <v>26</v>
      </c>
      <c r="AC670" t="s">
        <v>27</v>
      </c>
      <c r="AD670" t="s">
        <v>28</v>
      </c>
      <c r="AE670" t="s">
        <v>25</v>
      </c>
      <c r="AF6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8.8235294117647065E-2</v>
      </c>
      <c r="AG670" t="s">
        <v>942</v>
      </c>
      <c r="AH670">
        <v>71.5</v>
      </c>
      <c r="AI670" t="s">
        <v>939</v>
      </c>
      <c r="AJ670">
        <v>1</v>
      </c>
      <c r="AK6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MIN(AJ670/8, 1) +
  Merge1[[#This Row],[index_defensive_effort]],
  2
)</f>
        <v>0.81</v>
      </c>
    </row>
    <row r="671" spans="1:37" x14ac:dyDescent="0.25">
      <c r="A671" t="s">
        <v>380</v>
      </c>
      <c r="B671" t="s">
        <v>381</v>
      </c>
      <c r="C671">
        <v>29</v>
      </c>
      <c r="D671" t="s">
        <v>22</v>
      </c>
      <c r="E671">
        <v>70</v>
      </c>
      <c r="F671">
        <v>205</v>
      </c>
      <c r="G671" t="s">
        <v>28</v>
      </c>
      <c r="H671">
        <v>2020</v>
      </c>
      <c r="I671" t="s">
        <v>33</v>
      </c>
      <c r="J671">
        <v>16</v>
      </c>
      <c r="K671">
        <v>3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33</v>
      </c>
      <c r="T671">
        <v>19</v>
      </c>
      <c r="U671" s="5">
        <f>IF(Merge1[[#This Row],[team_defense_snaps]]=0, "", Merge1[[#This Row],[defense_snaps]] / Merge1[[#This Row],[team_defense_snaps]])</f>
        <v>0.296875</v>
      </c>
      <c r="V671">
        <v>64</v>
      </c>
      <c r="W671">
        <v>14</v>
      </c>
      <c r="X671" s="5" t="s">
        <v>238</v>
      </c>
      <c r="Y671">
        <v>7</v>
      </c>
      <c r="Z671">
        <v>0</v>
      </c>
      <c r="AA671" t="s">
        <v>25</v>
      </c>
      <c r="AB671" t="s">
        <v>26</v>
      </c>
      <c r="AC671" t="s">
        <v>27</v>
      </c>
      <c r="AD671" t="s">
        <v>28</v>
      </c>
      <c r="AE671" t="s">
        <v>25</v>
      </c>
      <c r="AF6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0.15151515151515152</v>
      </c>
      <c r="AG671" t="s">
        <v>942</v>
      </c>
      <c r="AH671">
        <v>73</v>
      </c>
      <c r="AI671" t="s">
        <v>939</v>
      </c>
      <c r="AJ671">
        <v>1</v>
      </c>
      <c r="AK6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MIN(AJ671/8, 1) +
  Merge1[[#This Row],[index_defensive_effort]],
  2
)</f>
        <v>0.88</v>
      </c>
    </row>
    <row r="672" spans="1:37" x14ac:dyDescent="0.25">
      <c r="A672" t="s">
        <v>351</v>
      </c>
      <c r="B672" t="s">
        <v>352</v>
      </c>
      <c r="C672">
        <v>26</v>
      </c>
      <c r="D672" t="s">
        <v>22</v>
      </c>
      <c r="E672">
        <v>70</v>
      </c>
      <c r="F672">
        <v>203</v>
      </c>
      <c r="G672" t="s">
        <v>166</v>
      </c>
      <c r="H672">
        <v>2020</v>
      </c>
      <c r="I672" t="s">
        <v>33</v>
      </c>
      <c r="J672">
        <v>13</v>
      </c>
      <c r="K672">
        <v>1</v>
      </c>
      <c r="L672">
        <v>1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33</v>
      </c>
      <c r="T672">
        <v>12</v>
      </c>
      <c r="U672" s="5">
        <f>IF(Merge1[[#This Row],[team_defense_snaps]]=0, "", Merge1[[#This Row],[defense_snaps]] / Merge1[[#This Row],[team_defense_snaps]])</f>
        <v>0.17910447761194029</v>
      </c>
      <c r="V672">
        <v>67</v>
      </c>
      <c r="W672">
        <v>21</v>
      </c>
      <c r="X672" s="5" t="s">
        <v>43</v>
      </c>
      <c r="Y672">
        <v>2</v>
      </c>
      <c r="Z672">
        <v>0</v>
      </c>
      <c r="AA672" t="s">
        <v>25</v>
      </c>
      <c r="AB672" t="s">
        <v>26</v>
      </c>
      <c r="AC672" t="s">
        <v>27</v>
      </c>
      <c r="AD672" t="s">
        <v>28</v>
      </c>
      <c r="AE672" t="s">
        <v>25</v>
      </c>
      <c r="AF6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G672" t="s">
        <v>941</v>
      </c>
      <c r="AH672">
        <v>77</v>
      </c>
      <c r="AI672" t="s">
        <v>939</v>
      </c>
      <c r="AJ672">
        <v>1</v>
      </c>
      <c r="AK6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MIN(AJ672/8, 1) +
  Merge1[[#This Row],[index_defensive_effort]],
  2
)</f>
        <v>0.77</v>
      </c>
    </row>
    <row r="673" spans="1:37" x14ac:dyDescent="0.25">
      <c r="A673" t="s">
        <v>351</v>
      </c>
      <c r="B673" t="s">
        <v>352</v>
      </c>
      <c r="C673">
        <v>26</v>
      </c>
      <c r="D673" t="s">
        <v>22</v>
      </c>
      <c r="E673">
        <v>70</v>
      </c>
      <c r="F673">
        <v>203</v>
      </c>
      <c r="G673" t="s">
        <v>166</v>
      </c>
      <c r="H673">
        <v>2020</v>
      </c>
      <c r="I673" t="s">
        <v>33</v>
      </c>
      <c r="J673">
        <v>15</v>
      </c>
      <c r="K673">
        <v>0</v>
      </c>
      <c r="L673">
        <v>2</v>
      </c>
      <c r="M673">
        <v>0</v>
      </c>
      <c r="N673">
        <v>2</v>
      </c>
      <c r="O673">
        <v>0</v>
      </c>
      <c r="P673">
        <v>0</v>
      </c>
      <c r="Q673">
        <v>0</v>
      </c>
      <c r="R673">
        <v>0</v>
      </c>
      <c r="S673">
        <v>51</v>
      </c>
      <c r="T673">
        <v>29</v>
      </c>
      <c r="U673" s="5">
        <f>IF(Merge1[[#This Row],[team_defense_snaps]]=0, "", Merge1[[#This Row],[defense_snaps]] / Merge1[[#This Row],[team_defense_snaps]])</f>
        <v>0.43939393939393939</v>
      </c>
      <c r="V673">
        <v>66</v>
      </c>
      <c r="W673">
        <v>22</v>
      </c>
      <c r="X673" s="5" t="s">
        <v>49</v>
      </c>
      <c r="Y673">
        <v>2</v>
      </c>
      <c r="Z673">
        <v>0</v>
      </c>
      <c r="AA673" t="s">
        <v>25</v>
      </c>
      <c r="AB673" t="s">
        <v>26</v>
      </c>
      <c r="AC673" t="s">
        <v>27</v>
      </c>
      <c r="AD673" t="s">
        <v>28</v>
      </c>
      <c r="AE673" t="s">
        <v>25</v>
      </c>
      <c r="AF6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1.9607843137254902E-2</v>
      </c>
      <c r="AG673" t="s">
        <v>941</v>
      </c>
      <c r="AH673">
        <v>72.5</v>
      </c>
      <c r="AI673" t="s">
        <v>939</v>
      </c>
      <c r="AJ673">
        <v>2</v>
      </c>
      <c r="AK6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MIN(AJ673/8, 1) +
  Merge1[[#This Row],[index_defensive_effort]],
  2
)</f>
        <v>0.87</v>
      </c>
    </row>
    <row r="674" spans="1:37" x14ac:dyDescent="0.25">
      <c r="A674" t="s">
        <v>351</v>
      </c>
      <c r="B674" t="s">
        <v>352</v>
      </c>
      <c r="C674">
        <v>26</v>
      </c>
      <c r="D674" t="s">
        <v>22</v>
      </c>
      <c r="E674">
        <v>70</v>
      </c>
      <c r="F674">
        <v>203</v>
      </c>
      <c r="G674" t="s">
        <v>166</v>
      </c>
      <c r="H674">
        <v>2020</v>
      </c>
      <c r="I674" t="s">
        <v>33</v>
      </c>
      <c r="J674">
        <v>16</v>
      </c>
      <c r="K674">
        <v>1</v>
      </c>
      <c r="L674">
        <v>2</v>
      </c>
      <c r="M674">
        <v>0</v>
      </c>
      <c r="N674">
        <v>2</v>
      </c>
      <c r="O674">
        <v>0</v>
      </c>
      <c r="P674">
        <v>0</v>
      </c>
      <c r="Q674">
        <v>0</v>
      </c>
      <c r="R674">
        <v>0</v>
      </c>
      <c r="S674">
        <v>69</v>
      </c>
      <c r="T674">
        <v>40</v>
      </c>
      <c r="U674" s="5">
        <f>IF(Merge1[[#This Row],[team_defense_snaps]]=0, "", Merge1[[#This Row],[defense_snaps]] / Merge1[[#This Row],[team_defense_snaps]])</f>
        <v>0.625</v>
      </c>
      <c r="V674">
        <v>64</v>
      </c>
      <c r="W674">
        <v>29</v>
      </c>
      <c r="X674" s="5" t="s">
        <v>43</v>
      </c>
      <c r="Y674">
        <v>2</v>
      </c>
      <c r="Z674">
        <v>0</v>
      </c>
      <c r="AA674" t="s">
        <v>25</v>
      </c>
      <c r="AB674" t="s">
        <v>26</v>
      </c>
      <c r="AC674" t="s">
        <v>27</v>
      </c>
      <c r="AD674" t="s">
        <v>28</v>
      </c>
      <c r="AE674" t="s">
        <v>25</v>
      </c>
      <c r="AF6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2.8985507246376812E-2</v>
      </c>
      <c r="AG674" t="s">
        <v>941</v>
      </c>
      <c r="AH674">
        <v>74</v>
      </c>
      <c r="AI674" t="s">
        <v>939</v>
      </c>
      <c r="AJ674">
        <v>1</v>
      </c>
      <c r="AK6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MIN(AJ674/8, 1) +
  Merge1[[#This Row],[index_defensive_effort]],
  2
)</f>
        <v>0.75</v>
      </c>
    </row>
    <row r="675" spans="1:37" x14ac:dyDescent="0.25">
      <c r="A675" t="s">
        <v>365</v>
      </c>
      <c r="B675" t="s">
        <v>366</v>
      </c>
      <c r="C675">
        <v>28</v>
      </c>
      <c r="D675" t="s">
        <v>22</v>
      </c>
      <c r="E675">
        <v>71</v>
      </c>
      <c r="F675">
        <v>196</v>
      </c>
      <c r="G675" t="s">
        <v>330</v>
      </c>
      <c r="H675">
        <v>2020</v>
      </c>
      <c r="I675" t="s">
        <v>33</v>
      </c>
      <c r="J675">
        <v>9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21</v>
      </c>
      <c r="T675">
        <v>3</v>
      </c>
      <c r="U675" s="5">
        <f>IF(Merge1[[#This Row],[team_defense_snaps]]=0, "", Merge1[[#This Row],[defense_snaps]] / Merge1[[#This Row],[team_defense_snaps]])</f>
        <v>0.04</v>
      </c>
      <c r="V675">
        <v>75</v>
      </c>
      <c r="W675">
        <v>18</v>
      </c>
      <c r="X675" s="5" t="s">
        <v>53</v>
      </c>
      <c r="Y675">
        <v>5</v>
      </c>
      <c r="Z675">
        <v>0</v>
      </c>
      <c r="AA675" t="s">
        <v>25</v>
      </c>
      <c r="AB675" t="s">
        <v>26</v>
      </c>
      <c r="AC675" t="s">
        <v>27</v>
      </c>
      <c r="AD675" t="s">
        <v>28</v>
      </c>
      <c r="AE675" t="s">
        <v>25</v>
      </c>
      <c r="AF6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4.7619047619047616E-2</v>
      </c>
      <c r="AG675" t="s">
        <v>942</v>
      </c>
      <c r="AH675">
        <v>50.5</v>
      </c>
      <c r="AI675" t="s">
        <v>939</v>
      </c>
      <c r="AJ675">
        <v>1</v>
      </c>
      <c r="AK6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MIN(AJ675/8, 1) +
  Merge1[[#This Row],[index_defensive_effort]],
  2
)</f>
        <v>0.77</v>
      </c>
    </row>
    <row r="676" spans="1:37" x14ac:dyDescent="0.25">
      <c r="A676" t="s">
        <v>365</v>
      </c>
      <c r="B676" t="s">
        <v>366</v>
      </c>
      <c r="C676">
        <v>28</v>
      </c>
      <c r="D676" t="s">
        <v>22</v>
      </c>
      <c r="E676">
        <v>71</v>
      </c>
      <c r="F676">
        <v>196</v>
      </c>
      <c r="G676" t="s">
        <v>330</v>
      </c>
      <c r="H676">
        <v>2020</v>
      </c>
      <c r="I676" t="s">
        <v>33</v>
      </c>
      <c r="J676">
        <v>14</v>
      </c>
      <c r="K676">
        <v>0</v>
      </c>
      <c r="L676">
        <v>1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15</v>
      </c>
      <c r="T676">
        <v>10</v>
      </c>
      <c r="U676" s="5">
        <f>IF(Merge1[[#This Row],[team_defense_snaps]]=0, "", Merge1[[#This Row],[defense_snaps]] / Merge1[[#This Row],[team_defense_snaps]])</f>
        <v>0.18867924528301888</v>
      </c>
      <c r="V676">
        <v>53</v>
      </c>
      <c r="W676">
        <v>5</v>
      </c>
      <c r="X676" s="5" t="s">
        <v>181</v>
      </c>
      <c r="Y676">
        <v>5</v>
      </c>
      <c r="Z676">
        <v>0</v>
      </c>
      <c r="AA676" t="s">
        <v>25</v>
      </c>
      <c r="AB676" t="s">
        <v>26</v>
      </c>
      <c r="AC676" t="s">
        <v>27</v>
      </c>
      <c r="AD676" t="s">
        <v>28</v>
      </c>
      <c r="AE676" t="s">
        <v>25</v>
      </c>
      <c r="AF6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3.3333333333333333E-2</v>
      </c>
      <c r="AG676" t="s">
        <v>942</v>
      </c>
      <c r="AH676">
        <v>58</v>
      </c>
      <c r="AI676" t="s">
        <v>939</v>
      </c>
      <c r="AJ676">
        <v>1</v>
      </c>
      <c r="AK6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MIN(AJ676/8, 1) +
  Merge1[[#This Row],[index_defensive_effort]],
  2
)</f>
        <v>0.76</v>
      </c>
    </row>
    <row r="677" spans="1:37" x14ac:dyDescent="0.25">
      <c r="A677" t="s">
        <v>301</v>
      </c>
      <c r="B677" t="s">
        <v>302</v>
      </c>
      <c r="C677">
        <v>24</v>
      </c>
      <c r="D677" t="s">
        <v>56</v>
      </c>
      <c r="E677">
        <v>72</v>
      </c>
      <c r="F677">
        <v>195</v>
      </c>
      <c r="G677" t="s">
        <v>166</v>
      </c>
      <c r="H677">
        <v>2020</v>
      </c>
      <c r="I677" t="s">
        <v>33</v>
      </c>
      <c r="J677">
        <v>1</v>
      </c>
      <c r="K677">
        <v>3</v>
      </c>
      <c r="L677">
        <v>2</v>
      </c>
      <c r="M677">
        <v>0</v>
      </c>
      <c r="N677">
        <v>2</v>
      </c>
      <c r="O677">
        <v>0</v>
      </c>
      <c r="P677">
        <v>1</v>
      </c>
      <c r="Q677">
        <v>0</v>
      </c>
      <c r="R677">
        <v>0</v>
      </c>
      <c r="S677">
        <v>49</v>
      </c>
      <c r="T677">
        <v>48</v>
      </c>
      <c r="U677" s="5">
        <f>IF(Merge1[[#This Row],[team_defense_snaps]]=0, "", Merge1[[#This Row],[defense_snaps]] / Merge1[[#This Row],[team_defense_snaps]])</f>
        <v>0.71641791044776115</v>
      </c>
      <c r="V677">
        <v>67</v>
      </c>
      <c r="W677">
        <v>1</v>
      </c>
      <c r="X677" s="5" t="s">
        <v>303</v>
      </c>
      <c r="Y677">
        <v>0</v>
      </c>
      <c r="Z677">
        <v>0</v>
      </c>
      <c r="AA677" t="s">
        <v>25</v>
      </c>
      <c r="AB677" t="s">
        <v>26</v>
      </c>
      <c r="AC677" t="s">
        <v>27</v>
      </c>
      <c r="AD677" t="s">
        <v>42</v>
      </c>
      <c r="AE677" t="s">
        <v>25</v>
      </c>
      <c r="AF6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0.12244897959183673</v>
      </c>
      <c r="AG677" t="s">
        <v>941</v>
      </c>
      <c r="AH677">
        <v>78.5</v>
      </c>
      <c r="AI677" t="s">
        <v>939</v>
      </c>
      <c r="AJ677">
        <v>2</v>
      </c>
      <c r="AK6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MIN(AJ677/8, 1) +
  Merge1[[#This Row],[index_defensive_effort]],
  2
)</f>
        <v>0.77</v>
      </c>
    </row>
    <row r="678" spans="1:37" x14ac:dyDescent="0.25">
      <c r="A678" t="s">
        <v>301</v>
      </c>
      <c r="B678" t="s">
        <v>302</v>
      </c>
      <c r="C678">
        <v>24</v>
      </c>
      <c r="D678" t="s">
        <v>56</v>
      </c>
      <c r="E678">
        <v>72</v>
      </c>
      <c r="F678">
        <v>195</v>
      </c>
      <c r="G678" t="s">
        <v>166</v>
      </c>
      <c r="H678">
        <v>2020</v>
      </c>
      <c r="I678" t="s">
        <v>33</v>
      </c>
      <c r="J678">
        <v>2</v>
      </c>
      <c r="K678">
        <v>7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50</v>
      </c>
      <c r="T678">
        <v>49</v>
      </c>
      <c r="U678" s="5">
        <f>IF(Merge1[[#This Row],[team_defense_snaps]]=0, "", Merge1[[#This Row],[defense_snaps]] / Merge1[[#This Row],[team_defense_snaps]])</f>
        <v>0.81666666666666665</v>
      </c>
      <c r="V678">
        <v>60</v>
      </c>
      <c r="W678">
        <v>1</v>
      </c>
      <c r="X678" s="5" t="s">
        <v>193</v>
      </c>
      <c r="Y678">
        <v>0</v>
      </c>
      <c r="Z678">
        <v>0</v>
      </c>
      <c r="AA678" t="s">
        <v>25</v>
      </c>
      <c r="AB678" t="s">
        <v>26</v>
      </c>
      <c r="AC678" t="s">
        <v>27</v>
      </c>
      <c r="AD678" t="s">
        <v>42</v>
      </c>
      <c r="AE678" t="s">
        <v>25</v>
      </c>
      <c r="AF6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</v>
      </c>
      <c r="AG678" t="s">
        <v>941</v>
      </c>
      <c r="AH678">
        <v>72.5</v>
      </c>
      <c r="AI678" t="s">
        <v>939</v>
      </c>
      <c r="AJ678">
        <v>3</v>
      </c>
      <c r="AK6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MIN(AJ678/8, 1) +
  Merge1[[#This Row],[index_defensive_effort]],
  2
)</f>
        <v>0.96</v>
      </c>
    </row>
    <row r="679" spans="1:37" x14ac:dyDescent="0.25">
      <c r="A679" t="s">
        <v>301</v>
      </c>
      <c r="B679" t="s">
        <v>302</v>
      </c>
      <c r="C679">
        <v>24</v>
      </c>
      <c r="D679" t="s">
        <v>56</v>
      </c>
      <c r="E679">
        <v>72</v>
      </c>
      <c r="F679">
        <v>195</v>
      </c>
      <c r="G679" t="s">
        <v>166</v>
      </c>
      <c r="H679">
        <v>2020</v>
      </c>
      <c r="I679" t="s">
        <v>33</v>
      </c>
      <c r="J679">
        <v>3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52</v>
      </c>
      <c r="T679">
        <v>52</v>
      </c>
      <c r="U679" s="5">
        <f>IF(Merge1[[#This Row],[team_defense_snaps]]=0, "", Merge1[[#This Row],[defense_snaps]] / Merge1[[#This Row],[team_defense_snaps]])</f>
        <v>0.75362318840579712</v>
      </c>
      <c r="V679">
        <v>69</v>
      </c>
      <c r="W679">
        <v>0</v>
      </c>
      <c r="X679" s="5" t="s">
        <v>29</v>
      </c>
      <c r="Y679">
        <v>0</v>
      </c>
      <c r="Z679">
        <v>0</v>
      </c>
      <c r="AA679" t="s">
        <v>25</v>
      </c>
      <c r="AB679" t="s">
        <v>26</v>
      </c>
      <c r="AC679" t="s">
        <v>27</v>
      </c>
      <c r="AD679" t="s">
        <v>42</v>
      </c>
      <c r="AE679" t="s">
        <v>25</v>
      </c>
      <c r="AF6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1.9230769230769232E-2</v>
      </c>
      <c r="AG679" t="s">
        <v>941</v>
      </c>
      <c r="AH679">
        <v>95</v>
      </c>
      <c r="AI679" t="s">
        <v>939</v>
      </c>
      <c r="AJ679">
        <v>1</v>
      </c>
      <c r="AK6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MIN(AJ679/8, 1) +
  Merge1[[#This Row],[index_defensive_effort]],
  2
)</f>
        <v>0.54</v>
      </c>
    </row>
    <row r="680" spans="1:37" x14ac:dyDescent="0.25">
      <c r="A680" t="s">
        <v>301</v>
      </c>
      <c r="B680" t="s">
        <v>302</v>
      </c>
      <c r="C680">
        <v>24</v>
      </c>
      <c r="D680" t="s">
        <v>56</v>
      </c>
      <c r="E680">
        <v>72</v>
      </c>
      <c r="F680">
        <v>195</v>
      </c>
      <c r="G680" t="s">
        <v>166</v>
      </c>
      <c r="H680">
        <v>2020</v>
      </c>
      <c r="I680" t="s">
        <v>33</v>
      </c>
      <c r="J680">
        <v>11</v>
      </c>
      <c r="K680">
        <v>4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71</v>
      </c>
      <c r="T680">
        <v>71</v>
      </c>
      <c r="U680" s="5">
        <f>IF(Merge1[[#This Row],[team_defense_snaps]]=0, "", Merge1[[#This Row],[defense_snaps]] / Merge1[[#This Row],[team_defense_snaps]])</f>
        <v>0.91025641025641024</v>
      </c>
      <c r="V680">
        <v>78</v>
      </c>
      <c r="W680">
        <v>0</v>
      </c>
      <c r="X680" s="5" t="s">
        <v>29</v>
      </c>
      <c r="Y680">
        <v>0</v>
      </c>
      <c r="Z680">
        <v>0</v>
      </c>
      <c r="AA680" t="s">
        <v>25</v>
      </c>
      <c r="AB680" t="s">
        <v>26</v>
      </c>
      <c r="AC680" t="s">
        <v>27</v>
      </c>
      <c r="AD680" t="s">
        <v>42</v>
      </c>
      <c r="AE680" t="s">
        <v>25</v>
      </c>
      <c r="AF6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5.6338028169014086E-2</v>
      </c>
      <c r="AG680" t="s">
        <v>941</v>
      </c>
      <c r="AH680">
        <v>93.5</v>
      </c>
      <c r="AI680" t="s">
        <v>939</v>
      </c>
      <c r="AJ680">
        <v>2</v>
      </c>
      <c r="AK6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MIN(AJ680/8, 1) +
  Merge1[[#This Row],[index_defensive_effort]],
  2
)</f>
        <v>0.71</v>
      </c>
    </row>
    <row r="681" spans="1:37" x14ac:dyDescent="0.25">
      <c r="A681" t="s">
        <v>301</v>
      </c>
      <c r="B681" t="s">
        <v>302</v>
      </c>
      <c r="C681">
        <v>24</v>
      </c>
      <c r="D681" t="s">
        <v>56</v>
      </c>
      <c r="E681">
        <v>72</v>
      </c>
      <c r="F681">
        <v>195</v>
      </c>
      <c r="G681" t="s">
        <v>166</v>
      </c>
      <c r="H681">
        <v>2020</v>
      </c>
      <c r="I681" t="s">
        <v>33</v>
      </c>
      <c r="J681">
        <v>12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8</v>
      </c>
      <c r="T681">
        <v>8</v>
      </c>
      <c r="U681" s="5">
        <f>IF(Merge1[[#This Row],[team_defense_snaps]]=0, "", Merge1[[#This Row],[defense_snaps]] / Merge1[[#This Row],[team_defense_snaps]])</f>
        <v>0.1</v>
      </c>
      <c r="V681">
        <v>80</v>
      </c>
      <c r="W681">
        <v>0</v>
      </c>
      <c r="X681" s="5" t="s">
        <v>29</v>
      </c>
      <c r="Y681">
        <v>0</v>
      </c>
      <c r="Z681">
        <v>0</v>
      </c>
      <c r="AA681" t="s">
        <v>25</v>
      </c>
      <c r="AB681" t="s">
        <v>26</v>
      </c>
      <c r="AC681" t="s">
        <v>27</v>
      </c>
      <c r="AD681" t="s">
        <v>42</v>
      </c>
      <c r="AE681" t="s">
        <v>25</v>
      </c>
      <c r="AF6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681" t="s">
        <v>941</v>
      </c>
      <c r="AH681">
        <v>92</v>
      </c>
      <c r="AI681" t="s">
        <v>939</v>
      </c>
      <c r="AJ681">
        <v>3</v>
      </c>
      <c r="AK6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MIN(AJ681/8, 1) +
  Merge1[[#This Row],[index_defensive_effort]],
  2
)</f>
        <v>0.9</v>
      </c>
    </row>
    <row r="682" spans="1:37" x14ac:dyDescent="0.25">
      <c r="A682" t="s">
        <v>301</v>
      </c>
      <c r="B682" t="s">
        <v>302</v>
      </c>
      <c r="C682">
        <v>24</v>
      </c>
      <c r="D682" t="s">
        <v>56</v>
      </c>
      <c r="E682">
        <v>72</v>
      </c>
      <c r="F682">
        <v>195</v>
      </c>
      <c r="G682" t="s">
        <v>166</v>
      </c>
      <c r="H682">
        <v>2020</v>
      </c>
      <c r="I682" t="s">
        <v>33</v>
      </c>
      <c r="J682">
        <v>13</v>
      </c>
      <c r="K682">
        <v>0</v>
      </c>
      <c r="L682">
        <v>1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2</v>
      </c>
      <c r="T682">
        <v>2</v>
      </c>
      <c r="U682" s="5">
        <f>IF(Merge1[[#This Row],[team_defense_snaps]]=0, "", Merge1[[#This Row],[defense_snaps]] / Merge1[[#This Row],[team_defense_snaps]])</f>
        <v>2.9850746268656716E-2</v>
      </c>
      <c r="V682">
        <v>67</v>
      </c>
      <c r="W682">
        <v>0</v>
      </c>
      <c r="X682" s="5" t="s">
        <v>29</v>
      </c>
      <c r="Y682">
        <v>0</v>
      </c>
      <c r="Z682">
        <v>0</v>
      </c>
      <c r="AA682" t="s">
        <v>25</v>
      </c>
      <c r="AB682" t="s">
        <v>26</v>
      </c>
      <c r="AC682" t="s">
        <v>27</v>
      </c>
      <c r="AD682" t="s">
        <v>42</v>
      </c>
      <c r="AE682" t="s">
        <v>25</v>
      </c>
      <c r="AF6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</v>
      </c>
      <c r="AG682" t="s">
        <v>941</v>
      </c>
      <c r="AH682">
        <v>77</v>
      </c>
      <c r="AI682" t="s">
        <v>939</v>
      </c>
      <c r="AJ682">
        <v>1</v>
      </c>
      <c r="AK6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MIN(AJ682/8, 1) +
  Merge1[[#This Row],[index_defensive_effort]],
  2
)</f>
        <v>0.78</v>
      </c>
    </row>
    <row r="683" spans="1:37" x14ac:dyDescent="0.25">
      <c r="A683" t="s">
        <v>301</v>
      </c>
      <c r="B683" t="s">
        <v>302</v>
      </c>
      <c r="C683">
        <v>24</v>
      </c>
      <c r="D683" t="s">
        <v>56</v>
      </c>
      <c r="E683">
        <v>72</v>
      </c>
      <c r="F683">
        <v>195</v>
      </c>
      <c r="G683" t="s">
        <v>166</v>
      </c>
      <c r="H683">
        <v>2020</v>
      </c>
      <c r="I683" t="s">
        <v>33</v>
      </c>
      <c r="J683">
        <v>16</v>
      </c>
      <c r="K683">
        <v>2</v>
      </c>
      <c r="L683">
        <v>1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51</v>
      </c>
      <c r="T683">
        <v>51</v>
      </c>
      <c r="U683" s="5">
        <f>IF(Merge1[[#This Row],[team_defense_snaps]]=0, "", Merge1[[#This Row],[defense_snaps]] / Merge1[[#This Row],[team_defense_snaps]])</f>
        <v>0.796875</v>
      </c>
      <c r="V683">
        <v>64</v>
      </c>
      <c r="W683">
        <v>0</v>
      </c>
      <c r="X683" s="5" t="s">
        <v>29</v>
      </c>
      <c r="Y683">
        <v>0</v>
      </c>
      <c r="Z683">
        <v>0</v>
      </c>
      <c r="AA683" t="s">
        <v>25</v>
      </c>
      <c r="AB683" t="s">
        <v>26</v>
      </c>
      <c r="AC683" t="s">
        <v>27</v>
      </c>
      <c r="AD683" t="s">
        <v>42</v>
      </c>
      <c r="AE683" t="s">
        <v>25</v>
      </c>
      <c r="AF6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4.9019607843137254E-2</v>
      </c>
      <c r="AG683" t="s">
        <v>941</v>
      </c>
      <c r="AH683">
        <v>80</v>
      </c>
      <c r="AI683" t="s">
        <v>939</v>
      </c>
      <c r="AJ683">
        <v>2</v>
      </c>
      <c r="AK6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MIN(AJ683/8, 1) +
  Merge1[[#This Row],[index_defensive_effort]],
  2
)</f>
        <v>0.7</v>
      </c>
    </row>
    <row r="684" spans="1:37" x14ac:dyDescent="0.25">
      <c r="A684" t="s">
        <v>301</v>
      </c>
      <c r="B684" t="s">
        <v>302</v>
      </c>
      <c r="C684">
        <v>24</v>
      </c>
      <c r="D684" t="s">
        <v>56</v>
      </c>
      <c r="E684">
        <v>72</v>
      </c>
      <c r="F684">
        <v>195</v>
      </c>
      <c r="G684" t="s">
        <v>166</v>
      </c>
      <c r="H684">
        <v>2020</v>
      </c>
      <c r="I684" t="s">
        <v>33</v>
      </c>
      <c r="J684">
        <v>17</v>
      </c>
      <c r="K684">
        <v>4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17</v>
      </c>
      <c r="T684">
        <v>17</v>
      </c>
      <c r="U684" s="5">
        <f>IF(Merge1[[#This Row],[team_defense_snaps]]=0, "", Merge1[[#This Row],[defense_snaps]] / Merge1[[#This Row],[team_defense_snaps]])</f>
        <v>0.2073170731707317</v>
      </c>
      <c r="V684">
        <v>82</v>
      </c>
      <c r="W684">
        <v>0</v>
      </c>
      <c r="X684" s="5" t="s">
        <v>29</v>
      </c>
      <c r="Y684">
        <v>0</v>
      </c>
      <c r="Z684">
        <v>0</v>
      </c>
      <c r="AA684" t="s">
        <v>25</v>
      </c>
      <c r="AB684" t="s">
        <v>26</v>
      </c>
      <c r="AC684" t="s">
        <v>27</v>
      </c>
      <c r="AD684" t="s">
        <v>28</v>
      </c>
      <c r="AE684" t="s">
        <v>25</v>
      </c>
      <c r="AF6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0.23529411764705882</v>
      </c>
      <c r="AG684" t="s">
        <v>941</v>
      </c>
      <c r="AH684">
        <v>71</v>
      </c>
      <c r="AI684" t="s">
        <v>939</v>
      </c>
      <c r="AJ684">
        <v>1</v>
      </c>
      <c r="AK6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MIN(AJ684/8, 1) +
  Merge1[[#This Row],[index_defensive_effort]],
  2
)</f>
        <v>0.76</v>
      </c>
    </row>
    <row r="685" spans="1:37" x14ac:dyDescent="0.25">
      <c r="A685" t="s">
        <v>345</v>
      </c>
      <c r="B685" t="s">
        <v>346</v>
      </c>
      <c r="C685">
        <v>27</v>
      </c>
      <c r="D685" t="s">
        <v>22</v>
      </c>
      <c r="E685">
        <v>71</v>
      </c>
      <c r="F685">
        <v>174</v>
      </c>
      <c r="G685" t="s">
        <v>173</v>
      </c>
      <c r="H685">
        <v>2020</v>
      </c>
      <c r="I685" t="s">
        <v>33</v>
      </c>
      <c r="J685">
        <v>1</v>
      </c>
      <c r="K685">
        <v>4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67</v>
      </c>
      <c r="T685">
        <v>62</v>
      </c>
      <c r="U685" s="5">
        <f>IF(Merge1[[#This Row],[team_defense_snaps]]=0, "", Merge1[[#This Row],[defense_snaps]] / Merge1[[#This Row],[team_defense_snaps]])</f>
        <v>1</v>
      </c>
      <c r="V685">
        <v>62</v>
      </c>
      <c r="W685">
        <v>5</v>
      </c>
      <c r="X685" s="5" t="s">
        <v>124</v>
      </c>
      <c r="Y685">
        <v>3</v>
      </c>
      <c r="Z685">
        <v>0</v>
      </c>
      <c r="AA685" t="s">
        <v>25</v>
      </c>
      <c r="AB685" t="s">
        <v>26</v>
      </c>
      <c r="AC685" t="s">
        <v>27</v>
      </c>
      <c r="AD685" t="s">
        <v>42</v>
      </c>
      <c r="AE685" t="s">
        <v>25</v>
      </c>
      <c r="AF6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8.9552238805970144E-2</v>
      </c>
      <c r="AG685" t="s">
        <v>942</v>
      </c>
      <c r="AH685">
        <v>76.5</v>
      </c>
      <c r="AI685" t="s">
        <v>939</v>
      </c>
      <c r="AJ685">
        <v>2</v>
      </c>
      <c r="AK6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MIN(AJ685/8, 1) +
  Merge1[[#This Row],[index_defensive_effort]],
  2
)</f>
        <v>0.84</v>
      </c>
    </row>
    <row r="686" spans="1:37" x14ac:dyDescent="0.25">
      <c r="A686" t="s">
        <v>345</v>
      </c>
      <c r="B686" t="s">
        <v>346</v>
      </c>
      <c r="C686">
        <v>27</v>
      </c>
      <c r="D686" t="s">
        <v>22</v>
      </c>
      <c r="E686">
        <v>71</v>
      </c>
      <c r="F686">
        <v>174</v>
      </c>
      <c r="G686" t="s">
        <v>173</v>
      </c>
      <c r="H686">
        <v>2020</v>
      </c>
      <c r="I686" t="s">
        <v>33</v>
      </c>
      <c r="J686">
        <v>2</v>
      </c>
      <c r="K686">
        <v>7</v>
      </c>
      <c r="L686">
        <v>1</v>
      </c>
      <c r="M686">
        <v>0</v>
      </c>
      <c r="N686">
        <v>1</v>
      </c>
      <c r="O686">
        <v>0</v>
      </c>
      <c r="P686">
        <v>2</v>
      </c>
      <c r="Q686">
        <v>0</v>
      </c>
      <c r="R686">
        <v>0</v>
      </c>
      <c r="S686">
        <v>88</v>
      </c>
      <c r="T686">
        <v>77</v>
      </c>
      <c r="U686" s="5">
        <f>IF(Merge1[[#This Row],[team_defense_snaps]]=0, "", Merge1[[#This Row],[defense_snaps]] / Merge1[[#This Row],[team_defense_snaps]])</f>
        <v>0.92771084337349397</v>
      </c>
      <c r="V686">
        <v>83</v>
      </c>
      <c r="W686">
        <v>11</v>
      </c>
      <c r="X686" s="5" t="s">
        <v>314</v>
      </c>
      <c r="Y686">
        <v>3</v>
      </c>
      <c r="Z686">
        <v>0</v>
      </c>
      <c r="AA686" t="s">
        <v>25</v>
      </c>
      <c r="AB686" t="s">
        <v>26</v>
      </c>
      <c r="AC686" t="s">
        <v>27</v>
      </c>
      <c r="AD686" t="s">
        <v>42</v>
      </c>
      <c r="AE686" t="s">
        <v>25</v>
      </c>
      <c r="AF6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0.13068181818181818</v>
      </c>
      <c r="AG686" t="s">
        <v>942</v>
      </c>
      <c r="AH686">
        <v>75</v>
      </c>
      <c r="AI686" t="s">
        <v>939</v>
      </c>
      <c r="AJ686">
        <v>3</v>
      </c>
      <c r="AK6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MIN(AJ686/8, 1) +
  Merge1[[#This Row],[index_defensive_effort]],
  2
)</f>
        <v>1.01</v>
      </c>
    </row>
    <row r="687" spans="1:37" x14ac:dyDescent="0.25">
      <c r="A687" t="s">
        <v>345</v>
      </c>
      <c r="B687" t="s">
        <v>346</v>
      </c>
      <c r="C687">
        <v>27</v>
      </c>
      <c r="D687" t="s">
        <v>22</v>
      </c>
      <c r="E687">
        <v>71</v>
      </c>
      <c r="F687">
        <v>174</v>
      </c>
      <c r="G687" t="s">
        <v>173</v>
      </c>
      <c r="H687">
        <v>2020</v>
      </c>
      <c r="I687" t="s">
        <v>33</v>
      </c>
      <c r="J687">
        <v>3</v>
      </c>
      <c r="K687">
        <v>3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2</v>
      </c>
      <c r="S687">
        <v>82</v>
      </c>
      <c r="T687">
        <v>81</v>
      </c>
      <c r="U687" s="5">
        <f>IF(Merge1[[#This Row],[team_defense_snaps]]=0, "", Merge1[[#This Row],[defense_snaps]] / Merge1[[#This Row],[team_defense_snaps]])</f>
        <v>0.97590361445783136</v>
      </c>
      <c r="V687">
        <v>83</v>
      </c>
      <c r="W687">
        <v>1</v>
      </c>
      <c r="X687" s="5" t="s">
        <v>303</v>
      </c>
      <c r="Y687">
        <v>3</v>
      </c>
      <c r="Z687">
        <v>0</v>
      </c>
      <c r="AA687" t="s">
        <v>25</v>
      </c>
      <c r="AB687" t="s">
        <v>26</v>
      </c>
      <c r="AC687" t="s">
        <v>27</v>
      </c>
      <c r="AD687" t="s">
        <v>42</v>
      </c>
      <c r="AE687" t="s">
        <v>25</v>
      </c>
      <c r="AF6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0.10975609756097561</v>
      </c>
      <c r="AG687" t="s">
        <v>942</v>
      </c>
      <c r="AH687">
        <v>73.5</v>
      </c>
      <c r="AI687" t="s">
        <v>939</v>
      </c>
      <c r="AJ687">
        <v>4</v>
      </c>
      <c r="AK6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MIN(AJ687/8, 1) +
  Merge1[[#This Row],[index_defensive_effort]],
  2
)</f>
        <v>1.1100000000000001</v>
      </c>
    </row>
    <row r="688" spans="1:37" x14ac:dyDescent="0.25">
      <c r="A688" t="s">
        <v>345</v>
      </c>
      <c r="B688" t="s">
        <v>346</v>
      </c>
      <c r="C688">
        <v>27</v>
      </c>
      <c r="D688" t="s">
        <v>22</v>
      </c>
      <c r="E688">
        <v>71</v>
      </c>
      <c r="F688">
        <v>174</v>
      </c>
      <c r="G688" t="s">
        <v>173</v>
      </c>
      <c r="H688">
        <v>2020</v>
      </c>
      <c r="I688" t="s">
        <v>33</v>
      </c>
      <c r="J688">
        <v>4</v>
      </c>
      <c r="K688">
        <v>3</v>
      </c>
      <c r="L688">
        <v>2</v>
      </c>
      <c r="M688">
        <v>0</v>
      </c>
      <c r="N688">
        <v>2</v>
      </c>
      <c r="O688">
        <v>0</v>
      </c>
      <c r="P688">
        <v>0</v>
      </c>
      <c r="Q688">
        <v>0</v>
      </c>
      <c r="R688">
        <v>0</v>
      </c>
      <c r="S688">
        <v>21</v>
      </c>
      <c r="T688">
        <v>21</v>
      </c>
      <c r="U688" s="5">
        <f>IF(Merge1[[#This Row],[team_defense_snaps]]=0, "", Merge1[[#This Row],[defense_snaps]] / Merge1[[#This Row],[team_defense_snaps]])</f>
        <v>0.328125</v>
      </c>
      <c r="V688">
        <v>64</v>
      </c>
      <c r="W688">
        <v>0</v>
      </c>
      <c r="X688" s="5" t="s">
        <v>29</v>
      </c>
      <c r="Y688">
        <v>3</v>
      </c>
      <c r="Z688">
        <v>0</v>
      </c>
      <c r="AA688" t="s">
        <v>25</v>
      </c>
      <c r="AB688" t="s">
        <v>26</v>
      </c>
      <c r="AC688" t="s">
        <v>27</v>
      </c>
      <c r="AD688" t="s">
        <v>42</v>
      </c>
      <c r="AE688" t="s">
        <v>25</v>
      </c>
      <c r="AF6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0.19047619047619047</v>
      </c>
      <c r="AG688" t="s">
        <v>942</v>
      </c>
      <c r="AH688">
        <v>78</v>
      </c>
      <c r="AI688" t="s">
        <v>938</v>
      </c>
      <c r="AJ688">
        <v>1</v>
      </c>
      <c r="AK6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MIN(AJ688/8, 1) +
  Merge1[[#This Row],[index_defensive_effort]],
  2
)</f>
        <v>0.82</v>
      </c>
    </row>
    <row r="689" spans="1:37" x14ac:dyDescent="0.25">
      <c r="A689" t="s">
        <v>310</v>
      </c>
      <c r="B689" t="s">
        <v>311</v>
      </c>
      <c r="C689">
        <v>25</v>
      </c>
      <c r="D689" t="s">
        <v>22</v>
      </c>
      <c r="E689">
        <v>73</v>
      </c>
      <c r="F689">
        <v>209</v>
      </c>
      <c r="G689" t="s">
        <v>130</v>
      </c>
      <c r="H689">
        <v>2020</v>
      </c>
      <c r="I689" t="s">
        <v>33</v>
      </c>
      <c r="J689">
        <v>7</v>
      </c>
      <c r="K689">
        <v>0</v>
      </c>
      <c r="L689">
        <v>2</v>
      </c>
      <c r="M689">
        <v>2</v>
      </c>
      <c r="N689">
        <v>4</v>
      </c>
      <c r="O689">
        <v>0</v>
      </c>
      <c r="P689">
        <v>0</v>
      </c>
      <c r="Q689">
        <v>2</v>
      </c>
      <c r="R689">
        <v>0</v>
      </c>
      <c r="S689">
        <v>23</v>
      </c>
      <c r="T689">
        <v>1</v>
      </c>
      <c r="U689" s="5">
        <f>IF(Merge1[[#This Row],[team_defense_snaps]]=0, "", Merge1[[#This Row],[defense_snaps]] / Merge1[[#This Row],[team_defense_snaps]])</f>
        <v>0.01</v>
      </c>
      <c r="V689">
        <v>100</v>
      </c>
      <c r="W689">
        <v>22</v>
      </c>
      <c r="X689" s="5" t="s">
        <v>49</v>
      </c>
      <c r="Y689">
        <v>2</v>
      </c>
      <c r="Z689">
        <v>0</v>
      </c>
      <c r="AA689" t="s">
        <v>25</v>
      </c>
      <c r="AB689" t="s">
        <v>62</v>
      </c>
      <c r="AC689" t="s">
        <v>27</v>
      </c>
      <c r="AD689" t="s">
        <v>28</v>
      </c>
      <c r="AE689" t="s">
        <v>25</v>
      </c>
      <c r="AF6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0.43478260869565216</v>
      </c>
      <c r="AG689" t="s">
        <v>941</v>
      </c>
      <c r="AH689">
        <v>69</v>
      </c>
      <c r="AI689" t="s">
        <v>939</v>
      </c>
      <c r="AJ689">
        <v>1</v>
      </c>
      <c r="AK6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MIN(AJ689/8, 1) +
  Merge1[[#This Row],[index_defensive_effort]],
  2
)</f>
        <v>1.06</v>
      </c>
    </row>
    <row r="690" spans="1:37" x14ac:dyDescent="0.25">
      <c r="A690" t="s">
        <v>337</v>
      </c>
      <c r="B690" t="s">
        <v>338</v>
      </c>
      <c r="C690">
        <v>24</v>
      </c>
      <c r="D690" t="s">
        <v>56</v>
      </c>
      <c r="E690">
        <v>71</v>
      </c>
      <c r="F690">
        <v>180</v>
      </c>
      <c r="G690" t="s">
        <v>339</v>
      </c>
      <c r="H690">
        <v>2020</v>
      </c>
      <c r="I690" t="s">
        <v>33</v>
      </c>
      <c r="J690">
        <v>7</v>
      </c>
      <c r="K690">
        <v>5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2</v>
      </c>
      <c r="R690">
        <v>0</v>
      </c>
      <c r="S690">
        <v>59</v>
      </c>
      <c r="T690">
        <v>57</v>
      </c>
      <c r="U690" s="5">
        <f>IF(Merge1[[#This Row],[team_defense_snaps]]=0, "", Merge1[[#This Row],[defense_snaps]] / Merge1[[#This Row],[team_defense_snaps]])</f>
        <v>1</v>
      </c>
      <c r="V690">
        <v>57</v>
      </c>
      <c r="W690">
        <v>2</v>
      </c>
      <c r="X690" s="5" t="s">
        <v>250</v>
      </c>
      <c r="Y690">
        <v>0</v>
      </c>
      <c r="Z690">
        <v>0</v>
      </c>
      <c r="AA690" t="s">
        <v>25</v>
      </c>
      <c r="AB690" t="s">
        <v>26</v>
      </c>
      <c r="AC690" t="s">
        <v>27</v>
      </c>
      <c r="AD690" t="s">
        <v>42</v>
      </c>
      <c r="AE690" t="s">
        <v>25</v>
      </c>
      <c r="AF6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0.25423728813559321</v>
      </c>
      <c r="AG690" t="s">
        <v>942</v>
      </c>
      <c r="AH690">
        <v>54.5</v>
      </c>
      <c r="AI690" t="s">
        <v>939</v>
      </c>
      <c r="AJ690">
        <v>1</v>
      </c>
      <c r="AK6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MIN(AJ690/8, 1) +
  Merge1[[#This Row],[index_defensive_effort]],
  2
)</f>
        <v>0.78</v>
      </c>
    </row>
    <row r="691" spans="1:37" x14ac:dyDescent="0.25">
      <c r="A691" t="s">
        <v>337</v>
      </c>
      <c r="B691" t="s">
        <v>338</v>
      </c>
      <c r="C691">
        <v>24</v>
      </c>
      <c r="D691" t="s">
        <v>56</v>
      </c>
      <c r="E691">
        <v>71</v>
      </c>
      <c r="F691">
        <v>180</v>
      </c>
      <c r="G691" t="s">
        <v>339</v>
      </c>
      <c r="H691">
        <v>2020</v>
      </c>
      <c r="I691" t="s">
        <v>33</v>
      </c>
      <c r="J691">
        <v>9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11</v>
      </c>
      <c r="T691">
        <v>4</v>
      </c>
      <c r="U691" s="5">
        <f>IF(Merge1[[#This Row],[team_defense_snaps]]=0, "", Merge1[[#This Row],[defense_snaps]] / Merge1[[#This Row],[team_defense_snaps]])</f>
        <v>5.9701492537313432E-2</v>
      </c>
      <c r="V691">
        <v>67</v>
      </c>
      <c r="W691">
        <v>7</v>
      </c>
      <c r="X691" s="5" t="s">
        <v>293</v>
      </c>
      <c r="Y691">
        <v>0</v>
      </c>
      <c r="Z691">
        <v>0</v>
      </c>
      <c r="AA691" t="s">
        <v>25</v>
      </c>
      <c r="AB691" t="s">
        <v>26</v>
      </c>
      <c r="AC691" t="s">
        <v>27</v>
      </c>
      <c r="AD691" t="s">
        <v>28</v>
      </c>
      <c r="AE691" t="s">
        <v>25</v>
      </c>
      <c r="AF6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9.0909090909090912E-2</v>
      </c>
      <c r="AG691" t="s">
        <v>942</v>
      </c>
      <c r="AH691">
        <v>56</v>
      </c>
      <c r="AI691" t="s">
        <v>939</v>
      </c>
      <c r="AJ691">
        <v>2</v>
      </c>
      <c r="AK6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MIN(AJ691/8, 1) +
  Merge1[[#This Row],[index_defensive_effort]],
  2
)</f>
        <v>0.74</v>
      </c>
    </row>
    <row r="692" spans="1:37" x14ac:dyDescent="0.25">
      <c r="A692" t="s">
        <v>337</v>
      </c>
      <c r="B692" t="s">
        <v>338</v>
      </c>
      <c r="C692">
        <v>24</v>
      </c>
      <c r="D692" t="s">
        <v>56</v>
      </c>
      <c r="E692">
        <v>71</v>
      </c>
      <c r="F692">
        <v>180</v>
      </c>
      <c r="G692" t="s">
        <v>339</v>
      </c>
      <c r="H692">
        <v>2020</v>
      </c>
      <c r="I692" t="s">
        <v>33</v>
      </c>
      <c r="J692">
        <v>10</v>
      </c>
      <c r="K692">
        <v>6</v>
      </c>
      <c r="L692">
        <v>2</v>
      </c>
      <c r="M692">
        <v>0</v>
      </c>
      <c r="N692">
        <v>2</v>
      </c>
      <c r="O692">
        <v>0</v>
      </c>
      <c r="P692">
        <v>0</v>
      </c>
      <c r="Q692">
        <v>0</v>
      </c>
      <c r="R692">
        <v>0</v>
      </c>
      <c r="S692">
        <v>61</v>
      </c>
      <c r="T692">
        <v>58</v>
      </c>
      <c r="U692" s="5">
        <f>IF(Merge1[[#This Row],[team_defense_snaps]]=0, "", Merge1[[#This Row],[defense_snaps]] / Merge1[[#This Row],[team_defense_snaps]])</f>
        <v>0.77333333333333332</v>
      </c>
      <c r="V692">
        <v>75</v>
      </c>
      <c r="W692">
        <v>3</v>
      </c>
      <c r="X692" s="5" t="s">
        <v>250</v>
      </c>
      <c r="Y692">
        <v>0</v>
      </c>
      <c r="Z692">
        <v>0</v>
      </c>
      <c r="AA692" t="s">
        <v>25</v>
      </c>
      <c r="AB692" t="s">
        <v>26</v>
      </c>
      <c r="AC692" t="s">
        <v>27</v>
      </c>
      <c r="AD692" t="s">
        <v>42</v>
      </c>
      <c r="AE692" t="s">
        <v>25</v>
      </c>
      <c r="AF6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0.11475409836065574</v>
      </c>
      <c r="AG692" t="s">
        <v>942</v>
      </c>
      <c r="AH692">
        <v>44</v>
      </c>
      <c r="AI692" t="s">
        <v>939</v>
      </c>
      <c r="AJ692">
        <v>1</v>
      </c>
      <c r="AK6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MIN(AJ692/8, 1) +
  Merge1[[#This Row],[index_defensive_effort]],
  2
)</f>
        <v>0.64</v>
      </c>
    </row>
    <row r="693" spans="1:37" x14ac:dyDescent="0.25">
      <c r="A693" t="s">
        <v>337</v>
      </c>
      <c r="B693" t="s">
        <v>338</v>
      </c>
      <c r="C693">
        <v>24</v>
      </c>
      <c r="D693" t="s">
        <v>56</v>
      </c>
      <c r="E693">
        <v>71</v>
      </c>
      <c r="F693">
        <v>180</v>
      </c>
      <c r="G693" t="s">
        <v>339</v>
      </c>
      <c r="H693">
        <v>2020</v>
      </c>
      <c r="I693" t="s">
        <v>33</v>
      </c>
      <c r="J693">
        <v>17</v>
      </c>
      <c r="K693">
        <v>4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95</v>
      </c>
      <c r="T693">
        <v>74</v>
      </c>
      <c r="U693" s="5">
        <f>IF(Merge1[[#This Row],[team_defense_snaps]]=0, "", Merge1[[#This Row],[defense_snaps]] / Merge1[[#This Row],[team_defense_snaps]])</f>
        <v>0.88095238095238093</v>
      </c>
      <c r="V693">
        <v>84</v>
      </c>
      <c r="W693">
        <v>21</v>
      </c>
      <c r="X693" s="5" t="s">
        <v>189</v>
      </c>
      <c r="Y693">
        <v>0</v>
      </c>
      <c r="Z693">
        <v>0</v>
      </c>
      <c r="AA693" t="s">
        <v>25</v>
      </c>
      <c r="AB693" t="s">
        <v>26</v>
      </c>
      <c r="AC693" t="s">
        <v>27</v>
      </c>
      <c r="AD693" t="s">
        <v>28</v>
      </c>
      <c r="AE693" t="s">
        <v>25</v>
      </c>
      <c r="AF6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4.2105263157894736E-2</v>
      </c>
      <c r="AG693" t="s">
        <v>942</v>
      </c>
      <c r="AH693">
        <v>59</v>
      </c>
      <c r="AI693" t="s">
        <v>939</v>
      </c>
      <c r="AJ693">
        <v>1</v>
      </c>
      <c r="AK6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MIN(AJ693/8, 1) +
  Merge1[[#This Row],[index_defensive_effort]],
  2
)</f>
        <v>0.56999999999999995</v>
      </c>
    </row>
    <row r="694" spans="1:37" x14ac:dyDescent="0.25">
      <c r="A694" t="s">
        <v>378</v>
      </c>
      <c r="B694" t="s">
        <v>379</v>
      </c>
      <c r="C694">
        <v>30</v>
      </c>
      <c r="D694" t="s">
        <v>22</v>
      </c>
      <c r="E694">
        <v>74</v>
      </c>
      <c r="F694">
        <v>208</v>
      </c>
      <c r="G694" t="s">
        <v>86</v>
      </c>
      <c r="H694">
        <v>2020</v>
      </c>
      <c r="I694" t="s">
        <v>33</v>
      </c>
      <c r="J694">
        <v>1</v>
      </c>
      <c r="K694">
        <v>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65</v>
      </c>
      <c r="T694">
        <v>57</v>
      </c>
      <c r="U694" s="5">
        <f>IF(Merge1[[#This Row],[team_defense_snaps]]=0, "", Merge1[[#This Row],[defense_snaps]] / Merge1[[#This Row],[team_defense_snaps]])</f>
        <v>0.96610169491525422</v>
      </c>
      <c r="V694">
        <v>59</v>
      </c>
      <c r="W694">
        <v>8</v>
      </c>
      <c r="X694" s="5" t="s">
        <v>108</v>
      </c>
      <c r="Y694">
        <v>6</v>
      </c>
      <c r="Z694">
        <v>0</v>
      </c>
      <c r="AA694" t="s">
        <v>25</v>
      </c>
      <c r="AB694" t="s">
        <v>26</v>
      </c>
      <c r="AC694" t="s">
        <v>27</v>
      </c>
      <c r="AD694" t="s">
        <v>42</v>
      </c>
      <c r="AE694" t="s">
        <v>25</v>
      </c>
      <c r="AF6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3.0769230769230771E-2</v>
      </c>
      <c r="AG694" t="s">
        <v>941</v>
      </c>
      <c r="AH694">
        <v>75.5</v>
      </c>
      <c r="AI694" t="s">
        <v>939</v>
      </c>
      <c r="AJ694">
        <v>2</v>
      </c>
      <c r="AK6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MIN(AJ694/8, 1) +
  Merge1[[#This Row],[index_defensive_effort]],
  2
)</f>
        <v>0.78</v>
      </c>
    </row>
    <row r="695" spans="1:37" x14ac:dyDescent="0.25">
      <c r="A695" t="s">
        <v>378</v>
      </c>
      <c r="B695" t="s">
        <v>379</v>
      </c>
      <c r="C695">
        <v>30</v>
      </c>
      <c r="D695" t="s">
        <v>22</v>
      </c>
      <c r="E695">
        <v>74</v>
      </c>
      <c r="F695">
        <v>208</v>
      </c>
      <c r="G695" t="s">
        <v>86</v>
      </c>
      <c r="H695">
        <v>2020</v>
      </c>
      <c r="I695" t="s">
        <v>33</v>
      </c>
      <c r="J695">
        <v>2</v>
      </c>
      <c r="K695">
        <v>3</v>
      </c>
      <c r="L695">
        <v>1</v>
      </c>
      <c r="M695">
        <v>1</v>
      </c>
      <c r="N695">
        <v>2</v>
      </c>
      <c r="O695">
        <v>0</v>
      </c>
      <c r="P695">
        <v>2</v>
      </c>
      <c r="Q695">
        <v>0</v>
      </c>
      <c r="R695">
        <v>0</v>
      </c>
      <c r="S695">
        <v>65</v>
      </c>
      <c r="T695">
        <v>58</v>
      </c>
      <c r="U695" s="5">
        <f>IF(Merge1[[#This Row],[team_defense_snaps]]=0, "", Merge1[[#This Row],[defense_snaps]] / Merge1[[#This Row],[team_defense_snaps]])</f>
        <v>0.69047619047619047</v>
      </c>
      <c r="V695">
        <v>84</v>
      </c>
      <c r="W695">
        <v>7</v>
      </c>
      <c r="X695" s="5" t="s">
        <v>137</v>
      </c>
      <c r="Y695">
        <v>6</v>
      </c>
      <c r="Z695">
        <v>0</v>
      </c>
      <c r="AA695" t="s">
        <v>25</v>
      </c>
      <c r="AB695" t="s">
        <v>26</v>
      </c>
      <c r="AC695" t="s">
        <v>27</v>
      </c>
      <c r="AD695" t="s">
        <v>28</v>
      </c>
      <c r="AE695" t="s">
        <v>25</v>
      </c>
      <c r="AF6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0.12307692307692308</v>
      </c>
      <c r="AG695" t="s">
        <v>941</v>
      </c>
      <c r="AH695">
        <v>78.5</v>
      </c>
      <c r="AI695" t="s">
        <v>939</v>
      </c>
      <c r="AJ695">
        <v>3</v>
      </c>
      <c r="AK6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MIN(AJ695/8, 1) +
  Merge1[[#This Row],[index_defensive_effort]],
  2
)</f>
        <v>1</v>
      </c>
    </row>
    <row r="696" spans="1:37" x14ac:dyDescent="0.25">
      <c r="A696" t="s">
        <v>378</v>
      </c>
      <c r="B696" t="s">
        <v>379</v>
      </c>
      <c r="C696">
        <v>30</v>
      </c>
      <c r="D696" t="s">
        <v>22</v>
      </c>
      <c r="E696">
        <v>74</v>
      </c>
      <c r="F696">
        <v>208</v>
      </c>
      <c r="G696" t="s">
        <v>86</v>
      </c>
      <c r="H696">
        <v>2020</v>
      </c>
      <c r="I696" t="s">
        <v>33</v>
      </c>
      <c r="J696">
        <v>3</v>
      </c>
      <c r="K696">
        <v>4</v>
      </c>
      <c r="L696">
        <v>1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54</v>
      </c>
      <c r="T696">
        <v>46</v>
      </c>
      <c r="U696" s="5">
        <f>IF(Merge1[[#This Row],[team_defense_snaps]]=0, "", Merge1[[#This Row],[defense_snaps]] / Merge1[[#This Row],[team_defense_snaps]])</f>
        <v>0.8214285714285714</v>
      </c>
      <c r="V696">
        <v>56</v>
      </c>
      <c r="W696">
        <v>8</v>
      </c>
      <c r="X696" s="5" t="s">
        <v>108</v>
      </c>
      <c r="Y696">
        <v>6</v>
      </c>
      <c r="Z696">
        <v>0</v>
      </c>
      <c r="AA696" t="s">
        <v>25</v>
      </c>
      <c r="AB696" t="s">
        <v>26</v>
      </c>
      <c r="AC696" t="s">
        <v>27</v>
      </c>
      <c r="AD696" t="s">
        <v>28</v>
      </c>
      <c r="AE696" t="s">
        <v>25</v>
      </c>
      <c r="AF6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696" t="s">
        <v>941</v>
      </c>
      <c r="AH696">
        <v>60</v>
      </c>
      <c r="AI696" t="s">
        <v>939</v>
      </c>
      <c r="AJ696">
        <v>4</v>
      </c>
      <c r="AK6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MIN(AJ696/8, 1) +
  Merge1[[#This Row],[index_defensive_effort]],
  2
)</f>
        <v>1.08</v>
      </c>
    </row>
    <row r="697" spans="1:37" x14ac:dyDescent="0.25">
      <c r="A697" t="s">
        <v>378</v>
      </c>
      <c r="B697" t="s">
        <v>379</v>
      </c>
      <c r="C697">
        <v>30</v>
      </c>
      <c r="D697" t="s">
        <v>22</v>
      </c>
      <c r="E697">
        <v>74</v>
      </c>
      <c r="F697">
        <v>208</v>
      </c>
      <c r="G697" t="s">
        <v>86</v>
      </c>
      <c r="H697">
        <v>2020</v>
      </c>
      <c r="I697" t="s">
        <v>33</v>
      </c>
      <c r="J697">
        <v>4</v>
      </c>
      <c r="K697">
        <v>5</v>
      </c>
      <c r="L697">
        <v>3</v>
      </c>
      <c r="M697">
        <v>2</v>
      </c>
      <c r="N697">
        <v>5</v>
      </c>
      <c r="O697">
        <v>0</v>
      </c>
      <c r="P697">
        <v>0</v>
      </c>
      <c r="Q697">
        <v>0</v>
      </c>
      <c r="R697">
        <v>0</v>
      </c>
      <c r="S697">
        <v>61</v>
      </c>
      <c r="T697">
        <v>52</v>
      </c>
      <c r="U697" s="5">
        <f>IF(Merge1[[#This Row],[team_defense_snaps]]=0, "", Merge1[[#This Row],[defense_snaps]] / Merge1[[#This Row],[team_defense_snaps]])</f>
        <v>0.68421052631578949</v>
      </c>
      <c r="V697">
        <v>76</v>
      </c>
      <c r="W697">
        <v>9</v>
      </c>
      <c r="X697" s="5" t="s">
        <v>57</v>
      </c>
      <c r="Y697">
        <v>6</v>
      </c>
      <c r="Z697">
        <v>0</v>
      </c>
      <c r="AA697" t="s">
        <v>25</v>
      </c>
      <c r="AB697" t="s">
        <v>26</v>
      </c>
      <c r="AC697" t="s">
        <v>27</v>
      </c>
      <c r="AD697" t="s">
        <v>28</v>
      </c>
      <c r="AE697" t="s">
        <v>25</v>
      </c>
      <c r="AF6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0.12295081967213115</v>
      </c>
      <c r="AG697" t="s">
        <v>941</v>
      </c>
      <c r="AH697">
        <v>72.5</v>
      </c>
      <c r="AI697" t="s">
        <v>939</v>
      </c>
      <c r="AJ697">
        <v>5</v>
      </c>
      <c r="AK6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MIN(AJ697/8, 1) +
  Merge1[[#This Row],[index_defensive_effort]],
  2
)</f>
        <v>1.25</v>
      </c>
    </row>
    <row r="698" spans="1:37" x14ac:dyDescent="0.25">
      <c r="A698" t="s">
        <v>378</v>
      </c>
      <c r="B698" t="s">
        <v>379</v>
      </c>
      <c r="C698">
        <v>30</v>
      </c>
      <c r="D698" t="s">
        <v>22</v>
      </c>
      <c r="E698">
        <v>74</v>
      </c>
      <c r="F698">
        <v>208</v>
      </c>
      <c r="G698" t="s">
        <v>86</v>
      </c>
      <c r="H698">
        <v>2020</v>
      </c>
      <c r="I698" t="s">
        <v>33</v>
      </c>
      <c r="J698">
        <v>5</v>
      </c>
      <c r="K698">
        <v>5</v>
      </c>
      <c r="L698">
        <v>2</v>
      </c>
      <c r="M698">
        <v>0</v>
      </c>
      <c r="N698">
        <v>2</v>
      </c>
      <c r="O698">
        <v>0</v>
      </c>
      <c r="P698">
        <v>1</v>
      </c>
      <c r="Q698">
        <v>0</v>
      </c>
      <c r="R698">
        <v>0</v>
      </c>
      <c r="S698">
        <v>59</v>
      </c>
      <c r="T698">
        <v>37</v>
      </c>
      <c r="U698" s="5">
        <f>IF(Merge1[[#This Row],[team_defense_snaps]]=0, "", Merge1[[#This Row],[defense_snaps]] / Merge1[[#This Row],[team_defense_snaps]])</f>
        <v>0.52857142857142858</v>
      </c>
      <c r="V698">
        <v>70</v>
      </c>
      <c r="W698">
        <v>22</v>
      </c>
      <c r="X698" s="5" t="s">
        <v>230</v>
      </c>
      <c r="Y698">
        <v>6</v>
      </c>
      <c r="Z698">
        <v>0</v>
      </c>
      <c r="AA698" t="s">
        <v>25</v>
      </c>
      <c r="AB698" t="s">
        <v>26</v>
      </c>
      <c r="AC698" t="s">
        <v>27</v>
      </c>
      <c r="AD698" t="s">
        <v>28</v>
      </c>
      <c r="AE698" t="s">
        <v>25</v>
      </c>
      <c r="AF6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0.13559322033898305</v>
      </c>
      <c r="AG698" t="s">
        <v>941</v>
      </c>
      <c r="AH698">
        <v>77</v>
      </c>
      <c r="AI698" t="s">
        <v>939</v>
      </c>
      <c r="AJ698">
        <v>6</v>
      </c>
      <c r="AK6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MIN(AJ698/8, 1) +
  Merge1[[#This Row],[index_defensive_effort]],
  2
)</f>
        <v>1.39</v>
      </c>
    </row>
    <row r="699" spans="1:37" x14ac:dyDescent="0.25">
      <c r="A699" t="s">
        <v>378</v>
      </c>
      <c r="B699" t="s">
        <v>379</v>
      </c>
      <c r="C699">
        <v>30</v>
      </c>
      <c r="D699" t="s">
        <v>22</v>
      </c>
      <c r="E699">
        <v>74</v>
      </c>
      <c r="F699">
        <v>208</v>
      </c>
      <c r="G699" t="s">
        <v>86</v>
      </c>
      <c r="H699">
        <v>2020</v>
      </c>
      <c r="I699" t="s">
        <v>33</v>
      </c>
      <c r="J699">
        <v>6</v>
      </c>
      <c r="K699">
        <v>4</v>
      </c>
      <c r="L699">
        <v>3</v>
      </c>
      <c r="M699">
        <v>0</v>
      </c>
      <c r="N699">
        <v>3</v>
      </c>
      <c r="O699">
        <v>0</v>
      </c>
      <c r="P699">
        <v>2</v>
      </c>
      <c r="Q699">
        <v>2</v>
      </c>
      <c r="R699">
        <v>0</v>
      </c>
      <c r="S699">
        <v>67</v>
      </c>
      <c r="T699">
        <v>53</v>
      </c>
      <c r="U699" s="5">
        <f>IF(Merge1[[#This Row],[team_defense_snaps]]=0, "", Merge1[[#This Row],[defense_snaps]] / Merge1[[#This Row],[team_defense_snaps]])</f>
        <v>1</v>
      </c>
      <c r="V699">
        <v>53</v>
      </c>
      <c r="W699">
        <v>14</v>
      </c>
      <c r="X699" s="5" t="s">
        <v>111</v>
      </c>
      <c r="Y699">
        <v>6</v>
      </c>
      <c r="Z699">
        <v>0</v>
      </c>
      <c r="AA699" t="s">
        <v>25</v>
      </c>
      <c r="AB699" t="s">
        <v>26</v>
      </c>
      <c r="AC699" t="s">
        <v>27</v>
      </c>
      <c r="AD699" t="s">
        <v>42</v>
      </c>
      <c r="AE699" t="s">
        <v>25</v>
      </c>
      <c r="AF6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0.26119402985074625</v>
      </c>
      <c r="AG699" t="s">
        <v>941</v>
      </c>
      <c r="AH699">
        <v>71</v>
      </c>
      <c r="AI699" t="s">
        <v>939</v>
      </c>
      <c r="AJ699">
        <v>7</v>
      </c>
      <c r="AK6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MIN(AJ699/8, 1) +
  Merge1[[#This Row],[index_defensive_effort]],
  2
)</f>
        <v>1.64</v>
      </c>
    </row>
    <row r="700" spans="1:37" x14ac:dyDescent="0.25">
      <c r="A700" t="s">
        <v>378</v>
      </c>
      <c r="B700" t="s">
        <v>379</v>
      </c>
      <c r="C700">
        <v>30</v>
      </c>
      <c r="D700" t="s">
        <v>22</v>
      </c>
      <c r="E700">
        <v>74</v>
      </c>
      <c r="F700">
        <v>208</v>
      </c>
      <c r="G700" t="s">
        <v>86</v>
      </c>
      <c r="H700">
        <v>2020</v>
      </c>
      <c r="I700" t="s">
        <v>33</v>
      </c>
      <c r="J700">
        <v>7</v>
      </c>
      <c r="K700">
        <v>7</v>
      </c>
      <c r="L700">
        <v>2</v>
      </c>
      <c r="M700">
        <v>0</v>
      </c>
      <c r="N700">
        <v>2</v>
      </c>
      <c r="O700">
        <v>0</v>
      </c>
      <c r="P700">
        <v>2</v>
      </c>
      <c r="Q700">
        <v>2</v>
      </c>
      <c r="R700">
        <v>0</v>
      </c>
      <c r="S700">
        <v>62</v>
      </c>
      <c r="T700">
        <v>49</v>
      </c>
      <c r="U700" s="5">
        <f>IF(Merge1[[#This Row],[team_defense_snaps]]=0, "", Merge1[[#This Row],[defense_snaps]] / Merge1[[#This Row],[team_defense_snaps]])</f>
        <v>0.61250000000000004</v>
      </c>
      <c r="V700">
        <v>80</v>
      </c>
      <c r="W700">
        <v>13</v>
      </c>
      <c r="X700" s="5" t="s">
        <v>75</v>
      </c>
      <c r="Y700">
        <v>6</v>
      </c>
      <c r="Z700">
        <v>0</v>
      </c>
      <c r="AA700" t="s">
        <v>25</v>
      </c>
      <c r="AB700" t="s">
        <v>26</v>
      </c>
      <c r="AC700" t="s">
        <v>27</v>
      </c>
      <c r="AD700" t="s">
        <v>42</v>
      </c>
      <c r="AE700" t="s">
        <v>25</v>
      </c>
      <c r="AF7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0.32258064516129031</v>
      </c>
      <c r="AG700" t="s">
        <v>941</v>
      </c>
      <c r="AH700">
        <v>57.5</v>
      </c>
      <c r="AI700" t="s">
        <v>939</v>
      </c>
      <c r="AJ700">
        <v>8</v>
      </c>
      <c r="AK7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MIN(AJ700/8, 1) +
  Merge1[[#This Row],[index_defensive_effort]],
  2
)</f>
        <v>1.82</v>
      </c>
    </row>
    <row r="701" spans="1:37" x14ac:dyDescent="0.25">
      <c r="A701" t="s">
        <v>378</v>
      </c>
      <c r="B701" t="s">
        <v>379</v>
      </c>
      <c r="C701">
        <v>30</v>
      </c>
      <c r="D701" t="s">
        <v>22</v>
      </c>
      <c r="E701">
        <v>74</v>
      </c>
      <c r="F701">
        <v>208</v>
      </c>
      <c r="G701" t="s">
        <v>86</v>
      </c>
      <c r="H701">
        <v>2020</v>
      </c>
      <c r="I701" t="s">
        <v>33</v>
      </c>
      <c r="J701">
        <v>8</v>
      </c>
      <c r="K701">
        <v>8</v>
      </c>
      <c r="L701">
        <v>1</v>
      </c>
      <c r="M701">
        <v>0</v>
      </c>
      <c r="N701">
        <v>1</v>
      </c>
      <c r="O701">
        <v>0</v>
      </c>
      <c r="P701">
        <v>1</v>
      </c>
      <c r="Q701">
        <v>0</v>
      </c>
      <c r="R701">
        <v>2</v>
      </c>
      <c r="S701">
        <v>71</v>
      </c>
      <c r="T701">
        <v>54</v>
      </c>
      <c r="U701" s="5">
        <f>IF(Merge1[[#This Row],[team_defense_snaps]]=0, "", Merge1[[#This Row],[defense_snaps]] / Merge1[[#This Row],[team_defense_snaps]])</f>
        <v>0.9</v>
      </c>
      <c r="V701">
        <v>60</v>
      </c>
      <c r="W701">
        <v>17</v>
      </c>
      <c r="X701" s="5" t="s">
        <v>125</v>
      </c>
      <c r="Y701">
        <v>6</v>
      </c>
      <c r="Z701">
        <v>0</v>
      </c>
      <c r="AA701" t="s">
        <v>25</v>
      </c>
      <c r="AB701" t="s">
        <v>26</v>
      </c>
      <c r="AC701" t="s">
        <v>27</v>
      </c>
      <c r="AD701" t="s">
        <v>42</v>
      </c>
      <c r="AE701" t="s">
        <v>25</v>
      </c>
      <c r="AF7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0.20422535211267606</v>
      </c>
      <c r="AG701" t="s">
        <v>941</v>
      </c>
      <c r="AH701">
        <v>63.5</v>
      </c>
      <c r="AI701" t="s">
        <v>939</v>
      </c>
      <c r="AJ701">
        <v>9</v>
      </c>
      <c r="AK7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MIN(AJ701/8, 1) +
  Merge1[[#This Row],[index_defensive_effort]],
  2
)</f>
        <v>1.7</v>
      </c>
    </row>
    <row r="702" spans="1:37" x14ac:dyDescent="0.25">
      <c r="A702" t="s">
        <v>378</v>
      </c>
      <c r="B702" t="s">
        <v>379</v>
      </c>
      <c r="C702">
        <v>30</v>
      </c>
      <c r="D702" t="s">
        <v>22</v>
      </c>
      <c r="E702">
        <v>74</v>
      </c>
      <c r="F702">
        <v>208</v>
      </c>
      <c r="G702" t="s">
        <v>86</v>
      </c>
      <c r="H702">
        <v>2020</v>
      </c>
      <c r="I702" t="s">
        <v>33</v>
      </c>
      <c r="J702">
        <v>9</v>
      </c>
      <c r="K702">
        <v>8</v>
      </c>
      <c r="L702">
        <v>2</v>
      </c>
      <c r="M702">
        <v>0</v>
      </c>
      <c r="N702">
        <v>2</v>
      </c>
      <c r="O702">
        <v>0</v>
      </c>
      <c r="P702">
        <v>1</v>
      </c>
      <c r="Q702">
        <v>0</v>
      </c>
      <c r="R702">
        <v>2</v>
      </c>
      <c r="S702">
        <v>90</v>
      </c>
      <c r="T702">
        <v>83</v>
      </c>
      <c r="U702" s="5">
        <f>IF(Merge1[[#This Row],[team_defense_snaps]]=0, "", Merge1[[#This Row],[defense_snaps]] / Merge1[[#This Row],[team_defense_snaps]])</f>
        <v>1</v>
      </c>
      <c r="V702">
        <v>83</v>
      </c>
      <c r="W702">
        <v>7</v>
      </c>
      <c r="X702" s="5" t="s">
        <v>132</v>
      </c>
      <c r="Y702">
        <v>6</v>
      </c>
      <c r="Z702">
        <v>0</v>
      </c>
      <c r="AA702" t="s">
        <v>25</v>
      </c>
      <c r="AB702" t="s">
        <v>26</v>
      </c>
      <c r="AC702" t="s">
        <v>27</v>
      </c>
      <c r="AD702" t="s">
        <v>42</v>
      </c>
      <c r="AE702" t="s">
        <v>25</v>
      </c>
      <c r="AF7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AG702" t="s">
        <v>941</v>
      </c>
      <c r="AH702">
        <v>80</v>
      </c>
      <c r="AI702" t="s">
        <v>939</v>
      </c>
      <c r="AJ702">
        <v>1</v>
      </c>
      <c r="AK7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MIN(AJ702/8, 1) +
  Merge1[[#This Row],[index_defensive_effort]],
  2
)</f>
        <v>0.79</v>
      </c>
    </row>
    <row r="703" spans="1:37" x14ac:dyDescent="0.25">
      <c r="A703" t="s">
        <v>378</v>
      </c>
      <c r="B703" t="s">
        <v>379</v>
      </c>
      <c r="C703">
        <v>30</v>
      </c>
      <c r="D703" t="s">
        <v>22</v>
      </c>
      <c r="E703">
        <v>74</v>
      </c>
      <c r="F703">
        <v>208</v>
      </c>
      <c r="G703" t="s">
        <v>86</v>
      </c>
      <c r="H703">
        <v>2020</v>
      </c>
      <c r="I703" t="s">
        <v>33</v>
      </c>
      <c r="J703">
        <v>11</v>
      </c>
      <c r="K703">
        <v>3</v>
      </c>
      <c r="L703">
        <v>1</v>
      </c>
      <c r="M703">
        <v>0</v>
      </c>
      <c r="N703">
        <v>1</v>
      </c>
      <c r="O703">
        <v>0</v>
      </c>
      <c r="P703">
        <v>0</v>
      </c>
      <c r="Q703">
        <v>2</v>
      </c>
      <c r="R703">
        <v>0</v>
      </c>
      <c r="S703">
        <v>63</v>
      </c>
      <c r="T703">
        <v>59</v>
      </c>
      <c r="U703" s="5">
        <f>IF(Merge1[[#This Row],[team_defense_snaps]]=0, "", Merge1[[#This Row],[defense_snaps]] / Merge1[[#This Row],[team_defense_snaps]])</f>
        <v>1</v>
      </c>
      <c r="V703">
        <v>59</v>
      </c>
      <c r="W703">
        <v>4</v>
      </c>
      <c r="X703" s="5" t="s">
        <v>168</v>
      </c>
      <c r="Y703">
        <v>6</v>
      </c>
      <c r="Z703">
        <v>0</v>
      </c>
      <c r="AA703" t="s">
        <v>25</v>
      </c>
      <c r="AB703" t="s">
        <v>26</v>
      </c>
      <c r="AC703" t="s">
        <v>27</v>
      </c>
      <c r="AD703" t="s">
        <v>42</v>
      </c>
      <c r="AE703" t="s">
        <v>25</v>
      </c>
      <c r="AF7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0.18253968253968253</v>
      </c>
      <c r="AG703" t="s">
        <v>941</v>
      </c>
      <c r="AH703">
        <v>68</v>
      </c>
      <c r="AI703" t="s">
        <v>939</v>
      </c>
      <c r="AJ703">
        <v>2</v>
      </c>
      <c r="AK7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MIN(AJ703/8, 1) +
  Merge1[[#This Row],[index_defensive_effort]],
  2
)</f>
        <v>0.93</v>
      </c>
    </row>
    <row r="704" spans="1:37" x14ac:dyDescent="0.25">
      <c r="A704" t="s">
        <v>378</v>
      </c>
      <c r="B704" t="s">
        <v>379</v>
      </c>
      <c r="C704">
        <v>30</v>
      </c>
      <c r="D704" t="s">
        <v>22</v>
      </c>
      <c r="E704">
        <v>74</v>
      </c>
      <c r="F704">
        <v>208</v>
      </c>
      <c r="G704" t="s">
        <v>86</v>
      </c>
      <c r="H704">
        <v>2020</v>
      </c>
      <c r="I704" t="s">
        <v>33</v>
      </c>
      <c r="J704">
        <v>12</v>
      </c>
      <c r="K704">
        <v>4</v>
      </c>
      <c r="L704">
        <v>3</v>
      </c>
      <c r="M704">
        <v>0</v>
      </c>
      <c r="N704">
        <v>3</v>
      </c>
      <c r="O704">
        <v>0</v>
      </c>
      <c r="P704">
        <v>1</v>
      </c>
      <c r="Q704">
        <v>0</v>
      </c>
      <c r="R704">
        <v>0</v>
      </c>
      <c r="S704">
        <v>75</v>
      </c>
      <c r="T704">
        <v>59</v>
      </c>
      <c r="U704" s="5">
        <f>IF(Merge1[[#This Row],[team_defense_snaps]]=0, "", Merge1[[#This Row],[defense_snaps]] / Merge1[[#This Row],[team_defense_snaps]])</f>
        <v>1</v>
      </c>
      <c r="V704">
        <v>59</v>
      </c>
      <c r="W704">
        <v>16</v>
      </c>
      <c r="X704" s="5" t="s">
        <v>182</v>
      </c>
      <c r="Y704">
        <v>6</v>
      </c>
      <c r="Z704">
        <v>0</v>
      </c>
      <c r="AA704" t="s">
        <v>25</v>
      </c>
      <c r="AB704" t="s">
        <v>26</v>
      </c>
      <c r="AC704" t="s">
        <v>27</v>
      </c>
      <c r="AD704" t="s">
        <v>42</v>
      </c>
      <c r="AE704" t="s">
        <v>25</v>
      </c>
      <c r="AF7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704" t="s">
        <v>941</v>
      </c>
      <c r="AH704">
        <v>62</v>
      </c>
      <c r="AI704" t="s">
        <v>939</v>
      </c>
      <c r="AJ704">
        <v>3</v>
      </c>
      <c r="AK7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MIN(AJ704/8, 1) +
  Merge1[[#This Row],[index_defensive_effort]],
  2
)</f>
        <v>0.98</v>
      </c>
    </row>
    <row r="705" spans="1:37" x14ac:dyDescent="0.25">
      <c r="A705" t="s">
        <v>378</v>
      </c>
      <c r="B705" t="s">
        <v>379</v>
      </c>
      <c r="C705">
        <v>30</v>
      </c>
      <c r="D705" t="s">
        <v>22</v>
      </c>
      <c r="E705">
        <v>74</v>
      </c>
      <c r="F705">
        <v>208</v>
      </c>
      <c r="G705" t="s">
        <v>86</v>
      </c>
      <c r="H705">
        <v>2020</v>
      </c>
      <c r="I705" t="s">
        <v>33</v>
      </c>
      <c r="J705">
        <v>13</v>
      </c>
      <c r="K705">
        <v>3</v>
      </c>
      <c r="L705">
        <v>2</v>
      </c>
      <c r="M705">
        <v>0</v>
      </c>
      <c r="N705">
        <v>2</v>
      </c>
      <c r="O705">
        <v>0</v>
      </c>
      <c r="P705">
        <v>2</v>
      </c>
      <c r="Q705">
        <v>0</v>
      </c>
      <c r="R705">
        <v>0</v>
      </c>
      <c r="S705">
        <v>72</v>
      </c>
      <c r="T705">
        <v>66</v>
      </c>
      <c r="U705" s="5">
        <f>IF(Merge1[[#This Row],[team_defense_snaps]]=0, "", Merge1[[#This Row],[defense_snaps]] / Merge1[[#This Row],[team_defense_snaps]])</f>
        <v>0.9850746268656716</v>
      </c>
      <c r="V705">
        <v>67</v>
      </c>
      <c r="W705">
        <v>6</v>
      </c>
      <c r="X705" s="5" t="s">
        <v>133</v>
      </c>
      <c r="Y705">
        <v>6</v>
      </c>
      <c r="Z705">
        <v>0</v>
      </c>
      <c r="AA705" t="s">
        <v>25</v>
      </c>
      <c r="AB705" t="s">
        <v>26</v>
      </c>
      <c r="AC705" t="s">
        <v>27</v>
      </c>
      <c r="AD705" t="s">
        <v>42</v>
      </c>
      <c r="AE705" t="s">
        <v>25</v>
      </c>
      <c r="AF7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0.1111111111111111</v>
      </c>
      <c r="AG705" t="s">
        <v>941</v>
      </c>
      <c r="AH705">
        <v>60</v>
      </c>
      <c r="AI705" t="s">
        <v>939</v>
      </c>
      <c r="AJ705">
        <v>4</v>
      </c>
      <c r="AK7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MIN(AJ705/8, 1) +
  Merge1[[#This Row],[index_defensive_effort]],
  2
)</f>
        <v>1.1100000000000001</v>
      </c>
    </row>
    <row r="706" spans="1:37" x14ac:dyDescent="0.25">
      <c r="A706" t="s">
        <v>378</v>
      </c>
      <c r="B706" t="s">
        <v>379</v>
      </c>
      <c r="C706">
        <v>30</v>
      </c>
      <c r="D706" t="s">
        <v>22</v>
      </c>
      <c r="E706">
        <v>74</v>
      </c>
      <c r="F706">
        <v>208</v>
      </c>
      <c r="G706" t="s">
        <v>86</v>
      </c>
      <c r="H706">
        <v>2020</v>
      </c>
      <c r="I706" t="s">
        <v>33</v>
      </c>
      <c r="J706">
        <v>14</v>
      </c>
      <c r="K706">
        <v>4</v>
      </c>
      <c r="L706">
        <v>3</v>
      </c>
      <c r="M706">
        <v>1</v>
      </c>
      <c r="N706">
        <v>4</v>
      </c>
      <c r="O706">
        <v>0</v>
      </c>
      <c r="P706">
        <v>0</v>
      </c>
      <c r="Q706">
        <v>0</v>
      </c>
      <c r="R706">
        <v>0</v>
      </c>
      <c r="S706">
        <v>95</v>
      </c>
      <c r="T706">
        <v>83</v>
      </c>
      <c r="U706" s="5">
        <f>IF(Merge1[[#This Row],[team_defense_snaps]]=0, "", Merge1[[#This Row],[defense_snaps]] / Merge1[[#This Row],[team_defense_snaps]])</f>
        <v>1</v>
      </c>
      <c r="V706">
        <v>83</v>
      </c>
      <c r="W706">
        <v>12</v>
      </c>
      <c r="X706" s="5" t="s">
        <v>134</v>
      </c>
      <c r="Y706">
        <v>6</v>
      </c>
      <c r="Z706">
        <v>0</v>
      </c>
      <c r="AA706" t="s">
        <v>25</v>
      </c>
      <c r="AB706" t="s">
        <v>26</v>
      </c>
      <c r="AC706" t="s">
        <v>27</v>
      </c>
      <c r="AD706" t="s">
        <v>42</v>
      </c>
      <c r="AE706" t="s">
        <v>25</v>
      </c>
      <c r="AF7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6.3157894736842107E-2</v>
      </c>
      <c r="AG706" t="s">
        <v>941</v>
      </c>
      <c r="AH706">
        <v>74</v>
      </c>
      <c r="AI706" t="s">
        <v>939</v>
      </c>
      <c r="AJ706">
        <v>5</v>
      </c>
      <c r="AK7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MIN(AJ706/8, 1) +
  Merge1[[#This Row],[index_defensive_effort]],
  2
)</f>
        <v>1.19</v>
      </c>
    </row>
    <row r="707" spans="1:37" x14ac:dyDescent="0.25">
      <c r="A707" t="s">
        <v>378</v>
      </c>
      <c r="B707" t="s">
        <v>379</v>
      </c>
      <c r="C707">
        <v>30</v>
      </c>
      <c r="D707" t="s">
        <v>22</v>
      </c>
      <c r="E707">
        <v>74</v>
      </c>
      <c r="F707">
        <v>208</v>
      </c>
      <c r="G707" t="s">
        <v>86</v>
      </c>
      <c r="H707">
        <v>2020</v>
      </c>
      <c r="I707" t="s">
        <v>33</v>
      </c>
      <c r="J707">
        <v>15</v>
      </c>
      <c r="K707">
        <v>2</v>
      </c>
      <c r="L707">
        <v>2</v>
      </c>
      <c r="M707">
        <v>0</v>
      </c>
      <c r="N707">
        <v>2</v>
      </c>
      <c r="O707">
        <v>0</v>
      </c>
      <c r="P707">
        <v>0</v>
      </c>
      <c r="Q707">
        <v>0</v>
      </c>
      <c r="R707">
        <v>0</v>
      </c>
      <c r="S707">
        <v>71</v>
      </c>
      <c r="T707">
        <v>55</v>
      </c>
      <c r="U707" s="5">
        <f>IF(Merge1[[#This Row],[team_defense_snaps]]=0, "", Merge1[[#This Row],[defense_snaps]] / Merge1[[#This Row],[team_defense_snaps]])</f>
        <v>0.91666666666666663</v>
      </c>
      <c r="V707">
        <v>60</v>
      </c>
      <c r="W707">
        <v>16</v>
      </c>
      <c r="X707" s="5" t="s">
        <v>231</v>
      </c>
      <c r="Y707">
        <v>6</v>
      </c>
      <c r="Z707">
        <v>0</v>
      </c>
      <c r="AA707" t="s">
        <v>25</v>
      </c>
      <c r="AB707" t="s">
        <v>26</v>
      </c>
      <c r="AC707" t="s">
        <v>27</v>
      </c>
      <c r="AD707" t="s">
        <v>42</v>
      </c>
      <c r="AE707" t="s">
        <v>25</v>
      </c>
      <c r="AF7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4.2253521126760563E-2</v>
      </c>
      <c r="AG707" t="s">
        <v>941</v>
      </c>
      <c r="AH707">
        <v>69.5</v>
      </c>
      <c r="AI707" t="s">
        <v>939</v>
      </c>
      <c r="AJ707">
        <v>6</v>
      </c>
      <c r="AK7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MIN(AJ707/8, 1) +
  Merge1[[#This Row],[index_defensive_effort]],
  2
)</f>
        <v>1.29</v>
      </c>
    </row>
    <row r="708" spans="1:37" x14ac:dyDescent="0.25">
      <c r="A708" t="s">
        <v>378</v>
      </c>
      <c r="B708" t="s">
        <v>379</v>
      </c>
      <c r="C708">
        <v>30</v>
      </c>
      <c r="D708" t="s">
        <v>22</v>
      </c>
      <c r="E708">
        <v>74</v>
      </c>
      <c r="F708">
        <v>208</v>
      </c>
      <c r="G708" t="s">
        <v>86</v>
      </c>
      <c r="H708">
        <v>2020</v>
      </c>
      <c r="I708" t="s">
        <v>33</v>
      </c>
      <c r="J708">
        <v>16</v>
      </c>
      <c r="K708">
        <v>7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77</v>
      </c>
      <c r="T708">
        <v>68</v>
      </c>
      <c r="U708" s="5">
        <f>IF(Merge1[[#This Row],[team_defense_snaps]]=0, "", Merge1[[#This Row],[defense_snaps]] / Merge1[[#This Row],[team_defense_snaps]])</f>
        <v>0.98550724637681164</v>
      </c>
      <c r="V708">
        <v>69</v>
      </c>
      <c r="W708">
        <v>9</v>
      </c>
      <c r="X708" s="5" t="s">
        <v>210</v>
      </c>
      <c r="Y708">
        <v>6</v>
      </c>
      <c r="Z708">
        <v>0</v>
      </c>
      <c r="AA708" t="s">
        <v>25</v>
      </c>
      <c r="AB708" t="s">
        <v>26</v>
      </c>
      <c r="AC708" t="s">
        <v>27</v>
      </c>
      <c r="AD708" t="s">
        <v>42</v>
      </c>
      <c r="AE708" t="s">
        <v>25</v>
      </c>
      <c r="AF7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9.0909090909090912E-2</v>
      </c>
      <c r="AG708" t="s">
        <v>941</v>
      </c>
      <c r="AH708">
        <v>59</v>
      </c>
      <c r="AI708" t="s">
        <v>939</v>
      </c>
      <c r="AJ708">
        <v>1</v>
      </c>
      <c r="AK7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MIN(AJ708/8, 1) +
  Merge1[[#This Row],[index_defensive_effort]],
  2
)</f>
        <v>0.72</v>
      </c>
    </row>
    <row r="709" spans="1:37" x14ac:dyDescent="0.25">
      <c r="A709" t="s">
        <v>378</v>
      </c>
      <c r="B709" t="s">
        <v>379</v>
      </c>
      <c r="C709">
        <v>30</v>
      </c>
      <c r="D709" t="s">
        <v>22</v>
      </c>
      <c r="E709">
        <v>74</v>
      </c>
      <c r="F709">
        <v>208</v>
      </c>
      <c r="G709" t="s">
        <v>86</v>
      </c>
      <c r="H709">
        <v>2020</v>
      </c>
      <c r="I709" t="s">
        <v>24</v>
      </c>
      <c r="J709">
        <v>19</v>
      </c>
      <c r="K709">
        <v>4</v>
      </c>
      <c r="L709">
        <v>2</v>
      </c>
      <c r="M709">
        <v>0</v>
      </c>
      <c r="N709">
        <v>2</v>
      </c>
      <c r="O709">
        <v>0</v>
      </c>
      <c r="P709">
        <v>1</v>
      </c>
      <c r="Q709">
        <v>0</v>
      </c>
      <c r="R709">
        <v>2</v>
      </c>
      <c r="S709">
        <v>69</v>
      </c>
      <c r="T709">
        <v>64</v>
      </c>
      <c r="U709" s="5">
        <f>IF(Merge1[[#This Row],[team_defense_snaps]]=0, "", Merge1[[#This Row],[defense_snaps]] / Merge1[[#This Row],[team_defense_snaps]])</f>
        <v>1</v>
      </c>
      <c r="V709">
        <v>64</v>
      </c>
      <c r="W709">
        <v>5</v>
      </c>
      <c r="X709" s="5" t="s">
        <v>133</v>
      </c>
      <c r="Y709">
        <v>6</v>
      </c>
      <c r="Z709">
        <v>0</v>
      </c>
      <c r="AA709" t="s">
        <v>25</v>
      </c>
      <c r="AB709" t="s">
        <v>26</v>
      </c>
      <c r="AC709" t="s">
        <v>27</v>
      </c>
      <c r="AD709" t="s">
        <v>42</v>
      </c>
      <c r="AE709" t="s">
        <v>25</v>
      </c>
      <c r="AF7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0.15942028985507245</v>
      </c>
      <c r="AG709" t="s">
        <v>941</v>
      </c>
      <c r="AH709">
        <v>60.5</v>
      </c>
      <c r="AI709" t="s">
        <v>939</v>
      </c>
      <c r="AJ709">
        <v>2</v>
      </c>
      <c r="AK7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MIN(AJ709/8, 1) +
  Merge1[[#This Row],[index_defensive_effort]],
  2
)</f>
        <v>1.1100000000000001</v>
      </c>
    </row>
    <row r="710" spans="1:37" x14ac:dyDescent="0.25">
      <c r="A710" t="s">
        <v>378</v>
      </c>
      <c r="B710" t="s">
        <v>379</v>
      </c>
      <c r="C710">
        <v>30</v>
      </c>
      <c r="D710" t="s">
        <v>22</v>
      </c>
      <c r="E710">
        <v>74</v>
      </c>
      <c r="F710">
        <v>208</v>
      </c>
      <c r="G710" t="s">
        <v>86</v>
      </c>
      <c r="H710">
        <v>2020</v>
      </c>
      <c r="I710" t="s">
        <v>24</v>
      </c>
      <c r="J710">
        <v>20</v>
      </c>
      <c r="K710">
        <v>5</v>
      </c>
      <c r="L710">
        <v>1</v>
      </c>
      <c r="M710">
        <v>0</v>
      </c>
      <c r="N710">
        <v>1</v>
      </c>
      <c r="O710">
        <v>0</v>
      </c>
      <c r="P710">
        <v>2</v>
      </c>
      <c r="Q710">
        <v>0</v>
      </c>
      <c r="R710">
        <v>0</v>
      </c>
      <c r="S710">
        <v>83</v>
      </c>
      <c r="T710">
        <v>72</v>
      </c>
      <c r="U710" s="5">
        <f>IF(Merge1[[#This Row],[team_defense_snaps]]=0, "", Merge1[[#This Row],[defense_snaps]] / Merge1[[#This Row],[team_defense_snaps]])</f>
        <v>1</v>
      </c>
      <c r="V710">
        <v>72</v>
      </c>
      <c r="W710">
        <v>11</v>
      </c>
      <c r="X710" s="5" t="s">
        <v>158</v>
      </c>
      <c r="Y710">
        <v>6</v>
      </c>
      <c r="Z710">
        <v>0</v>
      </c>
      <c r="AA710" t="s">
        <v>25</v>
      </c>
      <c r="AB710" t="s">
        <v>26</v>
      </c>
      <c r="AC710" t="s">
        <v>27</v>
      </c>
      <c r="AD710" t="s">
        <v>42</v>
      </c>
      <c r="AE710" t="s">
        <v>25</v>
      </c>
      <c r="AF7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0.1144578313253012</v>
      </c>
      <c r="AG710" t="s">
        <v>941</v>
      </c>
      <c r="AH710">
        <v>65</v>
      </c>
      <c r="AI710" t="s">
        <v>939</v>
      </c>
      <c r="AJ710">
        <v>3</v>
      </c>
      <c r="AK7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MIN(AJ710/8, 1) +
  Merge1[[#This Row],[index_defensive_effort]],
  2
)</f>
        <v>1.19</v>
      </c>
    </row>
    <row r="711" spans="1:37" x14ac:dyDescent="0.25">
      <c r="A711" t="s">
        <v>378</v>
      </c>
      <c r="B711" t="s">
        <v>379</v>
      </c>
      <c r="C711">
        <v>30</v>
      </c>
      <c r="D711" t="s">
        <v>22</v>
      </c>
      <c r="E711">
        <v>74</v>
      </c>
      <c r="F711">
        <v>208</v>
      </c>
      <c r="G711" t="s">
        <v>86</v>
      </c>
      <c r="H711">
        <v>2020</v>
      </c>
      <c r="I711" t="s">
        <v>24</v>
      </c>
      <c r="J711">
        <v>21</v>
      </c>
      <c r="K711">
        <v>3</v>
      </c>
      <c r="L711">
        <v>3</v>
      </c>
      <c r="M711">
        <v>0</v>
      </c>
      <c r="N711">
        <v>3</v>
      </c>
      <c r="O711">
        <v>0</v>
      </c>
      <c r="P711">
        <v>0</v>
      </c>
      <c r="Q711">
        <v>0</v>
      </c>
      <c r="R711">
        <v>0</v>
      </c>
      <c r="S711">
        <v>14</v>
      </c>
      <c r="T711">
        <v>0</v>
      </c>
      <c r="U711" s="5" t="str">
        <f>IF(Merge1[[#This Row],[team_defense_snaps]]=0, "", Merge1[[#This Row],[defense_snaps]] / Merge1[[#This Row],[team_defense_snaps]])</f>
        <v/>
      </c>
      <c r="V711">
        <v>0</v>
      </c>
      <c r="W711">
        <v>14</v>
      </c>
      <c r="X711" s="5" t="s">
        <v>52</v>
      </c>
      <c r="Y711">
        <v>6</v>
      </c>
      <c r="Z711">
        <v>0</v>
      </c>
      <c r="AA711" t="s">
        <v>25</v>
      </c>
      <c r="AB711" t="s">
        <v>26</v>
      </c>
      <c r="AC711" t="s">
        <v>27</v>
      </c>
      <c r="AD711" t="s">
        <v>42</v>
      </c>
      <c r="AE711" t="s">
        <v>25</v>
      </c>
      <c r="AF7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0.32142857142857145</v>
      </c>
      <c r="AG711" t="s">
        <v>941</v>
      </c>
      <c r="AH711">
        <v>60</v>
      </c>
      <c r="AI711" t="s">
        <v>939</v>
      </c>
      <c r="AJ711">
        <v>1</v>
      </c>
      <c r="AK7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MIN(AJ711/8, 1) +
  Merge1[[#This Row],[index_defensive_effort]],
  2
)</f>
        <v>1.1499999999999999</v>
      </c>
    </row>
    <row r="712" spans="1:37" x14ac:dyDescent="0.25">
      <c r="A712" t="s">
        <v>382</v>
      </c>
      <c r="B712" t="s">
        <v>383</v>
      </c>
      <c r="C712">
        <v>22</v>
      </c>
      <c r="D712" t="s">
        <v>22</v>
      </c>
      <c r="E712">
        <v>70</v>
      </c>
      <c r="F712">
        <v>215</v>
      </c>
      <c r="G712" t="s">
        <v>180</v>
      </c>
      <c r="H712">
        <v>2020</v>
      </c>
      <c r="I712" t="s">
        <v>33</v>
      </c>
      <c r="J712">
        <v>5</v>
      </c>
      <c r="K712">
        <v>7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48</v>
      </c>
      <c r="T712">
        <v>28</v>
      </c>
      <c r="U712" s="5">
        <f>IF(Merge1[[#This Row],[team_defense_snaps]]=0, "", Merge1[[#This Row],[defense_snaps]] / Merge1[[#This Row],[team_defense_snaps]])</f>
        <v>0.48275862068965519</v>
      </c>
      <c r="V712">
        <v>58</v>
      </c>
      <c r="W712">
        <v>20</v>
      </c>
      <c r="X712" s="5" t="s">
        <v>103</v>
      </c>
      <c r="Y712">
        <v>0</v>
      </c>
      <c r="Z712">
        <v>0</v>
      </c>
      <c r="AA712" t="s">
        <v>25</v>
      </c>
      <c r="AB712" t="s">
        <v>26</v>
      </c>
      <c r="AC712" t="s">
        <v>27</v>
      </c>
      <c r="AD712" t="s">
        <v>28</v>
      </c>
      <c r="AE712" t="s">
        <v>25</v>
      </c>
      <c r="AF7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0.14583333333333334</v>
      </c>
      <c r="AG712" t="s">
        <v>941</v>
      </c>
      <c r="AH712">
        <v>77</v>
      </c>
      <c r="AI712" t="s">
        <v>939</v>
      </c>
      <c r="AJ712">
        <v>1</v>
      </c>
      <c r="AK7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MIN(AJ712/8, 1) +
  Merge1[[#This Row],[index_defensive_effort]],
  2
)</f>
        <v>0.77</v>
      </c>
    </row>
    <row r="713" spans="1:37" x14ac:dyDescent="0.25">
      <c r="A713" t="s">
        <v>382</v>
      </c>
      <c r="B713" t="s">
        <v>383</v>
      </c>
      <c r="C713">
        <v>22</v>
      </c>
      <c r="D713" t="s">
        <v>22</v>
      </c>
      <c r="E713">
        <v>70</v>
      </c>
      <c r="F713">
        <v>215</v>
      </c>
      <c r="G713" t="s">
        <v>180</v>
      </c>
      <c r="H713">
        <v>2020</v>
      </c>
      <c r="I713" t="s">
        <v>33</v>
      </c>
      <c r="J713">
        <v>7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33</v>
      </c>
      <c r="T713">
        <v>4</v>
      </c>
      <c r="U713" s="5">
        <f>IF(Merge1[[#This Row],[team_defense_snaps]]=0, "", Merge1[[#This Row],[defense_snaps]] / Merge1[[#This Row],[team_defense_snaps]])</f>
        <v>0.04</v>
      </c>
      <c r="V713">
        <v>100</v>
      </c>
      <c r="W713">
        <v>29</v>
      </c>
      <c r="X713" s="5" t="s">
        <v>71</v>
      </c>
      <c r="Y713">
        <v>0</v>
      </c>
      <c r="Z713">
        <v>0</v>
      </c>
      <c r="AA713" t="s">
        <v>25</v>
      </c>
      <c r="AB713" t="s">
        <v>26</v>
      </c>
      <c r="AC713" t="s">
        <v>27</v>
      </c>
      <c r="AD713" t="s">
        <v>28</v>
      </c>
      <c r="AE713" t="s">
        <v>25</v>
      </c>
      <c r="AF7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3.0303030303030304E-2</v>
      </c>
      <c r="AG713" t="s">
        <v>941</v>
      </c>
      <c r="AH713">
        <v>80</v>
      </c>
      <c r="AI713" t="s">
        <v>939</v>
      </c>
      <c r="AJ713">
        <v>1</v>
      </c>
      <c r="AK7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MIN(AJ713/8, 1) +
  Merge1[[#This Row],[index_defensive_effort]],
  2
)</f>
        <v>0.66</v>
      </c>
    </row>
    <row r="714" spans="1:37" x14ac:dyDescent="0.25">
      <c r="A714" t="s">
        <v>382</v>
      </c>
      <c r="B714" t="s">
        <v>383</v>
      </c>
      <c r="C714">
        <v>22</v>
      </c>
      <c r="D714" t="s">
        <v>22</v>
      </c>
      <c r="E714">
        <v>70</v>
      </c>
      <c r="F714">
        <v>215</v>
      </c>
      <c r="G714" t="s">
        <v>180</v>
      </c>
      <c r="H714">
        <v>2020</v>
      </c>
      <c r="I714" t="s">
        <v>33</v>
      </c>
      <c r="J714">
        <v>10</v>
      </c>
      <c r="K714">
        <v>3</v>
      </c>
      <c r="L714">
        <v>4</v>
      </c>
      <c r="M714">
        <v>3</v>
      </c>
      <c r="N714">
        <v>7</v>
      </c>
      <c r="O714">
        <v>0</v>
      </c>
      <c r="P714">
        <v>0</v>
      </c>
      <c r="Q714">
        <v>0</v>
      </c>
      <c r="R714">
        <v>0</v>
      </c>
      <c r="S714">
        <v>80</v>
      </c>
      <c r="T714">
        <v>65</v>
      </c>
      <c r="U714" s="5">
        <f>IF(Merge1[[#This Row],[team_defense_snaps]]=0, "", Merge1[[#This Row],[defense_snaps]] / Merge1[[#This Row],[team_defense_snaps]])</f>
        <v>0.97014925373134331</v>
      </c>
      <c r="V714">
        <v>67</v>
      </c>
      <c r="W714">
        <v>15</v>
      </c>
      <c r="X714" s="5" t="s">
        <v>275</v>
      </c>
      <c r="Y714">
        <v>0</v>
      </c>
      <c r="Z714">
        <v>0</v>
      </c>
      <c r="AA714" t="s">
        <v>25</v>
      </c>
      <c r="AB714" t="s">
        <v>26</v>
      </c>
      <c r="AC714" t="s">
        <v>27</v>
      </c>
      <c r="AD714" t="s">
        <v>42</v>
      </c>
      <c r="AE714" t="s">
        <v>25</v>
      </c>
      <c r="AF7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8.1250000000000003E-2</v>
      </c>
      <c r="AG714" t="s">
        <v>941</v>
      </c>
      <c r="AH714">
        <v>71</v>
      </c>
      <c r="AI714" t="s">
        <v>939</v>
      </c>
      <c r="AJ714">
        <v>2</v>
      </c>
      <c r="AK7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MIN(AJ714/8, 1) +
  Merge1[[#This Row],[index_defensive_effort]],
  2
)</f>
        <v>0.83</v>
      </c>
    </row>
    <row r="715" spans="1:37" x14ac:dyDescent="0.25">
      <c r="A715" t="s">
        <v>382</v>
      </c>
      <c r="B715" t="s">
        <v>383</v>
      </c>
      <c r="C715">
        <v>22</v>
      </c>
      <c r="D715" t="s">
        <v>22</v>
      </c>
      <c r="E715">
        <v>70</v>
      </c>
      <c r="F715">
        <v>215</v>
      </c>
      <c r="G715" t="s">
        <v>180</v>
      </c>
      <c r="H715">
        <v>2020</v>
      </c>
      <c r="I715" t="s">
        <v>33</v>
      </c>
      <c r="J715">
        <v>11</v>
      </c>
      <c r="K715">
        <v>2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2</v>
      </c>
      <c r="R715">
        <v>0</v>
      </c>
      <c r="S715">
        <v>49</v>
      </c>
      <c r="T715">
        <v>41</v>
      </c>
      <c r="U715" s="5">
        <f>IF(Merge1[[#This Row],[team_defense_snaps]]=0, "", Merge1[[#This Row],[defense_snaps]] / Merge1[[#This Row],[team_defense_snaps]])</f>
        <v>0.51249999999999996</v>
      </c>
      <c r="V715">
        <v>80</v>
      </c>
      <c r="W715">
        <v>8</v>
      </c>
      <c r="X715" s="5" t="s">
        <v>314</v>
      </c>
      <c r="Y715">
        <v>0</v>
      </c>
      <c r="Z715">
        <v>0</v>
      </c>
      <c r="AA715" t="s">
        <v>25</v>
      </c>
      <c r="AB715" t="s">
        <v>26</v>
      </c>
      <c r="AC715" t="s">
        <v>27</v>
      </c>
      <c r="AD715" t="s">
        <v>42</v>
      </c>
      <c r="AE715" t="s">
        <v>25</v>
      </c>
      <c r="AF7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0.20408163265306123</v>
      </c>
      <c r="AG715" t="s">
        <v>941</v>
      </c>
      <c r="AH715">
        <v>72.5</v>
      </c>
      <c r="AI715" t="s">
        <v>939</v>
      </c>
      <c r="AJ715">
        <v>1</v>
      </c>
      <c r="AK7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MIN(AJ715/8, 1) +
  Merge1[[#This Row],[index_defensive_effort]],
  2
)</f>
        <v>0.83</v>
      </c>
    </row>
    <row r="716" spans="1:37" x14ac:dyDescent="0.25">
      <c r="A716" t="s">
        <v>386</v>
      </c>
      <c r="B716" t="s">
        <v>387</v>
      </c>
      <c r="C716">
        <v>27</v>
      </c>
      <c r="D716" t="s">
        <v>22</v>
      </c>
      <c r="E716">
        <v>74</v>
      </c>
      <c r="F716">
        <v>212</v>
      </c>
      <c r="G716" t="s">
        <v>78</v>
      </c>
      <c r="H716">
        <v>2020</v>
      </c>
      <c r="I716" t="s">
        <v>33</v>
      </c>
      <c r="J716">
        <v>1</v>
      </c>
      <c r="K716">
        <v>8</v>
      </c>
      <c r="L716">
        <v>2</v>
      </c>
      <c r="M716">
        <v>1</v>
      </c>
      <c r="N716">
        <v>3</v>
      </c>
      <c r="O716">
        <v>0</v>
      </c>
      <c r="P716">
        <v>0</v>
      </c>
      <c r="Q716">
        <v>0</v>
      </c>
      <c r="R716">
        <v>0</v>
      </c>
      <c r="S716">
        <v>70</v>
      </c>
      <c r="T716">
        <v>58</v>
      </c>
      <c r="U716" s="5">
        <f>IF(Merge1[[#This Row],[team_defense_snaps]]=0, "", Merge1[[#This Row],[defense_snaps]] / Merge1[[#This Row],[team_defense_snaps]])</f>
        <v>0.79452054794520544</v>
      </c>
      <c r="V716">
        <v>73</v>
      </c>
      <c r="W716">
        <v>12</v>
      </c>
      <c r="X716" s="5" t="s">
        <v>200</v>
      </c>
      <c r="Y716">
        <v>4</v>
      </c>
      <c r="Z716">
        <v>0</v>
      </c>
      <c r="AA716" t="s">
        <v>25</v>
      </c>
      <c r="AB716" t="s">
        <v>26</v>
      </c>
      <c r="AC716" t="s">
        <v>27</v>
      </c>
      <c r="AD716" t="s">
        <v>42</v>
      </c>
      <c r="AE716" t="s">
        <v>25</v>
      </c>
      <c r="AF7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0.1357142857142857</v>
      </c>
      <c r="AG716" t="s">
        <v>942</v>
      </c>
      <c r="AH716">
        <v>67</v>
      </c>
      <c r="AI716" t="s">
        <v>939</v>
      </c>
      <c r="AJ716">
        <v>2</v>
      </c>
      <c r="AK7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MIN(AJ716/8, 1) +
  Merge1[[#This Row],[index_defensive_effort]],
  2
)</f>
        <v>0.99</v>
      </c>
    </row>
    <row r="717" spans="1:37" x14ac:dyDescent="0.25">
      <c r="A717" t="s">
        <v>386</v>
      </c>
      <c r="B717" t="s">
        <v>387</v>
      </c>
      <c r="C717">
        <v>27</v>
      </c>
      <c r="D717" t="s">
        <v>22</v>
      </c>
      <c r="E717">
        <v>74</v>
      </c>
      <c r="F717">
        <v>212</v>
      </c>
      <c r="G717" t="s">
        <v>78</v>
      </c>
      <c r="H717">
        <v>2020</v>
      </c>
      <c r="I717" t="s">
        <v>33</v>
      </c>
      <c r="J717">
        <v>2</v>
      </c>
      <c r="K717">
        <v>0</v>
      </c>
      <c r="L717">
        <v>1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51</v>
      </c>
      <c r="T717">
        <v>38</v>
      </c>
      <c r="U717" s="5">
        <f>IF(Merge1[[#This Row],[team_defense_snaps]]=0, "", Merge1[[#This Row],[defense_snaps]] / Merge1[[#This Row],[team_defense_snaps]])</f>
        <v>0.5</v>
      </c>
      <c r="V717">
        <v>76</v>
      </c>
      <c r="W717">
        <v>13</v>
      </c>
      <c r="X717" s="5" t="s">
        <v>134</v>
      </c>
      <c r="Y717">
        <v>4</v>
      </c>
      <c r="Z717">
        <v>0</v>
      </c>
      <c r="AA717" t="s">
        <v>25</v>
      </c>
      <c r="AB717" t="s">
        <v>26</v>
      </c>
      <c r="AC717" t="s">
        <v>27</v>
      </c>
      <c r="AD717" t="s">
        <v>42</v>
      </c>
      <c r="AE717" t="s">
        <v>25</v>
      </c>
      <c r="AF7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9.8039215686274508E-3</v>
      </c>
      <c r="AG717" t="s">
        <v>942</v>
      </c>
      <c r="AH717">
        <v>73</v>
      </c>
      <c r="AI717" t="s">
        <v>939</v>
      </c>
      <c r="AJ717">
        <v>3</v>
      </c>
      <c r="AK7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MIN(AJ717/8, 1) +
  Merge1[[#This Row],[index_defensive_effort]],
  2
)</f>
        <v>0.98</v>
      </c>
    </row>
    <row r="718" spans="1:37" x14ac:dyDescent="0.25">
      <c r="A718" t="s">
        <v>386</v>
      </c>
      <c r="B718" t="s">
        <v>387</v>
      </c>
      <c r="C718">
        <v>27</v>
      </c>
      <c r="D718" t="s">
        <v>22</v>
      </c>
      <c r="E718">
        <v>74</v>
      </c>
      <c r="F718">
        <v>212</v>
      </c>
      <c r="G718" t="s">
        <v>78</v>
      </c>
      <c r="H718">
        <v>2020</v>
      </c>
      <c r="I718" t="s">
        <v>33</v>
      </c>
      <c r="J718">
        <v>3</v>
      </c>
      <c r="K718">
        <v>3</v>
      </c>
      <c r="L718">
        <v>1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81</v>
      </c>
      <c r="T718">
        <v>72</v>
      </c>
      <c r="U718" s="5">
        <f>IF(Merge1[[#This Row],[team_defense_snaps]]=0, "", Merge1[[#This Row],[defense_snaps]] / Merge1[[#This Row],[team_defense_snaps]])</f>
        <v>0.94736842105263153</v>
      </c>
      <c r="V718">
        <v>76</v>
      </c>
      <c r="W718">
        <v>9</v>
      </c>
      <c r="X718" s="5" t="s">
        <v>136</v>
      </c>
      <c r="Y718">
        <v>4</v>
      </c>
      <c r="Z718">
        <v>0</v>
      </c>
      <c r="AA718" t="s">
        <v>25</v>
      </c>
      <c r="AB718" t="s">
        <v>26</v>
      </c>
      <c r="AC718" t="s">
        <v>27</v>
      </c>
      <c r="AD718" t="s">
        <v>42</v>
      </c>
      <c r="AE718" t="s">
        <v>25</v>
      </c>
      <c r="AF7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4.3209876543209874E-2</v>
      </c>
      <c r="AG718" t="s">
        <v>942</v>
      </c>
      <c r="AH718">
        <v>65.5</v>
      </c>
      <c r="AI718" t="s">
        <v>939</v>
      </c>
      <c r="AJ718">
        <v>4</v>
      </c>
      <c r="AK7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MIN(AJ718/8, 1) +
  Merge1[[#This Row],[index_defensive_effort]],
  2
)</f>
        <v>1.1399999999999999</v>
      </c>
    </row>
    <row r="719" spans="1:37" x14ac:dyDescent="0.25">
      <c r="A719" t="s">
        <v>386</v>
      </c>
      <c r="B719" t="s">
        <v>387</v>
      </c>
      <c r="C719">
        <v>27</v>
      </c>
      <c r="D719" t="s">
        <v>22</v>
      </c>
      <c r="E719">
        <v>74</v>
      </c>
      <c r="F719">
        <v>212</v>
      </c>
      <c r="G719" t="s">
        <v>78</v>
      </c>
      <c r="H719">
        <v>2020</v>
      </c>
      <c r="I719" t="s">
        <v>33</v>
      </c>
      <c r="J719">
        <v>4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23</v>
      </c>
      <c r="T719">
        <v>5</v>
      </c>
      <c r="U719" s="5">
        <f>IF(Merge1[[#This Row],[team_defense_snaps]]=0, "", Merge1[[#This Row],[defense_snaps]] / Merge1[[#This Row],[team_defense_snaps]])</f>
        <v>6.5789473684210523E-2</v>
      </c>
      <c r="V719">
        <v>76</v>
      </c>
      <c r="W719">
        <v>18</v>
      </c>
      <c r="X719" s="5" t="s">
        <v>189</v>
      </c>
      <c r="Y719">
        <v>4</v>
      </c>
      <c r="Z719">
        <v>0</v>
      </c>
      <c r="AA719" t="s">
        <v>25</v>
      </c>
      <c r="AB719" t="s">
        <v>26</v>
      </c>
      <c r="AC719" t="s">
        <v>27</v>
      </c>
      <c r="AD719" t="s">
        <v>42</v>
      </c>
      <c r="AE719" t="s">
        <v>25</v>
      </c>
      <c r="AF7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4.3478260869565216E-2</v>
      </c>
      <c r="AG719" t="s">
        <v>942</v>
      </c>
      <c r="AH719">
        <v>83.5</v>
      </c>
      <c r="AI719" t="s">
        <v>939</v>
      </c>
      <c r="AJ719">
        <v>5</v>
      </c>
      <c r="AK7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MIN(AJ719/8, 1) +
  Merge1[[#This Row],[index_defensive_effort]],
  2
)</f>
        <v>1.27</v>
      </c>
    </row>
    <row r="720" spans="1:37" x14ac:dyDescent="0.25">
      <c r="A720" t="s">
        <v>386</v>
      </c>
      <c r="B720" t="s">
        <v>387</v>
      </c>
      <c r="C720">
        <v>27</v>
      </c>
      <c r="D720" t="s">
        <v>22</v>
      </c>
      <c r="E720">
        <v>74</v>
      </c>
      <c r="F720">
        <v>212</v>
      </c>
      <c r="G720" t="s">
        <v>78</v>
      </c>
      <c r="H720">
        <v>2020</v>
      </c>
      <c r="I720" t="s">
        <v>33</v>
      </c>
      <c r="J720">
        <v>5</v>
      </c>
      <c r="K720">
        <v>3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41</v>
      </c>
      <c r="T720">
        <v>15</v>
      </c>
      <c r="U720" s="5">
        <f>IF(Merge1[[#This Row],[team_defense_snaps]]=0, "", Merge1[[#This Row],[defense_snaps]] / Merge1[[#This Row],[team_defense_snaps]])</f>
        <v>0.21739130434782608</v>
      </c>
      <c r="V720">
        <v>69</v>
      </c>
      <c r="W720">
        <v>26</v>
      </c>
      <c r="X720" s="5" t="s">
        <v>95</v>
      </c>
      <c r="Y720">
        <v>4</v>
      </c>
      <c r="Z720">
        <v>0</v>
      </c>
      <c r="AA720" t="s">
        <v>25</v>
      </c>
      <c r="AB720" t="s">
        <v>26</v>
      </c>
      <c r="AC720" t="s">
        <v>27</v>
      </c>
      <c r="AD720" t="s">
        <v>28</v>
      </c>
      <c r="AE720" t="s">
        <v>25</v>
      </c>
      <c r="AF7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0.12195121951219512</v>
      </c>
      <c r="AG720" t="s">
        <v>942</v>
      </c>
      <c r="AH720">
        <v>85</v>
      </c>
      <c r="AI720" t="s">
        <v>939</v>
      </c>
      <c r="AJ720">
        <v>6</v>
      </c>
      <c r="AK7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MIN(AJ720/8, 1) +
  Merge1[[#This Row],[index_defensive_effort]],
  2
)</f>
        <v>1.47</v>
      </c>
    </row>
    <row r="721" spans="1:37" x14ac:dyDescent="0.25">
      <c r="A721" t="s">
        <v>386</v>
      </c>
      <c r="B721" t="s">
        <v>387</v>
      </c>
      <c r="C721">
        <v>27</v>
      </c>
      <c r="D721" t="s">
        <v>22</v>
      </c>
      <c r="E721">
        <v>74</v>
      </c>
      <c r="F721">
        <v>212</v>
      </c>
      <c r="G721" t="s">
        <v>78</v>
      </c>
      <c r="H721">
        <v>2020</v>
      </c>
      <c r="I721" t="s">
        <v>33</v>
      </c>
      <c r="J721">
        <v>6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31</v>
      </c>
      <c r="T721">
        <v>8</v>
      </c>
      <c r="U721" s="5">
        <f>IF(Merge1[[#This Row],[team_defense_snaps]]=0, "", Merge1[[#This Row],[defense_snaps]] / Merge1[[#This Row],[team_defense_snaps]])</f>
        <v>0.12903225806451613</v>
      </c>
      <c r="V721">
        <v>62</v>
      </c>
      <c r="W721">
        <v>23</v>
      </c>
      <c r="X721" s="5" t="s">
        <v>109</v>
      </c>
      <c r="Y721">
        <v>4</v>
      </c>
      <c r="Z721">
        <v>0</v>
      </c>
      <c r="AA721" t="s">
        <v>25</v>
      </c>
      <c r="AB721" t="s">
        <v>26</v>
      </c>
      <c r="AC721" t="s">
        <v>27</v>
      </c>
      <c r="AD721" t="s">
        <v>28</v>
      </c>
      <c r="AE721" t="s">
        <v>25</v>
      </c>
      <c r="AF7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3.2258064516129031E-2</v>
      </c>
      <c r="AG721" t="s">
        <v>942</v>
      </c>
      <c r="AH721">
        <v>79</v>
      </c>
      <c r="AI721" t="s">
        <v>939</v>
      </c>
      <c r="AJ721">
        <v>1</v>
      </c>
      <c r="AK7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MIN(AJ721/8, 1) +
  Merge1[[#This Row],[index_defensive_effort]],
  2
)</f>
        <v>0.76</v>
      </c>
    </row>
    <row r="722" spans="1:37" x14ac:dyDescent="0.25">
      <c r="A722" t="s">
        <v>386</v>
      </c>
      <c r="B722" t="s">
        <v>387</v>
      </c>
      <c r="C722">
        <v>27</v>
      </c>
      <c r="D722" t="s">
        <v>22</v>
      </c>
      <c r="E722">
        <v>74</v>
      </c>
      <c r="F722">
        <v>212</v>
      </c>
      <c r="G722" t="s">
        <v>78</v>
      </c>
      <c r="H722">
        <v>2020</v>
      </c>
      <c r="I722" t="s">
        <v>33</v>
      </c>
      <c r="J722">
        <v>9</v>
      </c>
      <c r="K722">
        <v>0</v>
      </c>
      <c r="L722">
        <v>2</v>
      </c>
      <c r="M722">
        <v>0</v>
      </c>
      <c r="N722">
        <v>2</v>
      </c>
      <c r="O722">
        <v>0</v>
      </c>
      <c r="P722">
        <v>0</v>
      </c>
      <c r="Q722">
        <v>0</v>
      </c>
      <c r="R722">
        <v>0</v>
      </c>
      <c r="S722">
        <v>45</v>
      </c>
      <c r="T722">
        <v>25</v>
      </c>
      <c r="U722" s="5">
        <f>IF(Merge1[[#This Row],[team_defense_snaps]]=0, "", Merge1[[#This Row],[defense_snaps]] / Merge1[[#This Row],[team_defense_snaps]])</f>
        <v>0.36231884057971014</v>
      </c>
      <c r="V722">
        <v>69</v>
      </c>
      <c r="W722">
        <v>20</v>
      </c>
      <c r="X722" s="5" t="s">
        <v>218</v>
      </c>
      <c r="Y722">
        <v>4</v>
      </c>
      <c r="Z722">
        <v>0</v>
      </c>
      <c r="AA722" t="s">
        <v>25</v>
      </c>
      <c r="AB722" t="s">
        <v>26</v>
      </c>
      <c r="AC722" t="s">
        <v>27</v>
      </c>
      <c r="AD722" t="s">
        <v>28</v>
      </c>
      <c r="AE722" t="s">
        <v>25</v>
      </c>
      <c r="AF7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2.2222222222222223E-2</v>
      </c>
      <c r="AG722" t="s">
        <v>942</v>
      </c>
      <c r="AH722">
        <v>77.5</v>
      </c>
      <c r="AI722" t="s">
        <v>939</v>
      </c>
      <c r="AJ722">
        <v>1</v>
      </c>
      <c r="AK7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MIN(AJ722/8, 1) +
  Merge1[[#This Row],[index_defensive_effort]],
  2
)</f>
        <v>0.75</v>
      </c>
    </row>
    <row r="723" spans="1:37" x14ac:dyDescent="0.25">
      <c r="A723" t="s">
        <v>386</v>
      </c>
      <c r="B723" t="s">
        <v>387</v>
      </c>
      <c r="C723">
        <v>27</v>
      </c>
      <c r="D723" t="s">
        <v>22</v>
      </c>
      <c r="E723">
        <v>74</v>
      </c>
      <c r="F723">
        <v>212</v>
      </c>
      <c r="G723" t="s">
        <v>78</v>
      </c>
      <c r="H723">
        <v>2020</v>
      </c>
      <c r="I723" t="s">
        <v>33</v>
      </c>
      <c r="J723">
        <v>11</v>
      </c>
      <c r="K723">
        <v>1</v>
      </c>
      <c r="L723">
        <v>1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36</v>
      </c>
      <c r="T723">
        <v>13</v>
      </c>
      <c r="U723" s="5">
        <f>IF(Merge1[[#This Row],[team_defense_snaps]]=0, "", Merge1[[#This Row],[defense_snaps]] / Merge1[[#This Row],[team_defense_snaps]])</f>
        <v>0.19696969696969696</v>
      </c>
      <c r="V723">
        <v>66</v>
      </c>
      <c r="W723">
        <v>23</v>
      </c>
      <c r="X723" s="5" t="s">
        <v>331</v>
      </c>
      <c r="Y723">
        <v>4</v>
      </c>
      <c r="Z723">
        <v>0</v>
      </c>
      <c r="AA723" t="s">
        <v>25</v>
      </c>
      <c r="AB723" t="s">
        <v>26</v>
      </c>
      <c r="AC723" t="s">
        <v>27</v>
      </c>
      <c r="AD723" t="s">
        <v>28</v>
      </c>
      <c r="AE723" t="s">
        <v>25</v>
      </c>
      <c r="AF7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723" t="s">
        <v>942</v>
      </c>
      <c r="AH723">
        <v>82</v>
      </c>
      <c r="AI723" t="s">
        <v>939</v>
      </c>
      <c r="AJ723">
        <v>1</v>
      </c>
      <c r="AK7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MIN(AJ723/8, 1) +
  Merge1[[#This Row],[index_defensive_effort]],
  2
)</f>
        <v>0.77</v>
      </c>
    </row>
    <row r="724" spans="1:37" x14ac:dyDescent="0.25">
      <c r="A724" t="s">
        <v>386</v>
      </c>
      <c r="B724" t="s">
        <v>387</v>
      </c>
      <c r="C724">
        <v>27</v>
      </c>
      <c r="D724" t="s">
        <v>22</v>
      </c>
      <c r="E724">
        <v>74</v>
      </c>
      <c r="F724">
        <v>212</v>
      </c>
      <c r="G724" t="s">
        <v>78</v>
      </c>
      <c r="H724">
        <v>2020</v>
      </c>
      <c r="I724" t="s">
        <v>33</v>
      </c>
      <c r="J724">
        <v>13</v>
      </c>
      <c r="K724">
        <v>7</v>
      </c>
      <c r="L724">
        <v>2</v>
      </c>
      <c r="M724">
        <v>1</v>
      </c>
      <c r="N724">
        <v>3</v>
      </c>
      <c r="O724">
        <v>0</v>
      </c>
      <c r="P724">
        <v>0</v>
      </c>
      <c r="Q724">
        <v>2</v>
      </c>
      <c r="R724">
        <v>0</v>
      </c>
      <c r="S724">
        <v>64</v>
      </c>
      <c r="T724">
        <v>55</v>
      </c>
      <c r="U724" s="5">
        <f>IF(Merge1[[#This Row],[team_defense_snaps]]=0, "", Merge1[[#This Row],[defense_snaps]] / Merge1[[#This Row],[team_defense_snaps]])</f>
        <v>1</v>
      </c>
      <c r="V724">
        <v>55</v>
      </c>
      <c r="W724">
        <v>9</v>
      </c>
      <c r="X724" s="5" t="s">
        <v>70</v>
      </c>
      <c r="Y724">
        <v>4</v>
      </c>
      <c r="Z724">
        <v>0</v>
      </c>
      <c r="AA724" t="s">
        <v>25</v>
      </c>
      <c r="AB724" t="s">
        <v>26</v>
      </c>
      <c r="AC724" t="s">
        <v>27</v>
      </c>
      <c r="AD724" t="s">
        <v>42</v>
      </c>
      <c r="AE724" t="s">
        <v>25</v>
      </c>
      <c r="AF7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0.2578125</v>
      </c>
      <c r="AG724" t="s">
        <v>942</v>
      </c>
      <c r="AH724">
        <v>64</v>
      </c>
      <c r="AI724" t="s">
        <v>939</v>
      </c>
      <c r="AJ724">
        <v>2</v>
      </c>
      <c r="AK7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MIN(AJ724/8, 1) +
  Merge1[[#This Row],[index_defensive_effort]],
  2
)</f>
        <v>1.1100000000000001</v>
      </c>
    </row>
    <row r="725" spans="1:37" x14ac:dyDescent="0.25">
      <c r="A725" t="s">
        <v>386</v>
      </c>
      <c r="B725" t="s">
        <v>387</v>
      </c>
      <c r="C725">
        <v>27</v>
      </c>
      <c r="D725" t="s">
        <v>22</v>
      </c>
      <c r="E725">
        <v>74</v>
      </c>
      <c r="F725">
        <v>212</v>
      </c>
      <c r="G725" t="s">
        <v>78</v>
      </c>
      <c r="H725">
        <v>2020</v>
      </c>
      <c r="I725" t="s">
        <v>33</v>
      </c>
      <c r="J725">
        <v>14</v>
      </c>
      <c r="K725">
        <v>4</v>
      </c>
      <c r="L725">
        <v>1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2</v>
      </c>
      <c r="S725">
        <v>76</v>
      </c>
      <c r="T725">
        <v>72</v>
      </c>
      <c r="U725" s="5">
        <f>IF(Merge1[[#This Row],[team_defense_snaps]]=0, "", Merge1[[#This Row],[defense_snaps]] / Merge1[[#This Row],[team_defense_snaps]])</f>
        <v>0.97297297297297303</v>
      </c>
      <c r="V725">
        <v>74</v>
      </c>
      <c r="W725">
        <v>4</v>
      </c>
      <c r="X725" s="5" t="s">
        <v>59</v>
      </c>
      <c r="Y725">
        <v>4</v>
      </c>
      <c r="Z725">
        <v>0</v>
      </c>
      <c r="AA725" t="s">
        <v>25</v>
      </c>
      <c r="AB725" t="s">
        <v>26</v>
      </c>
      <c r="AC725" t="s">
        <v>27</v>
      </c>
      <c r="AD725" t="s">
        <v>42</v>
      </c>
      <c r="AE725" t="s">
        <v>25</v>
      </c>
      <c r="AF7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0.1118421052631579</v>
      </c>
      <c r="AG725" t="s">
        <v>942</v>
      </c>
      <c r="AH725">
        <v>80.5</v>
      </c>
      <c r="AI725" t="s">
        <v>939</v>
      </c>
      <c r="AJ725">
        <v>3</v>
      </c>
      <c r="AK7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MIN(AJ725/8, 1) +
  Merge1[[#This Row],[index_defensive_effort]],
  2
)</f>
        <v>1.0900000000000001</v>
      </c>
    </row>
    <row r="726" spans="1:37" x14ac:dyDescent="0.25">
      <c r="A726" t="s">
        <v>386</v>
      </c>
      <c r="B726" t="s">
        <v>387</v>
      </c>
      <c r="C726">
        <v>27</v>
      </c>
      <c r="D726" t="s">
        <v>22</v>
      </c>
      <c r="E726">
        <v>74</v>
      </c>
      <c r="F726">
        <v>212</v>
      </c>
      <c r="G726" t="s">
        <v>78</v>
      </c>
      <c r="H726">
        <v>2020</v>
      </c>
      <c r="I726" t="s">
        <v>33</v>
      </c>
      <c r="J726">
        <v>15</v>
      </c>
      <c r="K726">
        <v>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78</v>
      </c>
      <c r="T726">
        <v>53</v>
      </c>
      <c r="U726" s="5">
        <f>IF(Merge1[[#This Row],[team_defense_snaps]]=0, "", Merge1[[#This Row],[defense_snaps]] / Merge1[[#This Row],[team_defense_snaps]])</f>
        <v>0.63095238095238093</v>
      </c>
      <c r="V726">
        <v>84</v>
      </c>
      <c r="W726">
        <v>25</v>
      </c>
      <c r="X726" s="5" t="s">
        <v>82</v>
      </c>
      <c r="Y726">
        <v>4</v>
      </c>
      <c r="Z726">
        <v>0</v>
      </c>
      <c r="AA726" t="s">
        <v>25</v>
      </c>
      <c r="AB726" t="s">
        <v>26</v>
      </c>
      <c r="AC726" t="s">
        <v>27</v>
      </c>
      <c r="AD726" t="s">
        <v>28</v>
      </c>
      <c r="AE726" t="s">
        <v>25</v>
      </c>
      <c r="AF7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1.282051282051282E-2</v>
      </c>
      <c r="AG726" t="s">
        <v>942</v>
      </c>
      <c r="AH726">
        <v>70</v>
      </c>
      <c r="AI726" t="s">
        <v>939</v>
      </c>
      <c r="AJ726">
        <v>4</v>
      </c>
      <c r="AK7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MIN(AJ726/8, 1) +
  Merge1[[#This Row],[index_defensive_effort]],
  2
)</f>
        <v>1.1100000000000001</v>
      </c>
    </row>
    <row r="727" spans="1:37" x14ac:dyDescent="0.25">
      <c r="A727" t="s">
        <v>386</v>
      </c>
      <c r="B727" t="s">
        <v>387</v>
      </c>
      <c r="C727">
        <v>27</v>
      </c>
      <c r="D727" t="s">
        <v>22</v>
      </c>
      <c r="E727">
        <v>74</v>
      </c>
      <c r="F727">
        <v>212</v>
      </c>
      <c r="G727" t="s">
        <v>78</v>
      </c>
      <c r="H727">
        <v>2020</v>
      </c>
      <c r="I727" t="s">
        <v>33</v>
      </c>
      <c r="J727">
        <v>16</v>
      </c>
      <c r="K727">
        <v>1</v>
      </c>
      <c r="L727">
        <v>3</v>
      </c>
      <c r="M727">
        <v>0</v>
      </c>
      <c r="N727">
        <v>3</v>
      </c>
      <c r="O727">
        <v>0</v>
      </c>
      <c r="P727">
        <v>0</v>
      </c>
      <c r="Q727">
        <v>0</v>
      </c>
      <c r="R727">
        <v>0</v>
      </c>
      <c r="S727">
        <v>73</v>
      </c>
      <c r="T727">
        <v>60</v>
      </c>
      <c r="U727" s="5">
        <f>IF(Merge1[[#This Row],[team_defense_snaps]]=0, "", Merge1[[#This Row],[defense_snaps]] / Merge1[[#This Row],[team_defense_snaps]])</f>
        <v>0.82191780821917804</v>
      </c>
      <c r="V727">
        <v>73</v>
      </c>
      <c r="W727">
        <v>13</v>
      </c>
      <c r="X727" s="5" t="s">
        <v>131</v>
      </c>
      <c r="Y727">
        <v>4</v>
      </c>
      <c r="Z727">
        <v>0</v>
      </c>
      <c r="AA727" t="s">
        <v>25</v>
      </c>
      <c r="AB727" t="s">
        <v>26</v>
      </c>
      <c r="AC727" t="s">
        <v>27</v>
      </c>
      <c r="AD727" t="s">
        <v>42</v>
      </c>
      <c r="AE727" t="s">
        <v>25</v>
      </c>
      <c r="AF7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3.4246575342465752E-2</v>
      </c>
      <c r="AG727" t="s">
        <v>942</v>
      </c>
      <c r="AH727">
        <v>62.5</v>
      </c>
      <c r="AI727" t="s">
        <v>939</v>
      </c>
      <c r="AJ727">
        <v>1</v>
      </c>
      <c r="AK7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MIN(AJ727/8, 1) +
  Merge1[[#This Row],[index_defensive_effort]],
  2
)</f>
        <v>0.76</v>
      </c>
    </row>
    <row r="728" spans="1:37" x14ac:dyDescent="0.25">
      <c r="A728" t="s">
        <v>392</v>
      </c>
      <c r="B728" t="s">
        <v>393</v>
      </c>
      <c r="C728">
        <v>27</v>
      </c>
      <c r="D728" t="s">
        <v>56</v>
      </c>
      <c r="E728">
        <v>69</v>
      </c>
      <c r="F728">
        <v>192</v>
      </c>
      <c r="G728" t="s">
        <v>355</v>
      </c>
      <c r="H728">
        <v>2020</v>
      </c>
      <c r="I728" t="s">
        <v>33</v>
      </c>
      <c r="J728">
        <v>1</v>
      </c>
      <c r="K728">
        <v>4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64</v>
      </c>
      <c r="T728">
        <v>64</v>
      </c>
      <c r="U728" s="5">
        <f>IF(Merge1[[#This Row],[team_defense_snaps]]=0, "", Merge1[[#This Row],[defense_snaps]] / Merge1[[#This Row],[team_defense_snaps]])</f>
        <v>0.88888888888888884</v>
      </c>
      <c r="V728">
        <v>72</v>
      </c>
      <c r="W728">
        <v>0</v>
      </c>
      <c r="X728" s="5" t="s">
        <v>29</v>
      </c>
      <c r="Y728">
        <v>2</v>
      </c>
      <c r="Z728">
        <v>0</v>
      </c>
      <c r="AA728" t="s">
        <v>25</v>
      </c>
      <c r="AB728" t="s">
        <v>26</v>
      </c>
      <c r="AC728" t="s">
        <v>27</v>
      </c>
      <c r="AD728" t="s">
        <v>204</v>
      </c>
      <c r="AE728" t="s">
        <v>25</v>
      </c>
      <c r="AF7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H728">
        <v>65.5</v>
      </c>
      <c r="AI728" t="s">
        <v>939</v>
      </c>
      <c r="AJ728">
        <v>2</v>
      </c>
      <c r="AK7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MIN(AJ728/8, 1) +
  Merge1[[#This Row],[index_defensive_effort]],
  2
)</f>
        <v>0.91</v>
      </c>
    </row>
    <row r="729" spans="1:37" x14ac:dyDescent="0.25">
      <c r="A729" t="s">
        <v>392</v>
      </c>
      <c r="B729" t="s">
        <v>393</v>
      </c>
      <c r="C729">
        <v>27</v>
      </c>
      <c r="D729" t="s">
        <v>56</v>
      </c>
      <c r="E729">
        <v>69</v>
      </c>
      <c r="F729">
        <v>192</v>
      </c>
      <c r="G729" t="s">
        <v>355</v>
      </c>
      <c r="H729">
        <v>2020</v>
      </c>
      <c r="I729" t="s">
        <v>33</v>
      </c>
      <c r="J729">
        <v>2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2</v>
      </c>
      <c r="R729">
        <v>0</v>
      </c>
      <c r="S729">
        <v>66</v>
      </c>
      <c r="T729">
        <v>66</v>
      </c>
      <c r="U729" s="5">
        <f>IF(Merge1[[#This Row],[team_defense_snaps]]=0, "", Merge1[[#This Row],[defense_snaps]] / Merge1[[#This Row],[team_defense_snaps]])</f>
        <v>0.92957746478873238</v>
      </c>
      <c r="V729">
        <v>71</v>
      </c>
      <c r="W729">
        <v>0</v>
      </c>
      <c r="X729" s="5" t="s">
        <v>29</v>
      </c>
      <c r="Y729">
        <v>2</v>
      </c>
      <c r="Z729">
        <v>0</v>
      </c>
      <c r="AA729" t="s">
        <v>25</v>
      </c>
      <c r="AB729" t="s">
        <v>26</v>
      </c>
      <c r="AC729" t="s">
        <v>27</v>
      </c>
      <c r="AD729" t="s">
        <v>204</v>
      </c>
      <c r="AE729" t="s">
        <v>25</v>
      </c>
      <c r="AF7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0.13636363636363635</v>
      </c>
      <c r="AH729">
        <v>59.5</v>
      </c>
      <c r="AI729" t="s">
        <v>939</v>
      </c>
      <c r="AJ729">
        <v>3</v>
      </c>
      <c r="AK7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MIN(AJ729/8, 1) +
  Merge1[[#This Row],[index_defensive_effort]],
  2
)</f>
        <v>1.1100000000000001</v>
      </c>
    </row>
    <row r="730" spans="1:37" x14ac:dyDescent="0.25">
      <c r="A730" t="s">
        <v>392</v>
      </c>
      <c r="B730" t="s">
        <v>393</v>
      </c>
      <c r="C730">
        <v>27</v>
      </c>
      <c r="D730" t="s">
        <v>56</v>
      </c>
      <c r="E730">
        <v>69</v>
      </c>
      <c r="F730">
        <v>192</v>
      </c>
      <c r="G730" t="s">
        <v>355</v>
      </c>
      <c r="H730">
        <v>2020</v>
      </c>
      <c r="I730" t="s">
        <v>33</v>
      </c>
      <c r="J730">
        <v>3</v>
      </c>
      <c r="K730">
        <v>2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53</v>
      </c>
      <c r="T730">
        <v>53</v>
      </c>
      <c r="U730" s="5">
        <f>IF(Merge1[[#This Row],[team_defense_snaps]]=0, "", Merge1[[#This Row],[defense_snaps]] / Merge1[[#This Row],[team_defense_snaps]])</f>
        <v>0.828125</v>
      </c>
      <c r="V730">
        <v>64</v>
      </c>
      <c r="W730">
        <v>0</v>
      </c>
      <c r="X730" s="5" t="s">
        <v>29</v>
      </c>
      <c r="Y730">
        <v>2</v>
      </c>
      <c r="Z730">
        <v>0</v>
      </c>
      <c r="AA730" t="s">
        <v>25</v>
      </c>
      <c r="AB730" t="s">
        <v>36</v>
      </c>
      <c r="AC730" t="s">
        <v>63</v>
      </c>
      <c r="AD730" t="s">
        <v>204</v>
      </c>
      <c r="AE730" t="s">
        <v>25</v>
      </c>
      <c r="AF7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3.7735849056603772E-2</v>
      </c>
      <c r="AH730">
        <v>56.5</v>
      </c>
      <c r="AI730" t="s">
        <v>939</v>
      </c>
      <c r="AJ730">
        <v>4</v>
      </c>
      <c r="AK7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MIN(AJ730/8, 1) +
  Merge1[[#This Row],[index_defensive_effort]],
  2
)</f>
        <v>1.1399999999999999</v>
      </c>
    </row>
    <row r="731" spans="1:37" x14ac:dyDescent="0.25">
      <c r="A731" t="s">
        <v>392</v>
      </c>
      <c r="B731" t="s">
        <v>393</v>
      </c>
      <c r="C731">
        <v>27</v>
      </c>
      <c r="D731" t="s">
        <v>56</v>
      </c>
      <c r="E731">
        <v>69</v>
      </c>
      <c r="F731">
        <v>192</v>
      </c>
      <c r="G731" t="s">
        <v>355</v>
      </c>
      <c r="H731">
        <v>2020</v>
      </c>
      <c r="I731" t="s">
        <v>33</v>
      </c>
      <c r="J731">
        <v>4</v>
      </c>
      <c r="K731">
        <v>5</v>
      </c>
      <c r="L731">
        <v>2</v>
      </c>
      <c r="M731">
        <v>1</v>
      </c>
      <c r="N731">
        <v>3</v>
      </c>
      <c r="O731">
        <v>0</v>
      </c>
      <c r="P731">
        <v>0</v>
      </c>
      <c r="Q731">
        <v>2</v>
      </c>
      <c r="R731">
        <v>0</v>
      </c>
      <c r="S731">
        <v>58</v>
      </c>
      <c r="T731">
        <v>58</v>
      </c>
      <c r="U731" s="5">
        <f>IF(Merge1[[#This Row],[team_defense_snaps]]=0, "", Merge1[[#This Row],[defense_snaps]] / Merge1[[#This Row],[team_defense_snaps]])</f>
        <v>0.8529411764705882</v>
      </c>
      <c r="V731">
        <v>68</v>
      </c>
      <c r="W731">
        <v>0</v>
      </c>
      <c r="X731" s="5" t="s">
        <v>29</v>
      </c>
      <c r="Y731">
        <v>2</v>
      </c>
      <c r="Z731">
        <v>0</v>
      </c>
      <c r="AA731" t="s">
        <v>25</v>
      </c>
      <c r="AB731" t="s">
        <v>26</v>
      </c>
      <c r="AC731" t="s">
        <v>27</v>
      </c>
      <c r="AD731" t="s">
        <v>204</v>
      </c>
      <c r="AE731" t="s">
        <v>25</v>
      </c>
      <c r="AF7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</v>
      </c>
      <c r="AH731">
        <v>68.5</v>
      </c>
      <c r="AI731" t="s">
        <v>939</v>
      </c>
      <c r="AJ731">
        <v>5</v>
      </c>
      <c r="AK7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MIN(AJ731/8, 1) +
  Merge1[[#This Row],[index_defensive_effort]],
  2
)</f>
        <v>1.48</v>
      </c>
    </row>
    <row r="732" spans="1:37" x14ac:dyDescent="0.25">
      <c r="A732" t="s">
        <v>392</v>
      </c>
      <c r="B732" t="s">
        <v>393</v>
      </c>
      <c r="C732">
        <v>27</v>
      </c>
      <c r="D732" t="s">
        <v>56</v>
      </c>
      <c r="E732">
        <v>69</v>
      </c>
      <c r="F732">
        <v>192</v>
      </c>
      <c r="G732" t="s">
        <v>355</v>
      </c>
      <c r="H732">
        <v>2020</v>
      </c>
      <c r="I732" t="s">
        <v>33</v>
      </c>
      <c r="J732">
        <v>5</v>
      </c>
      <c r="K732">
        <v>4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52</v>
      </c>
      <c r="T732">
        <v>52</v>
      </c>
      <c r="U732" s="5">
        <f>IF(Merge1[[#This Row],[team_defense_snaps]]=0, "", Merge1[[#This Row],[defense_snaps]] / Merge1[[#This Row],[team_defense_snaps]])</f>
        <v>0.96296296296296291</v>
      </c>
      <c r="V732">
        <v>54</v>
      </c>
      <c r="W732">
        <v>0</v>
      </c>
      <c r="X732" s="5" t="s">
        <v>29</v>
      </c>
      <c r="Y732">
        <v>2</v>
      </c>
      <c r="Z732">
        <v>0</v>
      </c>
      <c r="AA732" t="s">
        <v>25</v>
      </c>
      <c r="AB732" t="s">
        <v>26</v>
      </c>
      <c r="AC732" t="s">
        <v>27</v>
      </c>
      <c r="AD732" t="s">
        <v>204</v>
      </c>
      <c r="AE732" t="s">
        <v>25</v>
      </c>
      <c r="AF7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7.6923076923076927E-2</v>
      </c>
      <c r="AH732">
        <v>47.5</v>
      </c>
      <c r="AI732" t="s">
        <v>939</v>
      </c>
      <c r="AJ732">
        <v>6</v>
      </c>
      <c r="AK7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MIN(AJ732/8, 1) +
  Merge1[[#This Row],[index_defensive_effort]],
  2
)</f>
        <v>1.43</v>
      </c>
    </row>
    <row r="733" spans="1:37" x14ac:dyDescent="0.25">
      <c r="A733" t="s">
        <v>392</v>
      </c>
      <c r="B733" t="s">
        <v>393</v>
      </c>
      <c r="C733">
        <v>27</v>
      </c>
      <c r="D733" t="s">
        <v>56</v>
      </c>
      <c r="E733">
        <v>69</v>
      </c>
      <c r="F733">
        <v>192</v>
      </c>
      <c r="G733" t="s">
        <v>355</v>
      </c>
      <c r="H733">
        <v>2020</v>
      </c>
      <c r="I733" t="s">
        <v>33</v>
      </c>
      <c r="J733">
        <v>6</v>
      </c>
      <c r="K733">
        <v>1</v>
      </c>
      <c r="L733">
        <v>1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44</v>
      </c>
      <c r="T733">
        <v>44</v>
      </c>
      <c r="U733" s="5">
        <f>IF(Merge1[[#This Row],[team_defense_snaps]]=0, "", Merge1[[#This Row],[defense_snaps]] / Merge1[[#This Row],[team_defense_snaps]])</f>
        <v>0.58666666666666667</v>
      </c>
      <c r="V733">
        <v>75</v>
      </c>
      <c r="W733">
        <v>0</v>
      </c>
      <c r="X733" s="5" t="s">
        <v>29</v>
      </c>
      <c r="Y733">
        <v>2</v>
      </c>
      <c r="Z733">
        <v>0</v>
      </c>
      <c r="AA733" t="s">
        <v>25</v>
      </c>
      <c r="AB733" t="s">
        <v>26</v>
      </c>
      <c r="AC733" t="s">
        <v>27</v>
      </c>
      <c r="AD733" t="s">
        <v>204</v>
      </c>
      <c r="AE733" t="s">
        <v>25</v>
      </c>
      <c r="AF7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3.4090909090909088E-2</v>
      </c>
      <c r="AH733">
        <v>61</v>
      </c>
      <c r="AI733" t="s">
        <v>939</v>
      </c>
      <c r="AJ733">
        <v>7</v>
      </c>
      <c r="AK7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MIN(AJ733/8, 1) +
  Merge1[[#This Row],[index_defensive_effort]],
  2
)</f>
        <v>1.51</v>
      </c>
    </row>
    <row r="734" spans="1:37" x14ac:dyDescent="0.25">
      <c r="A734" t="s">
        <v>392</v>
      </c>
      <c r="B734" t="s">
        <v>393</v>
      </c>
      <c r="C734">
        <v>27</v>
      </c>
      <c r="D734" t="s">
        <v>56</v>
      </c>
      <c r="E734">
        <v>69</v>
      </c>
      <c r="F734">
        <v>192</v>
      </c>
      <c r="G734" t="s">
        <v>355</v>
      </c>
      <c r="H734">
        <v>2020</v>
      </c>
      <c r="I734" t="s">
        <v>33</v>
      </c>
      <c r="J734">
        <v>7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53</v>
      </c>
      <c r="T734">
        <v>53</v>
      </c>
      <c r="U734" s="5">
        <f>IF(Merge1[[#This Row],[team_defense_snaps]]=0, "", Merge1[[#This Row],[defense_snaps]] / Merge1[[#This Row],[team_defense_snaps]])</f>
        <v>0.84126984126984128</v>
      </c>
      <c r="V734">
        <v>63</v>
      </c>
      <c r="W734">
        <v>0</v>
      </c>
      <c r="X734" s="5" t="s">
        <v>29</v>
      </c>
      <c r="Y734">
        <v>2</v>
      </c>
      <c r="Z734">
        <v>0</v>
      </c>
      <c r="AA734" t="s">
        <v>25</v>
      </c>
      <c r="AB734" t="s">
        <v>26</v>
      </c>
      <c r="AC734" t="s">
        <v>27</v>
      </c>
      <c r="AD734" t="s">
        <v>204</v>
      </c>
      <c r="AE734" t="s">
        <v>25</v>
      </c>
      <c r="AF7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1.8867924528301886E-2</v>
      </c>
      <c r="AH734">
        <v>49</v>
      </c>
      <c r="AI734" t="s">
        <v>939</v>
      </c>
      <c r="AJ734">
        <v>8</v>
      </c>
      <c r="AK7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MIN(AJ734/8, 1) +
  Merge1[[#This Row],[index_defensive_effort]],
  2
)</f>
        <v>1.62</v>
      </c>
    </row>
    <row r="735" spans="1:37" x14ac:dyDescent="0.25">
      <c r="A735" t="s">
        <v>392</v>
      </c>
      <c r="B735" t="s">
        <v>393</v>
      </c>
      <c r="C735">
        <v>27</v>
      </c>
      <c r="D735" t="s">
        <v>56</v>
      </c>
      <c r="E735">
        <v>69</v>
      </c>
      <c r="F735">
        <v>192</v>
      </c>
      <c r="G735" t="s">
        <v>355</v>
      </c>
      <c r="H735">
        <v>2020</v>
      </c>
      <c r="I735" t="s">
        <v>33</v>
      </c>
      <c r="J735">
        <v>8</v>
      </c>
      <c r="K735">
        <v>2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47</v>
      </c>
      <c r="T735">
        <v>47</v>
      </c>
      <c r="U735" s="5">
        <f>IF(Merge1[[#This Row],[team_defense_snaps]]=0, "", Merge1[[#This Row],[defense_snaps]] / Merge1[[#This Row],[team_defense_snaps]])</f>
        <v>0.94</v>
      </c>
      <c r="V735">
        <v>50</v>
      </c>
      <c r="W735">
        <v>0</v>
      </c>
      <c r="X735" s="5" t="s">
        <v>29</v>
      </c>
      <c r="Y735">
        <v>2</v>
      </c>
      <c r="Z735">
        <v>0</v>
      </c>
      <c r="AA735" t="s">
        <v>25</v>
      </c>
      <c r="AB735" t="s">
        <v>26</v>
      </c>
      <c r="AC735" t="s">
        <v>27</v>
      </c>
      <c r="AD735" t="s">
        <v>204</v>
      </c>
      <c r="AE735" t="s">
        <v>25</v>
      </c>
      <c r="AF7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4.2553191489361701E-2</v>
      </c>
      <c r="AH735">
        <v>62.5</v>
      </c>
      <c r="AI735" t="s">
        <v>939</v>
      </c>
      <c r="AJ735">
        <v>1</v>
      </c>
      <c r="AK7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MIN(AJ735/8, 1) +
  Merge1[[#This Row],[index_defensive_effort]],
  2
)</f>
        <v>0.77</v>
      </c>
    </row>
    <row r="736" spans="1:37" x14ac:dyDescent="0.25">
      <c r="A736" t="s">
        <v>392</v>
      </c>
      <c r="B736" t="s">
        <v>393</v>
      </c>
      <c r="C736">
        <v>27</v>
      </c>
      <c r="D736" t="s">
        <v>56</v>
      </c>
      <c r="E736">
        <v>69</v>
      </c>
      <c r="F736">
        <v>192</v>
      </c>
      <c r="G736" t="s">
        <v>355</v>
      </c>
      <c r="H736">
        <v>2020</v>
      </c>
      <c r="I736" t="s">
        <v>33</v>
      </c>
      <c r="J736">
        <v>10</v>
      </c>
      <c r="K736">
        <v>3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4</v>
      </c>
      <c r="R736">
        <v>0</v>
      </c>
      <c r="S736">
        <v>60</v>
      </c>
      <c r="T736">
        <v>60</v>
      </c>
      <c r="U736" s="5">
        <f>IF(Merge1[[#This Row],[team_defense_snaps]]=0, "", Merge1[[#This Row],[defense_snaps]] / Merge1[[#This Row],[team_defense_snaps]])</f>
        <v>0.89552238805970152</v>
      </c>
      <c r="V736">
        <v>67</v>
      </c>
      <c r="W736">
        <v>0</v>
      </c>
      <c r="X736" s="5" t="s">
        <v>29</v>
      </c>
      <c r="Y736">
        <v>2</v>
      </c>
      <c r="Z736">
        <v>0</v>
      </c>
      <c r="AA736" t="s">
        <v>25</v>
      </c>
      <c r="AB736" t="s">
        <v>26</v>
      </c>
      <c r="AC736" t="s">
        <v>27</v>
      </c>
      <c r="AD736" t="s">
        <v>204</v>
      </c>
      <c r="AE736" t="s">
        <v>25</v>
      </c>
      <c r="AF7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0.31666666666666665</v>
      </c>
      <c r="AH736">
        <v>70</v>
      </c>
      <c r="AI736" t="s">
        <v>939</v>
      </c>
      <c r="AJ736">
        <v>2</v>
      </c>
      <c r="AK7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MIN(AJ736/8, 1) +
  Merge1[[#This Row],[index_defensive_effort]],
  2
)</f>
        <v>1.17</v>
      </c>
    </row>
    <row r="737" spans="1:37" x14ac:dyDescent="0.25">
      <c r="A737" t="s">
        <v>392</v>
      </c>
      <c r="B737" t="s">
        <v>393</v>
      </c>
      <c r="C737">
        <v>27</v>
      </c>
      <c r="D737" t="s">
        <v>56</v>
      </c>
      <c r="E737">
        <v>69</v>
      </c>
      <c r="F737">
        <v>192</v>
      </c>
      <c r="G737" t="s">
        <v>355</v>
      </c>
      <c r="H737">
        <v>2020</v>
      </c>
      <c r="I737" t="s">
        <v>33</v>
      </c>
      <c r="J737">
        <v>11</v>
      </c>
      <c r="K737">
        <v>4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62</v>
      </c>
      <c r="T737">
        <v>62</v>
      </c>
      <c r="U737" s="5">
        <f>IF(Merge1[[#This Row],[team_defense_snaps]]=0, "", Merge1[[#This Row],[defense_snaps]] / Merge1[[#This Row],[team_defense_snaps]])</f>
        <v>0.88571428571428568</v>
      </c>
      <c r="V737">
        <v>70</v>
      </c>
      <c r="W737">
        <v>0</v>
      </c>
      <c r="X737" s="5" t="s">
        <v>29</v>
      </c>
      <c r="Y737">
        <v>2</v>
      </c>
      <c r="Z737">
        <v>0</v>
      </c>
      <c r="AA737" t="s">
        <v>25</v>
      </c>
      <c r="AB737" t="s">
        <v>26</v>
      </c>
      <c r="AC737" t="s">
        <v>27</v>
      </c>
      <c r="AD737" t="s">
        <v>204</v>
      </c>
      <c r="AE737" t="s">
        <v>25</v>
      </c>
      <c r="AF7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6.4516129032258063E-2</v>
      </c>
      <c r="AH737">
        <v>50</v>
      </c>
      <c r="AI737" t="s">
        <v>939</v>
      </c>
      <c r="AJ737">
        <v>3</v>
      </c>
      <c r="AK7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MIN(AJ737/8, 1) +
  Merge1[[#This Row],[index_defensive_effort]],
  2
)</f>
        <v>1.04</v>
      </c>
    </row>
    <row r="738" spans="1:37" x14ac:dyDescent="0.25">
      <c r="A738" t="s">
        <v>392</v>
      </c>
      <c r="B738" t="s">
        <v>393</v>
      </c>
      <c r="C738">
        <v>27</v>
      </c>
      <c r="D738" t="s">
        <v>56</v>
      </c>
      <c r="E738">
        <v>69</v>
      </c>
      <c r="F738">
        <v>192</v>
      </c>
      <c r="G738" t="s">
        <v>355</v>
      </c>
      <c r="H738">
        <v>2020</v>
      </c>
      <c r="I738" t="s">
        <v>33</v>
      </c>
      <c r="J738">
        <v>12</v>
      </c>
      <c r="K738">
        <v>2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36</v>
      </c>
      <c r="T738">
        <v>36</v>
      </c>
      <c r="U738" s="5">
        <f>IF(Merge1[[#This Row],[team_defense_snaps]]=0, "", Merge1[[#This Row],[defense_snaps]] / Merge1[[#This Row],[team_defense_snaps]])</f>
        <v>0.5</v>
      </c>
      <c r="V738">
        <v>72</v>
      </c>
      <c r="W738">
        <v>0</v>
      </c>
      <c r="X738" s="5" t="s">
        <v>29</v>
      </c>
      <c r="Y738">
        <v>2</v>
      </c>
      <c r="Z738">
        <v>0</v>
      </c>
      <c r="AA738" t="s">
        <v>25</v>
      </c>
      <c r="AB738" t="s">
        <v>26</v>
      </c>
      <c r="AC738" t="s">
        <v>27</v>
      </c>
      <c r="AD738" t="s">
        <v>204</v>
      </c>
      <c r="AE738" t="s">
        <v>25</v>
      </c>
      <c r="AF7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H738">
        <v>55</v>
      </c>
      <c r="AI738" t="s">
        <v>939</v>
      </c>
      <c r="AJ738">
        <v>1</v>
      </c>
      <c r="AK7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MIN(AJ738/8, 1) +
  Merge1[[#This Row],[index_defensive_effort]],
  2
)</f>
        <v>0.78</v>
      </c>
    </row>
    <row r="739" spans="1:37" x14ac:dyDescent="0.25">
      <c r="A739" t="s">
        <v>392</v>
      </c>
      <c r="B739" t="s">
        <v>393</v>
      </c>
      <c r="C739">
        <v>27</v>
      </c>
      <c r="D739" t="s">
        <v>56</v>
      </c>
      <c r="E739">
        <v>69</v>
      </c>
      <c r="F739">
        <v>192</v>
      </c>
      <c r="G739" t="s">
        <v>355</v>
      </c>
      <c r="H739">
        <v>2020</v>
      </c>
      <c r="I739" t="s">
        <v>33</v>
      </c>
      <c r="J739">
        <v>14</v>
      </c>
      <c r="K739">
        <v>1</v>
      </c>
      <c r="L739">
        <v>1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34</v>
      </c>
      <c r="T739">
        <v>34</v>
      </c>
      <c r="U739" s="5">
        <f>IF(Merge1[[#This Row],[team_defense_snaps]]=0, "", Merge1[[#This Row],[defense_snaps]] / Merge1[[#This Row],[team_defense_snaps]])</f>
        <v>0.57627118644067798</v>
      </c>
      <c r="V739">
        <v>59</v>
      </c>
      <c r="W739">
        <v>0</v>
      </c>
      <c r="X739" s="5" t="s">
        <v>29</v>
      </c>
      <c r="Y739">
        <v>2</v>
      </c>
      <c r="Z739">
        <v>0</v>
      </c>
      <c r="AA739" t="s">
        <v>25</v>
      </c>
      <c r="AB739" t="s">
        <v>26</v>
      </c>
      <c r="AC739" t="s">
        <v>27</v>
      </c>
      <c r="AD739" t="s">
        <v>204</v>
      </c>
      <c r="AE739" t="s">
        <v>25</v>
      </c>
      <c r="AF7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4.4117647058823532E-2</v>
      </c>
      <c r="AH739">
        <v>50.5</v>
      </c>
      <c r="AI739" t="s">
        <v>939</v>
      </c>
      <c r="AJ739">
        <v>2</v>
      </c>
      <c r="AK7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MIN(AJ739/8, 1) +
  Merge1[[#This Row],[index_defensive_effort]],
  2
)</f>
        <v>0.89</v>
      </c>
    </row>
    <row r="740" spans="1:37" x14ac:dyDescent="0.25">
      <c r="A740" t="s">
        <v>392</v>
      </c>
      <c r="B740" t="s">
        <v>393</v>
      </c>
      <c r="C740">
        <v>27</v>
      </c>
      <c r="D740" t="s">
        <v>56</v>
      </c>
      <c r="E740">
        <v>69</v>
      </c>
      <c r="F740">
        <v>192</v>
      </c>
      <c r="G740" t="s">
        <v>355</v>
      </c>
      <c r="H740">
        <v>2020</v>
      </c>
      <c r="I740" t="s">
        <v>33</v>
      </c>
      <c r="J740">
        <v>15</v>
      </c>
      <c r="K740">
        <v>3</v>
      </c>
      <c r="L740">
        <v>2</v>
      </c>
      <c r="M740">
        <v>2</v>
      </c>
      <c r="N740">
        <v>4</v>
      </c>
      <c r="O740">
        <v>0</v>
      </c>
      <c r="P740">
        <v>0</v>
      </c>
      <c r="Q740">
        <v>0</v>
      </c>
      <c r="R740">
        <v>0</v>
      </c>
      <c r="S740">
        <v>50</v>
      </c>
      <c r="T740">
        <v>50</v>
      </c>
      <c r="U740" s="5">
        <f>IF(Merge1[[#This Row],[team_defense_snaps]]=0, "", Merge1[[#This Row],[defense_snaps]] / Merge1[[#This Row],[team_defense_snaps]])</f>
        <v>0.76923076923076927</v>
      </c>
      <c r="V740">
        <v>65</v>
      </c>
      <c r="W740">
        <v>0</v>
      </c>
      <c r="X740" s="5" t="s">
        <v>29</v>
      </c>
      <c r="Y740">
        <v>2</v>
      </c>
      <c r="Z740">
        <v>0</v>
      </c>
      <c r="AA740" t="s">
        <v>25</v>
      </c>
      <c r="AB740" t="s">
        <v>26</v>
      </c>
      <c r="AC740" t="s">
        <v>27</v>
      </c>
      <c r="AD740" t="s">
        <v>204</v>
      </c>
      <c r="AE740" t="s">
        <v>25</v>
      </c>
      <c r="AF7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H740">
        <v>64</v>
      </c>
      <c r="AI740" t="s">
        <v>939</v>
      </c>
      <c r="AJ740">
        <v>3</v>
      </c>
      <c r="AK7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MIN(AJ740/8, 1) +
  Merge1[[#This Row],[index_defensive_effort]],
  2
)</f>
        <v>1.08</v>
      </c>
    </row>
    <row r="741" spans="1:37" x14ac:dyDescent="0.25">
      <c r="A741" t="s">
        <v>392</v>
      </c>
      <c r="B741" t="s">
        <v>393</v>
      </c>
      <c r="C741">
        <v>27</v>
      </c>
      <c r="D741" t="s">
        <v>56</v>
      </c>
      <c r="E741">
        <v>69</v>
      </c>
      <c r="F741">
        <v>192</v>
      </c>
      <c r="G741" t="s">
        <v>355</v>
      </c>
      <c r="H741">
        <v>2020</v>
      </c>
      <c r="I741" t="s">
        <v>33</v>
      </c>
      <c r="J741">
        <v>16</v>
      </c>
      <c r="K741">
        <v>4</v>
      </c>
      <c r="L741">
        <v>2</v>
      </c>
      <c r="M741">
        <v>0</v>
      </c>
      <c r="N741">
        <v>2</v>
      </c>
      <c r="O741">
        <v>0</v>
      </c>
      <c r="P741">
        <v>0</v>
      </c>
      <c r="Q741">
        <v>0</v>
      </c>
      <c r="R741">
        <v>0</v>
      </c>
      <c r="S741">
        <v>39</v>
      </c>
      <c r="T741">
        <v>39</v>
      </c>
      <c r="U741" s="5">
        <f>IF(Merge1[[#This Row],[team_defense_snaps]]=0, "", Merge1[[#This Row],[defense_snaps]] / Merge1[[#This Row],[team_defense_snaps]])</f>
        <v>0.61904761904761907</v>
      </c>
      <c r="V741">
        <v>63</v>
      </c>
      <c r="W741">
        <v>0</v>
      </c>
      <c r="X741" s="5" t="s">
        <v>29</v>
      </c>
      <c r="Y741">
        <v>2</v>
      </c>
      <c r="Z741">
        <v>0</v>
      </c>
      <c r="AA741" t="s">
        <v>25</v>
      </c>
      <c r="AB741" t="s">
        <v>26</v>
      </c>
      <c r="AC741" t="s">
        <v>27</v>
      </c>
      <c r="AD741" t="s">
        <v>204</v>
      </c>
      <c r="AE741" t="s">
        <v>25</v>
      </c>
      <c r="AF7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0.12820512820512819</v>
      </c>
      <c r="AH741">
        <v>46</v>
      </c>
      <c r="AI741" t="s">
        <v>939</v>
      </c>
      <c r="AJ741">
        <v>4</v>
      </c>
      <c r="AK7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MIN(AJ741/8, 1) +
  Merge1[[#This Row],[index_defensive_effort]],
  2
)</f>
        <v>1.23</v>
      </c>
    </row>
    <row r="742" spans="1:37" x14ac:dyDescent="0.25">
      <c r="A742" t="s">
        <v>392</v>
      </c>
      <c r="B742" t="s">
        <v>393</v>
      </c>
      <c r="C742">
        <v>27</v>
      </c>
      <c r="D742" t="s">
        <v>56</v>
      </c>
      <c r="E742">
        <v>69</v>
      </c>
      <c r="F742">
        <v>192</v>
      </c>
      <c r="G742" t="s">
        <v>355</v>
      </c>
      <c r="H742">
        <v>2020</v>
      </c>
      <c r="I742" t="s">
        <v>33</v>
      </c>
      <c r="J742">
        <v>17</v>
      </c>
      <c r="K742">
        <v>3</v>
      </c>
      <c r="L742">
        <v>1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48</v>
      </c>
      <c r="T742">
        <v>48</v>
      </c>
      <c r="U742" s="5">
        <f>IF(Merge1[[#This Row],[team_defense_snaps]]=0, "", Merge1[[#This Row],[defense_snaps]] / Merge1[[#This Row],[team_defense_snaps]])</f>
        <v>0.90566037735849059</v>
      </c>
      <c r="V742">
        <v>53</v>
      </c>
      <c r="W742">
        <v>0</v>
      </c>
      <c r="X742" s="5" t="s">
        <v>29</v>
      </c>
      <c r="Y742">
        <v>2</v>
      </c>
      <c r="Z742">
        <v>0</v>
      </c>
      <c r="AA742" t="s">
        <v>25</v>
      </c>
      <c r="AB742" t="s">
        <v>26</v>
      </c>
      <c r="AC742" t="s">
        <v>27</v>
      </c>
      <c r="AD742" t="s">
        <v>204</v>
      </c>
      <c r="AE742" t="s">
        <v>25</v>
      </c>
      <c r="AF7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7.2916666666666671E-2</v>
      </c>
      <c r="AH742">
        <v>53.5</v>
      </c>
      <c r="AI742" t="s">
        <v>939</v>
      </c>
      <c r="AJ742">
        <v>5</v>
      </c>
      <c r="AK7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MIN(AJ742/8, 1) +
  Merge1[[#This Row],[index_defensive_effort]],
  2
)</f>
        <v>1.3</v>
      </c>
    </row>
    <row r="743" spans="1:37" x14ac:dyDescent="0.25">
      <c r="A743" t="s">
        <v>392</v>
      </c>
      <c r="B743" t="s">
        <v>393</v>
      </c>
      <c r="C743">
        <v>27</v>
      </c>
      <c r="D743" t="s">
        <v>56</v>
      </c>
      <c r="E743">
        <v>69</v>
      </c>
      <c r="F743">
        <v>192</v>
      </c>
      <c r="G743" t="s">
        <v>355</v>
      </c>
      <c r="H743">
        <v>2020</v>
      </c>
      <c r="I743" t="s">
        <v>24</v>
      </c>
      <c r="J743">
        <v>18</v>
      </c>
      <c r="K743">
        <v>3</v>
      </c>
      <c r="L743">
        <v>1</v>
      </c>
      <c r="M743">
        <v>0</v>
      </c>
      <c r="N743">
        <v>1</v>
      </c>
      <c r="O743">
        <v>0</v>
      </c>
      <c r="P743">
        <v>0</v>
      </c>
      <c r="Q743">
        <v>2</v>
      </c>
      <c r="R743">
        <v>0</v>
      </c>
      <c r="S743">
        <v>51</v>
      </c>
      <c r="T743">
        <v>51</v>
      </c>
      <c r="U743" s="5">
        <f>IF(Merge1[[#This Row],[team_defense_snaps]]=0, "", Merge1[[#This Row],[defense_snaps]] / Merge1[[#This Row],[team_defense_snaps]])</f>
        <v>0.82258064516129037</v>
      </c>
      <c r="V743">
        <v>62</v>
      </c>
      <c r="W743">
        <v>0</v>
      </c>
      <c r="X743" s="5" t="s">
        <v>29</v>
      </c>
      <c r="Y743">
        <v>2</v>
      </c>
      <c r="Z743">
        <v>0</v>
      </c>
      <c r="AA743" t="s">
        <v>25</v>
      </c>
      <c r="AB743" t="s">
        <v>26</v>
      </c>
      <c r="AC743" t="s">
        <v>27</v>
      </c>
      <c r="AD743" t="s">
        <v>204</v>
      </c>
      <c r="AE743" t="s">
        <v>25</v>
      </c>
      <c r="AF7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0.22549019607843138</v>
      </c>
      <c r="AH743">
        <v>50</v>
      </c>
      <c r="AI743" t="s">
        <v>939</v>
      </c>
      <c r="AJ743">
        <v>6</v>
      </c>
      <c r="AK7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MIN(AJ743/8, 1) +
  Merge1[[#This Row],[index_defensive_effort]],
  2
)</f>
        <v>1.78</v>
      </c>
    </row>
    <row r="744" spans="1:37" x14ac:dyDescent="0.25">
      <c r="A744" t="s">
        <v>392</v>
      </c>
      <c r="B744" t="s">
        <v>393</v>
      </c>
      <c r="C744">
        <v>27</v>
      </c>
      <c r="D744" t="s">
        <v>56</v>
      </c>
      <c r="E744">
        <v>69</v>
      </c>
      <c r="F744">
        <v>192</v>
      </c>
      <c r="G744" t="s">
        <v>355</v>
      </c>
      <c r="H744">
        <v>2020</v>
      </c>
      <c r="I744" t="s">
        <v>24</v>
      </c>
      <c r="J744">
        <v>19</v>
      </c>
      <c r="K744">
        <v>3</v>
      </c>
      <c r="L744">
        <v>1</v>
      </c>
      <c r="M744">
        <v>0</v>
      </c>
      <c r="N744">
        <v>1</v>
      </c>
      <c r="O744">
        <v>0</v>
      </c>
      <c r="P744">
        <v>1</v>
      </c>
      <c r="Q744">
        <v>0</v>
      </c>
      <c r="R744">
        <v>1</v>
      </c>
      <c r="S744">
        <v>38</v>
      </c>
      <c r="T744">
        <v>38</v>
      </c>
      <c r="U744" s="5">
        <f>IF(Merge1[[#This Row],[team_defense_snaps]]=0, "", Merge1[[#This Row],[defense_snaps]] / Merge1[[#This Row],[team_defense_snaps]])</f>
        <v>0.5</v>
      </c>
      <c r="V744">
        <v>76</v>
      </c>
      <c r="W744">
        <v>0</v>
      </c>
      <c r="X744" s="5" t="s">
        <v>29</v>
      </c>
      <c r="Y744">
        <v>2</v>
      </c>
      <c r="Z744">
        <v>0</v>
      </c>
      <c r="AA744" t="s">
        <v>25</v>
      </c>
      <c r="AB744" t="s">
        <v>26</v>
      </c>
      <c r="AC744" t="s">
        <v>27</v>
      </c>
      <c r="AD744" t="s">
        <v>204</v>
      </c>
      <c r="AE744" t="s">
        <v>25</v>
      </c>
      <c r="AF7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0.19736842105263158</v>
      </c>
      <c r="AH744">
        <v>67</v>
      </c>
      <c r="AI744" t="s">
        <v>939</v>
      </c>
      <c r="AJ744">
        <v>1</v>
      </c>
      <c r="AK7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MIN(AJ744/8, 1) +
  Merge1[[#This Row],[index_defensive_effort]],
  2
)</f>
        <v>1.1200000000000001</v>
      </c>
    </row>
    <row r="745" spans="1:37" x14ac:dyDescent="0.25">
      <c r="A745" t="s">
        <v>363</v>
      </c>
      <c r="B745" t="s">
        <v>364</v>
      </c>
      <c r="C745">
        <v>25</v>
      </c>
      <c r="D745" t="s">
        <v>56</v>
      </c>
      <c r="E745">
        <v>70</v>
      </c>
      <c r="F745">
        <v>190</v>
      </c>
      <c r="G745" t="s">
        <v>235</v>
      </c>
      <c r="H745">
        <v>2020</v>
      </c>
      <c r="I745" t="s">
        <v>33</v>
      </c>
      <c r="J745">
        <v>1</v>
      </c>
      <c r="K745">
        <v>0</v>
      </c>
      <c r="L745">
        <v>1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77</v>
      </c>
      <c r="T745">
        <v>71</v>
      </c>
      <c r="U745" s="5">
        <f>IF(Merge1[[#This Row],[team_defense_snaps]]=0, "", Merge1[[#This Row],[defense_snaps]] / Merge1[[#This Row],[team_defense_snaps]])</f>
        <v>0.95945945945945943</v>
      </c>
      <c r="V745">
        <v>74</v>
      </c>
      <c r="W745">
        <v>6</v>
      </c>
      <c r="X745" s="5" t="s">
        <v>293</v>
      </c>
      <c r="Y745">
        <v>2</v>
      </c>
      <c r="Z745">
        <v>0</v>
      </c>
      <c r="AA745" t="s">
        <v>25</v>
      </c>
      <c r="AB745" t="s">
        <v>26</v>
      </c>
      <c r="AC745" t="s">
        <v>27</v>
      </c>
      <c r="AD745" t="s">
        <v>42</v>
      </c>
      <c r="AE745" t="s">
        <v>25</v>
      </c>
      <c r="AF7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6.4935064935064939E-3</v>
      </c>
      <c r="AG745" t="s">
        <v>942</v>
      </c>
      <c r="AH745">
        <v>49.5</v>
      </c>
      <c r="AI745" t="s">
        <v>939</v>
      </c>
      <c r="AJ745">
        <v>2</v>
      </c>
      <c r="AK7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MIN(AJ745/8, 1) +
  Merge1[[#This Row],[index_defensive_effort]],
  2
)</f>
        <v>0.76</v>
      </c>
    </row>
    <row r="746" spans="1:37" x14ac:dyDescent="0.25">
      <c r="A746" t="s">
        <v>363</v>
      </c>
      <c r="B746" t="s">
        <v>364</v>
      </c>
      <c r="C746">
        <v>25</v>
      </c>
      <c r="D746" t="s">
        <v>56</v>
      </c>
      <c r="E746">
        <v>70</v>
      </c>
      <c r="F746">
        <v>190</v>
      </c>
      <c r="G746" t="s">
        <v>235</v>
      </c>
      <c r="H746">
        <v>2020</v>
      </c>
      <c r="I746" t="s">
        <v>33</v>
      </c>
      <c r="J746">
        <v>2</v>
      </c>
      <c r="K746">
        <v>2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59</v>
      </c>
      <c r="T746">
        <v>52</v>
      </c>
      <c r="U746" s="5">
        <f>IF(Merge1[[#This Row],[team_defense_snaps]]=0, "", Merge1[[#This Row],[defense_snaps]] / Merge1[[#This Row],[team_defense_snaps]])</f>
        <v>0.89655172413793105</v>
      </c>
      <c r="V746">
        <v>58</v>
      </c>
      <c r="W746">
        <v>7</v>
      </c>
      <c r="X746" s="5" t="s">
        <v>137</v>
      </c>
      <c r="Y746">
        <v>2</v>
      </c>
      <c r="Z746">
        <v>0</v>
      </c>
      <c r="AA746" t="s">
        <v>25</v>
      </c>
      <c r="AB746" t="s">
        <v>26</v>
      </c>
      <c r="AC746" t="s">
        <v>27</v>
      </c>
      <c r="AD746" t="s">
        <v>42</v>
      </c>
      <c r="AE746" t="s">
        <v>25</v>
      </c>
      <c r="AF7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3.3898305084745763E-2</v>
      </c>
      <c r="AG746" t="s">
        <v>942</v>
      </c>
      <c r="AH746">
        <v>69</v>
      </c>
      <c r="AI746" t="s">
        <v>939</v>
      </c>
      <c r="AJ746">
        <v>3</v>
      </c>
      <c r="AK7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MIN(AJ746/8, 1) +
  Merge1[[#This Row],[index_defensive_effort]],
  2
)</f>
        <v>0.91</v>
      </c>
    </row>
    <row r="747" spans="1:37" x14ac:dyDescent="0.25">
      <c r="A747" t="s">
        <v>363</v>
      </c>
      <c r="B747" t="s">
        <v>364</v>
      </c>
      <c r="C747">
        <v>25</v>
      </c>
      <c r="D747" t="s">
        <v>56</v>
      </c>
      <c r="E747">
        <v>70</v>
      </c>
      <c r="F747">
        <v>190</v>
      </c>
      <c r="G747" t="s">
        <v>235</v>
      </c>
      <c r="H747">
        <v>2020</v>
      </c>
      <c r="I747" t="s">
        <v>33</v>
      </c>
      <c r="J747">
        <v>3</v>
      </c>
      <c r="K747">
        <v>3</v>
      </c>
      <c r="L747">
        <v>1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95</v>
      </c>
      <c r="T747">
        <v>89</v>
      </c>
      <c r="U747" s="5">
        <f>IF(Merge1[[#This Row],[team_defense_snaps]]=0, "", Merge1[[#This Row],[defense_snaps]] / Merge1[[#This Row],[team_defense_snaps]])</f>
        <v>0.97802197802197799</v>
      </c>
      <c r="V747">
        <v>91</v>
      </c>
      <c r="W747">
        <v>6</v>
      </c>
      <c r="X747" s="5" t="s">
        <v>124</v>
      </c>
      <c r="Y747">
        <v>2</v>
      </c>
      <c r="Z747">
        <v>0</v>
      </c>
      <c r="AA747" t="s">
        <v>25</v>
      </c>
      <c r="AB747" t="s">
        <v>26</v>
      </c>
      <c r="AC747" t="s">
        <v>27</v>
      </c>
      <c r="AD747" t="s">
        <v>42</v>
      </c>
      <c r="AE747" t="s">
        <v>25</v>
      </c>
      <c r="AF7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3.6842105263157891E-2</v>
      </c>
      <c r="AG747" t="s">
        <v>942</v>
      </c>
      <c r="AH747">
        <v>51</v>
      </c>
      <c r="AI747" t="s">
        <v>939</v>
      </c>
      <c r="AJ747">
        <v>4</v>
      </c>
      <c r="AK7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MIN(AJ747/8, 1) +
  Merge1[[#This Row],[index_defensive_effort]],
  2
)</f>
        <v>1.04</v>
      </c>
    </row>
    <row r="748" spans="1:37" x14ac:dyDescent="0.25">
      <c r="A748" t="s">
        <v>363</v>
      </c>
      <c r="B748" t="s">
        <v>364</v>
      </c>
      <c r="C748">
        <v>25</v>
      </c>
      <c r="D748" t="s">
        <v>56</v>
      </c>
      <c r="E748">
        <v>70</v>
      </c>
      <c r="F748">
        <v>190</v>
      </c>
      <c r="G748" t="s">
        <v>235</v>
      </c>
      <c r="H748">
        <v>2020</v>
      </c>
      <c r="I748" t="s">
        <v>33</v>
      </c>
      <c r="J748">
        <v>4</v>
      </c>
      <c r="K748">
        <v>2</v>
      </c>
      <c r="L748">
        <v>1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75</v>
      </c>
      <c r="T748">
        <v>60</v>
      </c>
      <c r="U748" s="5">
        <f>IF(Merge1[[#This Row],[team_defense_snaps]]=0, "", Merge1[[#This Row],[defense_snaps]] / Merge1[[#This Row],[team_defense_snaps]])</f>
        <v>0.88235294117647056</v>
      </c>
      <c r="V748">
        <v>68</v>
      </c>
      <c r="W748">
        <v>15</v>
      </c>
      <c r="X748" s="5" t="s">
        <v>200</v>
      </c>
      <c r="Y748">
        <v>2</v>
      </c>
      <c r="Z748">
        <v>0</v>
      </c>
      <c r="AA748" t="s">
        <v>25</v>
      </c>
      <c r="AB748" t="s">
        <v>26</v>
      </c>
      <c r="AC748" t="s">
        <v>27</v>
      </c>
      <c r="AD748" t="s">
        <v>42</v>
      </c>
      <c r="AE748" t="s">
        <v>25</v>
      </c>
      <c r="AF7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3.3333333333333333E-2</v>
      </c>
      <c r="AG748" t="s">
        <v>942</v>
      </c>
      <c r="AH748">
        <v>52.5</v>
      </c>
      <c r="AI748" t="s">
        <v>939</v>
      </c>
      <c r="AJ748">
        <v>5</v>
      </c>
      <c r="AK7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MIN(AJ748/8, 1) +
  Merge1[[#This Row],[index_defensive_effort]],
  2
)</f>
        <v>1.1599999999999999</v>
      </c>
    </row>
    <row r="749" spans="1:37" x14ac:dyDescent="0.25">
      <c r="A749" t="s">
        <v>363</v>
      </c>
      <c r="B749" t="s">
        <v>364</v>
      </c>
      <c r="C749">
        <v>25</v>
      </c>
      <c r="D749" t="s">
        <v>56</v>
      </c>
      <c r="E749">
        <v>70</v>
      </c>
      <c r="F749">
        <v>190</v>
      </c>
      <c r="G749" t="s">
        <v>235</v>
      </c>
      <c r="H749">
        <v>2020</v>
      </c>
      <c r="I749" t="s">
        <v>33</v>
      </c>
      <c r="J749">
        <v>5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2</v>
      </c>
      <c r="Q749">
        <v>0</v>
      </c>
      <c r="R749">
        <v>0</v>
      </c>
      <c r="S749">
        <v>54</v>
      </c>
      <c r="T749">
        <v>45</v>
      </c>
      <c r="U749" s="5">
        <f>IF(Merge1[[#This Row],[team_defense_snaps]]=0, "", Merge1[[#This Row],[defense_snaps]] / Merge1[[#This Row],[team_defense_snaps]])</f>
        <v>0.7142857142857143</v>
      </c>
      <c r="V749">
        <v>63</v>
      </c>
      <c r="W749">
        <v>9</v>
      </c>
      <c r="X749" s="5" t="s">
        <v>70</v>
      </c>
      <c r="Y749">
        <v>2</v>
      </c>
      <c r="Z749">
        <v>0</v>
      </c>
      <c r="AA749" t="s">
        <v>25</v>
      </c>
      <c r="AB749" t="s">
        <v>26</v>
      </c>
      <c r="AC749" t="s">
        <v>27</v>
      </c>
      <c r="AD749" t="s">
        <v>28</v>
      </c>
      <c r="AE749" t="s">
        <v>25</v>
      </c>
      <c r="AF7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7.407407407407407E-2</v>
      </c>
      <c r="AG749" t="s">
        <v>942</v>
      </c>
      <c r="AH749">
        <v>63</v>
      </c>
      <c r="AI749" t="s">
        <v>939</v>
      </c>
      <c r="AJ749">
        <v>6</v>
      </c>
      <c r="AK7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MIN(AJ749/8, 1) +
  Merge1[[#This Row],[index_defensive_effort]],
  2
)</f>
        <v>1.32</v>
      </c>
    </row>
    <row r="750" spans="1:37" x14ac:dyDescent="0.25">
      <c r="A750" t="s">
        <v>363</v>
      </c>
      <c r="B750" t="s">
        <v>364</v>
      </c>
      <c r="C750">
        <v>25</v>
      </c>
      <c r="D750" t="s">
        <v>56</v>
      </c>
      <c r="E750">
        <v>70</v>
      </c>
      <c r="F750">
        <v>190</v>
      </c>
      <c r="G750" t="s">
        <v>235</v>
      </c>
      <c r="H750">
        <v>2020</v>
      </c>
      <c r="I750" t="s">
        <v>33</v>
      </c>
      <c r="J750">
        <v>6</v>
      </c>
      <c r="K750">
        <v>4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41</v>
      </c>
      <c r="T750">
        <v>30</v>
      </c>
      <c r="U750" s="5">
        <f>IF(Merge1[[#This Row],[team_defense_snaps]]=0, "", Merge1[[#This Row],[defense_snaps]] / Merge1[[#This Row],[team_defense_snaps]])</f>
        <v>0.47619047619047616</v>
      </c>
      <c r="V750">
        <v>63</v>
      </c>
      <c r="W750">
        <v>11</v>
      </c>
      <c r="X750" s="5" t="s">
        <v>158</v>
      </c>
      <c r="Y750">
        <v>2</v>
      </c>
      <c r="Z750">
        <v>0</v>
      </c>
      <c r="AA750" t="s">
        <v>25</v>
      </c>
      <c r="AB750" t="s">
        <v>26</v>
      </c>
      <c r="AC750" t="s">
        <v>27</v>
      </c>
      <c r="AD750" t="s">
        <v>28</v>
      </c>
      <c r="AE750" t="s">
        <v>25</v>
      </c>
      <c r="AF7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9.7560975609756101E-2</v>
      </c>
      <c r="AG750" t="s">
        <v>942</v>
      </c>
      <c r="AH750">
        <v>66</v>
      </c>
      <c r="AI750" t="s">
        <v>939</v>
      </c>
      <c r="AJ750">
        <v>7</v>
      </c>
      <c r="AK7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MIN(AJ750/8, 1) +
  Merge1[[#This Row],[index_defensive_effort]],
  2
)</f>
        <v>1.47</v>
      </c>
    </row>
    <row r="751" spans="1:37" x14ac:dyDescent="0.25">
      <c r="A751" t="s">
        <v>363</v>
      </c>
      <c r="B751" t="s">
        <v>364</v>
      </c>
      <c r="C751">
        <v>25</v>
      </c>
      <c r="D751" t="s">
        <v>56</v>
      </c>
      <c r="E751">
        <v>70</v>
      </c>
      <c r="F751">
        <v>190</v>
      </c>
      <c r="G751" t="s">
        <v>235</v>
      </c>
      <c r="H751">
        <v>2020</v>
      </c>
      <c r="I751" t="s">
        <v>33</v>
      </c>
      <c r="J751">
        <v>7</v>
      </c>
      <c r="K751">
        <v>6</v>
      </c>
      <c r="L751">
        <v>0</v>
      </c>
      <c r="M751">
        <v>0</v>
      </c>
      <c r="N751">
        <v>0</v>
      </c>
      <c r="O751">
        <v>0</v>
      </c>
      <c r="P751">
        <v>2</v>
      </c>
      <c r="Q751">
        <v>2</v>
      </c>
      <c r="R751">
        <v>0</v>
      </c>
      <c r="S751">
        <v>63</v>
      </c>
      <c r="T751">
        <v>50</v>
      </c>
      <c r="U751" s="5">
        <f>IF(Merge1[[#This Row],[team_defense_snaps]]=0, "", Merge1[[#This Row],[defense_snaps]] / Merge1[[#This Row],[team_defense_snaps]])</f>
        <v>0.92592592592592593</v>
      </c>
      <c r="V751">
        <v>54</v>
      </c>
      <c r="W751">
        <v>13</v>
      </c>
      <c r="X751" s="5" t="s">
        <v>260</v>
      </c>
      <c r="Y751">
        <v>2</v>
      </c>
      <c r="Z751">
        <v>0</v>
      </c>
      <c r="AA751" t="s">
        <v>25</v>
      </c>
      <c r="AB751" t="s">
        <v>26</v>
      </c>
      <c r="AC751" t="s">
        <v>27</v>
      </c>
      <c r="AD751" t="s">
        <v>42</v>
      </c>
      <c r="AE751" t="s">
        <v>25</v>
      </c>
      <c r="AF7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0.2857142857142857</v>
      </c>
      <c r="AG751" t="s">
        <v>942</v>
      </c>
      <c r="AH751">
        <v>67.5</v>
      </c>
      <c r="AI751" t="s">
        <v>938</v>
      </c>
      <c r="AJ751">
        <v>1</v>
      </c>
      <c r="AK7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MIN(AJ751/8, 1) +
  Merge1[[#This Row],[index_defensive_effort]],
  2
)</f>
        <v>0.91</v>
      </c>
    </row>
    <row r="752" spans="1:37" x14ac:dyDescent="0.25">
      <c r="A752" t="s">
        <v>363</v>
      </c>
      <c r="B752" t="s">
        <v>364</v>
      </c>
      <c r="C752">
        <v>25</v>
      </c>
      <c r="D752" t="s">
        <v>56</v>
      </c>
      <c r="E752">
        <v>70</v>
      </c>
      <c r="F752">
        <v>190</v>
      </c>
      <c r="G752" t="s">
        <v>235</v>
      </c>
      <c r="H752">
        <v>2020</v>
      </c>
      <c r="I752" t="s">
        <v>33</v>
      </c>
      <c r="J752">
        <v>14</v>
      </c>
      <c r="K752">
        <v>2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39</v>
      </c>
      <c r="T752">
        <v>29</v>
      </c>
      <c r="U752" s="5">
        <f>IF(Merge1[[#This Row],[team_defense_snaps]]=0, "", Merge1[[#This Row],[defense_snaps]] / Merge1[[#This Row],[team_defense_snaps]])</f>
        <v>0.56862745098039214</v>
      </c>
      <c r="V752">
        <v>51</v>
      </c>
      <c r="W752">
        <v>10</v>
      </c>
      <c r="X752" s="5" t="s">
        <v>200</v>
      </c>
      <c r="Y752">
        <v>2</v>
      </c>
      <c r="Z752">
        <v>0</v>
      </c>
      <c r="AA752" t="s">
        <v>25</v>
      </c>
      <c r="AB752" t="s">
        <v>62</v>
      </c>
      <c r="AC752" t="s">
        <v>27</v>
      </c>
      <c r="AD752" t="s">
        <v>28</v>
      </c>
      <c r="AE752" t="s">
        <v>25</v>
      </c>
      <c r="AF7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5.128205128205128E-2</v>
      </c>
      <c r="AG752" t="s">
        <v>942</v>
      </c>
      <c r="AH752">
        <v>72</v>
      </c>
      <c r="AI752" t="s">
        <v>939</v>
      </c>
      <c r="AJ752">
        <v>2</v>
      </c>
      <c r="AK7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MIN(AJ752/8, 1) +
  Merge1[[#This Row],[index_defensive_effort]],
  2
)</f>
        <v>0.8</v>
      </c>
    </row>
    <row r="753" spans="1:37" x14ac:dyDescent="0.25">
      <c r="A753" t="s">
        <v>363</v>
      </c>
      <c r="B753" t="s">
        <v>364</v>
      </c>
      <c r="C753">
        <v>25</v>
      </c>
      <c r="D753" t="s">
        <v>56</v>
      </c>
      <c r="E753">
        <v>70</v>
      </c>
      <c r="F753">
        <v>190</v>
      </c>
      <c r="G753" t="s">
        <v>235</v>
      </c>
      <c r="H753">
        <v>2020</v>
      </c>
      <c r="I753" t="s">
        <v>33</v>
      </c>
      <c r="J753">
        <v>15</v>
      </c>
      <c r="K753">
        <v>6</v>
      </c>
      <c r="L753">
        <v>0</v>
      </c>
      <c r="M753">
        <v>0</v>
      </c>
      <c r="N753">
        <v>0</v>
      </c>
      <c r="O753">
        <v>0</v>
      </c>
      <c r="P753">
        <v>2</v>
      </c>
      <c r="Q753">
        <v>0</v>
      </c>
      <c r="R753">
        <v>0</v>
      </c>
      <c r="S753">
        <v>68</v>
      </c>
      <c r="T753">
        <v>65</v>
      </c>
      <c r="U753" s="5">
        <f>IF(Merge1[[#This Row],[team_defense_snaps]]=0, "", Merge1[[#This Row],[defense_snaps]] / Merge1[[#This Row],[team_defense_snaps]])</f>
        <v>1</v>
      </c>
      <c r="V753">
        <v>65</v>
      </c>
      <c r="W753">
        <v>3</v>
      </c>
      <c r="X753" s="5" t="s">
        <v>250</v>
      </c>
      <c r="Y753">
        <v>2</v>
      </c>
      <c r="Z753">
        <v>0</v>
      </c>
      <c r="AA753" t="s">
        <v>25</v>
      </c>
      <c r="AB753" t="s">
        <v>26</v>
      </c>
      <c r="AC753" t="s">
        <v>27</v>
      </c>
      <c r="AD753" t="s">
        <v>42</v>
      </c>
      <c r="AE753" t="s">
        <v>25</v>
      </c>
      <c r="AF7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0.14705882352941177</v>
      </c>
      <c r="AG753" t="s">
        <v>942</v>
      </c>
      <c r="AH753">
        <v>64.5</v>
      </c>
      <c r="AI753" t="s">
        <v>939</v>
      </c>
      <c r="AJ753">
        <v>3</v>
      </c>
      <c r="AK7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MIN(AJ753/8, 1) +
  Merge1[[#This Row],[index_defensive_effort]],
  2
)</f>
        <v>1.02</v>
      </c>
    </row>
    <row r="754" spans="1:37" x14ac:dyDescent="0.25">
      <c r="A754" t="s">
        <v>363</v>
      </c>
      <c r="B754" t="s">
        <v>364</v>
      </c>
      <c r="C754">
        <v>25</v>
      </c>
      <c r="D754" t="s">
        <v>56</v>
      </c>
      <c r="E754">
        <v>70</v>
      </c>
      <c r="F754">
        <v>190</v>
      </c>
      <c r="G754" t="s">
        <v>235</v>
      </c>
      <c r="H754">
        <v>2020</v>
      </c>
      <c r="I754" t="s">
        <v>33</v>
      </c>
      <c r="J754">
        <v>16</v>
      </c>
      <c r="K754">
        <v>7</v>
      </c>
      <c r="L754">
        <v>2</v>
      </c>
      <c r="M754">
        <v>0</v>
      </c>
      <c r="N754">
        <v>2</v>
      </c>
      <c r="O754">
        <v>0</v>
      </c>
      <c r="P754">
        <v>1</v>
      </c>
      <c r="Q754">
        <v>0</v>
      </c>
      <c r="R754">
        <v>4</v>
      </c>
      <c r="S754">
        <v>53</v>
      </c>
      <c r="T754">
        <v>52</v>
      </c>
      <c r="U754" s="5">
        <f>IF(Merge1[[#This Row],[team_defense_snaps]]=0, "", Merge1[[#This Row],[defense_snaps]] / Merge1[[#This Row],[team_defense_snaps]])</f>
        <v>1</v>
      </c>
      <c r="V754">
        <v>52</v>
      </c>
      <c r="W754">
        <v>1</v>
      </c>
      <c r="X754" s="5" t="s">
        <v>303</v>
      </c>
      <c r="Y754">
        <v>2</v>
      </c>
      <c r="Z754">
        <v>0</v>
      </c>
      <c r="AA754" t="s">
        <v>25</v>
      </c>
      <c r="AB754" t="s">
        <v>26</v>
      </c>
      <c r="AC754" t="s">
        <v>27</v>
      </c>
      <c r="AD754" t="s">
        <v>42</v>
      </c>
      <c r="AE754" t="s">
        <v>25</v>
      </c>
      <c r="AF7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0.33962264150943394</v>
      </c>
      <c r="AG754" t="s">
        <v>942</v>
      </c>
      <c r="AH754">
        <v>70.5</v>
      </c>
      <c r="AI754" t="s">
        <v>939</v>
      </c>
      <c r="AJ754">
        <v>4</v>
      </c>
      <c r="AK7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MIN(AJ754/8, 1) +
  Merge1[[#This Row],[index_defensive_effort]],
  2
)</f>
        <v>1.34</v>
      </c>
    </row>
    <row r="755" spans="1:37" x14ac:dyDescent="0.25">
      <c r="A755" t="s">
        <v>363</v>
      </c>
      <c r="B755" t="s">
        <v>364</v>
      </c>
      <c r="C755">
        <v>25</v>
      </c>
      <c r="D755" t="s">
        <v>56</v>
      </c>
      <c r="E755">
        <v>70</v>
      </c>
      <c r="F755">
        <v>190</v>
      </c>
      <c r="G755" t="s">
        <v>235</v>
      </c>
      <c r="H755">
        <v>2020</v>
      </c>
      <c r="I755" t="s">
        <v>33</v>
      </c>
      <c r="J755">
        <v>17</v>
      </c>
      <c r="K755">
        <v>1</v>
      </c>
      <c r="L755">
        <v>2</v>
      </c>
      <c r="M755">
        <v>0</v>
      </c>
      <c r="N755">
        <v>2</v>
      </c>
      <c r="O755">
        <v>0</v>
      </c>
      <c r="P755">
        <v>0</v>
      </c>
      <c r="Q755">
        <v>0</v>
      </c>
      <c r="R755">
        <v>0</v>
      </c>
      <c r="S755">
        <v>40</v>
      </c>
      <c r="T755">
        <v>40</v>
      </c>
      <c r="U755" s="5">
        <f>IF(Merge1[[#This Row],[team_defense_snaps]]=0, "", Merge1[[#This Row],[defense_snaps]] / Merge1[[#This Row],[team_defense_snaps]])</f>
        <v>0.54054054054054057</v>
      </c>
      <c r="V755">
        <v>74</v>
      </c>
      <c r="W755">
        <v>0</v>
      </c>
      <c r="X755" s="5" t="s">
        <v>29</v>
      </c>
      <c r="Y755">
        <v>2</v>
      </c>
      <c r="Z755">
        <v>0</v>
      </c>
      <c r="AA755" t="s">
        <v>25</v>
      </c>
      <c r="AB755" t="s">
        <v>26</v>
      </c>
      <c r="AC755" t="s">
        <v>27</v>
      </c>
      <c r="AD755" t="s">
        <v>42</v>
      </c>
      <c r="AE755" t="s">
        <v>25</v>
      </c>
      <c r="AF7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755" t="s">
        <v>942</v>
      </c>
      <c r="AH755">
        <v>48</v>
      </c>
      <c r="AI755" t="s">
        <v>939</v>
      </c>
      <c r="AJ755">
        <v>1</v>
      </c>
      <c r="AK7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MIN(AJ755/8, 1) +
  Merge1[[#This Row],[index_defensive_effort]],
  2
)</f>
        <v>0.68</v>
      </c>
    </row>
    <row r="756" spans="1:37" x14ac:dyDescent="0.25">
      <c r="A756" t="s">
        <v>376</v>
      </c>
      <c r="B756" t="s">
        <v>377</v>
      </c>
      <c r="C756">
        <v>29</v>
      </c>
      <c r="D756" t="s">
        <v>56</v>
      </c>
      <c r="E756">
        <v>72</v>
      </c>
      <c r="F756">
        <v>192</v>
      </c>
      <c r="G756" t="s">
        <v>150</v>
      </c>
      <c r="H756">
        <v>2020</v>
      </c>
      <c r="I756" t="s">
        <v>33</v>
      </c>
      <c r="J756">
        <v>1</v>
      </c>
      <c r="K756">
        <v>2</v>
      </c>
      <c r="L756">
        <v>1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64</v>
      </c>
      <c r="T756">
        <v>64</v>
      </c>
      <c r="U756" s="5">
        <f>IF(Merge1[[#This Row],[team_defense_snaps]]=0, "", Merge1[[#This Row],[defense_snaps]] / Merge1[[#This Row],[team_defense_snaps]])</f>
        <v>0.85333333333333339</v>
      </c>
      <c r="V756">
        <v>75</v>
      </c>
      <c r="W756">
        <v>0</v>
      </c>
      <c r="X756" s="5" t="s">
        <v>29</v>
      </c>
      <c r="Y756">
        <v>7</v>
      </c>
      <c r="Z756">
        <v>0</v>
      </c>
      <c r="AA756" t="s">
        <v>25</v>
      </c>
      <c r="AB756" t="s">
        <v>26</v>
      </c>
      <c r="AC756" t="s">
        <v>27</v>
      </c>
      <c r="AD756" t="s">
        <v>42</v>
      </c>
      <c r="AE756" t="s">
        <v>25</v>
      </c>
      <c r="AF7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3.90625E-2</v>
      </c>
      <c r="AG756" t="s">
        <v>943</v>
      </c>
      <c r="AH756">
        <v>55</v>
      </c>
      <c r="AI756" t="s">
        <v>939</v>
      </c>
      <c r="AJ756">
        <v>2</v>
      </c>
      <c r="AK7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MIN(AJ756/8, 1) +
  Merge1[[#This Row],[index_defensive_effort]],
  2
)</f>
        <v>0.79</v>
      </c>
    </row>
    <row r="757" spans="1:37" x14ac:dyDescent="0.25">
      <c r="A757" t="s">
        <v>376</v>
      </c>
      <c r="B757" t="s">
        <v>377</v>
      </c>
      <c r="C757">
        <v>29</v>
      </c>
      <c r="D757" t="s">
        <v>56</v>
      </c>
      <c r="E757">
        <v>72</v>
      </c>
      <c r="F757">
        <v>192</v>
      </c>
      <c r="G757" t="s">
        <v>150</v>
      </c>
      <c r="H757">
        <v>2020</v>
      </c>
      <c r="I757" t="s">
        <v>33</v>
      </c>
      <c r="J757">
        <v>2</v>
      </c>
      <c r="K757">
        <v>5</v>
      </c>
      <c r="L757">
        <v>1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68</v>
      </c>
      <c r="T757">
        <v>67</v>
      </c>
      <c r="U757" s="5">
        <f>IF(Merge1[[#This Row],[team_defense_snaps]]=0, "", Merge1[[#This Row],[defense_snaps]] / Merge1[[#This Row],[team_defense_snaps]])</f>
        <v>0.95714285714285718</v>
      </c>
      <c r="V757">
        <v>70</v>
      </c>
      <c r="W757">
        <v>1</v>
      </c>
      <c r="X757" s="5" t="s">
        <v>193</v>
      </c>
      <c r="Y757">
        <v>7</v>
      </c>
      <c r="Z757">
        <v>0</v>
      </c>
      <c r="AA757" t="s">
        <v>25</v>
      </c>
      <c r="AB757" t="s">
        <v>26</v>
      </c>
      <c r="AC757" t="s">
        <v>27</v>
      </c>
      <c r="AD757" t="s">
        <v>42</v>
      </c>
      <c r="AE757" t="s">
        <v>25</v>
      </c>
      <c r="AF7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8.0882352941176475E-2</v>
      </c>
      <c r="AG757" t="s">
        <v>943</v>
      </c>
      <c r="AH757">
        <v>62.5</v>
      </c>
      <c r="AI757" t="s">
        <v>939</v>
      </c>
      <c r="AJ757">
        <v>3</v>
      </c>
      <c r="AK7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MIN(AJ757/8, 1) +
  Merge1[[#This Row],[index_defensive_effort]],
  2
)</f>
        <v>0.96</v>
      </c>
    </row>
    <row r="758" spans="1:37" x14ac:dyDescent="0.25">
      <c r="A758" t="s">
        <v>376</v>
      </c>
      <c r="B758" t="s">
        <v>377</v>
      </c>
      <c r="C758">
        <v>29</v>
      </c>
      <c r="D758" t="s">
        <v>56</v>
      </c>
      <c r="E758">
        <v>72</v>
      </c>
      <c r="F758">
        <v>192</v>
      </c>
      <c r="G758" t="s">
        <v>150</v>
      </c>
      <c r="H758">
        <v>2020</v>
      </c>
      <c r="I758" t="s">
        <v>33</v>
      </c>
      <c r="J758">
        <v>3</v>
      </c>
      <c r="K758">
        <v>7</v>
      </c>
      <c r="L758">
        <v>0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71</v>
      </c>
      <c r="T758">
        <v>66</v>
      </c>
      <c r="U758" s="5">
        <f>IF(Merge1[[#This Row],[team_defense_snaps]]=0, "", Merge1[[#This Row],[defense_snaps]] / Merge1[[#This Row],[team_defense_snaps]])</f>
        <v>0.90410958904109584</v>
      </c>
      <c r="V758">
        <v>73</v>
      </c>
      <c r="W758">
        <v>5</v>
      </c>
      <c r="X758" s="5" t="s">
        <v>212</v>
      </c>
      <c r="Y758">
        <v>7</v>
      </c>
      <c r="Z758">
        <v>0</v>
      </c>
      <c r="AA758" t="s">
        <v>25</v>
      </c>
      <c r="AB758" t="s">
        <v>26</v>
      </c>
      <c r="AC758" t="s">
        <v>27</v>
      </c>
      <c r="AD758" t="s">
        <v>42</v>
      </c>
      <c r="AE758" t="s">
        <v>25</v>
      </c>
      <c r="AF7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0.12676056338028169</v>
      </c>
      <c r="AG758" t="s">
        <v>943</v>
      </c>
      <c r="AH758">
        <v>59.5</v>
      </c>
      <c r="AI758" t="s">
        <v>939</v>
      </c>
      <c r="AJ758">
        <v>4</v>
      </c>
      <c r="AK7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MIN(AJ758/8, 1) +
  Merge1[[#This Row],[index_defensive_effort]],
  2
)</f>
        <v>1.1299999999999999</v>
      </c>
    </row>
    <row r="759" spans="1:37" x14ac:dyDescent="0.25">
      <c r="A759" t="s">
        <v>376</v>
      </c>
      <c r="B759" t="s">
        <v>377</v>
      </c>
      <c r="C759">
        <v>29</v>
      </c>
      <c r="D759" t="s">
        <v>56</v>
      </c>
      <c r="E759">
        <v>72</v>
      </c>
      <c r="F759">
        <v>192</v>
      </c>
      <c r="G759" t="s">
        <v>150</v>
      </c>
      <c r="H759">
        <v>2020</v>
      </c>
      <c r="I759" t="s">
        <v>33</v>
      </c>
      <c r="J759">
        <v>4</v>
      </c>
      <c r="K759">
        <v>4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74</v>
      </c>
      <c r="T759">
        <v>73</v>
      </c>
      <c r="U759" s="5">
        <f>IF(Merge1[[#This Row],[team_defense_snaps]]=0, "", Merge1[[#This Row],[defense_snaps]] / Merge1[[#This Row],[team_defense_snaps]])</f>
        <v>0.98648648648648651</v>
      </c>
      <c r="V759">
        <v>74</v>
      </c>
      <c r="W759">
        <v>1</v>
      </c>
      <c r="X759" s="5" t="s">
        <v>193</v>
      </c>
      <c r="Y759">
        <v>7</v>
      </c>
      <c r="Z759">
        <v>0</v>
      </c>
      <c r="AA759" t="s">
        <v>25</v>
      </c>
      <c r="AB759" t="s">
        <v>26</v>
      </c>
      <c r="AC759" t="s">
        <v>27</v>
      </c>
      <c r="AD759" t="s">
        <v>42</v>
      </c>
      <c r="AE759" t="s">
        <v>25</v>
      </c>
      <c r="AF7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5.4054054054054057E-2</v>
      </c>
      <c r="AG759" t="s">
        <v>943</v>
      </c>
      <c r="AH759">
        <v>64</v>
      </c>
      <c r="AI759" t="s">
        <v>939</v>
      </c>
      <c r="AJ759">
        <v>5</v>
      </c>
      <c r="AK7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MIN(AJ759/8, 1) +
  Merge1[[#This Row],[index_defensive_effort]],
  2
)</f>
        <v>1.18</v>
      </c>
    </row>
    <row r="760" spans="1:37" x14ac:dyDescent="0.25">
      <c r="A760" t="s">
        <v>376</v>
      </c>
      <c r="B760" t="s">
        <v>377</v>
      </c>
      <c r="C760">
        <v>29</v>
      </c>
      <c r="D760" t="s">
        <v>56</v>
      </c>
      <c r="E760">
        <v>72</v>
      </c>
      <c r="F760">
        <v>192</v>
      </c>
      <c r="G760" t="s">
        <v>150</v>
      </c>
      <c r="H760">
        <v>2020</v>
      </c>
      <c r="I760" t="s">
        <v>33</v>
      </c>
      <c r="J760">
        <v>5</v>
      </c>
      <c r="K760">
        <v>7</v>
      </c>
      <c r="L760">
        <v>2</v>
      </c>
      <c r="M760">
        <v>2</v>
      </c>
      <c r="N760">
        <v>4</v>
      </c>
      <c r="O760">
        <v>0</v>
      </c>
      <c r="P760">
        <v>1</v>
      </c>
      <c r="Q760">
        <v>0</v>
      </c>
      <c r="R760">
        <v>0</v>
      </c>
      <c r="S760">
        <v>65</v>
      </c>
      <c r="T760">
        <v>60</v>
      </c>
      <c r="U760" s="5">
        <f>IF(Merge1[[#This Row],[team_defense_snaps]]=0, "", Merge1[[#This Row],[defense_snaps]] / Merge1[[#This Row],[team_defense_snaps]])</f>
        <v>0.76923076923076927</v>
      </c>
      <c r="V760">
        <v>78</v>
      </c>
      <c r="W760">
        <v>5</v>
      </c>
      <c r="X760" s="5" t="s">
        <v>59</v>
      </c>
      <c r="Y760">
        <v>7</v>
      </c>
      <c r="Z760">
        <v>0</v>
      </c>
      <c r="AA760" t="s">
        <v>25</v>
      </c>
      <c r="AB760" t="s">
        <v>26</v>
      </c>
      <c r="AC760" t="s">
        <v>27</v>
      </c>
      <c r="AD760" t="s">
        <v>42</v>
      </c>
      <c r="AE760" t="s">
        <v>25</v>
      </c>
      <c r="AF7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0.16923076923076924</v>
      </c>
      <c r="AG760" t="s">
        <v>943</v>
      </c>
      <c r="AH760">
        <v>65.5</v>
      </c>
      <c r="AI760" t="s">
        <v>939</v>
      </c>
      <c r="AJ760">
        <v>6</v>
      </c>
      <c r="AK7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MIN(AJ760/8, 1) +
  Merge1[[#This Row],[index_defensive_effort]],
  2
)</f>
        <v>1.42</v>
      </c>
    </row>
    <row r="761" spans="1:37" x14ac:dyDescent="0.25">
      <c r="A761" t="s">
        <v>376</v>
      </c>
      <c r="B761" t="s">
        <v>377</v>
      </c>
      <c r="C761">
        <v>29</v>
      </c>
      <c r="D761" t="s">
        <v>56</v>
      </c>
      <c r="E761">
        <v>72</v>
      </c>
      <c r="F761">
        <v>192</v>
      </c>
      <c r="G761" t="s">
        <v>150</v>
      </c>
      <c r="H761">
        <v>2020</v>
      </c>
      <c r="I761" t="s">
        <v>33</v>
      </c>
      <c r="J761">
        <v>6</v>
      </c>
      <c r="K761">
        <v>3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81</v>
      </c>
      <c r="T761">
        <v>73</v>
      </c>
      <c r="U761" s="5">
        <f>IF(Merge1[[#This Row],[team_defense_snaps]]=0, "", Merge1[[#This Row],[defense_snaps]] / Merge1[[#This Row],[team_defense_snaps]])</f>
        <v>0.98648648648648651</v>
      </c>
      <c r="V761">
        <v>74</v>
      </c>
      <c r="W761">
        <v>8</v>
      </c>
      <c r="X761" s="5" t="s">
        <v>135</v>
      </c>
      <c r="Y761">
        <v>7</v>
      </c>
      <c r="Z761">
        <v>0</v>
      </c>
      <c r="AA761" t="s">
        <v>25</v>
      </c>
      <c r="AB761" t="s">
        <v>36</v>
      </c>
      <c r="AC761" t="s">
        <v>91</v>
      </c>
      <c r="AD761" t="s">
        <v>42</v>
      </c>
      <c r="AE761" t="s">
        <v>25</v>
      </c>
      <c r="AF7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3.7037037037037035E-2</v>
      </c>
      <c r="AG761" t="s">
        <v>943</v>
      </c>
      <c r="AH761">
        <v>58</v>
      </c>
      <c r="AI761" t="s">
        <v>939</v>
      </c>
      <c r="AJ761">
        <v>7</v>
      </c>
      <c r="AK7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MIN(AJ761/8, 1) +
  Merge1[[#This Row],[index_defensive_effort]],
  2
)</f>
        <v>1.41</v>
      </c>
    </row>
    <row r="762" spans="1:37" x14ac:dyDescent="0.25">
      <c r="A762" t="s">
        <v>376</v>
      </c>
      <c r="B762" t="s">
        <v>377</v>
      </c>
      <c r="C762">
        <v>29</v>
      </c>
      <c r="D762" t="s">
        <v>56</v>
      </c>
      <c r="E762">
        <v>72</v>
      </c>
      <c r="F762">
        <v>192</v>
      </c>
      <c r="G762" t="s">
        <v>150</v>
      </c>
      <c r="H762">
        <v>2020</v>
      </c>
      <c r="I762" t="s">
        <v>33</v>
      </c>
      <c r="J762">
        <v>7</v>
      </c>
      <c r="K762">
        <v>3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62</v>
      </c>
      <c r="T762">
        <v>59</v>
      </c>
      <c r="U762" s="5">
        <f>IF(Merge1[[#This Row],[team_defense_snaps]]=0, "", Merge1[[#This Row],[defense_snaps]] / Merge1[[#This Row],[team_defense_snaps]])</f>
        <v>0.96721311475409832</v>
      </c>
      <c r="V762">
        <v>61</v>
      </c>
      <c r="W762">
        <v>3</v>
      </c>
      <c r="X762" s="5" t="s">
        <v>251</v>
      </c>
      <c r="Y762">
        <v>7</v>
      </c>
      <c r="Z762">
        <v>0</v>
      </c>
      <c r="AA762" t="s">
        <v>25</v>
      </c>
      <c r="AB762" t="s">
        <v>26</v>
      </c>
      <c r="AC762" t="s">
        <v>27</v>
      </c>
      <c r="AD762" t="s">
        <v>42</v>
      </c>
      <c r="AE762" t="s">
        <v>25</v>
      </c>
      <c r="AF7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4.8387096774193547E-2</v>
      </c>
      <c r="AG762" t="s">
        <v>943</v>
      </c>
      <c r="AH762">
        <v>56.5</v>
      </c>
      <c r="AI762" t="s">
        <v>939</v>
      </c>
      <c r="AJ762">
        <v>8</v>
      </c>
      <c r="AK7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MIN(AJ762/8, 1) +
  Merge1[[#This Row],[index_defensive_effort]],
  2
)</f>
        <v>1.55</v>
      </c>
    </row>
    <row r="763" spans="1:37" x14ac:dyDescent="0.25">
      <c r="A763" t="s">
        <v>376</v>
      </c>
      <c r="B763" t="s">
        <v>377</v>
      </c>
      <c r="C763">
        <v>29</v>
      </c>
      <c r="D763" t="s">
        <v>56</v>
      </c>
      <c r="E763">
        <v>72</v>
      </c>
      <c r="F763">
        <v>192</v>
      </c>
      <c r="G763" t="s">
        <v>150</v>
      </c>
      <c r="H763">
        <v>2020</v>
      </c>
      <c r="I763" t="s">
        <v>33</v>
      </c>
      <c r="J763">
        <v>8</v>
      </c>
      <c r="K763">
        <v>2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30</v>
      </c>
      <c r="T763">
        <v>28</v>
      </c>
      <c r="U763" s="5">
        <f>IF(Merge1[[#This Row],[team_defense_snaps]]=0, "", Merge1[[#This Row],[defense_snaps]] / Merge1[[#This Row],[team_defense_snaps]])</f>
        <v>0.35</v>
      </c>
      <c r="V763">
        <v>80</v>
      </c>
      <c r="W763">
        <v>2</v>
      </c>
      <c r="X763" s="5" t="s">
        <v>38</v>
      </c>
      <c r="Y763">
        <v>7</v>
      </c>
      <c r="Z763">
        <v>0</v>
      </c>
      <c r="AA763" t="s">
        <v>25</v>
      </c>
      <c r="AB763" t="s">
        <v>26</v>
      </c>
      <c r="AC763" t="s">
        <v>27</v>
      </c>
      <c r="AD763" t="s">
        <v>42</v>
      </c>
      <c r="AE763" t="s">
        <v>25</v>
      </c>
      <c r="AF7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763" t="s">
        <v>943</v>
      </c>
      <c r="AH763">
        <v>71.5</v>
      </c>
      <c r="AI763" t="s">
        <v>939</v>
      </c>
      <c r="AJ763">
        <v>1</v>
      </c>
      <c r="AK7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MIN(AJ763/8, 1) +
  Merge1[[#This Row],[index_defensive_effort]],
  2
)</f>
        <v>0.69</v>
      </c>
    </row>
    <row r="764" spans="1:37" x14ac:dyDescent="0.25">
      <c r="A764" t="s">
        <v>376</v>
      </c>
      <c r="B764" t="s">
        <v>377</v>
      </c>
      <c r="C764">
        <v>29</v>
      </c>
      <c r="D764" t="s">
        <v>56</v>
      </c>
      <c r="E764">
        <v>72</v>
      </c>
      <c r="F764">
        <v>192</v>
      </c>
      <c r="G764" t="s">
        <v>150</v>
      </c>
      <c r="H764">
        <v>2020</v>
      </c>
      <c r="I764" t="s">
        <v>33</v>
      </c>
      <c r="J764">
        <v>10</v>
      </c>
      <c r="K764">
        <v>0</v>
      </c>
      <c r="L764">
        <v>2</v>
      </c>
      <c r="M764">
        <v>2</v>
      </c>
      <c r="N764">
        <v>4</v>
      </c>
      <c r="O764">
        <v>0</v>
      </c>
      <c r="P764">
        <v>0</v>
      </c>
      <c r="Q764">
        <v>0</v>
      </c>
      <c r="R764">
        <v>0</v>
      </c>
      <c r="S764">
        <v>76</v>
      </c>
      <c r="T764">
        <v>69</v>
      </c>
      <c r="U764" s="5">
        <f>IF(Merge1[[#This Row],[team_defense_snaps]]=0, "", Merge1[[#This Row],[defense_snaps]] / Merge1[[#This Row],[team_defense_snaps]])</f>
        <v>0.971830985915493</v>
      </c>
      <c r="V764">
        <v>71</v>
      </c>
      <c r="W764">
        <v>7</v>
      </c>
      <c r="X764" s="5" t="s">
        <v>261</v>
      </c>
      <c r="Y764">
        <v>7</v>
      </c>
      <c r="Z764">
        <v>0</v>
      </c>
      <c r="AA764" t="s">
        <v>25</v>
      </c>
      <c r="AB764" t="s">
        <v>26</v>
      </c>
      <c r="AC764" t="s">
        <v>27</v>
      </c>
      <c r="AD764" t="s">
        <v>42</v>
      </c>
      <c r="AE764" t="s">
        <v>25</v>
      </c>
      <c r="AF7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2.6315789473684209E-2</v>
      </c>
      <c r="AG764" t="s">
        <v>943</v>
      </c>
      <c r="AH764">
        <v>68.5</v>
      </c>
      <c r="AI764" t="s">
        <v>939</v>
      </c>
      <c r="AJ764">
        <v>2</v>
      </c>
      <c r="AK7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MIN(AJ764/8, 1) +
  Merge1[[#This Row],[index_defensive_effort]],
  2
)</f>
        <v>0.78</v>
      </c>
    </row>
    <row r="765" spans="1:37" x14ac:dyDescent="0.25">
      <c r="A765" t="s">
        <v>376</v>
      </c>
      <c r="B765" t="s">
        <v>377</v>
      </c>
      <c r="C765">
        <v>29</v>
      </c>
      <c r="D765" t="s">
        <v>56</v>
      </c>
      <c r="E765">
        <v>72</v>
      </c>
      <c r="F765">
        <v>192</v>
      </c>
      <c r="G765" t="s">
        <v>150</v>
      </c>
      <c r="H765">
        <v>2020</v>
      </c>
      <c r="I765" t="s">
        <v>33</v>
      </c>
      <c r="J765">
        <v>11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56</v>
      </c>
      <c r="T765">
        <v>51</v>
      </c>
      <c r="U765" s="5">
        <f>IF(Merge1[[#This Row],[team_defense_snaps]]=0, "", Merge1[[#This Row],[defense_snaps]] / Merge1[[#This Row],[team_defense_snaps]])</f>
        <v>0.75</v>
      </c>
      <c r="V765">
        <v>68</v>
      </c>
      <c r="W765">
        <v>5</v>
      </c>
      <c r="X765" s="5" t="s">
        <v>124</v>
      </c>
      <c r="Y765">
        <v>7</v>
      </c>
      <c r="Z765">
        <v>0</v>
      </c>
      <c r="AA765" t="s">
        <v>25</v>
      </c>
      <c r="AB765" t="s">
        <v>26</v>
      </c>
      <c r="AC765" t="s">
        <v>27</v>
      </c>
      <c r="AD765" t="s">
        <v>28</v>
      </c>
      <c r="AE765" t="s">
        <v>25</v>
      </c>
      <c r="AF7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1.7857142857142856E-2</v>
      </c>
      <c r="AG765" t="s">
        <v>943</v>
      </c>
      <c r="AH765">
        <v>73</v>
      </c>
      <c r="AI765" t="s">
        <v>939</v>
      </c>
      <c r="AJ765">
        <v>3</v>
      </c>
      <c r="AK7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MIN(AJ765/8, 1) +
  Merge1[[#This Row],[index_defensive_effort]],
  2
)</f>
        <v>0.89</v>
      </c>
    </row>
    <row r="766" spans="1:37" x14ac:dyDescent="0.25">
      <c r="A766" t="s">
        <v>376</v>
      </c>
      <c r="B766" t="s">
        <v>377</v>
      </c>
      <c r="C766">
        <v>29</v>
      </c>
      <c r="D766" t="s">
        <v>56</v>
      </c>
      <c r="E766">
        <v>72</v>
      </c>
      <c r="F766">
        <v>192</v>
      </c>
      <c r="G766" t="s">
        <v>150</v>
      </c>
      <c r="H766">
        <v>2020</v>
      </c>
      <c r="I766" t="s">
        <v>33</v>
      </c>
      <c r="J766">
        <v>12</v>
      </c>
      <c r="K766">
        <v>8</v>
      </c>
      <c r="L766">
        <v>1</v>
      </c>
      <c r="M766">
        <v>0</v>
      </c>
      <c r="N766">
        <v>1</v>
      </c>
      <c r="O766">
        <v>0</v>
      </c>
      <c r="P766">
        <v>2</v>
      </c>
      <c r="Q766">
        <v>0</v>
      </c>
      <c r="R766">
        <v>0</v>
      </c>
      <c r="S766">
        <v>72</v>
      </c>
      <c r="T766">
        <v>67</v>
      </c>
      <c r="U766" s="5">
        <f>IF(Merge1[[#This Row],[team_defense_snaps]]=0, "", Merge1[[#This Row],[defense_snaps]] / Merge1[[#This Row],[team_defense_snaps]])</f>
        <v>0.89333333333333331</v>
      </c>
      <c r="V766">
        <v>75</v>
      </c>
      <c r="W766">
        <v>5</v>
      </c>
      <c r="X766" s="5" t="s">
        <v>58</v>
      </c>
      <c r="Y766">
        <v>7</v>
      </c>
      <c r="Z766">
        <v>0</v>
      </c>
      <c r="AA766" t="s">
        <v>25</v>
      </c>
      <c r="AB766" t="s">
        <v>26</v>
      </c>
      <c r="AC766" t="s">
        <v>27</v>
      </c>
      <c r="AD766" t="s">
        <v>42</v>
      </c>
      <c r="AE766" t="s">
        <v>25</v>
      </c>
      <c r="AF7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0.1736111111111111</v>
      </c>
      <c r="AG766" t="s">
        <v>943</v>
      </c>
      <c r="AH766">
        <v>53.5</v>
      </c>
      <c r="AI766" t="s">
        <v>939</v>
      </c>
      <c r="AJ766">
        <v>4</v>
      </c>
      <c r="AK7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MIN(AJ766/8, 1) +
  Merge1[[#This Row],[index_defensive_effort]],
  2
)</f>
        <v>1.17</v>
      </c>
    </row>
    <row r="767" spans="1:37" x14ac:dyDescent="0.25">
      <c r="A767" t="s">
        <v>376</v>
      </c>
      <c r="B767" t="s">
        <v>377</v>
      </c>
      <c r="C767">
        <v>29</v>
      </c>
      <c r="D767" t="s">
        <v>56</v>
      </c>
      <c r="E767">
        <v>72</v>
      </c>
      <c r="F767">
        <v>192</v>
      </c>
      <c r="G767" t="s">
        <v>150</v>
      </c>
      <c r="H767">
        <v>2020</v>
      </c>
      <c r="I767" t="s">
        <v>33</v>
      </c>
      <c r="J767">
        <v>13</v>
      </c>
      <c r="K767">
        <v>2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43</v>
      </c>
      <c r="T767">
        <v>40</v>
      </c>
      <c r="U767" s="5">
        <f>IF(Merge1[[#This Row],[team_defense_snaps]]=0, "", Merge1[[#This Row],[defense_snaps]] / Merge1[[#This Row],[team_defense_snaps]])</f>
        <v>0.64516129032258063</v>
      </c>
      <c r="V767">
        <v>62</v>
      </c>
      <c r="W767">
        <v>3</v>
      </c>
      <c r="X767" s="5" t="s">
        <v>35</v>
      </c>
      <c r="Y767">
        <v>7</v>
      </c>
      <c r="Z767">
        <v>0</v>
      </c>
      <c r="AA767" t="s">
        <v>25</v>
      </c>
      <c r="AB767" t="s">
        <v>36</v>
      </c>
      <c r="AC767" t="s">
        <v>177</v>
      </c>
      <c r="AD767" t="s">
        <v>42</v>
      </c>
      <c r="AE767" t="s">
        <v>25</v>
      </c>
      <c r="AF7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4.6511627906976744E-2</v>
      </c>
      <c r="AG767" t="s">
        <v>943</v>
      </c>
      <c r="AH767">
        <v>49</v>
      </c>
      <c r="AI767" t="s">
        <v>939</v>
      </c>
      <c r="AJ767">
        <v>5</v>
      </c>
      <c r="AK7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MIN(AJ767/8, 1) +
  Merge1[[#This Row],[index_defensive_effort]],
  2
)</f>
        <v>1.17</v>
      </c>
    </row>
    <row r="768" spans="1:37" x14ac:dyDescent="0.25">
      <c r="A768" t="s">
        <v>376</v>
      </c>
      <c r="B768" t="s">
        <v>377</v>
      </c>
      <c r="C768">
        <v>29</v>
      </c>
      <c r="D768" t="s">
        <v>56</v>
      </c>
      <c r="E768">
        <v>72</v>
      </c>
      <c r="F768">
        <v>192</v>
      </c>
      <c r="G768" t="s">
        <v>150</v>
      </c>
      <c r="H768">
        <v>2020</v>
      </c>
      <c r="I768" t="s">
        <v>33</v>
      </c>
      <c r="J768">
        <v>14</v>
      </c>
      <c r="K768">
        <v>5</v>
      </c>
      <c r="L768">
        <v>1</v>
      </c>
      <c r="M768">
        <v>0</v>
      </c>
      <c r="N768">
        <v>1</v>
      </c>
      <c r="O768">
        <v>0</v>
      </c>
      <c r="P768">
        <v>1</v>
      </c>
      <c r="Q768">
        <v>0</v>
      </c>
      <c r="R768">
        <v>0</v>
      </c>
      <c r="S768">
        <v>37</v>
      </c>
      <c r="T768">
        <v>35</v>
      </c>
      <c r="U768" s="5">
        <f>IF(Merge1[[#This Row],[team_defense_snaps]]=0, "", Merge1[[#This Row],[defense_snaps]] / Merge1[[#This Row],[team_defense_snaps]])</f>
        <v>0.55555555555555558</v>
      </c>
      <c r="V768">
        <v>63</v>
      </c>
      <c r="W768">
        <v>2</v>
      </c>
      <c r="X768" s="5" t="s">
        <v>167</v>
      </c>
      <c r="Y768">
        <v>7</v>
      </c>
      <c r="Z768">
        <v>0</v>
      </c>
      <c r="AA768" t="s">
        <v>25</v>
      </c>
      <c r="AB768" t="s">
        <v>26</v>
      </c>
      <c r="AC768" t="s">
        <v>27</v>
      </c>
      <c r="AD768" t="s">
        <v>42</v>
      </c>
      <c r="AE768" t="s">
        <v>25</v>
      </c>
      <c r="AF7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0.20270270270270271</v>
      </c>
      <c r="AG768" t="s">
        <v>943</v>
      </c>
      <c r="AH768">
        <v>67</v>
      </c>
      <c r="AI768" t="s">
        <v>939</v>
      </c>
      <c r="AJ768">
        <v>1</v>
      </c>
      <c r="AK7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MIN(AJ768/8, 1) +
  Merge1[[#This Row],[index_defensive_effort]],
  2
)</f>
        <v>0.83</v>
      </c>
    </row>
    <row r="769" spans="1:37" x14ac:dyDescent="0.25">
      <c r="A769" t="s">
        <v>376</v>
      </c>
      <c r="B769" t="s">
        <v>377</v>
      </c>
      <c r="C769">
        <v>29</v>
      </c>
      <c r="D769" t="s">
        <v>56</v>
      </c>
      <c r="E769">
        <v>72</v>
      </c>
      <c r="F769">
        <v>192</v>
      </c>
      <c r="G769" t="s">
        <v>150</v>
      </c>
      <c r="H769">
        <v>2020</v>
      </c>
      <c r="I769" t="s">
        <v>33</v>
      </c>
      <c r="J769">
        <v>16</v>
      </c>
      <c r="K769">
        <v>4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2</v>
      </c>
      <c r="R769">
        <v>0</v>
      </c>
      <c r="S769">
        <v>79</v>
      </c>
      <c r="T769">
        <v>69</v>
      </c>
      <c r="U769" s="5">
        <f>IF(Merge1[[#This Row],[team_defense_snaps]]=0, "", Merge1[[#This Row],[defense_snaps]] / Merge1[[#This Row],[team_defense_snaps]])</f>
        <v>0.971830985915493</v>
      </c>
      <c r="V769">
        <v>71</v>
      </c>
      <c r="W769">
        <v>10</v>
      </c>
      <c r="X769" s="5" t="s">
        <v>108</v>
      </c>
      <c r="Y769">
        <v>7</v>
      </c>
      <c r="Z769">
        <v>0</v>
      </c>
      <c r="AA769" t="s">
        <v>25</v>
      </c>
      <c r="AB769" t="s">
        <v>26</v>
      </c>
      <c r="AC769" t="s">
        <v>27</v>
      </c>
      <c r="AD769" t="s">
        <v>42</v>
      </c>
      <c r="AE769" t="s">
        <v>25</v>
      </c>
      <c r="AF7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0.15189873417721519</v>
      </c>
      <c r="AG769" t="s">
        <v>943</v>
      </c>
      <c r="AH769">
        <v>50.5</v>
      </c>
      <c r="AI769" t="s">
        <v>939</v>
      </c>
      <c r="AJ769">
        <v>2</v>
      </c>
      <c r="AK7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MIN(AJ769/8, 1) +
  Merge1[[#This Row],[index_defensive_effort]],
  2
)</f>
        <v>0.9</v>
      </c>
    </row>
    <row r="770" spans="1:37" x14ac:dyDescent="0.25">
      <c r="A770" t="s">
        <v>376</v>
      </c>
      <c r="B770" t="s">
        <v>377</v>
      </c>
      <c r="C770">
        <v>29</v>
      </c>
      <c r="D770" t="s">
        <v>56</v>
      </c>
      <c r="E770">
        <v>72</v>
      </c>
      <c r="F770">
        <v>192</v>
      </c>
      <c r="G770" t="s">
        <v>150</v>
      </c>
      <c r="H770">
        <v>2020</v>
      </c>
      <c r="I770" t="s">
        <v>33</v>
      </c>
      <c r="J770">
        <v>17</v>
      </c>
      <c r="K770">
        <v>1</v>
      </c>
      <c r="L770">
        <v>1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68</v>
      </c>
      <c r="T770">
        <v>63</v>
      </c>
      <c r="U770" s="5">
        <f>IF(Merge1[[#This Row],[team_defense_snaps]]=0, "", Merge1[[#This Row],[defense_snaps]] / Merge1[[#This Row],[team_defense_snaps]])</f>
        <v>1</v>
      </c>
      <c r="V770">
        <v>63</v>
      </c>
      <c r="W770">
        <v>5</v>
      </c>
      <c r="X770" s="5" t="s">
        <v>58</v>
      </c>
      <c r="Y770">
        <v>7</v>
      </c>
      <c r="Z770">
        <v>0</v>
      </c>
      <c r="AA770" t="s">
        <v>25</v>
      </c>
      <c r="AB770" t="s">
        <v>26</v>
      </c>
      <c r="AC770" t="s">
        <v>27</v>
      </c>
      <c r="AD770" t="s">
        <v>42</v>
      </c>
      <c r="AE770" t="s">
        <v>25</v>
      </c>
      <c r="AF7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2.2058823529411766E-2</v>
      </c>
      <c r="AG770" t="s">
        <v>943</v>
      </c>
      <c r="AH770">
        <v>70</v>
      </c>
      <c r="AI770" t="s">
        <v>939</v>
      </c>
      <c r="AJ770">
        <v>1</v>
      </c>
      <c r="AK7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MIN(AJ770/8, 1) +
  Merge1[[#This Row],[index_defensive_effort]],
  2
)</f>
        <v>0.65</v>
      </c>
    </row>
    <row r="771" spans="1:37" x14ac:dyDescent="0.25">
      <c r="A771" t="s">
        <v>332</v>
      </c>
      <c r="B771" t="s">
        <v>333</v>
      </c>
      <c r="C771">
        <v>22</v>
      </c>
      <c r="D771" t="s">
        <v>56</v>
      </c>
      <c r="E771">
        <v>70</v>
      </c>
      <c r="F771">
        <v>195</v>
      </c>
      <c r="G771" t="s">
        <v>94</v>
      </c>
      <c r="H771">
        <v>2020</v>
      </c>
      <c r="I771" t="s">
        <v>33</v>
      </c>
      <c r="J771">
        <v>1</v>
      </c>
      <c r="K771">
        <v>1</v>
      </c>
      <c r="L771">
        <v>2</v>
      </c>
      <c r="M771">
        <v>1</v>
      </c>
      <c r="N771">
        <v>3</v>
      </c>
      <c r="O771">
        <v>0</v>
      </c>
      <c r="P771">
        <v>1</v>
      </c>
      <c r="Q771">
        <v>0</v>
      </c>
      <c r="R771">
        <v>0</v>
      </c>
      <c r="S771">
        <v>51</v>
      </c>
      <c r="T771">
        <v>47</v>
      </c>
      <c r="U771" s="5">
        <f>IF(Merge1[[#This Row],[team_defense_snaps]]=0, "", Merge1[[#This Row],[defense_snaps]] / Merge1[[#This Row],[team_defense_snaps]])</f>
        <v>0.734375</v>
      </c>
      <c r="V771">
        <v>64</v>
      </c>
      <c r="W771">
        <v>4</v>
      </c>
      <c r="X771" s="5" t="s">
        <v>168</v>
      </c>
      <c r="Y771">
        <v>0</v>
      </c>
      <c r="Z771">
        <v>0</v>
      </c>
      <c r="AA771" t="s">
        <v>25</v>
      </c>
      <c r="AB771" t="s">
        <v>26</v>
      </c>
      <c r="AC771" t="s">
        <v>27</v>
      </c>
      <c r="AD771" t="s">
        <v>42</v>
      </c>
      <c r="AE771" t="s">
        <v>25</v>
      </c>
      <c r="AF7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8.8235294117647065E-2</v>
      </c>
      <c r="AG771" t="s">
        <v>942</v>
      </c>
      <c r="AH771">
        <v>55.5</v>
      </c>
      <c r="AI771" t="s">
        <v>939</v>
      </c>
      <c r="AJ771">
        <v>2</v>
      </c>
      <c r="AK7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MIN(AJ771/8, 1) +
  Merge1[[#This Row],[index_defensive_effort]],
  2
)</f>
        <v>0.84</v>
      </c>
    </row>
    <row r="772" spans="1:37" x14ac:dyDescent="0.25">
      <c r="A772" t="s">
        <v>332</v>
      </c>
      <c r="B772" t="s">
        <v>333</v>
      </c>
      <c r="C772">
        <v>22</v>
      </c>
      <c r="D772" t="s">
        <v>56</v>
      </c>
      <c r="E772">
        <v>70</v>
      </c>
      <c r="F772">
        <v>195</v>
      </c>
      <c r="G772" t="s">
        <v>94</v>
      </c>
      <c r="H772">
        <v>2020</v>
      </c>
      <c r="I772" t="s">
        <v>33</v>
      </c>
      <c r="J772">
        <v>2</v>
      </c>
      <c r="K772">
        <v>1</v>
      </c>
      <c r="L772">
        <v>1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25</v>
      </c>
      <c r="T772">
        <v>25</v>
      </c>
      <c r="U772" s="5">
        <f>IF(Merge1[[#This Row],[team_defense_snaps]]=0, "", Merge1[[#This Row],[defense_snaps]] / Merge1[[#This Row],[team_defense_snaps]])</f>
        <v>0.37878787878787878</v>
      </c>
      <c r="V772">
        <v>66</v>
      </c>
      <c r="W772">
        <v>0</v>
      </c>
      <c r="X772" s="5" t="s">
        <v>29</v>
      </c>
      <c r="Y772">
        <v>0</v>
      </c>
      <c r="Z772">
        <v>0</v>
      </c>
      <c r="AA772" t="s">
        <v>25</v>
      </c>
      <c r="AB772" t="s">
        <v>26</v>
      </c>
      <c r="AC772" t="s">
        <v>27</v>
      </c>
      <c r="AD772" t="s">
        <v>28</v>
      </c>
      <c r="AE772" t="s">
        <v>25</v>
      </c>
      <c r="AF7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0.06</v>
      </c>
      <c r="AG772" t="s">
        <v>942</v>
      </c>
      <c r="AH772">
        <v>70.5</v>
      </c>
      <c r="AI772" t="s">
        <v>939</v>
      </c>
      <c r="AJ772">
        <v>3</v>
      </c>
      <c r="AK7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MIN(AJ772/8, 1) +
  Merge1[[#This Row],[index_defensive_effort]],
  2
)</f>
        <v>0.94</v>
      </c>
    </row>
    <row r="773" spans="1:37" x14ac:dyDescent="0.25">
      <c r="A773" t="s">
        <v>332</v>
      </c>
      <c r="B773" t="s">
        <v>333</v>
      </c>
      <c r="C773">
        <v>22</v>
      </c>
      <c r="D773" t="s">
        <v>56</v>
      </c>
      <c r="E773">
        <v>70</v>
      </c>
      <c r="F773">
        <v>195</v>
      </c>
      <c r="G773" t="s">
        <v>94</v>
      </c>
      <c r="H773">
        <v>2020</v>
      </c>
      <c r="I773" t="s">
        <v>33</v>
      </c>
      <c r="J773">
        <v>3</v>
      </c>
      <c r="K773">
        <v>2</v>
      </c>
      <c r="L773">
        <v>1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27</v>
      </c>
      <c r="T773">
        <v>27</v>
      </c>
      <c r="U773" s="5">
        <f>IF(Merge1[[#This Row],[team_defense_snaps]]=0, "", Merge1[[#This Row],[defense_snaps]] / Merge1[[#This Row],[team_defense_snaps]])</f>
        <v>0.32926829268292684</v>
      </c>
      <c r="V773">
        <v>82</v>
      </c>
      <c r="W773">
        <v>0</v>
      </c>
      <c r="X773" s="5" t="s">
        <v>29</v>
      </c>
      <c r="Y773">
        <v>0</v>
      </c>
      <c r="Z773">
        <v>0</v>
      </c>
      <c r="AA773" t="s">
        <v>25</v>
      </c>
      <c r="AB773" t="s">
        <v>26</v>
      </c>
      <c r="AC773" t="s">
        <v>27</v>
      </c>
      <c r="AD773" t="s">
        <v>28</v>
      </c>
      <c r="AE773" t="s">
        <v>25</v>
      </c>
      <c r="AF7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9.2592592592592587E-2</v>
      </c>
      <c r="AG773" t="s">
        <v>942</v>
      </c>
      <c r="AH773">
        <v>61.5</v>
      </c>
      <c r="AI773" t="s">
        <v>939</v>
      </c>
      <c r="AJ773">
        <v>4</v>
      </c>
      <c r="AK7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MIN(AJ773/8, 1) +
  Merge1[[#This Row],[index_defensive_effort]],
  2
)</f>
        <v>1.0900000000000001</v>
      </c>
    </row>
    <row r="774" spans="1:37" x14ac:dyDescent="0.25">
      <c r="A774" t="s">
        <v>332</v>
      </c>
      <c r="B774" t="s">
        <v>333</v>
      </c>
      <c r="C774">
        <v>22</v>
      </c>
      <c r="D774" t="s">
        <v>56</v>
      </c>
      <c r="E774">
        <v>70</v>
      </c>
      <c r="F774">
        <v>195</v>
      </c>
      <c r="G774" t="s">
        <v>94</v>
      </c>
      <c r="H774">
        <v>2020</v>
      </c>
      <c r="I774" t="s">
        <v>33</v>
      </c>
      <c r="J774">
        <v>4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36</v>
      </c>
      <c r="T774">
        <v>33</v>
      </c>
      <c r="U774" s="5">
        <f>IF(Merge1[[#This Row],[team_defense_snaps]]=0, "", Merge1[[#This Row],[defense_snaps]] / Merge1[[#This Row],[team_defense_snaps]])</f>
        <v>0.56896551724137934</v>
      </c>
      <c r="V774">
        <v>58</v>
      </c>
      <c r="W774">
        <v>3</v>
      </c>
      <c r="X774" s="5" t="s">
        <v>209</v>
      </c>
      <c r="Y774">
        <v>0</v>
      </c>
      <c r="Z774">
        <v>0</v>
      </c>
      <c r="AA774" t="s">
        <v>25</v>
      </c>
      <c r="AB774" t="s">
        <v>26</v>
      </c>
      <c r="AC774" t="s">
        <v>27</v>
      </c>
      <c r="AD774" t="s">
        <v>28</v>
      </c>
      <c r="AE774" t="s">
        <v>25</v>
      </c>
      <c r="AF7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2.7777777777777776E-2</v>
      </c>
      <c r="AG774" t="s">
        <v>942</v>
      </c>
      <c r="AH774">
        <v>69</v>
      </c>
      <c r="AI774" t="s">
        <v>939</v>
      </c>
      <c r="AJ774">
        <v>5</v>
      </c>
      <c r="AK7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MIN(AJ774/8, 1) +
  Merge1[[#This Row],[index_defensive_effort]],
  2
)</f>
        <v>1.1499999999999999</v>
      </c>
    </row>
    <row r="775" spans="1:37" x14ac:dyDescent="0.25">
      <c r="A775" t="s">
        <v>332</v>
      </c>
      <c r="B775" t="s">
        <v>333</v>
      </c>
      <c r="C775">
        <v>22</v>
      </c>
      <c r="D775" t="s">
        <v>56</v>
      </c>
      <c r="E775">
        <v>70</v>
      </c>
      <c r="F775">
        <v>195</v>
      </c>
      <c r="G775" t="s">
        <v>94</v>
      </c>
      <c r="H775">
        <v>2020</v>
      </c>
      <c r="I775" t="s">
        <v>33</v>
      </c>
      <c r="J775">
        <v>5</v>
      </c>
      <c r="K775">
        <v>2</v>
      </c>
      <c r="L775">
        <v>3</v>
      </c>
      <c r="M775">
        <v>0</v>
      </c>
      <c r="N775">
        <v>3</v>
      </c>
      <c r="O775">
        <v>3</v>
      </c>
      <c r="P775">
        <v>3</v>
      </c>
      <c r="Q775">
        <v>0</v>
      </c>
      <c r="R775">
        <v>0</v>
      </c>
      <c r="S775">
        <v>50</v>
      </c>
      <c r="T775">
        <v>50</v>
      </c>
      <c r="U775" s="5">
        <f>IF(Merge1[[#This Row],[team_defense_snaps]]=0, "", Merge1[[#This Row],[defense_snaps]] / Merge1[[#This Row],[team_defense_snaps]])</f>
        <v>0.75757575757575757</v>
      </c>
      <c r="V775">
        <v>66</v>
      </c>
      <c r="W775">
        <v>0</v>
      </c>
      <c r="X775" s="5" t="s">
        <v>29</v>
      </c>
      <c r="Y775">
        <v>0</v>
      </c>
      <c r="Z775">
        <v>0</v>
      </c>
      <c r="AA775" t="s">
        <v>25</v>
      </c>
      <c r="AB775" t="s">
        <v>26</v>
      </c>
      <c r="AC775" t="s">
        <v>27</v>
      </c>
      <c r="AD775" t="s">
        <v>42</v>
      </c>
      <c r="AE775" t="s">
        <v>25</v>
      </c>
      <c r="AF7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0.37</v>
      </c>
      <c r="AG775" t="s">
        <v>942</v>
      </c>
      <c r="AH775">
        <v>66</v>
      </c>
      <c r="AI775" t="s">
        <v>939</v>
      </c>
      <c r="AJ775">
        <v>1</v>
      </c>
      <c r="AK7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MIN(AJ775/8, 1) +
  Merge1[[#This Row],[index_defensive_effort]],
  2
)</f>
        <v>1</v>
      </c>
    </row>
    <row r="776" spans="1:37" x14ac:dyDescent="0.25">
      <c r="A776" t="s">
        <v>332</v>
      </c>
      <c r="B776" t="s">
        <v>333</v>
      </c>
      <c r="C776">
        <v>22</v>
      </c>
      <c r="D776" t="s">
        <v>56</v>
      </c>
      <c r="E776">
        <v>70</v>
      </c>
      <c r="F776">
        <v>195</v>
      </c>
      <c r="G776" t="s">
        <v>94</v>
      </c>
      <c r="H776">
        <v>2020</v>
      </c>
      <c r="I776" t="s">
        <v>33</v>
      </c>
      <c r="J776">
        <v>8</v>
      </c>
      <c r="K776">
        <v>4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50</v>
      </c>
      <c r="T776">
        <v>49</v>
      </c>
      <c r="U776" s="5">
        <f>IF(Merge1[[#This Row],[team_defense_snaps]]=0, "", Merge1[[#This Row],[defense_snaps]] / Merge1[[#This Row],[team_defense_snaps]])</f>
        <v>0.7</v>
      </c>
      <c r="V776">
        <v>70</v>
      </c>
      <c r="W776">
        <v>1</v>
      </c>
      <c r="X776" s="5" t="s">
        <v>193</v>
      </c>
      <c r="Y776">
        <v>0</v>
      </c>
      <c r="Z776">
        <v>0</v>
      </c>
      <c r="AA776" t="s">
        <v>25</v>
      </c>
      <c r="AB776" t="s">
        <v>26</v>
      </c>
      <c r="AC776" t="s">
        <v>27</v>
      </c>
      <c r="AD776" t="s">
        <v>28</v>
      </c>
      <c r="AE776" t="s">
        <v>25</v>
      </c>
      <c r="AF7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0.08</v>
      </c>
      <c r="AG776" t="s">
        <v>942</v>
      </c>
      <c r="AH776">
        <v>58.5</v>
      </c>
      <c r="AI776" t="s">
        <v>939</v>
      </c>
      <c r="AJ776">
        <v>2</v>
      </c>
      <c r="AK7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MIN(AJ776/8, 1) +
  Merge1[[#This Row],[index_defensive_effort]],
  2
)</f>
        <v>0.83</v>
      </c>
    </row>
    <row r="777" spans="1:37" x14ac:dyDescent="0.25">
      <c r="A777" t="s">
        <v>332</v>
      </c>
      <c r="B777" t="s">
        <v>333</v>
      </c>
      <c r="C777">
        <v>22</v>
      </c>
      <c r="D777" t="s">
        <v>56</v>
      </c>
      <c r="E777">
        <v>70</v>
      </c>
      <c r="F777">
        <v>195</v>
      </c>
      <c r="G777" t="s">
        <v>94</v>
      </c>
      <c r="H777">
        <v>2020</v>
      </c>
      <c r="I777" t="s">
        <v>33</v>
      </c>
      <c r="J777">
        <v>9</v>
      </c>
      <c r="K777">
        <v>4</v>
      </c>
      <c r="L777">
        <v>1</v>
      </c>
      <c r="M777">
        <v>0</v>
      </c>
      <c r="N777">
        <v>1</v>
      </c>
      <c r="O777">
        <v>0</v>
      </c>
      <c r="P777">
        <v>1</v>
      </c>
      <c r="Q777">
        <v>0</v>
      </c>
      <c r="R777">
        <v>0</v>
      </c>
      <c r="S777">
        <v>47</v>
      </c>
      <c r="T777">
        <v>47</v>
      </c>
      <c r="U777" s="5">
        <f>IF(Merge1[[#This Row],[team_defense_snaps]]=0, "", Merge1[[#This Row],[defense_snaps]] / Merge1[[#This Row],[team_defense_snaps]])</f>
        <v>0.87037037037037035</v>
      </c>
      <c r="V777">
        <v>54</v>
      </c>
      <c r="W777">
        <v>0</v>
      </c>
      <c r="X777" s="5" t="s">
        <v>29</v>
      </c>
      <c r="Y777">
        <v>0</v>
      </c>
      <c r="Z777">
        <v>0</v>
      </c>
      <c r="AA777" t="s">
        <v>25</v>
      </c>
      <c r="AB777" t="s">
        <v>26</v>
      </c>
      <c r="AC777" t="s">
        <v>27</v>
      </c>
      <c r="AD777" t="s">
        <v>28</v>
      </c>
      <c r="AE777" t="s">
        <v>25</v>
      </c>
      <c r="AF7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0.13829787234042554</v>
      </c>
      <c r="AG777" t="s">
        <v>942</v>
      </c>
      <c r="AH777">
        <v>72</v>
      </c>
      <c r="AI777" t="s">
        <v>939</v>
      </c>
      <c r="AJ777">
        <v>3</v>
      </c>
      <c r="AK7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MIN(AJ777/8, 1) +
  Merge1[[#This Row],[index_defensive_effort]],
  2
)</f>
        <v>1.01</v>
      </c>
    </row>
    <row r="778" spans="1:37" x14ac:dyDescent="0.25">
      <c r="A778" t="s">
        <v>332</v>
      </c>
      <c r="B778" t="s">
        <v>333</v>
      </c>
      <c r="C778">
        <v>22</v>
      </c>
      <c r="D778" t="s">
        <v>56</v>
      </c>
      <c r="E778">
        <v>70</v>
      </c>
      <c r="F778">
        <v>195</v>
      </c>
      <c r="G778" t="s">
        <v>94</v>
      </c>
      <c r="H778">
        <v>2020</v>
      </c>
      <c r="I778" t="s">
        <v>33</v>
      </c>
      <c r="J778">
        <v>10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44</v>
      </c>
      <c r="T778">
        <v>44</v>
      </c>
      <c r="U778" s="5">
        <f>IF(Merge1[[#This Row],[team_defense_snaps]]=0, "", Merge1[[#This Row],[defense_snaps]] / Merge1[[#This Row],[team_defense_snaps]])</f>
        <v>0.65671641791044777</v>
      </c>
      <c r="V778">
        <v>67</v>
      </c>
      <c r="W778">
        <v>0</v>
      </c>
      <c r="X778" s="5" t="s">
        <v>29</v>
      </c>
      <c r="Y778">
        <v>0</v>
      </c>
      <c r="Z778">
        <v>0</v>
      </c>
      <c r="AA778" t="s">
        <v>25</v>
      </c>
      <c r="AB778" t="s">
        <v>26</v>
      </c>
      <c r="AC778" t="s">
        <v>27</v>
      </c>
      <c r="AD778" t="s">
        <v>42</v>
      </c>
      <c r="AE778" t="s">
        <v>25</v>
      </c>
      <c r="AF7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6.8181818181818177E-2</v>
      </c>
      <c r="AG778" t="s">
        <v>942</v>
      </c>
      <c r="AH778">
        <v>54</v>
      </c>
      <c r="AI778" t="s">
        <v>939</v>
      </c>
      <c r="AJ778">
        <v>1</v>
      </c>
      <c r="AK7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MIN(AJ778/8, 1) +
  Merge1[[#This Row],[index_defensive_effort]],
  2
)</f>
        <v>0.69</v>
      </c>
    </row>
    <row r="779" spans="1:37" x14ac:dyDescent="0.25">
      <c r="A779" t="s">
        <v>332</v>
      </c>
      <c r="B779" t="s">
        <v>333</v>
      </c>
      <c r="C779">
        <v>22</v>
      </c>
      <c r="D779" t="s">
        <v>56</v>
      </c>
      <c r="E779">
        <v>70</v>
      </c>
      <c r="F779">
        <v>195</v>
      </c>
      <c r="G779" t="s">
        <v>94</v>
      </c>
      <c r="H779">
        <v>2020</v>
      </c>
      <c r="I779" t="s">
        <v>33</v>
      </c>
      <c r="J779">
        <v>12</v>
      </c>
      <c r="K779">
        <v>3</v>
      </c>
      <c r="L779">
        <v>1</v>
      </c>
      <c r="M779">
        <v>0</v>
      </c>
      <c r="N779">
        <v>1</v>
      </c>
      <c r="O779">
        <v>0</v>
      </c>
      <c r="P779">
        <v>1</v>
      </c>
      <c r="Q779">
        <v>1</v>
      </c>
      <c r="R779">
        <v>0</v>
      </c>
      <c r="S779">
        <v>35</v>
      </c>
      <c r="T779">
        <v>35</v>
      </c>
      <c r="U779" s="5">
        <f>IF(Merge1[[#This Row],[team_defense_snaps]]=0, "", Merge1[[#This Row],[defense_snaps]] / Merge1[[#This Row],[team_defense_snaps]])</f>
        <v>0.7142857142857143</v>
      </c>
      <c r="V779">
        <v>49</v>
      </c>
      <c r="W779">
        <v>0</v>
      </c>
      <c r="X779" s="5" t="s">
        <v>29</v>
      </c>
      <c r="Y779">
        <v>0</v>
      </c>
      <c r="Z779">
        <v>0</v>
      </c>
      <c r="AA779" t="s">
        <v>25</v>
      </c>
      <c r="AB779" t="s">
        <v>26</v>
      </c>
      <c r="AC779" t="s">
        <v>27</v>
      </c>
      <c r="AD779" t="s">
        <v>42</v>
      </c>
      <c r="AE779" t="s">
        <v>25</v>
      </c>
      <c r="AF7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0.27142857142857141</v>
      </c>
      <c r="AG779" t="s">
        <v>942</v>
      </c>
      <c r="AH779">
        <v>67.5</v>
      </c>
      <c r="AI779" t="s">
        <v>939</v>
      </c>
      <c r="AJ779">
        <v>2</v>
      </c>
      <c r="AK7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MIN(AJ779/8, 1) +
  Merge1[[#This Row],[index_defensive_effort]],
  2
)</f>
        <v>1.02</v>
      </c>
    </row>
    <row r="780" spans="1:37" x14ac:dyDescent="0.25">
      <c r="A780" t="s">
        <v>332</v>
      </c>
      <c r="B780" t="s">
        <v>333</v>
      </c>
      <c r="C780">
        <v>22</v>
      </c>
      <c r="D780" t="s">
        <v>56</v>
      </c>
      <c r="E780">
        <v>70</v>
      </c>
      <c r="F780">
        <v>195</v>
      </c>
      <c r="G780" t="s">
        <v>94</v>
      </c>
      <c r="H780">
        <v>2020</v>
      </c>
      <c r="I780" t="s">
        <v>33</v>
      </c>
      <c r="J780">
        <v>13</v>
      </c>
      <c r="K780">
        <v>6</v>
      </c>
      <c r="L780">
        <v>1</v>
      </c>
      <c r="M780">
        <v>0</v>
      </c>
      <c r="N780">
        <v>1</v>
      </c>
      <c r="O780">
        <v>0</v>
      </c>
      <c r="P780">
        <v>0</v>
      </c>
      <c r="Q780">
        <v>2</v>
      </c>
      <c r="R780">
        <v>0</v>
      </c>
      <c r="S780">
        <v>58</v>
      </c>
      <c r="T780">
        <v>56</v>
      </c>
      <c r="U780" s="5">
        <f>IF(Merge1[[#This Row],[team_defense_snaps]]=0, "", Merge1[[#This Row],[defense_snaps]] / Merge1[[#This Row],[team_defense_snaps]])</f>
        <v>0.77777777777777779</v>
      </c>
      <c r="V780">
        <v>72</v>
      </c>
      <c r="W780">
        <v>2</v>
      </c>
      <c r="X780" s="5" t="s">
        <v>167</v>
      </c>
      <c r="Y780">
        <v>0</v>
      </c>
      <c r="Z780">
        <v>0</v>
      </c>
      <c r="AA780" t="s">
        <v>25</v>
      </c>
      <c r="AB780" t="s">
        <v>26</v>
      </c>
      <c r="AC780" t="s">
        <v>27</v>
      </c>
      <c r="AD780" t="s">
        <v>42</v>
      </c>
      <c r="AE780" t="s">
        <v>25</v>
      </c>
      <c r="AF7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</v>
      </c>
      <c r="AG780" t="s">
        <v>942</v>
      </c>
      <c r="AH780">
        <v>60</v>
      </c>
      <c r="AI780" t="s">
        <v>939</v>
      </c>
      <c r="AJ780">
        <v>1</v>
      </c>
      <c r="AK7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MIN(AJ780/8, 1) +
  Merge1[[#This Row],[index_defensive_effort]],
  2
)</f>
        <v>0.88</v>
      </c>
    </row>
    <row r="781" spans="1:37" x14ac:dyDescent="0.25">
      <c r="A781" t="s">
        <v>372</v>
      </c>
      <c r="B781" t="s">
        <v>373</v>
      </c>
      <c r="C781">
        <v>23</v>
      </c>
      <c r="D781" t="s">
        <v>22</v>
      </c>
      <c r="E781">
        <v>71</v>
      </c>
      <c r="F781">
        <v>198</v>
      </c>
      <c r="G781" t="s">
        <v>41</v>
      </c>
      <c r="H781">
        <v>2020</v>
      </c>
      <c r="I781" t="s">
        <v>33</v>
      </c>
      <c r="J781">
        <v>1</v>
      </c>
      <c r="K781">
        <v>3</v>
      </c>
      <c r="L781">
        <v>2</v>
      </c>
      <c r="M781">
        <v>0</v>
      </c>
      <c r="N781">
        <v>2</v>
      </c>
      <c r="O781">
        <v>0</v>
      </c>
      <c r="P781">
        <v>0</v>
      </c>
      <c r="Q781">
        <v>0</v>
      </c>
      <c r="R781">
        <v>0</v>
      </c>
      <c r="S781">
        <v>5</v>
      </c>
      <c r="T781">
        <v>0</v>
      </c>
      <c r="U781" s="5">
        <f>IF(Merge1[[#This Row],[team_defense_snaps]]=0, "", Merge1[[#This Row],[defense_snaps]] / Merge1[[#This Row],[team_defense_snaps]])</f>
        <v>0</v>
      </c>
      <c r="V781">
        <v>52</v>
      </c>
      <c r="W781">
        <v>5</v>
      </c>
      <c r="X781" s="5" t="s">
        <v>59</v>
      </c>
      <c r="Y781">
        <v>1</v>
      </c>
      <c r="Z781">
        <v>0</v>
      </c>
      <c r="AA781" t="s">
        <v>25</v>
      </c>
      <c r="AB781" t="s">
        <v>26</v>
      </c>
      <c r="AC781" t="s">
        <v>27</v>
      </c>
      <c r="AD781" t="s">
        <v>42</v>
      </c>
      <c r="AE781" t="s">
        <v>25</v>
      </c>
      <c r="AF7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0.8</v>
      </c>
      <c r="AG781" t="s">
        <v>943</v>
      </c>
      <c r="AH781">
        <v>54.5</v>
      </c>
      <c r="AI781" t="s">
        <v>939</v>
      </c>
      <c r="AJ781">
        <v>2</v>
      </c>
      <c r="AK7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MIN(AJ781/8, 1) +
  Merge1[[#This Row],[index_defensive_effort]],
  2
)</f>
        <v>1.55</v>
      </c>
    </row>
    <row r="782" spans="1:37" x14ac:dyDescent="0.25">
      <c r="A782" t="s">
        <v>372</v>
      </c>
      <c r="B782" t="s">
        <v>373</v>
      </c>
      <c r="C782">
        <v>23</v>
      </c>
      <c r="D782" t="s">
        <v>22</v>
      </c>
      <c r="E782">
        <v>71</v>
      </c>
      <c r="F782">
        <v>198</v>
      </c>
      <c r="G782" t="s">
        <v>41</v>
      </c>
      <c r="H782">
        <v>2020</v>
      </c>
      <c r="I782" t="s">
        <v>33</v>
      </c>
      <c r="J782">
        <v>2</v>
      </c>
      <c r="K782">
        <v>2</v>
      </c>
      <c r="L782">
        <v>2</v>
      </c>
      <c r="M782">
        <v>1</v>
      </c>
      <c r="N782">
        <v>3</v>
      </c>
      <c r="O782">
        <v>0</v>
      </c>
      <c r="P782">
        <v>0</v>
      </c>
      <c r="Q782">
        <v>0</v>
      </c>
      <c r="R782">
        <v>0</v>
      </c>
      <c r="S782">
        <v>9</v>
      </c>
      <c r="T782">
        <v>0</v>
      </c>
      <c r="U782" s="5">
        <f>IF(Merge1[[#This Row],[team_defense_snaps]]=0, "", Merge1[[#This Row],[defense_snaps]] / Merge1[[#This Row],[team_defense_snaps]])</f>
        <v>0</v>
      </c>
      <c r="V782">
        <v>62</v>
      </c>
      <c r="W782">
        <v>9</v>
      </c>
      <c r="X782" s="5" t="s">
        <v>138</v>
      </c>
      <c r="Y782">
        <v>1</v>
      </c>
      <c r="Z782">
        <v>0</v>
      </c>
      <c r="AA782" t="s">
        <v>25</v>
      </c>
      <c r="AB782" t="s">
        <v>26</v>
      </c>
      <c r="AC782" t="s">
        <v>27</v>
      </c>
      <c r="AD782" t="s">
        <v>42</v>
      </c>
      <c r="AE782" t="s">
        <v>25</v>
      </c>
      <c r="AF7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0.3888888888888889</v>
      </c>
      <c r="AG782" t="s">
        <v>943</v>
      </c>
      <c r="AH782">
        <v>65</v>
      </c>
      <c r="AI782" t="s">
        <v>939</v>
      </c>
      <c r="AJ782">
        <v>3</v>
      </c>
      <c r="AK7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MIN(AJ782/8, 1) +
  Merge1[[#This Row],[index_defensive_effort]],
  2
)</f>
        <v>1.26</v>
      </c>
    </row>
    <row r="783" spans="1:37" x14ac:dyDescent="0.25">
      <c r="A783" t="s">
        <v>372</v>
      </c>
      <c r="B783" t="s">
        <v>373</v>
      </c>
      <c r="C783">
        <v>23</v>
      </c>
      <c r="D783" t="s">
        <v>22</v>
      </c>
      <c r="E783">
        <v>71</v>
      </c>
      <c r="F783">
        <v>198</v>
      </c>
      <c r="G783" t="s">
        <v>41</v>
      </c>
      <c r="H783">
        <v>2020</v>
      </c>
      <c r="I783" t="s">
        <v>33</v>
      </c>
      <c r="J783">
        <v>3</v>
      </c>
      <c r="K783">
        <v>5</v>
      </c>
      <c r="L783">
        <v>2</v>
      </c>
      <c r="M783">
        <v>0</v>
      </c>
      <c r="N783">
        <v>2</v>
      </c>
      <c r="O783">
        <v>0</v>
      </c>
      <c r="P783">
        <v>0</v>
      </c>
      <c r="Q783">
        <v>0</v>
      </c>
      <c r="R783">
        <v>0</v>
      </c>
      <c r="S783">
        <v>10</v>
      </c>
      <c r="T783">
        <v>0</v>
      </c>
      <c r="U783" s="5">
        <f>IF(Merge1[[#This Row],[team_defense_snaps]]=0, "", Merge1[[#This Row],[defense_snaps]] / Merge1[[#This Row],[team_defense_snaps]])</f>
        <v>0</v>
      </c>
      <c r="V783">
        <v>62</v>
      </c>
      <c r="W783">
        <v>10</v>
      </c>
      <c r="X783" s="5" t="s">
        <v>314</v>
      </c>
      <c r="Y783">
        <v>1</v>
      </c>
      <c r="Z783">
        <v>0</v>
      </c>
      <c r="AA783" t="s">
        <v>25</v>
      </c>
      <c r="AB783" t="s">
        <v>26</v>
      </c>
      <c r="AC783" t="s">
        <v>27</v>
      </c>
      <c r="AD783" t="s">
        <v>42</v>
      </c>
      <c r="AE783" t="s">
        <v>25</v>
      </c>
      <c r="AF7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</v>
      </c>
      <c r="AG783" t="s">
        <v>943</v>
      </c>
      <c r="AH783">
        <v>51.5</v>
      </c>
      <c r="AI783" t="s">
        <v>939</v>
      </c>
      <c r="AJ783">
        <v>4</v>
      </c>
      <c r="AK7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MIN(AJ783/8, 1) +
  Merge1[[#This Row],[index_defensive_effort]],
  2
)</f>
        <v>1.6</v>
      </c>
    </row>
    <row r="784" spans="1:37" x14ac:dyDescent="0.25">
      <c r="A784" t="s">
        <v>372</v>
      </c>
      <c r="B784" t="s">
        <v>373</v>
      </c>
      <c r="C784">
        <v>23</v>
      </c>
      <c r="D784" t="s">
        <v>22</v>
      </c>
      <c r="E784">
        <v>71</v>
      </c>
      <c r="F784">
        <v>198</v>
      </c>
      <c r="G784" t="s">
        <v>41</v>
      </c>
      <c r="H784">
        <v>2020</v>
      </c>
      <c r="I784" t="s">
        <v>33</v>
      </c>
      <c r="J784">
        <v>4</v>
      </c>
      <c r="K784">
        <v>6</v>
      </c>
      <c r="L784">
        <v>1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6</v>
      </c>
      <c r="T784">
        <v>0</v>
      </c>
      <c r="U784" s="5">
        <f>IF(Merge1[[#This Row],[team_defense_snaps]]=0, "", Merge1[[#This Row],[defense_snaps]] / Merge1[[#This Row],[team_defense_snaps]])</f>
        <v>0</v>
      </c>
      <c r="V784">
        <v>75</v>
      </c>
      <c r="W784">
        <v>6</v>
      </c>
      <c r="X784" s="5" t="s">
        <v>137</v>
      </c>
      <c r="Y784">
        <v>1</v>
      </c>
      <c r="Z784">
        <v>0</v>
      </c>
      <c r="AA784" t="s">
        <v>25</v>
      </c>
      <c r="AB784" t="s">
        <v>26</v>
      </c>
      <c r="AC784" t="s">
        <v>27</v>
      </c>
      <c r="AD784" t="s">
        <v>42</v>
      </c>
      <c r="AE784" t="s">
        <v>25</v>
      </c>
      <c r="AF7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784" t="s">
        <v>943</v>
      </c>
      <c r="AH784">
        <v>62</v>
      </c>
      <c r="AI784" t="s">
        <v>939</v>
      </c>
      <c r="AJ784">
        <v>1</v>
      </c>
      <c r="AK7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MIN(AJ784/8, 1) +
  Merge1[[#This Row],[index_defensive_effort]],
  2
)</f>
        <v>1.63</v>
      </c>
    </row>
    <row r="785" spans="1:37" x14ac:dyDescent="0.25">
      <c r="A785" t="s">
        <v>372</v>
      </c>
      <c r="B785" t="s">
        <v>373</v>
      </c>
      <c r="C785">
        <v>23</v>
      </c>
      <c r="D785" t="s">
        <v>22</v>
      </c>
      <c r="E785">
        <v>71</v>
      </c>
      <c r="F785">
        <v>198</v>
      </c>
      <c r="G785" t="s">
        <v>41</v>
      </c>
      <c r="H785">
        <v>2020</v>
      </c>
      <c r="I785" t="s">
        <v>33</v>
      </c>
      <c r="J785">
        <v>6</v>
      </c>
      <c r="K785">
        <v>3</v>
      </c>
      <c r="L785">
        <v>2</v>
      </c>
      <c r="M785">
        <v>1</v>
      </c>
      <c r="N785">
        <v>3</v>
      </c>
      <c r="O785">
        <v>0</v>
      </c>
      <c r="P785">
        <v>0</v>
      </c>
      <c r="Q785">
        <v>0</v>
      </c>
      <c r="R785">
        <v>0</v>
      </c>
      <c r="S785">
        <v>6</v>
      </c>
      <c r="T785">
        <v>0</v>
      </c>
      <c r="U785" s="5">
        <f>IF(Merge1[[#This Row],[team_defense_snaps]]=0, "", Merge1[[#This Row],[defense_snaps]] / Merge1[[#This Row],[team_defense_snaps]])</f>
        <v>0</v>
      </c>
      <c r="V785">
        <v>64</v>
      </c>
      <c r="W785">
        <v>6</v>
      </c>
      <c r="X785" s="5" t="s">
        <v>58</v>
      </c>
      <c r="Y785">
        <v>1</v>
      </c>
      <c r="Z785">
        <v>0</v>
      </c>
      <c r="AA785" t="s">
        <v>25</v>
      </c>
      <c r="AB785" t="s">
        <v>26</v>
      </c>
      <c r="AC785" t="s">
        <v>27</v>
      </c>
      <c r="AD785" t="s">
        <v>42</v>
      </c>
      <c r="AE785" t="s">
        <v>25</v>
      </c>
      <c r="AF7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0.75</v>
      </c>
      <c r="AG785" t="s">
        <v>943</v>
      </c>
      <c r="AH785">
        <v>45</v>
      </c>
      <c r="AI785" t="s">
        <v>27</v>
      </c>
      <c r="AJ785">
        <v>1</v>
      </c>
      <c r="AK7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MIN(AJ785/8, 1) +
  Merge1[[#This Row],[index_defensive_effort]],
  2
)</f>
        <v>1.38</v>
      </c>
    </row>
    <row r="786" spans="1:37" x14ac:dyDescent="0.25">
      <c r="A786" t="s">
        <v>372</v>
      </c>
      <c r="B786" t="s">
        <v>373</v>
      </c>
      <c r="C786">
        <v>23</v>
      </c>
      <c r="D786" t="s">
        <v>22</v>
      </c>
      <c r="E786">
        <v>71</v>
      </c>
      <c r="F786">
        <v>198</v>
      </c>
      <c r="G786" t="s">
        <v>41</v>
      </c>
      <c r="H786">
        <v>2020</v>
      </c>
      <c r="I786" t="s">
        <v>33</v>
      </c>
      <c r="J786">
        <v>8</v>
      </c>
      <c r="K786">
        <v>3</v>
      </c>
      <c r="L786">
        <v>1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 s="5">
        <f>IF(Merge1[[#This Row],[team_defense_snaps]]=0, "", Merge1[[#This Row],[defense_snaps]] / Merge1[[#This Row],[team_defense_snaps]])</f>
        <v>0</v>
      </c>
      <c r="V786">
        <v>52</v>
      </c>
      <c r="W786">
        <v>0</v>
      </c>
      <c r="X786" s="5" t="s">
        <v>29</v>
      </c>
      <c r="Y786">
        <v>1</v>
      </c>
      <c r="Z786">
        <v>0</v>
      </c>
      <c r="AA786" t="s">
        <v>25</v>
      </c>
      <c r="AB786" t="s">
        <v>26</v>
      </c>
      <c r="AC786" t="s">
        <v>27</v>
      </c>
      <c r="AD786" t="s">
        <v>42</v>
      </c>
      <c r="AE786" t="s">
        <v>25</v>
      </c>
      <c r="AF7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786" t="s">
        <v>943</v>
      </c>
      <c r="AH786">
        <v>47</v>
      </c>
      <c r="AI786" t="s">
        <v>939</v>
      </c>
      <c r="AJ786">
        <v>2</v>
      </c>
      <c r="AK7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MIN(AJ786/8, 1) +
  Merge1[[#This Row],[index_defensive_effort]],
  2
)</f>
        <v>0.75</v>
      </c>
    </row>
    <row r="787" spans="1:37" x14ac:dyDescent="0.25">
      <c r="A787" t="s">
        <v>372</v>
      </c>
      <c r="B787" t="s">
        <v>373</v>
      </c>
      <c r="C787">
        <v>23</v>
      </c>
      <c r="D787" t="s">
        <v>22</v>
      </c>
      <c r="E787">
        <v>71</v>
      </c>
      <c r="F787">
        <v>198</v>
      </c>
      <c r="G787" t="s">
        <v>41</v>
      </c>
      <c r="H787">
        <v>2020</v>
      </c>
      <c r="I787" t="s">
        <v>33</v>
      </c>
      <c r="J787">
        <v>9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2</v>
      </c>
      <c r="T787">
        <v>0</v>
      </c>
      <c r="U787" s="5">
        <f>IF(Merge1[[#This Row],[team_defense_snaps]]=0, "", Merge1[[#This Row],[defense_snaps]] / Merge1[[#This Row],[team_defense_snaps]])</f>
        <v>0</v>
      </c>
      <c r="V787">
        <v>57</v>
      </c>
      <c r="W787">
        <v>2</v>
      </c>
      <c r="X787" s="5" t="s">
        <v>208</v>
      </c>
      <c r="Y787">
        <v>1</v>
      </c>
      <c r="Z787">
        <v>0</v>
      </c>
      <c r="AA787" t="s">
        <v>25</v>
      </c>
      <c r="AB787" t="s">
        <v>26</v>
      </c>
      <c r="AC787" t="s">
        <v>27</v>
      </c>
      <c r="AD787" t="s">
        <v>42</v>
      </c>
      <c r="AE787" t="s">
        <v>25</v>
      </c>
      <c r="AF7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</v>
      </c>
      <c r="AG787" t="s">
        <v>943</v>
      </c>
      <c r="AH787">
        <v>60.5</v>
      </c>
      <c r="AI787" t="s">
        <v>939</v>
      </c>
      <c r="AJ787">
        <v>3</v>
      </c>
      <c r="AK7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MIN(AJ787/8, 1) +
  Merge1[[#This Row],[index_defensive_effort]],
  2
)</f>
        <v>1.38</v>
      </c>
    </row>
    <row r="788" spans="1:37" x14ac:dyDescent="0.25">
      <c r="A788" t="s">
        <v>372</v>
      </c>
      <c r="B788" t="s">
        <v>373</v>
      </c>
      <c r="C788">
        <v>23</v>
      </c>
      <c r="D788" t="s">
        <v>22</v>
      </c>
      <c r="E788">
        <v>71</v>
      </c>
      <c r="F788">
        <v>198</v>
      </c>
      <c r="G788" t="s">
        <v>41</v>
      </c>
      <c r="H788">
        <v>2020</v>
      </c>
      <c r="I788" t="s">
        <v>33</v>
      </c>
      <c r="J788">
        <v>10</v>
      </c>
      <c r="K788">
        <v>4</v>
      </c>
      <c r="L788">
        <v>1</v>
      </c>
      <c r="M788">
        <v>1</v>
      </c>
      <c r="N788">
        <v>2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0</v>
      </c>
      <c r="U788" s="5">
        <f>IF(Merge1[[#This Row],[team_defense_snaps]]=0, "", Merge1[[#This Row],[defense_snaps]] / Merge1[[#This Row],[team_defense_snaps]])</f>
        <v>0</v>
      </c>
      <c r="V788">
        <v>64</v>
      </c>
      <c r="W788">
        <v>1</v>
      </c>
      <c r="X788" s="5" t="s">
        <v>303</v>
      </c>
      <c r="Y788">
        <v>1</v>
      </c>
      <c r="Z788">
        <v>0</v>
      </c>
      <c r="AA788" t="s">
        <v>25</v>
      </c>
      <c r="AB788" t="s">
        <v>26</v>
      </c>
      <c r="AC788" t="s">
        <v>27</v>
      </c>
      <c r="AD788" t="s">
        <v>42</v>
      </c>
      <c r="AE788" t="s">
        <v>25</v>
      </c>
      <c r="AF7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788" t="s">
        <v>943</v>
      </c>
      <c r="AH788">
        <v>57.5</v>
      </c>
      <c r="AI788" t="s">
        <v>939</v>
      </c>
      <c r="AJ788">
        <v>4</v>
      </c>
      <c r="AK7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MIN(AJ788/8, 1) +
  Merge1[[#This Row],[index_defensive_effort]],
  2
)</f>
        <v>2</v>
      </c>
    </row>
    <row r="789" spans="1:37" x14ac:dyDescent="0.25">
      <c r="A789" t="s">
        <v>372</v>
      </c>
      <c r="B789" t="s">
        <v>373</v>
      </c>
      <c r="C789">
        <v>23</v>
      </c>
      <c r="D789" t="s">
        <v>22</v>
      </c>
      <c r="E789">
        <v>71</v>
      </c>
      <c r="F789">
        <v>198</v>
      </c>
      <c r="G789" t="s">
        <v>41</v>
      </c>
      <c r="H789">
        <v>2020</v>
      </c>
      <c r="I789" t="s">
        <v>33</v>
      </c>
      <c r="J789">
        <v>11</v>
      </c>
      <c r="K789">
        <v>2</v>
      </c>
      <c r="L789">
        <v>4</v>
      </c>
      <c r="M789">
        <v>4</v>
      </c>
      <c r="N789">
        <v>8</v>
      </c>
      <c r="O789">
        <v>0</v>
      </c>
      <c r="P789">
        <v>0</v>
      </c>
      <c r="Q789">
        <v>0</v>
      </c>
      <c r="R789">
        <v>0</v>
      </c>
      <c r="S789">
        <v>2</v>
      </c>
      <c r="T789">
        <v>0</v>
      </c>
      <c r="U789" s="5">
        <f>IF(Merge1[[#This Row],[team_defense_snaps]]=0, "", Merge1[[#This Row],[defense_snaps]] / Merge1[[#This Row],[team_defense_snaps]])</f>
        <v>0</v>
      </c>
      <c r="V789">
        <v>84</v>
      </c>
      <c r="W789">
        <v>2</v>
      </c>
      <c r="X789" s="5" t="s">
        <v>114</v>
      </c>
      <c r="Y789">
        <v>1</v>
      </c>
      <c r="Z789">
        <v>0</v>
      </c>
      <c r="AA789" t="s">
        <v>25</v>
      </c>
      <c r="AB789" t="s">
        <v>26</v>
      </c>
      <c r="AC789" t="s">
        <v>27</v>
      </c>
      <c r="AD789" t="s">
        <v>42</v>
      </c>
      <c r="AE789" t="s">
        <v>25</v>
      </c>
      <c r="AF7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789" t="s">
        <v>943</v>
      </c>
      <c r="AH789">
        <v>50</v>
      </c>
      <c r="AI789" t="s">
        <v>939</v>
      </c>
      <c r="AJ789">
        <v>5</v>
      </c>
      <c r="AK7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MIN(AJ789/8, 1) +
  Merge1[[#This Row],[index_defensive_effort]],
  2
)</f>
        <v>2.13</v>
      </c>
    </row>
    <row r="790" spans="1:37" x14ac:dyDescent="0.25">
      <c r="A790" t="s">
        <v>372</v>
      </c>
      <c r="B790" t="s">
        <v>373</v>
      </c>
      <c r="C790">
        <v>23</v>
      </c>
      <c r="D790" t="s">
        <v>22</v>
      </c>
      <c r="E790">
        <v>71</v>
      </c>
      <c r="F790">
        <v>198</v>
      </c>
      <c r="G790" t="s">
        <v>41</v>
      </c>
      <c r="H790">
        <v>2020</v>
      </c>
      <c r="I790" t="s">
        <v>33</v>
      </c>
      <c r="J790">
        <v>12</v>
      </c>
      <c r="K790">
        <v>2</v>
      </c>
      <c r="L790">
        <v>1</v>
      </c>
      <c r="M790">
        <v>1</v>
      </c>
      <c r="N790">
        <v>2</v>
      </c>
      <c r="O790">
        <v>0</v>
      </c>
      <c r="P790">
        <v>0</v>
      </c>
      <c r="Q790">
        <v>4</v>
      </c>
      <c r="R790">
        <v>0</v>
      </c>
      <c r="S790">
        <v>1</v>
      </c>
      <c r="T790">
        <v>0</v>
      </c>
      <c r="U790" s="5">
        <f>IF(Merge1[[#This Row],[team_defense_snaps]]=0, "", Merge1[[#This Row],[defense_snaps]] / Merge1[[#This Row],[team_defense_snaps]])</f>
        <v>0</v>
      </c>
      <c r="V790">
        <v>68</v>
      </c>
      <c r="W790">
        <v>1</v>
      </c>
      <c r="X790" s="5" t="s">
        <v>193</v>
      </c>
      <c r="Y790">
        <v>1</v>
      </c>
      <c r="Z790">
        <v>0</v>
      </c>
      <c r="AA790" t="s">
        <v>25</v>
      </c>
      <c r="AB790" t="s">
        <v>26</v>
      </c>
      <c r="AC790" t="s">
        <v>27</v>
      </c>
      <c r="AD790" t="s">
        <v>42</v>
      </c>
      <c r="AE790" t="s">
        <v>25</v>
      </c>
      <c r="AF7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790" t="s">
        <v>943</v>
      </c>
      <c r="AH790">
        <v>41</v>
      </c>
      <c r="AI790" t="s">
        <v>939</v>
      </c>
      <c r="AJ790">
        <v>6</v>
      </c>
      <c r="AK7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MIN(AJ790/8, 1) +
  Merge1[[#This Row],[index_defensive_effort]],
  2
)</f>
        <v>2.25</v>
      </c>
    </row>
    <row r="791" spans="1:37" x14ac:dyDescent="0.25">
      <c r="A791" t="s">
        <v>372</v>
      </c>
      <c r="B791" t="s">
        <v>373</v>
      </c>
      <c r="C791">
        <v>23</v>
      </c>
      <c r="D791" t="s">
        <v>22</v>
      </c>
      <c r="E791">
        <v>71</v>
      </c>
      <c r="F791">
        <v>198</v>
      </c>
      <c r="G791" t="s">
        <v>41</v>
      </c>
      <c r="H791">
        <v>2020</v>
      </c>
      <c r="I791" t="s">
        <v>33</v>
      </c>
      <c r="J791">
        <v>13</v>
      </c>
      <c r="K791">
        <v>5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2</v>
      </c>
      <c r="R791">
        <v>0</v>
      </c>
      <c r="S791">
        <v>5</v>
      </c>
      <c r="T791">
        <v>0</v>
      </c>
      <c r="U791" s="5">
        <f>IF(Merge1[[#This Row],[team_defense_snaps]]=0, "", Merge1[[#This Row],[defense_snaps]] / Merge1[[#This Row],[team_defense_snaps]])</f>
        <v>0</v>
      </c>
      <c r="V791">
        <v>62</v>
      </c>
      <c r="W791">
        <v>5</v>
      </c>
      <c r="X791" s="5" t="s">
        <v>59</v>
      </c>
      <c r="Y791">
        <v>1</v>
      </c>
      <c r="Z791">
        <v>0</v>
      </c>
      <c r="AA791" t="s">
        <v>25</v>
      </c>
      <c r="AB791" t="s">
        <v>26</v>
      </c>
      <c r="AC791" t="s">
        <v>27</v>
      </c>
      <c r="AD791" t="s">
        <v>42</v>
      </c>
      <c r="AE791" t="s">
        <v>25</v>
      </c>
      <c r="AF7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791" t="s">
        <v>943</v>
      </c>
      <c r="AH791">
        <v>45</v>
      </c>
      <c r="AI791" t="s">
        <v>939</v>
      </c>
      <c r="AJ791">
        <v>7</v>
      </c>
      <c r="AK7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MIN(AJ791/8, 1) +
  Merge1[[#This Row],[index_defensive_effort]],
  2
)</f>
        <v>2.38</v>
      </c>
    </row>
    <row r="792" spans="1:37" x14ac:dyDescent="0.25">
      <c r="A792" t="s">
        <v>372</v>
      </c>
      <c r="B792" t="s">
        <v>373</v>
      </c>
      <c r="C792">
        <v>23</v>
      </c>
      <c r="D792" t="s">
        <v>22</v>
      </c>
      <c r="E792">
        <v>71</v>
      </c>
      <c r="F792">
        <v>198</v>
      </c>
      <c r="G792" t="s">
        <v>41</v>
      </c>
      <c r="H792">
        <v>2020</v>
      </c>
      <c r="I792" t="s">
        <v>33</v>
      </c>
      <c r="J792">
        <v>14</v>
      </c>
      <c r="K792">
        <v>11</v>
      </c>
      <c r="L792">
        <v>0</v>
      </c>
      <c r="M792">
        <v>0</v>
      </c>
      <c r="N792">
        <v>0</v>
      </c>
      <c r="O792">
        <v>4</v>
      </c>
      <c r="P792">
        <v>4</v>
      </c>
      <c r="Q792">
        <v>0</v>
      </c>
      <c r="R792">
        <v>0</v>
      </c>
      <c r="S792">
        <v>2</v>
      </c>
      <c r="T792">
        <v>0</v>
      </c>
      <c r="U792" s="5">
        <f>IF(Merge1[[#This Row],[team_defense_snaps]]=0, "", Merge1[[#This Row],[defense_snaps]] / Merge1[[#This Row],[team_defense_snaps]])</f>
        <v>0</v>
      </c>
      <c r="V792">
        <v>68</v>
      </c>
      <c r="W792">
        <v>2</v>
      </c>
      <c r="X792" s="5" t="s">
        <v>167</v>
      </c>
      <c r="Y792">
        <v>1</v>
      </c>
      <c r="Z792">
        <v>0</v>
      </c>
      <c r="AA792" t="s">
        <v>25</v>
      </c>
      <c r="AB792" t="s">
        <v>26</v>
      </c>
      <c r="AC792" t="s">
        <v>27</v>
      </c>
      <c r="AD792" t="s">
        <v>42</v>
      </c>
      <c r="AE792" t="s">
        <v>25</v>
      </c>
      <c r="AF7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792" t="s">
        <v>943</v>
      </c>
      <c r="AH792">
        <v>63.5</v>
      </c>
      <c r="AI792" t="s">
        <v>939</v>
      </c>
      <c r="AJ792">
        <v>8</v>
      </c>
      <c r="AK7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MIN(AJ792/8, 1) +
  Merge1[[#This Row],[index_defensive_effort]],
  2
)</f>
        <v>2.5</v>
      </c>
    </row>
    <row r="793" spans="1:37" x14ac:dyDescent="0.25">
      <c r="A793" t="s">
        <v>372</v>
      </c>
      <c r="B793" t="s">
        <v>373</v>
      </c>
      <c r="C793">
        <v>23</v>
      </c>
      <c r="D793" t="s">
        <v>22</v>
      </c>
      <c r="E793">
        <v>71</v>
      </c>
      <c r="F793">
        <v>198</v>
      </c>
      <c r="G793" t="s">
        <v>41</v>
      </c>
      <c r="H793">
        <v>2020</v>
      </c>
      <c r="I793" t="s">
        <v>33</v>
      </c>
      <c r="J793">
        <v>15</v>
      </c>
      <c r="K793">
        <v>6</v>
      </c>
      <c r="L793">
        <v>1</v>
      </c>
      <c r="M793">
        <v>1</v>
      </c>
      <c r="N793">
        <v>2</v>
      </c>
      <c r="O793">
        <v>0</v>
      </c>
      <c r="P793">
        <v>0</v>
      </c>
      <c r="Q793">
        <v>0</v>
      </c>
      <c r="R793">
        <v>0</v>
      </c>
      <c r="S793">
        <v>3</v>
      </c>
      <c r="T793">
        <v>0</v>
      </c>
      <c r="U793" s="5">
        <f>IF(Merge1[[#This Row],[team_defense_snaps]]=0, "", Merge1[[#This Row],[defense_snaps]] / Merge1[[#This Row],[team_defense_snaps]])</f>
        <v>0</v>
      </c>
      <c r="V793">
        <v>71</v>
      </c>
      <c r="W793">
        <v>3</v>
      </c>
      <c r="X793" s="5" t="s">
        <v>35</v>
      </c>
      <c r="Y793">
        <v>1</v>
      </c>
      <c r="Z793">
        <v>0</v>
      </c>
      <c r="AA793" t="s">
        <v>25</v>
      </c>
      <c r="AB793" t="s">
        <v>26</v>
      </c>
      <c r="AC793" t="s">
        <v>27</v>
      </c>
      <c r="AD793" t="s">
        <v>42</v>
      </c>
      <c r="AE793" t="s">
        <v>25</v>
      </c>
      <c r="AF7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793" t="s">
        <v>943</v>
      </c>
      <c r="AH793">
        <v>45.5</v>
      </c>
      <c r="AI793" t="s">
        <v>939</v>
      </c>
      <c r="AJ793">
        <v>9</v>
      </c>
      <c r="AK7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MIN(AJ793/8, 1) +
  Merge1[[#This Row],[index_defensive_effort]],
  2
)</f>
        <v>2.5</v>
      </c>
    </row>
    <row r="794" spans="1:37" x14ac:dyDescent="0.25">
      <c r="A794" t="s">
        <v>372</v>
      </c>
      <c r="B794" t="s">
        <v>373</v>
      </c>
      <c r="C794">
        <v>23</v>
      </c>
      <c r="D794" t="s">
        <v>22</v>
      </c>
      <c r="E794">
        <v>71</v>
      </c>
      <c r="F794">
        <v>198</v>
      </c>
      <c r="G794" t="s">
        <v>41</v>
      </c>
      <c r="H794">
        <v>2020</v>
      </c>
      <c r="I794" t="s">
        <v>33</v>
      </c>
      <c r="J794">
        <v>16</v>
      </c>
      <c r="K794">
        <v>3</v>
      </c>
      <c r="L794">
        <v>4</v>
      </c>
      <c r="M794">
        <v>2</v>
      </c>
      <c r="N794">
        <v>6</v>
      </c>
      <c r="O794">
        <v>0</v>
      </c>
      <c r="P794">
        <v>0</v>
      </c>
      <c r="Q794">
        <v>2</v>
      </c>
      <c r="R794">
        <v>0</v>
      </c>
      <c r="S794">
        <v>1</v>
      </c>
      <c r="T794">
        <v>0</v>
      </c>
      <c r="U794" s="5">
        <f>IF(Merge1[[#This Row],[team_defense_snaps]]=0, "", Merge1[[#This Row],[defense_snaps]] / Merge1[[#This Row],[team_defense_snaps]])</f>
        <v>0</v>
      </c>
      <c r="V794">
        <v>55</v>
      </c>
      <c r="W794">
        <v>1</v>
      </c>
      <c r="X794" s="5" t="s">
        <v>34</v>
      </c>
      <c r="Y794">
        <v>1</v>
      </c>
      <c r="Z794">
        <v>0</v>
      </c>
      <c r="AA794" t="s">
        <v>25</v>
      </c>
      <c r="AB794" t="s">
        <v>26</v>
      </c>
      <c r="AC794" t="s">
        <v>27</v>
      </c>
      <c r="AD794" t="s">
        <v>42</v>
      </c>
      <c r="AE794" t="s">
        <v>25</v>
      </c>
      <c r="AF7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794" t="s">
        <v>943</v>
      </c>
      <c r="AH794">
        <v>48.5</v>
      </c>
      <c r="AI794" t="s">
        <v>27</v>
      </c>
      <c r="AJ794">
        <v>10</v>
      </c>
      <c r="AK7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MIN(AJ794/8, 1) +
  Merge1[[#This Row],[index_defensive_effort]],
  2
)</f>
        <v>2.5</v>
      </c>
    </row>
    <row r="795" spans="1:37" x14ac:dyDescent="0.25">
      <c r="A795" t="s">
        <v>372</v>
      </c>
      <c r="B795" t="s">
        <v>373</v>
      </c>
      <c r="C795">
        <v>23</v>
      </c>
      <c r="D795" t="s">
        <v>22</v>
      </c>
      <c r="E795">
        <v>71</v>
      </c>
      <c r="F795">
        <v>198</v>
      </c>
      <c r="G795" t="s">
        <v>41</v>
      </c>
      <c r="H795">
        <v>2020</v>
      </c>
      <c r="I795" t="s">
        <v>33</v>
      </c>
      <c r="J795">
        <v>17</v>
      </c>
      <c r="K795">
        <v>8</v>
      </c>
      <c r="L795">
        <v>2</v>
      </c>
      <c r="M795">
        <v>0</v>
      </c>
      <c r="N795">
        <v>2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 s="5">
        <f>IF(Merge1[[#This Row],[team_defense_snaps]]=0, "", Merge1[[#This Row],[defense_snaps]] / Merge1[[#This Row],[team_defense_snaps]])</f>
        <v>0</v>
      </c>
      <c r="V795">
        <v>75</v>
      </c>
      <c r="W795">
        <v>0</v>
      </c>
      <c r="X795" s="5" t="s">
        <v>29</v>
      </c>
      <c r="Y795">
        <v>1</v>
      </c>
      <c r="Z795">
        <v>0</v>
      </c>
      <c r="AA795" t="s">
        <v>25</v>
      </c>
      <c r="AB795" t="s">
        <v>26</v>
      </c>
      <c r="AC795" t="s">
        <v>27</v>
      </c>
      <c r="AD795" t="s">
        <v>42</v>
      </c>
      <c r="AE795" t="s">
        <v>25</v>
      </c>
      <c r="AF7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795" t="s">
        <v>943</v>
      </c>
      <c r="AH795">
        <v>42.5</v>
      </c>
      <c r="AI795" t="s">
        <v>27</v>
      </c>
      <c r="AJ795">
        <v>1</v>
      </c>
      <c r="AK7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MIN(AJ795/8, 1) +
  Merge1[[#This Row],[index_defensive_effort]],
  2
)</f>
        <v>0.63</v>
      </c>
    </row>
    <row r="796" spans="1:37" x14ac:dyDescent="0.25">
      <c r="A796" t="s">
        <v>372</v>
      </c>
      <c r="B796" t="s">
        <v>373</v>
      </c>
      <c r="C796">
        <v>23</v>
      </c>
      <c r="D796" t="s">
        <v>22</v>
      </c>
      <c r="E796">
        <v>71</v>
      </c>
      <c r="F796">
        <v>198</v>
      </c>
      <c r="G796" t="s">
        <v>41</v>
      </c>
      <c r="H796">
        <v>2020</v>
      </c>
      <c r="I796" t="s">
        <v>24</v>
      </c>
      <c r="J796">
        <v>19</v>
      </c>
      <c r="K796">
        <v>1</v>
      </c>
      <c r="L796">
        <v>1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 s="5">
        <f>IF(Merge1[[#This Row],[team_defense_snaps]]=0, "", Merge1[[#This Row],[defense_snaps]] / Merge1[[#This Row],[team_defense_snaps]])</f>
        <v>0</v>
      </c>
      <c r="V796">
        <v>51</v>
      </c>
      <c r="W796">
        <v>0</v>
      </c>
      <c r="X796" s="5" t="s">
        <v>29</v>
      </c>
      <c r="Y796">
        <v>1</v>
      </c>
      <c r="Z796">
        <v>0</v>
      </c>
      <c r="AA796" t="s">
        <v>25</v>
      </c>
      <c r="AB796" t="s">
        <v>26</v>
      </c>
      <c r="AC796" t="s">
        <v>27</v>
      </c>
      <c r="AD796" t="s">
        <v>42</v>
      </c>
      <c r="AE796" t="s">
        <v>25</v>
      </c>
      <c r="AF7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796" t="s">
        <v>943</v>
      </c>
      <c r="AH796">
        <v>53</v>
      </c>
      <c r="AI796" t="s">
        <v>939</v>
      </c>
      <c r="AJ796">
        <v>2</v>
      </c>
      <c r="AK7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MIN(AJ796/8, 1) +
  Merge1[[#This Row],[index_defensive_effort]],
  2
)</f>
        <v>0.95</v>
      </c>
    </row>
    <row r="797" spans="1:37" x14ac:dyDescent="0.25">
      <c r="A797" t="s">
        <v>372</v>
      </c>
      <c r="B797" t="s">
        <v>373</v>
      </c>
      <c r="C797">
        <v>23</v>
      </c>
      <c r="D797" t="s">
        <v>22</v>
      </c>
      <c r="E797">
        <v>71</v>
      </c>
      <c r="F797">
        <v>198</v>
      </c>
      <c r="G797" t="s">
        <v>41</v>
      </c>
      <c r="H797">
        <v>2020</v>
      </c>
      <c r="I797" t="s">
        <v>24</v>
      </c>
      <c r="J797">
        <v>20</v>
      </c>
      <c r="K797">
        <v>2</v>
      </c>
      <c r="L797">
        <v>0</v>
      </c>
      <c r="M797">
        <v>0</v>
      </c>
      <c r="N797">
        <v>0</v>
      </c>
      <c r="O797">
        <v>0</v>
      </c>
      <c r="P797">
        <v>1</v>
      </c>
      <c r="Q797">
        <v>1</v>
      </c>
      <c r="R797">
        <v>0</v>
      </c>
      <c r="S797">
        <v>2</v>
      </c>
      <c r="T797">
        <v>0</v>
      </c>
      <c r="U797" s="5">
        <f>IF(Merge1[[#This Row],[team_defense_snaps]]=0, "", Merge1[[#This Row],[defense_snaps]] / Merge1[[#This Row],[team_defense_snaps]])</f>
        <v>0</v>
      </c>
      <c r="V797">
        <v>65</v>
      </c>
      <c r="W797">
        <v>2</v>
      </c>
      <c r="X797" s="5" t="s">
        <v>167</v>
      </c>
      <c r="Y797">
        <v>1</v>
      </c>
      <c r="Z797">
        <v>0</v>
      </c>
      <c r="AA797" t="s">
        <v>25</v>
      </c>
      <c r="AB797" t="s">
        <v>26</v>
      </c>
      <c r="AC797" t="s">
        <v>27</v>
      </c>
      <c r="AD797" t="s">
        <v>42</v>
      </c>
      <c r="AE797" t="s">
        <v>25</v>
      </c>
      <c r="AF7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797" t="s">
        <v>943</v>
      </c>
      <c r="AH797">
        <v>44</v>
      </c>
      <c r="AI797" t="s">
        <v>939</v>
      </c>
      <c r="AJ797">
        <v>1</v>
      </c>
      <c r="AK7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MIN(AJ797/8, 1) +
  Merge1[[#This Row],[index_defensive_effort]],
  2
)</f>
        <v>1.83</v>
      </c>
    </row>
    <row r="798" spans="1:37" x14ac:dyDescent="0.25">
      <c r="A798" t="s">
        <v>315</v>
      </c>
      <c r="B798" t="s">
        <v>316</v>
      </c>
      <c r="C798">
        <v>29</v>
      </c>
      <c r="D798" t="s">
        <v>56</v>
      </c>
      <c r="E798">
        <v>71</v>
      </c>
      <c r="F798">
        <v>205</v>
      </c>
      <c r="G798" t="s">
        <v>173</v>
      </c>
      <c r="H798">
        <v>2020</v>
      </c>
      <c r="I798" t="s">
        <v>33</v>
      </c>
      <c r="J798">
        <v>1</v>
      </c>
      <c r="K798">
        <v>2</v>
      </c>
      <c r="L798">
        <v>1</v>
      </c>
      <c r="M798">
        <v>0</v>
      </c>
      <c r="N798">
        <v>1</v>
      </c>
      <c r="O798">
        <v>0</v>
      </c>
      <c r="P798">
        <v>1</v>
      </c>
      <c r="Q798">
        <v>0</v>
      </c>
      <c r="R798">
        <v>0</v>
      </c>
      <c r="S798">
        <v>43</v>
      </c>
      <c r="T798">
        <v>39</v>
      </c>
      <c r="U798" s="5">
        <f>IF(Merge1[[#This Row],[team_defense_snaps]]=0, "", Merge1[[#This Row],[defense_snaps]] / Merge1[[#This Row],[team_defense_snaps]])</f>
        <v>0.62903225806451613</v>
      </c>
      <c r="V798">
        <v>62</v>
      </c>
      <c r="W798">
        <v>4</v>
      </c>
      <c r="X798" s="5" t="s">
        <v>212</v>
      </c>
      <c r="Y798">
        <v>6</v>
      </c>
      <c r="Z798">
        <v>0</v>
      </c>
      <c r="AA798" t="s">
        <v>25</v>
      </c>
      <c r="AB798" t="s">
        <v>26</v>
      </c>
      <c r="AC798" t="s">
        <v>27</v>
      </c>
      <c r="AD798" t="s">
        <v>28</v>
      </c>
      <c r="AE798" t="s">
        <v>25</v>
      </c>
      <c r="AF7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0.10465116279069768</v>
      </c>
      <c r="AG798" t="s">
        <v>942</v>
      </c>
      <c r="AH798">
        <v>60</v>
      </c>
      <c r="AI798" t="s">
        <v>939</v>
      </c>
      <c r="AJ798">
        <v>2</v>
      </c>
      <c r="AK7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MIN(AJ798/8, 1) +
  Merge1[[#This Row],[index_defensive_effort]],
  2
)</f>
        <v>0.95</v>
      </c>
    </row>
    <row r="799" spans="1:37" x14ac:dyDescent="0.25">
      <c r="A799" t="s">
        <v>315</v>
      </c>
      <c r="B799" t="s">
        <v>316</v>
      </c>
      <c r="C799">
        <v>29</v>
      </c>
      <c r="D799" t="s">
        <v>56</v>
      </c>
      <c r="E799">
        <v>71</v>
      </c>
      <c r="F799">
        <v>205</v>
      </c>
      <c r="G799" t="s">
        <v>173</v>
      </c>
      <c r="H799">
        <v>2020</v>
      </c>
      <c r="I799" t="s">
        <v>33</v>
      </c>
      <c r="J799">
        <v>2</v>
      </c>
      <c r="K799">
        <v>6</v>
      </c>
      <c r="L799">
        <v>2</v>
      </c>
      <c r="M799">
        <v>0</v>
      </c>
      <c r="N799">
        <v>2</v>
      </c>
      <c r="O799">
        <v>0</v>
      </c>
      <c r="P799">
        <v>0</v>
      </c>
      <c r="Q799">
        <v>0</v>
      </c>
      <c r="R799">
        <v>0</v>
      </c>
      <c r="S799">
        <v>82</v>
      </c>
      <c r="T799">
        <v>79</v>
      </c>
      <c r="U799" s="5">
        <f>IF(Merge1[[#This Row],[team_defense_snaps]]=0, "", Merge1[[#This Row],[defense_snaps]] / Merge1[[#This Row],[team_defense_snaps]])</f>
        <v>0.95180722891566261</v>
      </c>
      <c r="V799">
        <v>83</v>
      </c>
      <c r="W799">
        <v>3</v>
      </c>
      <c r="X799" s="5" t="s">
        <v>167</v>
      </c>
      <c r="Y799">
        <v>6</v>
      </c>
      <c r="Z799">
        <v>0</v>
      </c>
      <c r="AA799" t="s">
        <v>25</v>
      </c>
      <c r="AB799" t="s">
        <v>26</v>
      </c>
      <c r="AC799" t="s">
        <v>27</v>
      </c>
      <c r="AD799" t="s">
        <v>42</v>
      </c>
      <c r="AE799" t="s">
        <v>25</v>
      </c>
      <c r="AF7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8.5365853658536592E-2</v>
      </c>
      <c r="AG799" t="s">
        <v>942</v>
      </c>
      <c r="AH799">
        <v>75</v>
      </c>
      <c r="AI799" t="s">
        <v>939</v>
      </c>
      <c r="AJ799">
        <v>3</v>
      </c>
      <c r="AK7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MIN(AJ799/8, 1) +
  Merge1[[#This Row],[index_defensive_effort]],
  2
)</f>
        <v>1.06</v>
      </c>
    </row>
    <row r="800" spans="1:37" x14ac:dyDescent="0.25">
      <c r="A800" t="s">
        <v>315</v>
      </c>
      <c r="B800" t="s">
        <v>316</v>
      </c>
      <c r="C800">
        <v>29</v>
      </c>
      <c r="D800" t="s">
        <v>56</v>
      </c>
      <c r="E800">
        <v>71</v>
      </c>
      <c r="F800">
        <v>205</v>
      </c>
      <c r="G800" t="s">
        <v>173</v>
      </c>
      <c r="H800">
        <v>2020</v>
      </c>
      <c r="I800" t="s">
        <v>33</v>
      </c>
      <c r="J800">
        <v>3</v>
      </c>
      <c r="K800">
        <v>3</v>
      </c>
      <c r="L800">
        <v>3</v>
      </c>
      <c r="M800">
        <v>0</v>
      </c>
      <c r="N800">
        <v>3</v>
      </c>
      <c r="O800">
        <v>0</v>
      </c>
      <c r="P800">
        <v>1</v>
      </c>
      <c r="Q800">
        <v>2</v>
      </c>
      <c r="R800">
        <v>0</v>
      </c>
      <c r="S800">
        <v>82</v>
      </c>
      <c r="T800">
        <v>77</v>
      </c>
      <c r="U800" s="5">
        <f>IF(Merge1[[#This Row],[team_defense_snaps]]=0, "", Merge1[[#This Row],[defense_snaps]] / Merge1[[#This Row],[team_defense_snaps]])</f>
        <v>0.92771084337349397</v>
      </c>
      <c r="V800">
        <v>83</v>
      </c>
      <c r="W800">
        <v>5</v>
      </c>
      <c r="X800" s="5" t="s">
        <v>168</v>
      </c>
      <c r="Y800">
        <v>6</v>
      </c>
      <c r="Z800">
        <v>0</v>
      </c>
      <c r="AA800" t="s">
        <v>25</v>
      </c>
      <c r="AB800" t="s">
        <v>26</v>
      </c>
      <c r="AC800" t="s">
        <v>27</v>
      </c>
      <c r="AD800" t="s">
        <v>42</v>
      </c>
      <c r="AE800" t="s">
        <v>25</v>
      </c>
      <c r="AF8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0.17682926829268292</v>
      </c>
      <c r="AG800" t="s">
        <v>942</v>
      </c>
      <c r="AH800">
        <v>66</v>
      </c>
      <c r="AI800" t="s">
        <v>938</v>
      </c>
      <c r="AJ800">
        <v>1</v>
      </c>
      <c r="AK8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MIN(AJ800/8, 1) +
  Merge1[[#This Row],[index_defensive_effort]],
  2
)</f>
        <v>0.9</v>
      </c>
    </row>
    <row r="801" spans="1:37" x14ac:dyDescent="0.25">
      <c r="A801" t="s">
        <v>315</v>
      </c>
      <c r="B801" t="s">
        <v>316</v>
      </c>
      <c r="C801">
        <v>29</v>
      </c>
      <c r="D801" t="s">
        <v>56</v>
      </c>
      <c r="E801">
        <v>71</v>
      </c>
      <c r="F801">
        <v>205</v>
      </c>
      <c r="G801" t="s">
        <v>173</v>
      </c>
      <c r="H801">
        <v>2020</v>
      </c>
      <c r="I801" t="s">
        <v>33</v>
      </c>
      <c r="J801">
        <v>9</v>
      </c>
      <c r="K801">
        <v>2</v>
      </c>
      <c r="L801">
        <v>1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45</v>
      </c>
      <c r="T801">
        <v>43</v>
      </c>
      <c r="U801" s="5">
        <f>IF(Merge1[[#This Row],[team_defense_snaps]]=0, "", Merge1[[#This Row],[defense_snaps]] / Merge1[[#This Row],[team_defense_snaps]])</f>
        <v>0.43</v>
      </c>
      <c r="V801">
        <v>100</v>
      </c>
      <c r="W801">
        <v>2</v>
      </c>
      <c r="X801" s="5" t="s">
        <v>114</v>
      </c>
      <c r="Y801">
        <v>6</v>
      </c>
      <c r="Z801">
        <v>0</v>
      </c>
      <c r="AA801" t="s">
        <v>25</v>
      </c>
      <c r="AB801" t="s">
        <v>62</v>
      </c>
      <c r="AC801" t="s">
        <v>27</v>
      </c>
      <c r="AD801" t="s">
        <v>28</v>
      </c>
      <c r="AE801" t="s">
        <v>25</v>
      </c>
      <c r="AF8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801" t="s">
        <v>942</v>
      </c>
      <c r="AH801">
        <v>61.5</v>
      </c>
      <c r="AI801" t="s">
        <v>939</v>
      </c>
      <c r="AJ801">
        <v>1</v>
      </c>
      <c r="AK8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MIN(AJ801/8, 1) +
  Merge1[[#This Row],[index_defensive_effort]],
  2
)</f>
        <v>0.78</v>
      </c>
    </row>
    <row r="802" spans="1:37" x14ac:dyDescent="0.25">
      <c r="A802" t="s">
        <v>315</v>
      </c>
      <c r="B802" t="s">
        <v>316</v>
      </c>
      <c r="C802">
        <v>29</v>
      </c>
      <c r="D802" t="s">
        <v>56</v>
      </c>
      <c r="E802">
        <v>71</v>
      </c>
      <c r="F802">
        <v>205</v>
      </c>
      <c r="G802" t="s">
        <v>173</v>
      </c>
      <c r="H802">
        <v>2020</v>
      </c>
      <c r="I802" t="s">
        <v>33</v>
      </c>
      <c r="J802">
        <v>11</v>
      </c>
      <c r="K802">
        <v>6</v>
      </c>
      <c r="L802">
        <v>1</v>
      </c>
      <c r="M802">
        <v>0</v>
      </c>
      <c r="N802">
        <v>1</v>
      </c>
      <c r="O802">
        <v>0</v>
      </c>
      <c r="P802">
        <v>1</v>
      </c>
      <c r="Q802">
        <v>0</v>
      </c>
      <c r="R802">
        <v>0</v>
      </c>
      <c r="S802">
        <v>43</v>
      </c>
      <c r="T802">
        <v>43</v>
      </c>
      <c r="U802" s="5">
        <f>IF(Merge1[[#This Row],[team_defense_snaps]]=0, "", Merge1[[#This Row],[defense_snaps]] / Merge1[[#This Row],[team_defense_snaps]])</f>
        <v>0.63235294117647056</v>
      </c>
      <c r="V802">
        <v>68</v>
      </c>
      <c r="W802">
        <v>0</v>
      </c>
      <c r="X802" s="5" t="s">
        <v>29</v>
      </c>
      <c r="Y802">
        <v>6</v>
      </c>
      <c r="Z802">
        <v>0</v>
      </c>
      <c r="AA802" t="s">
        <v>25</v>
      </c>
      <c r="AB802" t="s">
        <v>26</v>
      </c>
      <c r="AC802" t="s">
        <v>27</v>
      </c>
      <c r="AD802" t="s">
        <v>42</v>
      </c>
      <c r="AE802" t="s">
        <v>25</v>
      </c>
      <c r="AF8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0.19767441860465115</v>
      </c>
      <c r="AG802" t="s">
        <v>942</v>
      </c>
      <c r="AH802">
        <v>78</v>
      </c>
      <c r="AI802" t="s">
        <v>939</v>
      </c>
      <c r="AJ802">
        <v>2</v>
      </c>
      <c r="AK8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MIN(AJ802/8, 1) +
  Merge1[[#This Row],[index_defensive_effort]],
  2
)</f>
        <v>1.05</v>
      </c>
    </row>
    <row r="803" spans="1:37" x14ac:dyDescent="0.25">
      <c r="A803" t="s">
        <v>315</v>
      </c>
      <c r="B803" t="s">
        <v>316</v>
      </c>
      <c r="C803">
        <v>29</v>
      </c>
      <c r="D803" t="s">
        <v>56</v>
      </c>
      <c r="E803">
        <v>71</v>
      </c>
      <c r="F803">
        <v>205</v>
      </c>
      <c r="G803" t="s">
        <v>173</v>
      </c>
      <c r="H803">
        <v>2020</v>
      </c>
      <c r="I803" t="s">
        <v>33</v>
      </c>
      <c r="J803">
        <v>12</v>
      </c>
      <c r="K803">
        <v>4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34</v>
      </c>
      <c r="T803">
        <v>34</v>
      </c>
      <c r="U803" s="5">
        <f>IF(Merge1[[#This Row],[team_defense_snaps]]=0, "", Merge1[[#This Row],[defense_snaps]] / Merge1[[#This Row],[team_defense_snaps]])</f>
        <v>0.53968253968253965</v>
      </c>
      <c r="V803">
        <v>63</v>
      </c>
      <c r="W803">
        <v>0</v>
      </c>
      <c r="X803" s="5" t="s">
        <v>29</v>
      </c>
      <c r="Y803">
        <v>6</v>
      </c>
      <c r="Z803">
        <v>0</v>
      </c>
      <c r="AA803" t="s">
        <v>25</v>
      </c>
      <c r="AB803" t="s">
        <v>26</v>
      </c>
      <c r="AC803" t="s">
        <v>27</v>
      </c>
      <c r="AD803" t="s">
        <v>42</v>
      </c>
      <c r="AE803" t="s">
        <v>25</v>
      </c>
      <c r="AF8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0.11764705882352941</v>
      </c>
      <c r="AG803" t="s">
        <v>942</v>
      </c>
      <c r="AH803">
        <v>63</v>
      </c>
      <c r="AI803" t="s">
        <v>939</v>
      </c>
      <c r="AJ803">
        <v>3</v>
      </c>
      <c r="AK8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MIN(AJ803/8, 1) +
  Merge1[[#This Row],[index_defensive_effort]],
  2
)</f>
        <v>1.0900000000000001</v>
      </c>
    </row>
    <row r="804" spans="1:37" x14ac:dyDescent="0.25">
      <c r="A804" t="s">
        <v>315</v>
      </c>
      <c r="B804" t="s">
        <v>316</v>
      </c>
      <c r="C804">
        <v>29</v>
      </c>
      <c r="D804" t="s">
        <v>56</v>
      </c>
      <c r="E804">
        <v>71</v>
      </c>
      <c r="F804">
        <v>205</v>
      </c>
      <c r="G804" t="s">
        <v>173</v>
      </c>
      <c r="H804">
        <v>2020</v>
      </c>
      <c r="I804" t="s">
        <v>33</v>
      </c>
      <c r="J804">
        <v>13</v>
      </c>
      <c r="K804">
        <v>2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63</v>
      </c>
      <c r="T804">
        <v>62</v>
      </c>
      <c r="U804" s="5">
        <f>IF(Merge1[[#This Row],[team_defense_snaps]]=0, "", Merge1[[#This Row],[defense_snaps]] / Merge1[[#This Row],[team_defense_snaps]])</f>
        <v>0.79487179487179482</v>
      </c>
      <c r="V804">
        <v>78</v>
      </c>
      <c r="W804">
        <v>1</v>
      </c>
      <c r="X804" s="5" t="s">
        <v>193</v>
      </c>
      <c r="Y804">
        <v>6</v>
      </c>
      <c r="Z804">
        <v>0</v>
      </c>
      <c r="AA804" t="s">
        <v>25</v>
      </c>
      <c r="AB804" t="s">
        <v>26</v>
      </c>
      <c r="AC804" t="s">
        <v>27</v>
      </c>
      <c r="AD804" t="s">
        <v>42</v>
      </c>
      <c r="AE804" t="s">
        <v>25</v>
      </c>
      <c r="AF8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3.1746031746031744E-2</v>
      </c>
      <c r="AG804" t="s">
        <v>942</v>
      </c>
      <c r="AH804">
        <v>76.5</v>
      </c>
      <c r="AI804" t="s">
        <v>939</v>
      </c>
      <c r="AJ804">
        <v>4</v>
      </c>
      <c r="AK8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MIN(AJ804/8, 1) +
  Merge1[[#This Row],[index_defensive_effort]],
  2
)</f>
        <v>1.1299999999999999</v>
      </c>
    </row>
    <row r="805" spans="1:37" x14ac:dyDescent="0.25">
      <c r="A805" t="s">
        <v>315</v>
      </c>
      <c r="B805" t="s">
        <v>316</v>
      </c>
      <c r="C805">
        <v>29</v>
      </c>
      <c r="D805" t="s">
        <v>56</v>
      </c>
      <c r="E805">
        <v>71</v>
      </c>
      <c r="F805">
        <v>205</v>
      </c>
      <c r="G805" t="s">
        <v>173</v>
      </c>
      <c r="H805">
        <v>2020</v>
      </c>
      <c r="I805" t="s">
        <v>33</v>
      </c>
      <c r="J805">
        <v>14</v>
      </c>
      <c r="K805">
        <v>5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61</v>
      </c>
      <c r="T805">
        <v>60</v>
      </c>
      <c r="U805" s="5">
        <f>IF(Merge1[[#This Row],[team_defense_snaps]]=0, "", Merge1[[#This Row],[defense_snaps]] / Merge1[[#This Row],[team_defense_snaps]])</f>
        <v>0.82191780821917804</v>
      </c>
      <c r="V805">
        <v>73</v>
      </c>
      <c r="W805">
        <v>1</v>
      </c>
      <c r="X805" s="5" t="s">
        <v>34</v>
      </c>
      <c r="Y805">
        <v>6</v>
      </c>
      <c r="Z805">
        <v>0</v>
      </c>
      <c r="AA805" t="s">
        <v>25</v>
      </c>
      <c r="AB805" t="s">
        <v>26</v>
      </c>
      <c r="AC805" t="s">
        <v>27</v>
      </c>
      <c r="AD805" t="s">
        <v>42</v>
      </c>
      <c r="AE805" t="s">
        <v>25</v>
      </c>
      <c r="AF8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8.1967213114754092E-2</v>
      </c>
      <c r="AG805" t="s">
        <v>942</v>
      </c>
      <c r="AH805">
        <v>58.5</v>
      </c>
      <c r="AI805" t="s">
        <v>938</v>
      </c>
      <c r="AJ805">
        <v>1</v>
      </c>
      <c r="AK8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MIN(AJ805/8, 1) +
  Merge1[[#This Row],[index_defensive_effort]],
  2
)</f>
        <v>0.81</v>
      </c>
    </row>
    <row r="806" spans="1:37" x14ac:dyDescent="0.25">
      <c r="A806" t="s">
        <v>369</v>
      </c>
      <c r="B806" t="s">
        <v>370</v>
      </c>
      <c r="C806">
        <v>30</v>
      </c>
      <c r="D806" t="s">
        <v>56</v>
      </c>
      <c r="E806">
        <v>72</v>
      </c>
      <c r="F806">
        <v>182</v>
      </c>
      <c r="G806" t="s">
        <v>162</v>
      </c>
      <c r="H806">
        <v>2020</v>
      </c>
      <c r="I806" t="s">
        <v>33</v>
      </c>
      <c r="J806">
        <v>1</v>
      </c>
      <c r="K806">
        <v>2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47</v>
      </c>
      <c r="T806">
        <v>28</v>
      </c>
      <c r="U806" s="5">
        <f>IF(Merge1[[#This Row],[team_defense_snaps]]=0, "", Merge1[[#This Row],[defense_snaps]] / Merge1[[#This Row],[team_defense_snaps]])</f>
        <v>0.42424242424242425</v>
      </c>
      <c r="V806">
        <v>66</v>
      </c>
      <c r="W806">
        <v>19</v>
      </c>
      <c r="X806" s="5" t="s">
        <v>102</v>
      </c>
      <c r="Y806">
        <v>5</v>
      </c>
      <c r="Z806">
        <v>0</v>
      </c>
      <c r="AA806" t="s">
        <v>25</v>
      </c>
      <c r="AB806" t="s">
        <v>36</v>
      </c>
      <c r="AC806" t="s">
        <v>50</v>
      </c>
      <c r="AD806" t="s">
        <v>28</v>
      </c>
      <c r="AE806" t="s">
        <v>25</v>
      </c>
      <c r="AF8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4.2553191489361701E-2</v>
      </c>
      <c r="AG806" t="s">
        <v>942</v>
      </c>
      <c r="AH806">
        <v>50.5</v>
      </c>
      <c r="AI806" t="s">
        <v>938</v>
      </c>
      <c r="AJ806">
        <v>2</v>
      </c>
      <c r="AK8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MIN(AJ806/8, 1) +
  Merge1[[#This Row],[index_defensive_effort]],
  2
)</f>
        <v>0.79</v>
      </c>
    </row>
    <row r="807" spans="1:37" x14ac:dyDescent="0.25">
      <c r="A807" t="s">
        <v>369</v>
      </c>
      <c r="B807" t="s">
        <v>370</v>
      </c>
      <c r="C807">
        <v>30</v>
      </c>
      <c r="D807" t="s">
        <v>56</v>
      </c>
      <c r="E807">
        <v>72</v>
      </c>
      <c r="F807">
        <v>182</v>
      </c>
      <c r="G807" t="s">
        <v>162</v>
      </c>
      <c r="H807">
        <v>2020</v>
      </c>
      <c r="I807" t="s">
        <v>33</v>
      </c>
      <c r="J807">
        <v>2</v>
      </c>
      <c r="K807">
        <v>2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48</v>
      </c>
      <c r="T807">
        <v>48</v>
      </c>
      <c r="U807" s="5">
        <f>IF(Merge1[[#This Row],[team_defense_snaps]]=0, "", Merge1[[#This Row],[defense_snaps]] / Merge1[[#This Row],[team_defense_snaps]])</f>
        <v>0.64864864864864868</v>
      </c>
      <c r="V807">
        <v>74</v>
      </c>
      <c r="W807">
        <v>0</v>
      </c>
      <c r="X807" s="5" t="s">
        <v>29</v>
      </c>
      <c r="Y807">
        <v>5</v>
      </c>
      <c r="Z807">
        <v>0</v>
      </c>
      <c r="AA807" t="s">
        <v>25</v>
      </c>
      <c r="AB807" t="s">
        <v>36</v>
      </c>
      <c r="AC807" t="s">
        <v>177</v>
      </c>
      <c r="AD807" t="s">
        <v>28</v>
      </c>
      <c r="AE807" t="s">
        <v>25</v>
      </c>
      <c r="AF8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807" t="s">
        <v>942</v>
      </c>
      <c r="AH807">
        <v>61</v>
      </c>
      <c r="AI807" t="s">
        <v>939</v>
      </c>
      <c r="AJ807">
        <v>3</v>
      </c>
      <c r="AK8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MIN(AJ807/8, 1) +
  Merge1[[#This Row],[index_defensive_effort]],
  2
)</f>
        <v>0.92</v>
      </c>
    </row>
    <row r="808" spans="1:37" x14ac:dyDescent="0.25">
      <c r="A808" t="s">
        <v>369</v>
      </c>
      <c r="B808" t="s">
        <v>370</v>
      </c>
      <c r="C808">
        <v>30</v>
      </c>
      <c r="D808" t="s">
        <v>56</v>
      </c>
      <c r="E808">
        <v>72</v>
      </c>
      <c r="F808">
        <v>182</v>
      </c>
      <c r="G808" t="s">
        <v>162</v>
      </c>
      <c r="H808">
        <v>2020</v>
      </c>
      <c r="I808" t="s">
        <v>33</v>
      </c>
      <c r="J808">
        <v>3</v>
      </c>
      <c r="K808">
        <v>4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53</v>
      </c>
      <c r="T808">
        <v>53</v>
      </c>
      <c r="U808" s="5">
        <f>IF(Merge1[[#This Row],[team_defense_snaps]]=0, "", Merge1[[#This Row],[defense_snaps]] / Merge1[[#This Row],[team_defense_snaps]])</f>
        <v>0.80303030303030298</v>
      </c>
      <c r="V808">
        <v>66</v>
      </c>
      <c r="W808">
        <v>0</v>
      </c>
      <c r="X808" s="5" t="s">
        <v>29</v>
      </c>
      <c r="Y808">
        <v>5</v>
      </c>
      <c r="Z808">
        <v>0</v>
      </c>
      <c r="AA808" t="s">
        <v>25</v>
      </c>
      <c r="AB808" t="s">
        <v>26</v>
      </c>
      <c r="AC808" t="s">
        <v>27</v>
      </c>
      <c r="AD808" t="s">
        <v>28</v>
      </c>
      <c r="AE808" t="s">
        <v>25</v>
      </c>
      <c r="AF8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7.5471698113207544E-2</v>
      </c>
      <c r="AG808" t="s">
        <v>942</v>
      </c>
      <c r="AH808">
        <v>52</v>
      </c>
      <c r="AI808" t="s">
        <v>939</v>
      </c>
      <c r="AJ808">
        <v>4</v>
      </c>
      <c r="AK8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MIN(AJ808/8, 1) +
  Merge1[[#This Row],[index_defensive_effort]],
  2
)</f>
        <v>1.08</v>
      </c>
    </row>
    <row r="809" spans="1:37" x14ac:dyDescent="0.25">
      <c r="A809" t="s">
        <v>369</v>
      </c>
      <c r="B809" t="s">
        <v>370</v>
      </c>
      <c r="C809">
        <v>30</v>
      </c>
      <c r="D809" t="s">
        <v>56</v>
      </c>
      <c r="E809">
        <v>72</v>
      </c>
      <c r="F809">
        <v>182</v>
      </c>
      <c r="G809" t="s">
        <v>162</v>
      </c>
      <c r="H809">
        <v>2020</v>
      </c>
      <c r="I809" t="s">
        <v>33</v>
      </c>
      <c r="J809">
        <v>4</v>
      </c>
      <c r="K809">
        <v>2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2</v>
      </c>
      <c r="R809">
        <v>0</v>
      </c>
      <c r="S809">
        <v>34</v>
      </c>
      <c r="T809">
        <v>32</v>
      </c>
      <c r="U809" s="5">
        <f>IF(Merge1[[#This Row],[team_defense_snaps]]=0, "", Merge1[[#This Row],[defense_snaps]] / Merge1[[#This Row],[team_defense_snaps]])</f>
        <v>0.45070422535211269</v>
      </c>
      <c r="V809">
        <v>71</v>
      </c>
      <c r="W809">
        <v>2</v>
      </c>
      <c r="X809" s="5" t="s">
        <v>167</v>
      </c>
      <c r="Y809">
        <v>5</v>
      </c>
      <c r="Z809">
        <v>0</v>
      </c>
      <c r="AA809" t="s">
        <v>25</v>
      </c>
      <c r="AB809" t="s">
        <v>36</v>
      </c>
      <c r="AC809" t="s">
        <v>371</v>
      </c>
      <c r="AD809" t="s">
        <v>42</v>
      </c>
      <c r="AE809" t="s">
        <v>25</v>
      </c>
      <c r="AF8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0.29411764705882354</v>
      </c>
      <c r="AG809" t="s">
        <v>942</v>
      </c>
      <c r="AH809">
        <v>62.5</v>
      </c>
      <c r="AI809" t="s">
        <v>939</v>
      </c>
      <c r="AJ809">
        <v>1</v>
      </c>
      <c r="AK8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MIN(AJ809/8, 1) +
  Merge1[[#This Row],[index_defensive_effort]],
  2
)</f>
        <v>0.92</v>
      </c>
    </row>
    <row r="810" spans="1:37" x14ac:dyDescent="0.25">
      <c r="A810" t="s">
        <v>369</v>
      </c>
      <c r="B810" t="s">
        <v>370</v>
      </c>
      <c r="C810">
        <v>30</v>
      </c>
      <c r="D810" t="s">
        <v>56</v>
      </c>
      <c r="E810">
        <v>72</v>
      </c>
      <c r="F810">
        <v>182</v>
      </c>
      <c r="G810" t="s">
        <v>162</v>
      </c>
      <c r="H810">
        <v>2020</v>
      </c>
      <c r="I810" t="s">
        <v>33</v>
      </c>
      <c r="J810">
        <v>6</v>
      </c>
      <c r="K810">
        <v>5</v>
      </c>
      <c r="L810">
        <v>1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56</v>
      </c>
      <c r="T810">
        <v>56</v>
      </c>
      <c r="U810" s="5">
        <f>IF(Merge1[[#This Row],[team_defense_snaps]]=0, "", Merge1[[#This Row],[defense_snaps]] / Merge1[[#This Row],[team_defense_snaps]])</f>
        <v>0.875</v>
      </c>
      <c r="V810">
        <v>64</v>
      </c>
      <c r="W810">
        <v>0</v>
      </c>
      <c r="X810" s="5" t="s">
        <v>29</v>
      </c>
      <c r="Y810">
        <v>5</v>
      </c>
      <c r="Z810">
        <v>0</v>
      </c>
      <c r="AA810" t="s">
        <v>25</v>
      </c>
      <c r="AB810" t="s">
        <v>26</v>
      </c>
      <c r="AC810" t="s">
        <v>27</v>
      </c>
      <c r="AD810" t="s">
        <v>28</v>
      </c>
      <c r="AE810" t="s">
        <v>25</v>
      </c>
      <c r="AF8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9.8214285714285712E-2</v>
      </c>
      <c r="AG810" t="s">
        <v>942</v>
      </c>
      <c r="AH810">
        <v>70</v>
      </c>
      <c r="AI810" t="s">
        <v>939</v>
      </c>
      <c r="AJ810">
        <v>2</v>
      </c>
      <c r="AK8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MIN(AJ810/8, 1) +
  Merge1[[#This Row],[index_defensive_effort]],
  2
)</f>
        <v>0.85</v>
      </c>
    </row>
    <row r="811" spans="1:37" x14ac:dyDescent="0.25">
      <c r="A811" t="s">
        <v>369</v>
      </c>
      <c r="B811" t="s">
        <v>370</v>
      </c>
      <c r="C811">
        <v>30</v>
      </c>
      <c r="D811" t="s">
        <v>56</v>
      </c>
      <c r="E811">
        <v>72</v>
      </c>
      <c r="F811">
        <v>182</v>
      </c>
      <c r="G811" t="s">
        <v>162</v>
      </c>
      <c r="H811">
        <v>2020</v>
      </c>
      <c r="I811" t="s">
        <v>33</v>
      </c>
      <c r="J811">
        <v>7</v>
      </c>
      <c r="K811">
        <v>6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39</v>
      </c>
      <c r="T811">
        <v>38</v>
      </c>
      <c r="U811" s="5">
        <f>IF(Merge1[[#This Row],[team_defense_snaps]]=0, "", Merge1[[#This Row],[defense_snaps]] / Merge1[[#This Row],[team_defense_snaps]])</f>
        <v>0.5</v>
      </c>
      <c r="V811">
        <v>76</v>
      </c>
      <c r="W811">
        <v>1</v>
      </c>
      <c r="X811" s="5" t="s">
        <v>193</v>
      </c>
      <c r="Y811">
        <v>5</v>
      </c>
      <c r="Z811">
        <v>0</v>
      </c>
      <c r="AA811" t="s">
        <v>25</v>
      </c>
      <c r="AB811" t="s">
        <v>26</v>
      </c>
      <c r="AC811" t="s">
        <v>27</v>
      </c>
      <c r="AD811" t="s">
        <v>28</v>
      </c>
      <c r="AE811" t="s">
        <v>25</v>
      </c>
      <c r="AF8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0.15384615384615385</v>
      </c>
      <c r="AG811" t="s">
        <v>942</v>
      </c>
      <c r="AH811">
        <v>68.5</v>
      </c>
      <c r="AI811" t="s">
        <v>938</v>
      </c>
      <c r="AJ811">
        <v>1</v>
      </c>
      <c r="AK8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MIN(AJ811/8, 1) +
  Merge1[[#This Row],[index_defensive_effort]],
  2
)</f>
        <v>0.78</v>
      </c>
    </row>
    <row r="812" spans="1:37" x14ac:dyDescent="0.25">
      <c r="A812" t="s">
        <v>369</v>
      </c>
      <c r="B812" t="s">
        <v>370</v>
      </c>
      <c r="C812">
        <v>30</v>
      </c>
      <c r="D812" t="s">
        <v>56</v>
      </c>
      <c r="E812">
        <v>72</v>
      </c>
      <c r="F812">
        <v>182</v>
      </c>
      <c r="G812" t="s">
        <v>162</v>
      </c>
      <c r="H812">
        <v>2020</v>
      </c>
      <c r="I812" t="s">
        <v>33</v>
      </c>
      <c r="J812">
        <v>13</v>
      </c>
      <c r="K812">
        <v>4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64</v>
      </c>
      <c r="T812">
        <v>59</v>
      </c>
      <c r="U812" s="5">
        <f>IF(Merge1[[#This Row],[team_defense_snaps]]=0, "", Merge1[[#This Row],[defense_snaps]] / Merge1[[#This Row],[team_defense_snaps]])</f>
        <v>0.83098591549295775</v>
      </c>
      <c r="V812">
        <v>71</v>
      </c>
      <c r="W812">
        <v>5</v>
      </c>
      <c r="X812" s="5" t="s">
        <v>124</v>
      </c>
      <c r="Y812">
        <v>5</v>
      </c>
      <c r="Z812">
        <v>0</v>
      </c>
      <c r="AA812" t="s">
        <v>25</v>
      </c>
      <c r="AB812" t="s">
        <v>62</v>
      </c>
      <c r="AC812" t="s">
        <v>27</v>
      </c>
      <c r="AD812" t="s">
        <v>42</v>
      </c>
      <c r="AE812" t="s">
        <v>25</v>
      </c>
      <c r="AF8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812" t="s">
        <v>942</v>
      </c>
      <c r="AH812">
        <v>47.5</v>
      </c>
      <c r="AI812" t="s">
        <v>939</v>
      </c>
      <c r="AJ812">
        <v>2</v>
      </c>
      <c r="AK8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MIN(AJ812/8, 1) +
  Merge1[[#This Row],[index_defensive_effort]],
  2
)</f>
        <v>0.81</v>
      </c>
    </row>
    <row r="813" spans="1:37" x14ac:dyDescent="0.25">
      <c r="A813" t="s">
        <v>369</v>
      </c>
      <c r="B813" t="s">
        <v>370</v>
      </c>
      <c r="C813">
        <v>30</v>
      </c>
      <c r="D813" t="s">
        <v>56</v>
      </c>
      <c r="E813">
        <v>72</v>
      </c>
      <c r="F813">
        <v>182</v>
      </c>
      <c r="G813" t="s">
        <v>162</v>
      </c>
      <c r="H813">
        <v>2020</v>
      </c>
      <c r="I813" t="s">
        <v>33</v>
      </c>
      <c r="J813">
        <v>14</v>
      </c>
      <c r="K813">
        <v>6</v>
      </c>
      <c r="L813">
        <v>1</v>
      </c>
      <c r="M813">
        <v>1</v>
      </c>
      <c r="N813">
        <v>2</v>
      </c>
      <c r="O813">
        <v>0</v>
      </c>
      <c r="P813">
        <v>0</v>
      </c>
      <c r="Q813">
        <v>0</v>
      </c>
      <c r="R813">
        <v>0</v>
      </c>
      <c r="S813">
        <v>43</v>
      </c>
      <c r="T813">
        <v>41</v>
      </c>
      <c r="U813" s="5">
        <f>IF(Merge1[[#This Row],[team_defense_snaps]]=0, "", Merge1[[#This Row],[defense_snaps]] / Merge1[[#This Row],[team_defense_snaps]])</f>
        <v>0.61194029850746268</v>
      </c>
      <c r="V813">
        <v>67</v>
      </c>
      <c r="W813">
        <v>2</v>
      </c>
      <c r="X813" s="5" t="s">
        <v>167</v>
      </c>
      <c r="Y813">
        <v>5</v>
      </c>
      <c r="Z813">
        <v>0</v>
      </c>
      <c r="AA813" t="s">
        <v>25</v>
      </c>
      <c r="AB813" t="s">
        <v>26</v>
      </c>
      <c r="AC813" t="s">
        <v>27</v>
      </c>
      <c r="AD813" t="s">
        <v>42</v>
      </c>
      <c r="AE813" t="s">
        <v>25</v>
      </c>
      <c r="AF8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0.16279069767441862</v>
      </c>
      <c r="AG813" t="s">
        <v>942</v>
      </c>
      <c r="AH813">
        <v>46</v>
      </c>
      <c r="AI813" t="s">
        <v>939</v>
      </c>
      <c r="AJ813">
        <v>1</v>
      </c>
      <c r="AK8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MIN(AJ813/8, 1) +
  Merge1[[#This Row],[index_defensive_effort]],
  2
)</f>
        <v>0.79</v>
      </c>
    </row>
    <row r="814" spans="1:37" x14ac:dyDescent="0.25">
      <c r="A814" t="s">
        <v>369</v>
      </c>
      <c r="B814" t="s">
        <v>370</v>
      </c>
      <c r="C814">
        <v>30</v>
      </c>
      <c r="D814" t="s">
        <v>56</v>
      </c>
      <c r="E814">
        <v>72</v>
      </c>
      <c r="F814">
        <v>182</v>
      </c>
      <c r="G814" t="s">
        <v>162</v>
      </c>
      <c r="H814">
        <v>2020</v>
      </c>
      <c r="I814" t="s">
        <v>33</v>
      </c>
      <c r="J814">
        <v>16</v>
      </c>
      <c r="K814">
        <v>2</v>
      </c>
      <c r="L814">
        <v>2</v>
      </c>
      <c r="M814">
        <v>1</v>
      </c>
      <c r="N814">
        <v>3</v>
      </c>
      <c r="O814">
        <v>0</v>
      </c>
      <c r="P814">
        <v>0</v>
      </c>
      <c r="Q814">
        <v>0</v>
      </c>
      <c r="R814">
        <v>0</v>
      </c>
      <c r="S814">
        <v>34</v>
      </c>
      <c r="T814">
        <v>34</v>
      </c>
      <c r="U814" s="5">
        <f>IF(Merge1[[#This Row],[team_defense_snaps]]=0, "", Merge1[[#This Row],[defense_snaps]] / Merge1[[#This Row],[team_defense_snaps]])</f>
        <v>0.42499999999999999</v>
      </c>
      <c r="V814">
        <v>80</v>
      </c>
      <c r="W814">
        <v>0</v>
      </c>
      <c r="X814" s="5" t="s">
        <v>29</v>
      </c>
      <c r="Y814">
        <v>5</v>
      </c>
      <c r="Z814">
        <v>0</v>
      </c>
      <c r="AA814" t="s">
        <v>25</v>
      </c>
      <c r="AB814" t="s">
        <v>36</v>
      </c>
      <c r="AC814" t="s">
        <v>371</v>
      </c>
      <c r="AD814" t="s">
        <v>42</v>
      </c>
      <c r="AE814" t="s">
        <v>25</v>
      </c>
      <c r="AF8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0.10294117647058823</v>
      </c>
      <c r="AG814" t="s">
        <v>942</v>
      </c>
      <c r="AH814">
        <v>65.5</v>
      </c>
      <c r="AI814" t="s">
        <v>939</v>
      </c>
      <c r="AJ814">
        <v>2</v>
      </c>
      <c r="AK8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MIN(AJ814/8, 1) +
  Merge1[[#This Row],[index_defensive_effort]],
  2
)</f>
        <v>0.85</v>
      </c>
    </row>
    <row r="815" spans="1:37" x14ac:dyDescent="0.25">
      <c r="A815" t="s">
        <v>369</v>
      </c>
      <c r="B815" t="s">
        <v>370</v>
      </c>
      <c r="C815">
        <v>30</v>
      </c>
      <c r="D815" t="s">
        <v>56</v>
      </c>
      <c r="E815">
        <v>72</v>
      </c>
      <c r="F815">
        <v>182</v>
      </c>
      <c r="G815" t="s">
        <v>162</v>
      </c>
      <c r="H815">
        <v>2020</v>
      </c>
      <c r="I815" t="s">
        <v>33</v>
      </c>
      <c r="J815">
        <v>17</v>
      </c>
      <c r="K815">
        <v>3</v>
      </c>
      <c r="L815">
        <v>2</v>
      </c>
      <c r="M815">
        <v>2</v>
      </c>
      <c r="N815">
        <v>4</v>
      </c>
      <c r="O815">
        <v>0</v>
      </c>
      <c r="P815">
        <v>0</v>
      </c>
      <c r="Q815">
        <v>0</v>
      </c>
      <c r="R815">
        <v>0</v>
      </c>
      <c r="S815">
        <v>80</v>
      </c>
      <c r="T815">
        <v>80</v>
      </c>
      <c r="U815" s="5">
        <f>IF(Merge1[[#This Row],[team_defense_snaps]]=0, "", Merge1[[#This Row],[defense_snaps]] / Merge1[[#This Row],[team_defense_snaps]])</f>
        <v>1</v>
      </c>
      <c r="V815">
        <v>80</v>
      </c>
      <c r="W815">
        <v>0</v>
      </c>
      <c r="X815" s="5" t="s">
        <v>29</v>
      </c>
      <c r="Y815">
        <v>5</v>
      </c>
      <c r="Z815">
        <v>0</v>
      </c>
      <c r="AA815" t="s">
        <v>25</v>
      </c>
      <c r="AB815" t="s">
        <v>26</v>
      </c>
      <c r="AC815" t="s">
        <v>27</v>
      </c>
      <c r="AD815" t="s">
        <v>42</v>
      </c>
      <c r="AE815" t="s">
        <v>25</v>
      </c>
      <c r="AF8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815" t="s">
        <v>942</v>
      </c>
      <c r="AH815">
        <v>67</v>
      </c>
      <c r="AI815" t="s">
        <v>939</v>
      </c>
      <c r="AJ815">
        <v>1</v>
      </c>
      <c r="AK8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MIN(AJ815/8, 1) +
  Merge1[[#This Row],[index_defensive_effort]],
  2
)</f>
        <v>0.69</v>
      </c>
    </row>
    <row r="816" spans="1:37" x14ac:dyDescent="0.25">
      <c r="A816" t="s">
        <v>396</v>
      </c>
      <c r="B816" t="s">
        <v>397</v>
      </c>
      <c r="C816">
        <v>25</v>
      </c>
      <c r="D816" t="s">
        <v>22</v>
      </c>
      <c r="E816">
        <v>73</v>
      </c>
      <c r="F816">
        <v>205</v>
      </c>
      <c r="G816" t="s">
        <v>78</v>
      </c>
      <c r="H816">
        <v>2020</v>
      </c>
      <c r="I816" t="s">
        <v>33</v>
      </c>
      <c r="J816">
        <v>1</v>
      </c>
      <c r="K816">
        <v>1</v>
      </c>
      <c r="L816">
        <v>1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15</v>
      </c>
      <c r="T816">
        <v>15</v>
      </c>
      <c r="U816" s="5">
        <f>IF(Merge1[[#This Row],[team_defense_snaps]]=0, "", Merge1[[#This Row],[defense_snaps]] / Merge1[[#This Row],[team_defense_snaps]])</f>
        <v>0.20547945205479451</v>
      </c>
      <c r="V816">
        <v>73</v>
      </c>
      <c r="W816">
        <v>0</v>
      </c>
      <c r="X816" s="5" t="s">
        <v>29</v>
      </c>
      <c r="Y816">
        <v>4</v>
      </c>
      <c r="Z816">
        <v>0</v>
      </c>
      <c r="AA816" t="s">
        <v>25</v>
      </c>
      <c r="AB816" t="s">
        <v>26</v>
      </c>
      <c r="AC816" t="s">
        <v>27</v>
      </c>
      <c r="AD816" t="s">
        <v>204</v>
      </c>
      <c r="AE816" t="s">
        <v>25</v>
      </c>
      <c r="AF8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816" t="s">
        <v>941</v>
      </c>
      <c r="AH816">
        <v>71</v>
      </c>
      <c r="AI816" t="s">
        <v>939</v>
      </c>
      <c r="AJ816">
        <v>2</v>
      </c>
      <c r="AK8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MIN(AJ816/8, 1) +
  Merge1[[#This Row],[index_defensive_effort]],
  2
)</f>
        <v>0.85</v>
      </c>
    </row>
    <row r="817" spans="1:37" x14ac:dyDescent="0.25">
      <c r="A817" t="s">
        <v>396</v>
      </c>
      <c r="B817" t="s">
        <v>397</v>
      </c>
      <c r="C817">
        <v>25</v>
      </c>
      <c r="D817" t="s">
        <v>22</v>
      </c>
      <c r="E817">
        <v>73</v>
      </c>
      <c r="F817">
        <v>205</v>
      </c>
      <c r="G817" t="s">
        <v>78</v>
      </c>
      <c r="H817">
        <v>2020</v>
      </c>
      <c r="I817" t="s">
        <v>33</v>
      </c>
      <c r="J817">
        <v>2</v>
      </c>
      <c r="K817">
        <v>3</v>
      </c>
      <c r="L817">
        <v>0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25</v>
      </c>
      <c r="T817">
        <v>25</v>
      </c>
      <c r="U817" s="5">
        <f>IF(Merge1[[#This Row],[team_defense_snaps]]=0, "", Merge1[[#This Row],[defense_snaps]] / Merge1[[#This Row],[team_defense_snaps]])</f>
        <v>0.32894736842105265</v>
      </c>
      <c r="V817">
        <v>76</v>
      </c>
      <c r="W817">
        <v>0</v>
      </c>
      <c r="X817" s="5" t="s">
        <v>29</v>
      </c>
      <c r="Y817">
        <v>4</v>
      </c>
      <c r="Z817">
        <v>0</v>
      </c>
      <c r="AA817" t="s">
        <v>25</v>
      </c>
      <c r="AB817" t="s">
        <v>26</v>
      </c>
      <c r="AC817" t="s">
        <v>27</v>
      </c>
      <c r="AD817" t="s">
        <v>204</v>
      </c>
      <c r="AE817" t="s">
        <v>25</v>
      </c>
      <c r="AF8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</v>
      </c>
      <c r="AG817" t="s">
        <v>942</v>
      </c>
      <c r="AH817">
        <v>85</v>
      </c>
      <c r="AI817" t="s">
        <v>939</v>
      </c>
      <c r="AJ817">
        <v>3</v>
      </c>
      <c r="AK8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MIN(AJ817/8, 1) +
  Merge1[[#This Row],[index_defensive_effort]],
  2
)</f>
        <v>1.08</v>
      </c>
    </row>
    <row r="818" spans="1:37" x14ac:dyDescent="0.25">
      <c r="A818" t="s">
        <v>396</v>
      </c>
      <c r="B818" t="s">
        <v>397</v>
      </c>
      <c r="C818">
        <v>25</v>
      </c>
      <c r="D818" t="s">
        <v>22</v>
      </c>
      <c r="E818">
        <v>73</v>
      </c>
      <c r="F818">
        <v>205</v>
      </c>
      <c r="G818" t="s">
        <v>78</v>
      </c>
      <c r="H818">
        <v>2020</v>
      </c>
      <c r="I818" t="s">
        <v>33</v>
      </c>
      <c r="J818">
        <v>3</v>
      </c>
      <c r="K818">
        <v>3</v>
      </c>
      <c r="L818">
        <v>1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73</v>
      </c>
      <c r="T818">
        <v>73</v>
      </c>
      <c r="U818" s="5">
        <f>IF(Merge1[[#This Row],[team_defense_snaps]]=0, "", Merge1[[#This Row],[defense_snaps]] / Merge1[[#This Row],[team_defense_snaps]])</f>
        <v>0.96052631578947367</v>
      </c>
      <c r="V818">
        <v>76</v>
      </c>
      <c r="W818">
        <v>0</v>
      </c>
      <c r="X818" s="5" t="s">
        <v>29</v>
      </c>
      <c r="Y818">
        <v>4</v>
      </c>
      <c r="Z818">
        <v>0</v>
      </c>
      <c r="AA818" t="s">
        <v>25</v>
      </c>
      <c r="AB818" t="s">
        <v>26</v>
      </c>
      <c r="AC818" t="s">
        <v>27</v>
      </c>
      <c r="AD818" t="s">
        <v>204</v>
      </c>
      <c r="AE818" t="s">
        <v>25</v>
      </c>
      <c r="AF8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4.7945205479452052E-2</v>
      </c>
      <c r="AG818" t="s">
        <v>942</v>
      </c>
      <c r="AH818">
        <v>82</v>
      </c>
      <c r="AI818" t="s">
        <v>939</v>
      </c>
      <c r="AJ818">
        <v>4</v>
      </c>
      <c r="AK8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MIN(AJ818/8, 1) +
  Merge1[[#This Row],[index_defensive_effort]],
  2
)</f>
        <v>1.05</v>
      </c>
    </row>
    <row r="819" spans="1:37" x14ac:dyDescent="0.25">
      <c r="A819" t="s">
        <v>396</v>
      </c>
      <c r="B819" t="s">
        <v>397</v>
      </c>
      <c r="C819">
        <v>25</v>
      </c>
      <c r="D819" t="s">
        <v>22</v>
      </c>
      <c r="E819">
        <v>73</v>
      </c>
      <c r="F819">
        <v>205</v>
      </c>
      <c r="G819" t="s">
        <v>78</v>
      </c>
      <c r="H819">
        <v>2020</v>
      </c>
      <c r="I819" t="s">
        <v>33</v>
      </c>
      <c r="J819">
        <v>4</v>
      </c>
      <c r="K819">
        <v>5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75</v>
      </c>
      <c r="T819">
        <v>75</v>
      </c>
      <c r="U819" s="5">
        <f>IF(Merge1[[#This Row],[team_defense_snaps]]=0, "", Merge1[[#This Row],[defense_snaps]] / Merge1[[#This Row],[team_defense_snaps]])</f>
        <v>0.98684210526315785</v>
      </c>
      <c r="V819">
        <v>76</v>
      </c>
      <c r="W819">
        <v>0</v>
      </c>
      <c r="X819" s="5" t="s">
        <v>29</v>
      </c>
      <c r="Y819">
        <v>4</v>
      </c>
      <c r="Z819">
        <v>0</v>
      </c>
      <c r="AA819" t="s">
        <v>25</v>
      </c>
      <c r="AB819" t="s">
        <v>26</v>
      </c>
      <c r="AC819" t="s">
        <v>27</v>
      </c>
      <c r="AD819" t="s">
        <v>204</v>
      </c>
      <c r="AE819" t="s">
        <v>25</v>
      </c>
      <c r="AF8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819" t="s">
        <v>942</v>
      </c>
      <c r="AH819">
        <v>80.5</v>
      </c>
      <c r="AI819" t="s">
        <v>939</v>
      </c>
      <c r="AJ819">
        <v>1</v>
      </c>
      <c r="AK8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MIN(AJ819/8, 1) +
  Merge1[[#This Row],[index_defensive_effort]],
  2
)</f>
        <v>0.69</v>
      </c>
    </row>
    <row r="820" spans="1:37" x14ac:dyDescent="0.25">
      <c r="A820" t="s">
        <v>396</v>
      </c>
      <c r="B820" t="s">
        <v>397</v>
      </c>
      <c r="C820">
        <v>25</v>
      </c>
      <c r="D820" t="s">
        <v>22</v>
      </c>
      <c r="E820">
        <v>73</v>
      </c>
      <c r="F820">
        <v>205</v>
      </c>
      <c r="G820" t="s">
        <v>166</v>
      </c>
      <c r="H820">
        <v>2020</v>
      </c>
      <c r="I820" t="s">
        <v>33</v>
      </c>
      <c r="J820">
        <v>15</v>
      </c>
      <c r="K820">
        <v>4</v>
      </c>
      <c r="L820">
        <v>3</v>
      </c>
      <c r="M820">
        <v>0</v>
      </c>
      <c r="N820">
        <v>3</v>
      </c>
      <c r="O820">
        <v>0</v>
      </c>
      <c r="P820">
        <v>0</v>
      </c>
      <c r="Q820">
        <v>0</v>
      </c>
      <c r="R820">
        <v>0</v>
      </c>
      <c r="S820">
        <v>37</v>
      </c>
      <c r="T820">
        <v>37</v>
      </c>
      <c r="U820" s="5">
        <f>IF(Merge1[[#This Row],[team_defense_snaps]]=0, "", Merge1[[#This Row],[defense_snaps]] / Merge1[[#This Row],[team_defense_snaps]])</f>
        <v>0.56060606060606055</v>
      </c>
      <c r="V820">
        <v>66</v>
      </c>
      <c r="W820">
        <v>0</v>
      </c>
      <c r="X820" s="5" t="s">
        <v>29</v>
      </c>
      <c r="Y820">
        <v>4</v>
      </c>
      <c r="Z820">
        <v>0</v>
      </c>
      <c r="AA820" t="s">
        <v>25</v>
      </c>
      <c r="AB820" t="s">
        <v>26</v>
      </c>
      <c r="AC820" t="s">
        <v>27</v>
      </c>
      <c r="AD820" t="s">
        <v>42</v>
      </c>
      <c r="AE820" t="s">
        <v>25</v>
      </c>
      <c r="AF8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0.14864864864864866</v>
      </c>
      <c r="AG820" t="s">
        <v>941</v>
      </c>
      <c r="AH820">
        <v>74</v>
      </c>
      <c r="AI820" t="s">
        <v>939</v>
      </c>
      <c r="AJ820">
        <v>1</v>
      </c>
      <c r="AK8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MIN(AJ820/8, 1) +
  Merge1[[#This Row],[index_defensive_effort]],
  2
)</f>
        <v>0.77</v>
      </c>
    </row>
    <row r="821" spans="1:37" x14ac:dyDescent="0.25">
      <c r="A821" t="s">
        <v>396</v>
      </c>
      <c r="B821" t="s">
        <v>397</v>
      </c>
      <c r="C821">
        <v>25</v>
      </c>
      <c r="D821" t="s">
        <v>22</v>
      </c>
      <c r="E821">
        <v>73</v>
      </c>
      <c r="F821">
        <v>205</v>
      </c>
      <c r="G821" t="s">
        <v>166</v>
      </c>
      <c r="H821">
        <v>2020</v>
      </c>
      <c r="I821" t="s">
        <v>33</v>
      </c>
      <c r="J821">
        <v>17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32</v>
      </c>
      <c r="T821">
        <v>32</v>
      </c>
      <c r="U821" s="5">
        <f>IF(Merge1[[#This Row],[team_defense_snaps]]=0, "", Merge1[[#This Row],[defense_snaps]] / Merge1[[#This Row],[team_defense_snaps]])</f>
        <v>0.3902439024390244</v>
      </c>
      <c r="V821">
        <v>82</v>
      </c>
      <c r="W821">
        <v>0</v>
      </c>
      <c r="X821" s="5" t="s">
        <v>29</v>
      </c>
      <c r="Y821">
        <v>4</v>
      </c>
      <c r="Z821">
        <v>0</v>
      </c>
      <c r="AA821" t="s">
        <v>25</v>
      </c>
      <c r="AB821" t="s">
        <v>26</v>
      </c>
      <c r="AC821" t="s">
        <v>27</v>
      </c>
      <c r="AD821" t="s">
        <v>42</v>
      </c>
      <c r="AE821" t="s">
        <v>25</v>
      </c>
      <c r="AF8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3.125E-2</v>
      </c>
      <c r="AG821" t="s">
        <v>942</v>
      </c>
      <c r="AH821">
        <v>83.5</v>
      </c>
      <c r="AI821" t="s">
        <v>939</v>
      </c>
      <c r="AJ821">
        <v>1</v>
      </c>
      <c r="AK8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MIN(AJ821/8, 1) +
  Merge1[[#This Row],[index_defensive_effort]],
  2
)</f>
        <v>0.66</v>
      </c>
    </row>
    <row r="822" spans="1:37" x14ac:dyDescent="0.25">
      <c r="A822" t="s">
        <v>353</v>
      </c>
      <c r="B822" t="s">
        <v>354</v>
      </c>
      <c r="C822">
        <v>22</v>
      </c>
      <c r="D822" t="s">
        <v>56</v>
      </c>
      <c r="E822">
        <v>71</v>
      </c>
      <c r="F822">
        <v>196</v>
      </c>
      <c r="G822" t="s">
        <v>355</v>
      </c>
      <c r="H822">
        <v>2020</v>
      </c>
      <c r="I822" t="s">
        <v>33</v>
      </c>
      <c r="J822">
        <v>3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24</v>
      </c>
      <c r="T822">
        <v>7</v>
      </c>
      <c r="U822" s="5">
        <f>IF(Merge1[[#This Row],[team_defense_snaps]]=0, "", Merge1[[#This Row],[defense_snaps]] / Merge1[[#This Row],[team_defense_snaps]])</f>
        <v>0.109375</v>
      </c>
      <c r="V822">
        <v>64</v>
      </c>
      <c r="W822">
        <v>17</v>
      </c>
      <c r="X822" s="5" t="s">
        <v>230</v>
      </c>
      <c r="Y822">
        <v>1</v>
      </c>
      <c r="Z822">
        <v>0</v>
      </c>
      <c r="AA822" t="s">
        <v>25</v>
      </c>
      <c r="AB822" t="s">
        <v>26</v>
      </c>
      <c r="AC822" t="s">
        <v>27</v>
      </c>
      <c r="AD822" t="s">
        <v>28</v>
      </c>
      <c r="AE822" t="s">
        <v>25</v>
      </c>
      <c r="AF8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H822">
        <v>67</v>
      </c>
      <c r="AI822" t="s">
        <v>939</v>
      </c>
      <c r="AJ822">
        <v>1</v>
      </c>
      <c r="AK8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MIN(AJ822/8, 1) +
  Merge1[[#This Row],[index_defensive_effort]],
  2
)</f>
        <v>0.67</v>
      </c>
    </row>
    <row r="823" spans="1:37" x14ac:dyDescent="0.25">
      <c r="A823" t="s">
        <v>353</v>
      </c>
      <c r="B823" t="s">
        <v>354</v>
      </c>
      <c r="C823">
        <v>22</v>
      </c>
      <c r="D823" t="s">
        <v>56</v>
      </c>
      <c r="E823">
        <v>71</v>
      </c>
      <c r="F823">
        <v>196</v>
      </c>
      <c r="G823" t="s">
        <v>355</v>
      </c>
      <c r="H823">
        <v>2020</v>
      </c>
      <c r="I823" t="s">
        <v>33</v>
      </c>
      <c r="J823">
        <v>3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25</v>
      </c>
      <c r="T823">
        <v>7</v>
      </c>
      <c r="U823" s="5">
        <f>IF(Merge1[[#This Row],[team_defense_snaps]]=0, "", Merge1[[#This Row],[defense_snaps]] / Merge1[[#This Row],[team_defense_snaps]])</f>
        <v>0.109375</v>
      </c>
      <c r="V823">
        <v>64</v>
      </c>
      <c r="W823">
        <v>18</v>
      </c>
      <c r="X823" s="5" t="s">
        <v>53</v>
      </c>
      <c r="Y823">
        <v>1</v>
      </c>
      <c r="Z823">
        <v>0</v>
      </c>
      <c r="AA823" t="s">
        <v>25</v>
      </c>
      <c r="AB823" t="s">
        <v>26</v>
      </c>
      <c r="AC823" t="s">
        <v>27</v>
      </c>
      <c r="AD823" t="s">
        <v>28</v>
      </c>
      <c r="AE823" t="s">
        <v>25</v>
      </c>
      <c r="AF8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0.04</v>
      </c>
      <c r="AH823">
        <v>50.5</v>
      </c>
      <c r="AI823" t="s">
        <v>939</v>
      </c>
      <c r="AJ823">
        <v>1</v>
      </c>
      <c r="AK8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MIN(AJ823/8, 1) +
  Merge1[[#This Row],[index_defensive_effort]],
  2
)</f>
        <v>0.67</v>
      </c>
    </row>
    <row r="824" spans="1:37" x14ac:dyDescent="0.25">
      <c r="A824" t="s">
        <v>353</v>
      </c>
      <c r="B824" t="s">
        <v>354</v>
      </c>
      <c r="C824">
        <v>22</v>
      </c>
      <c r="D824" t="s">
        <v>56</v>
      </c>
      <c r="E824">
        <v>71</v>
      </c>
      <c r="F824">
        <v>196</v>
      </c>
      <c r="G824" t="s">
        <v>355</v>
      </c>
      <c r="H824">
        <v>2020</v>
      </c>
      <c r="I824" t="s">
        <v>33</v>
      </c>
      <c r="J824">
        <v>8</v>
      </c>
      <c r="K824">
        <v>3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46</v>
      </c>
      <c r="T824">
        <v>37</v>
      </c>
      <c r="U824" s="5">
        <f>IF(Merge1[[#This Row],[team_defense_snaps]]=0, "", Merge1[[#This Row],[defense_snaps]] / Merge1[[#This Row],[team_defense_snaps]])</f>
        <v>0.74</v>
      </c>
      <c r="V824">
        <v>50</v>
      </c>
      <c r="W824">
        <v>9</v>
      </c>
      <c r="X824" s="5" t="s">
        <v>261</v>
      </c>
      <c r="Y824">
        <v>1</v>
      </c>
      <c r="Z824">
        <v>0</v>
      </c>
      <c r="AA824" t="s">
        <v>25</v>
      </c>
      <c r="AB824" t="s">
        <v>26</v>
      </c>
      <c r="AC824" t="s">
        <v>27</v>
      </c>
      <c r="AD824" t="s">
        <v>42</v>
      </c>
      <c r="AE824" t="s">
        <v>25</v>
      </c>
      <c r="AF8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6.5217391304347824E-2</v>
      </c>
      <c r="AH824">
        <v>59.5</v>
      </c>
      <c r="AI824" t="s">
        <v>939</v>
      </c>
      <c r="AJ824">
        <v>1</v>
      </c>
      <c r="AK8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MIN(AJ824/8, 1) +
  Merge1[[#This Row],[index_defensive_effort]],
  2
)</f>
        <v>0.69</v>
      </c>
    </row>
    <row r="825" spans="1:37" x14ac:dyDescent="0.25">
      <c r="A825" t="s">
        <v>353</v>
      </c>
      <c r="B825" t="s">
        <v>354</v>
      </c>
      <c r="C825">
        <v>22</v>
      </c>
      <c r="D825" t="s">
        <v>56</v>
      </c>
      <c r="E825">
        <v>71</v>
      </c>
      <c r="F825">
        <v>196</v>
      </c>
      <c r="G825" t="s">
        <v>355</v>
      </c>
      <c r="H825">
        <v>2020</v>
      </c>
      <c r="I825" t="s">
        <v>33</v>
      </c>
      <c r="J825">
        <v>8</v>
      </c>
      <c r="K825">
        <v>3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51</v>
      </c>
      <c r="T825">
        <v>37</v>
      </c>
      <c r="U825" s="5">
        <f>IF(Merge1[[#This Row],[team_defense_snaps]]=0, "", Merge1[[#This Row],[defense_snaps]] / Merge1[[#This Row],[team_defense_snaps]])</f>
        <v>0.74</v>
      </c>
      <c r="V825">
        <v>50</v>
      </c>
      <c r="W825">
        <v>14</v>
      </c>
      <c r="X825" s="5" t="s">
        <v>189</v>
      </c>
      <c r="Y825">
        <v>1</v>
      </c>
      <c r="Z825">
        <v>0</v>
      </c>
      <c r="AA825" t="s">
        <v>25</v>
      </c>
      <c r="AB825" t="s">
        <v>26</v>
      </c>
      <c r="AC825" t="s">
        <v>27</v>
      </c>
      <c r="AD825" t="s">
        <v>28</v>
      </c>
      <c r="AE825" t="s">
        <v>25</v>
      </c>
      <c r="AF8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AH825">
        <v>50.5</v>
      </c>
      <c r="AI825" t="s">
        <v>939</v>
      </c>
      <c r="AJ825">
        <v>1</v>
      </c>
      <c r="AK8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MIN(AJ825/8, 1) +
  Merge1[[#This Row],[index_defensive_effort]],
  2
)</f>
        <v>0.68</v>
      </c>
    </row>
    <row r="826" spans="1:37" x14ac:dyDescent="0.25">
      <c r="A826" t="s">
        <v>353</v>
      </c>
      <c r="B826" t="s">
        <v>354</v>
      </c>
      <c r="C826">
        <v>22</v>
      </c>
      <c r="D826" t="s">
        <v>56</v>
      </c>
      <c r="E826">
        <v>71</v>
      </c>
      <c r="F826">
        <v>196</v>
      </c>
      <c r="G826" t="s">
        <v>355</v>
      </c>
      <c r="H826">
        <v>2020</v>
      </c>
      <c r="I826" t="s">
        <v>33</v>
      </c>
      <c r="J826">
        <v>14</v>
      </c>
      <c r="K826">
        <v>2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18</v>
      </c>
      <c r="T826">
        <v>8</v>
      </c>
      <c r="U826" s="5">
        <f>IF(Merge1[[#This Row],[team_defense_snaps]]=0, "", Merge1[[#This Row],[defense_snaps]] / Merge1[[#This Row],[team_defense_snaps]])</f>
        <v>0.13559322033898305</v>
      </c>
      <c r="V826">
        <v>59</v>
      </c>
      <c r="W826">
        <v>10</v>
      </c>
      <c r="X826" s="5" t="s">
        <v>131</v>
      </c>
      <c r="Y826">
        <v>1</v>
      </c>
      <c r="Z826">
        <v>0</v>
      </c>
      <c r="AA826" t="s">
        <v>25</v>
      </c>
      <c r="AB826" t="s">
        <v>26</v>
      </c>
      <c r="AC826" t="s">
        <v>27</v>
      </c>
      <c r="AD826" t="s">
        <v>28</v>
      </c>
      <c r="AE826" t="s">
        <v>25</v>
      </c>
      <c r="AF8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0.1111111111111111</v>
      </c>
      <c r="AH826">
        <v>67</v>
      </c>
      <c r="AI826" t="s">
        <v>939</v>
      </c>
      <c r="AJ826">
        <v>1</v>
      </c>
      <c r="AK8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MIN(AJ826/8, 1) +
  Merge1[[#This Row],[index_defensive_effort]],
  2
)</f>
        <v>0.74</v>
      </c>
    </row>
    <row r="827" spans="1:37" x14ac:dyDescent="0.25">
      <c r="A827" t="s">
        <v>353</v>
      </c>
      <c r="B827" t="s">
        <v>354</v>
      </c>
      <c r="C827">
        <v>22</v>
      </c>
      <c r="D827" t="s">
        <v>56</v>
      </c>
      <c r="E827">
        <v>71</v>
      </c>
      <c r="F827">
        <v>196</v>
      </c>
      <c r="G827" t="s">
        <v>355</v>
      </c>
      <c r="H827">
        <v>2020</v>
      </c>
      <c r="I827" t="s">
        <v>33</v>
      </c>
      <c r="J827">
        <v>14</v>
      </c>
      <c r="K827">
        <v>2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12</v>
      </c>
      <c r="T827">
        <v>8</v>
      </c>
      <c r="U827" s="5">
        <f>IF(Merge1[[#This Row],[team_defense_snaps]]=0, "", Merge1[[#This Row],[defense_snaps]] / Merge1[[#This Row],[team_defense_snaps]])</f>
        <v>0.13559322033898305</v>
      </c>
      <c r="V827">
        <v>59</v>
      </c>
      <c r="W827">
        <v>4</v>
      </c>
      <c r="X827" s="5" t="s">
        <v>159</v>
      </c>
      <c r="Y827">
        <v>1</v>
      </c>
      <c r="Z827">
        <v>0</v>
      </c>
      <c r="AA827" t="s">
        <v>25</v>
      </c>
      <c r="AB827" t="s">
        <v>26</v>
      </c>
      <c r="AC827" t="s">
        <v>27</v>
      </c>
      <c r="AD827" t="s">
        <v>42</v>
      </c>
      <c r="AE827" t="s">
        <v>25</v>
      </c>
      <c r="AF8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AH827">
        <v>59.5</v>
      </c>
      <c r="AI827" t="s">
        <v>939</v>
      </c>
      <c r="AJ827">
        <v>1</v>
      </c>
      <c r="AK8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MIN(AJ827/8, 1) +
  Merge1[[#This Row],[index_defensive_effort]],
  2
)</f>
        <v>0.79</v>
      </c>
    </row>
    <row r="828" spans="1:37" x14ac:dyDescent="0.25">
      <c r="A828" t="s">
        <v>323</v>
      </c>
      <c r="B828" t="s">
        <v>324</v>
      </c>
      <c r="C828">
        <v>25</v>
      </c>
      <c r="D828" t="s">
        <v>56</v>
      </c>
      <c r="E828">
        <v>71</v>
      </c>
      <c r="F828">
        <v>200</v>
      </c>
      <c r="G828" t="s">
        <v>67</v>
      </c>
      <c r="H828">
        <v>2020</v>
      </c>
      <c r="I828" t="s">
        <v>33</v>
      </c>
      <c r="J828">
        <v>9</v>
      </c>
      <c r="K828">
        <v>3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54</v>
      </c>
      <c r="T828">
        <v>54</v>
      </c>
      <c r="U828" s="5">
        <f>IF(Merge1[[#This Row],[team_defense_snaps]]=0, "", Merge1[[#This Row],[defense_snaps]] / Merge1[[#This Row],[team_defense_snaps]])</f>
        <v>0.76056338028169013</v>
      </c>
      <c r="V828">
        <v>71</v>
      </c>
      <c r="W828">
        <v>0</v>
      </c>
      <c r="X828" s="5" t="s">
        <v>29</v>
      </c>
      <c r="Y828">
        <v>2</v>
      </c>
      <c r="Z828">
        <v>0</v>
      </c>
      <c r="AA828" t="s">
        <v>25</v>
      </c>
      <c r="AB828" t="s">
        <v>26</v>
      </c>
      <c r="AC828" t="s">
        <v>27</v>
      </c>
      <c r="AD828" t="s">
        <v>204</v>
      </c>
      <c r="AE828" t="s">
        <v>25</v>
      </c>
      <c r="AF8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828" t="s">
        <v>941</v>
      </c>
      <c r="AH828">
        <v>54</v>
      </c>
      <c r="AI828" t="s">
        <v>939</v>
      </c>
      <c r="AJ828">
        <v>1</v>
      </c>
      <c r="AK8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MIN(AJ828/8, 1) +
  Merge1[[#This Row],[index_defensive_effort]],
  2
)</f>
        <v>0.68</v>
      </c>
    </row>
    <row r="829" spans="1:37" x14ac:dyDescent="0.25">
      <c r="A829" t="s">
        <v>323</v>
      </c>
      <c r="B829" t="s">
        <v>324</v>
      </c>
      <c r="C829">
        <v>25</v>
      </c>
      <c r="D829" t="s">
        <v>56</v>
      </c>
      <c r="E829">
        <v>71</v>
      </c>
      <c r="F829">
        <v>200</v>
      </c>
      <c r="G829" t="s">
        <v>32</v>
      </c>
      <c r="H829">
        <v>2020</v>
      </c>
      <c r="I829" t="s">
        <v>33</v>
      </c>
      <c r="J829">
        <v>12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28</v>
      </c>
      <c r="T829">
        <v>17</v>
      </c>
      <c r="U829" s="5">
        <f>IF(Merge1[[#This Row],[team_defense_snaps]]=0, "", Merge1[[#This Row],[defense_snaps]] / Merge1[[#This Row],[team_defense_snaps]])</f>
        <v>0.22972972972972974</v>
      </c>
      <c r="V829">
        <v>74</v>
      </c>
      <c r="W829">
        <v>11</v>
      </c>
      <c r="X829" s="5" t="s">
        <v>243</v>
      </c>
      <c r="Y829">
        <v>2</v>
      </c>
      <c r="Z829">
        <v>0</v>
      </c>
      <c r="AA829" t="s">
        <v>25</v>
      </c>
      <c r="AB829" t="s">
        <v>26</v>
      </c>
      <c r="AC829" t="s">
        <v>27</v>
      </c>
      <c r="AD829" t="s">
        <v>28</v>
      </c>
      <c r="AE829" t="s">
        <v>25</v>
      </c>
      <c r="AF8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3.5714285714285712E-2</v>
      </c>
      <c r="AG829" t="s">
        <v>941</v>
      </c>
      <c r="AH829">
        <v>55.5</v>
      </c>
      <c r="AI829" t="s">
        <v>939</v>
      </c>
      <c r="AJ829">
        <v>2</v>
      </c>
      <c r="AK8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MIN(AJ829/8, 1) +
  Merge1[[#This Row],[index_defensive_effort]],
  2
)</f>
        <v>0.79</v>
      </c>
    </row>
    <row r="830" spans="1:37" x14ac:dyDescent="0.25">
      <c r="A830" t="s">
        <v>323</v>
      </c>
      <c r="B830" t="s">
        <v>324</v>
      </c>
      <c r="C830">
        <v>25</v>
      </c>
      <c r="D830" t="s">
        <v>56</v>
      </c>
      <c r="E830">
        <v>71</v>
      </c>
      <c r="F830">
        <v>200</v>
      </c>
      <c r="G830" t="s">
        <v>32</v>
      </c>
      <c r="H830">
        <v>2020</v>
      </c>
      <c r="I830" t="s">
        <v>33</v>
      </c>
      <c r="J830">
        <v>13</v>
      </c>
      <c r="K830">
        <v>2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21</v>
      </c>
      <c r="T830">
        <v>12</v>
      </c>
      <c r="U830" s="5">
        <f>IF(Merge1[[#This Row],[team_defense_snaps]]=0, "", Merge1[[#This Row],[defense_snaps]] / Merge1[[#This Row],[team_defense_snaps]])</f>
        <v>0.15</v>
      </c>
      <c r="V830">
        <v>80</v>
      </c>
      <c r="W830">
        <v>9</v>
      </c>
      <c r="X830" s="5" t="s">
        <v>70</v>
      </c>
      <c r="Y830">
        <v>2</v>
      </c>
      <c r="Z830">
        <v>0</v>
      </c>
      <c r="AA830" t="s">
        <v>25</v>
      </c>
      <c r="AB830" t="s">
        <v>36</v>
      </c>
      <c r="AC830" t="s">
        <v>325</v>
      </c>
      <c r="AD830" t="s">
        <v>42</v>
      </c>
      <c r="AE830" t="s">
        <v>25</v>
      </c>
      <c r="AF8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9.5238095238095233E-2</v>
      </c>
      <c r="AG830" t="s">
        <v>941</v>
      </c>
      <c r="AH830">
        <v>66</v>
      </c>
      <c r="AI830" t="s">
        <v>939</v>
      </c>
      <c r="AJ830">
        <v>3</v>
      </c>
      <c r="AK8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MIN(AJ830/8, 1) +
  Merge1[[#This Row],[index_defensive_effort]],
  2
)</f>
        <v>0.97</v>
      </c>
    </row>
    <row r="831" spans="1:37" x14ac:dyDescent="0.25">
      <c r="A831" t="s">
        <v>323</v>
      </c>
      <c r="B831" t="s">
        <v>324</v>
      </c>
      <c r="C831">
        <v>25</v>
      </c>
      <c r="D831" t="s">
        <v>56</v>
      </c>
      <c r="E831">
        <v>71</v>
      </c>
      <c r="F831">
        <v>200</v>
      </c>
      <c r="G831" t="s">
        <v>32</v>
      </c>
      <c r="H831">
        <v>2020</v>
      </c>
      <c r="I831" t="s">
        <v>33</v>
      </c>
      <c r="J831">
        <v>14</v>
      </c>
      <c r="K831">
        <v>4</v>
      </c>
      <c r="L831">
        <v>1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45</v>
      </c>
      <c r="T831">
        <v>34</v>
      </c>
      <c r="U831" s="5">
        <f>IF(Merge1[[#This Row],[team_defense_snaps]]=0, "", Merge1[[#This Row],[defense_snaps]] / Merge1[[#This Row],[team_defense_snaps]])</f>
        <v>0.4</v>
      </c>
      <c r="V831">
        <v>85</v>
      </c>
      <c r="W831">
        <v>11</v>
      </c>
      <c r="X831" s="5" t="s">
        <v>123</v>
      </c>
      <c r="Y831">
        <v>2</v>
      </c>
      <c r="Z831">
        <v>0</v>
      </c>
      <c r="AA831" t="s">
        <v>25</v>
      </c>
      <c r="AB831" t="s">
        <v>26</v>
      </c>
      <c r="AC831" t="s">
        <v>27</v>
      </c>
      <c r="AD831" t="s">
        <v>28</v>
      </c>
      <c r="AE831" t="s">
        <v>25</v>
      </c>
      <c r="AF8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831" t="s">
        <v>941</v>
      </c>
      <c r="AH831">
        <v>52.5</v>
      </c>
      <c r="AI831" t="s">
        <v>939</v>
      </c>
      <c r="AJ831">
        <v>1</v>
      </c>
      <c r="AK8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MIN(AJ831/8, 1) +
  Merge1[[#This Row],[index_defensive_effort]],
  2
)</f>
        <v>0.73</v>
      </c>
    </row>
    <row r="832" spans="1:37" x14ac:dyDescent="0.25">
      <c r="A832" t="s">
        <v>358</v>
      </c>
      <c r="B832" t="s">
        <v>359</v>
      </c>
      <c r="C832">
        <v>28</v>
      </c>
      <c r="D832" t="s">
        <v>22</v>
      </c>
      <c r="E832">
        <v>73</v>
      </c>
      <c r="F832">
        <v>205</v>
      </c>
      <c r="G832" t="s">
        <v>339</v>
      </c>
      <c r="H832">
        <v>2020</v>
      </c>
      <c r="I832" t="s">
        <v>33</v>
      </c>
      <c r="J832">
        <v>2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35</v>
      </c>
      <c r="T832">
        <v>15</v>
      </c>
      <c r="U832" s="5">
        <f>IF(Merge1[[#This Row],[team_defense_snaps]]=0, "", Merge1[[#This Row],[defense_snaps]] / Merge1[[#This Row],[team_defense_snaps]])</f>
        <v>0.2</v>
      </c>
      <c r="V832">
        <v>75</v>
      </c>
      <c r="W832">
        <v>20</v>
      </c>
      <c r="X832" s="5" t="s">
        <v>83</v>
      </c>
      <c r="Y832">
        <v>5</v>
      </c>
      <c r="Z832">
        <v>0</v>
      </c>
      <c r="AA832" t="s">
        <v>25</v>
      </c>
      <c r="AB832" t="s">
        <v>26</v>
      </c>
      <c r="AC832" t="s">
        <v>27</v>
      </c>
      <c r="AD832" t="s">
        <v>28</v>
      </c>
      <c r="AE832" t="s">
        <v>25</v>
      </c>
      <c r="AF8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8.5714285714285715E-2</v>
      </c>
      <c r="AG832" t="s">
        <v>942</v>
      </c>
      <c r="AH832">
        <v>66.5</v>
      </c>
      <c r="AI832" t="s">
        <v>939</v>
      </c>
      <c r="AJ832">
        <v>2</v>
      </c>
      <c r="AK8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MIN(AJ832/8, 1) +
  Merge1[[#This Row],[index_defensive_effort]],
  2
)</f>
        <v>0.94</v>
      </c>
    </row>
    <row r="833" spans="1:37" x14ac:dyDescent="0.25">
      <c r="A833" t="s">
        <v>358</v>
      </c>
      <c r="B833" t="s">
        <v>359</v>
      </c>
      <c r="C833">
        <v>28</v>
      </c>
      <c r="D833" t="s">
        <v>22</v>
      </c>
      <c r="E833">
        <v>73</v>
      </c>
      <c r="F833">
        <v>205</v>
      </c>
      <c r="G833" t="s">
        <v>339</v>
      </c>
      <c r="H833">
        <v>2020</v>
      </c>
      <c r="I833" t="s">
        <v>33</v>
      </c>
      <c r="J833">
        <v>3</v>
      </c>
      <c r="K833">
        <v>0</v>
      </c>
      <c r="L833">
        <v>1</v>
      </c>
      <c r="M833">
        <v>1</v>
      </c>
      <c r="N833">
        <v>2</v>
      </c>
      <c r="O833">
        <v>0</v>
      </c>
      <c r="P833">
        <v>0</v>
      </c>
      <c r="Q833">
        <v>0</v>
      </c>
      <c r="R833">
        <v>0</v>
      </c>
      <c r="S833">
        <v>23</v>
      </c>
      <c r="T833">
        <v>9</v>
      </c>
      <c r="U833" s="5">
        <f>IF(Merge1[[#This Row],[team_defense_snaps]]=0, "", Merge1[[#This Row],[defense_snaps]] / Merge1[[#This Row],[team_defense_snaps]])</f>
        <v>0.13043478260869565</v>
      </c>
      <c r="V833">
        <v>69</v>
      </c>
      <c r="W833">
        <v>14</v>
      </c>
      <c r="X833" s="5" t="s">
        <v>189</v>
      </c>
      <c r="Y833">
        <v>5</v>
      </c>
      <c r="Z833">
        <v>0</v>
      </c>
      <c r="AA833" t="s">
        <v>25</v>
      </c>
      <c r="AB833" t="s">
        <v>26</v>
      </c>
      <c r="AC833" t="s">
        <v>27</v>
      </c>
      <c r="AD833" t="s">
        <v>28</v>
      </c>
      <c r="AE833" t="s">
        <v>25</v>
      </c>
      <c r="AF8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4.3478260869565216E-2</v>
      </c>
      <c r="AG833" t="s">
        <v>942</v>
      </c>
      <c r="AH833">
        <v>47</v>
      </c>
      <c r="AI833" t="s">
        <v>939</v>
      </c>
      <c r="AJ833">
        <v>3</v>
      </c>
      <c r="AK8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MIN(AJ833/8, 1) +
  Merge1[[#This Row],[index_defensive_effort]],
  2
)</f>
        <v>1.02</v>
      </c>
    </row>
    <row r="834" spans="1:37" x14ac:dyDescent="0.25">
      <c r="A834" t="s">
        <v>358</v>
      </c>
      <c r="B834" t="s">
        <v>359</v>
      </c>
      <c r="C834">
        <v>28</v>
      </c>
      <c r="D834" t="s">
        <v>22</v>
      </c>
      <c r="E834">
        <v>73</v>
      </c>
      <c r="F834">
        <v>205</v>
      </c>
      <c r="G834" t="s">
        <v>339</v>
      </c>
      <c r="H834">
        <v>2020</v>
      </c>
      <c r="I834" t="s">
        <v>33</v>
      </c>
      <c r="J834">
        <v>4</v>
      </c>
      <c r="K834">
        <v>0</v>
      </c>
      <c r="L834">
        <v>1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29</v>
      </c>
      <c r="T834">
        <v>14</v>
      </c>
      <c r="U834" s="5">
        <f>IF(Merge1[[#This Row],[team_defense_snaps]]=0, "", Merge1[[#This Row],[defense_snaps]] / Merge1[[#This Row],[team_defense_snaps]])</f>
        <v>0.18666666666666668</v>
      </c>
      <c r="V834">
        <v>75</v>
      </c>
      <c r="W834">
        <v>15</v>
      </c>
      <c r="X834" s="5" t="s">
        <v>189</v>
      </c>
      <c r="Y834">
        <v>5</v>
      </c>
      <c r="Z834">
        <v>0</v>
      </c>
      <c r="AA834" t="s">
        <v>25</v>
      </c>
      <c r="AB834" t="s">
        <v>26</v>
      </c>
      <c r="AC834" t="s">
        <v>27</v>
      </c>
      <c r="AD834" t="s">
        <v>42</v>
      </c>
      <c r="AE834" t="s">
        <v>25</v>
      </c>
      <c r="AF8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1.7241379310344827E-2</v>
      </c>
      <c r="AG834" t="s">
        <v>942</v>
      </c>
      <c r="AH834">
        <v>45.5</v>
      </c>
      <c r="AI834" t="s">
        <v>939</v>
      </c>
      <c r="AJ834">
        <v>4</v>
      </c>
      <c r="AK8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MIN(AJ834/8, 1) +
  Merge1[[#This Row],[index_defensive_effort]],
  2
)</f>
        <v>1.1200000000000001</v>
      </c>
    </row>
    <row r="835" spans="1:37" x14ac:dyDescent="0.25">
      <c r="A835" t="s">
        <v>358</v>
      </c>
      <c r="B835" t="s">
        <v>359</v>
      </c>
      <c r="C835">
        <v>28</v>
      </c>
      <c r="D835" t="s">
        <v>22</v>
      </c>
      <c r="E835">
        <v>73</v>
      </c>
      <c r="F835">
        <v>205</v>
      </c>
      <c r="G835" t="s">
        <v>339</v>
      </c>
      <c r="H835">
        <v>2020</v>
      </c>
      <c r="I835" t="s">
        <v>33</v>
      </c>
      <c r="J835">
        <v>5</v>
      </c>
      <c r="K835">
        <v>0</v>
      </c>
      <c r="L835">
        <v>1</v>
      </c>
      <c r="M835">
        <v>1</v>
      </c>
      <c r="N835">
        <v>2</v>
      </c>
      <c r="O835">
        <v>0</v>
      </c>
      <c r="P835">
        <v>0</v>
      </c>
      <c r="Q835">
        <v>0</v>
      </c>
      <c r="R835">
        <v>0</v>
      </c>
      <c r="S835">
        <v>30</v>
      </c>
      <c r="T835">
        <v>16</v>
      </c>
      <c r="U835" s="5">
        <f>IF(Merge1[[#This Row],[team_defense_snaps]]=0, "", Merge1[[#This Row],[defense_snaps]] / Merge1[[#This Row],[team_defense_snaps]])</f>
        <v>0.23880597014925373</v>
      </c>
      <c r="V835">
        <v>67</v>
      </c>
      <c r="W835">
        <v>14</v>
      </c>
      <c r="X835" s="5" t="s">
        <v>189</v>
      </c>
      <c r="Y835">
        <v>5</v>
      </c>
      <c r="Z835">
        <v>0</v>
      </c>
      <c r="AA835" t="s">
        <v>25</v>
      </c>
      <c r="AB835" t="s">
        <v>26</v>
      </c>
      <c r="AC835" t="s">
        <v>27</v>
      </c>
      <c r="AD835" t="s">
        <v>42</v>
      </c>
      <c r="AE835" t="s">
        <v>25</v>
      </c>
      <c r="AF8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3.3333333333333333E-2</v>
      </c>
      <c r="AG835" t="s">
        <v>942</v>
      </c>
      <c r="AH835">
        <v>63.5</v>
      </c>
      <c r="AI835" t="s">
        <v>939</v>
      </c>
      <c r="AJ835">
        <v>1</v>
      </c>
      <c r="AK8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MIN(AJ835/8, 1) +
  Merge1[[#This Row],[index_defensive_effort]],
  2
)</f>
        <v>0.76</v>
      </c>
    </row>
    <row r="836" spans="1:37" x14ac:dyDescent="0.25">
      <c r="A836" t="s">
        <v>358</v>
      </c>
      <c r="B836" t="s">
        <v>359</v>
      </c>
      <c r="C836">
        <v>28</v>
      </c>
      <c r="D836" t="s">
        <v>22</v>
      </c>
      <c r="E836">
        <v>73</v>
      </c>
      <c r="F836">
        <v>205</v>
      </c>
      <c r="G836" t="s">
        <v>339</v>
      </c>
      <c r="H836">
        <v>2020</v>
      </c>
      <c r="I836" t="s">
        <v>33</v>
      </c>
      <c r="J836">
        <v>7</v>
      </c>
      <c r="K836">
        <v>1</v>
      </c>
      <c r="L836">
        <v>3</v>
      </c>
      <c r="M836">
        <v>0</v>
      </c>
      <c r="N836">
        <v>3</v>
      </c>
      <c r="O836">
        <v>3</v>
      </c>
      <c r="P836">
        <v>3</v>
      </c>
      <c r="Q836">
        <v>0</v>
      </c>
      <c r="R836">
        <v>0</v>
      </c>
      <c r="S836">
        <v>22</v>
      </c>
      <c r="T836">
        <v>12</v>
      </c>
      <c r="U836" s="5">
        <f>IF(Merge1[[#This Row],[team_defense_snaps]]=0, "", Merge1[[#This Row],[defense_snaps]] / Merge1[[#This Row],[team_defense_snaps]])</f>
        <v>0.21052631578947367</v>
      </c>
      <c r="V836">
        <v>57</v>
      </c>
      <c r="W836">
        <v>10</v>
      </c>
      <c r="X836" s="5" t="s">
        <v>75</v>
      </c>
      <c r="Y836">
        <v>5</v>
      </c>
      <c r="Z836">
        <v>0</v>
      </c>
      <c r="AA836" t="s">
        <v>25</v>
      </c>
      <c r="AB836" t="s">
        <v>26</v>
      </c>
      <c r="AC836" t="s">
        <v>27</v>
      </c>
      <c r="AD836" t="s">
        <v>28</v>
      </c>
      <c r="AE836" t="s">
        <v>25</v>
      </c>
      <c r="AF8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0.79545454545454541</v>
      </c>
      <c r="AG836" t="s">
        <v>942</v>
      </c>
      <c r="AH836">
        <v>57.5</v>
      </c>
      <c r="AI836" t="s">
        <v>939</v>
      </c>
      <c r="AJ836">
        <v>2</v>
      </c>
      <c r="AK8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MIN(AJ836/8, 1) +
  Merge1[[#This Row],[index_defensive_effort]],
  2
)</f>
        <v>1.65</v>
      </c>
    </row>
    <row r="837" spans="1:37" x14ac:dyDescent="0.25">
      <c r="A837" t="s">
        <v>358</v>
      </c>
      <c r="B837" t="s">
        <v>359</v>
      </c>
      <c r="C837">
        <v>28</v>
      </c>
      <c r="D837" t="s">
        <v>22</v>
      </c>
      <c r="E837">
        <v>73</v>
      </c>
      <c r="F837">
        <v>205</v>
      </c>
      <c r="G837" t="s">
        <v>339</v>
      </c>
      <c r="H837">
        <v>2020</v>
      </c>
      <c r="I837" t="s">
        <v>33</v>
      </c>
      <c r="J837">
        <v>8</v>
      </c>
      <c r="K837">
        <v>6</v>
      </c>
      <c r="L837">
        <v>1</v>
      </c>
      <c r="M837">
        <v>1</v>
      </c>
      <c r="N837">
        <v>2</v>
      </c>
      <c r="O837">
        <v>0</v>
      </c>
      <c r="P837">
        <v>0</v>
      </c>
      <c r="Q837">
        <v>0</v>
      </c>
      <c r="R837">
        <v>0</v>
      </c>
      <c r="S837">
        <v>67</v>
      </c>
      <c r="T837">
        <v>65</v>
      </c>
      <c r="U837" s="5">
        <f>IF(Merge1[[#This Row],[team_defense_snaps]]=0, "", Merge1[[#This Row],[defense_snaps]] / Merge1[[#This Row],[team_defense_snaps]])</f>
        <v>1</v>
      </c>
      <c r="V837">
        <v>65</v>
      </c>
      <c r="W837">
        <v>2</v>
      </c>
      <c r="X837" s="5" t="s">
        <v>167</v>
      </c>
      <c r="Y837">
        <v>5</v>
      </c>
      <c r="Z837">
        <v>0</v>
      </c>
      <c r="AA837" t="s">
        <v>25</v>
      </c>
      <c r="AB837" t="s">
        <v>26</v>
      </c>
      <c r="AC837" t="s">
        <v>27</v>
      </c>
      <c r="AD837" t="s">
        <v>42</v>
      </c>
      <c r="AE837" t="s">
        <v>25</v>
      </c>
      <c r="AF8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0.1044776119402985</v>
      </c>
      <c r="AG837" t="s">
        <v>942</v>
      </c>
      <c r="AH837">
        <v>44</v>
      </c>
      <c r="AI837" t="s">
        <v>939</v>
      </c>
      <c r="AJ837">
        <v>3</v>
      </c>
      <c r="AK8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MIN(AJ837/8, 1) +
  Merge1[[#This Row],[index_defensive_effort]],
  2
)</f>
        <v>1.08</v>
      </c>
    </row>
    <row r="838" spans="1:37" x14ac:dyDescent="0.25">
      <c r="A838" t="s">
        <v>358</v>
      </c>
      <c r="B838" t="s">
        <v>359</v>
      </c>
      <c r="C838">
        <v>28</v>
      </c>
      <c r="D838" t="s">
        <v>22</v>
      </c>
      <c r="E838">
        <v>73</v>
      </c>
      <c r="F838">
        <v>205</v>
      </c>
      <c r="G838" t="s">
        <v>339</v>
      </c>
      <c r="H838">
        <v>2020</v>
      </c>
      <c r="I838" t="s">
        <v>33</v>
      </c>
      <c r="J838">
        <v>9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34</v>
      </c>
      <c r="T838">
        <v>17</v>
      </c>
      <c r="U838" s="5">
        <f>IF(Merge1[[#This Row],[team_defense_snaps]]=0, "", Merge1[[#This Row],[defense_snaps]] / Merge1[[#This Row],[team_defense_snaps]])</f>
        <v>0.2537313432835821</v>
      </c>
      <c r="V838">
        <v>67</v>
      </c>
      <c r="W838">
        <v>17</v>
      </c>
      <c r="X838" s="5" t="s">
        <v>275</v>
      </c>
      <c r="Y838">
        <v>5</v>
      </c>
      <c r="Z838">
        <v>0</v>
      </c>
      <c r="AA838" t="s">
        <v>25</v>
      </c>
      <c r="AB838" t="s">
        <v>26</v>
      </c>
      <c r="AC838" t="s">
        <v>27</v>
      </c>
      <c r="AD838" t="s">
        <v>42</v>
      </c>
      <c r="AE838" t="s">
        <v>25</v>
      </c>
      <c r="AF8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2.9411764705882353E-2</v>
      </c>
      <c r="AG838" t="s">
        <v>942</v>
      </c>
      <c r="AH838">
        <v>65</v>
      </c>
      <c r="AI838" t="s">
        <v>939</v>
      </c>
      <c r="AJ838">
        <v>1</v>
      </c>
      <c r="AK8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MIN(AJ838/8, 1) +
  Merge1[[#This Row],[index_defensive_effort]],
  2
)</f>
        <v>0.75</v>
      </c>
    </row>
    <row r="839" spans="1:37" x14ac:dyDescent="0.25">
      <c r="A839" t="s">
        <v>358</v>
      </c>
      <c r="B839" t="s">
        <v>359</v>
      </c>
      <c r="C839">
        <v>28</v>
      </c>
      <c r="D839" t="s">
        <v>22</v>
      </c>
      <c r="E839">
        <v>73</v>
      </c>
      <c r="F839">
        <v>205</v>
      </c>
      <c r="G839" t="s">
        <v>339</v>
      </c>
      <c r="H839">
        <v>2020</v>
      </c>
      <c r="I839" t="s">
        <v>33</v>
      </c>
      <c r="J839">
        <v>15</v>
      </c>
      <c r="K839">
        <v>0</v>
      </c>
      <c r="L839">
        <v>1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32</v>
      </c>
      <c r="T839">
        <v>15</v>
      </c>
      <c r="U839" s="5">
        <f>IF(Merge1[[#This Row],[team_defense_snaps]]=0, "", Merge1[[#This Row],[defense_snaps]] / Merge1[[#This Row],[team_defense_snaps]])</f>
        <v>0.23076923076923078</v>
      </c>
      <c r="V839">
        <v>65</v>
      </c>
      <c r="W839">
        <v>17</v>
      </c>
      <c r="X839" s="5" t="s">
        <v>53</v>
      </c>
      <c r="Y839">
        <v>5</v>
      </c>
      <c r="Z839">
        <v>0</v>
      </c>
      <c r="AA839" t="s">
        <v>25</v>
      </c>
      <c r="AB839" t="s">
        <v>26</v>
      </c>
      <c r="AC839" t="s">
        <v>27</v>
      </c>
      <c r="AD839" t="s">
        <v>28</v>
      </c>
      <c r="AE839" t="s">
        <v>25</v>
      </c>
      <c r="AF8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1.5625E-2</v>
      </c>
      <c r="AG839" t="s">
        <v>942</v>
      </c>
      <c r="AH839">
        <v>59</v>
      </c>
      <c r="AI839" t="s">
        <v>939</v>
      </c>
      <c r="AJ839">
        <v>2</v>
      </c>
      <c r="AK8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MIN(AJ839/8, 1) +
  Merge1[[#This Row],[index_defensive_effort]],
  2
)</f>
        <v>0.87</v>
      </c>
    </row>
    <row r="840" spans="1:37" x14ac:dyDescent="0.25">
      <c r="A840" t="s">
        <v>358</v>
      </c>
      <c r="B840" t="s">
        <v>359</v>
      </c>
      <c r="C840">
        <v>28</v>
      </c>
      <c r="D840" t="s">
        <v>22</v>
      </c>
      <c r="E840">
        <v>73</v>
      </c>
      <c r="F840">
        <v>205</v>
      </c>
      <c r="G840" t="s">
        <v>339</v>
      </c>
      <c r="H840">
        <v>2020</v>
      </c>
      <c r="I840" t="s">
        <v>33</v>
      </c>
      <c r="J840">
        <v>16</v>
      </c>
      <c r="K840">
        <v>4</v>
      </c>
      <c r="L840">
        <v>0</v>
      </c>
      <c r="M840">
        <v>0</v>
      </c>
      <c r="N840">
        <v>0</v>
      </c>
      <c r="O840">
        <v>4</v>
      </c>
      <c r="P840">
        <v>4</v>
      </c>
      <c r="Q840">
        <v>0</v>
      </c>
      <c r="R840">
        <v>0</v>
      </c>
      <c r="S840">
        <v>28</v>
      </c>
      <c r="T840">
        <v>13</v>
      </c>
      <c r="U840" s="5">
        <f>IF(Merge1[[#This Row],[team_defense_snaps]]=0, "", Merge1[[#This Row],[defense_snaps]] / Merge1[[#This Row],[team_defense_snaps]])</f>
        <v>0.26</v>
      </c>
      <c r="V840">
        <v>50</v>
      </c>
      <c r="W840">
        <v>15</v>
      </c>
      <c r="X840" s="5" t="s">
        <v>112</v>
      </c>
      <c r="Y840">
        <v>5</v>
      </c>
      <c r="Z840">
        <v>0</v>
      </c>
      <c r="AA840" t="s">
        <v>25</v>
      </c>
      <c r="AB840" t="s">
        <v>26</v>
      </c>
      <c r="AC840" t="s">
        <v>27</v>
      </c>
      <c r="AD840" t="s">
        <v>28</v>
      </c>
      <c r="AE840" t="s">
        <v>25</v>
      </c>
      <c r="AF8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0.8571428571428571</v>
      </c>
      <c r="AG840" t="s">
        <v>942</v>
      </c>
      <c r="AH840">
        <v>56</v>
      </c>
      <c r="AI840" t="s">
        <v>939</v>
      </c>
      <c r="AJ840">
        <v>3</v>
      </c>
      <c r="AK8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MIN(AJ840/8, 1) +
  Merge1[[#This Row],[index_defensive_effort]],
  2
)</f>
        <v>1.83</v>
      </c>
    </row>
    <row r="841" spans="1:37" x14ac:dyDescent="0.25">
      <c r="A841" t="s">
        <v>358</v>
      </c>
      <c r="B841" t="s">
        <v>359</v>
      </c>
      <c r="C841">
        <v>28</v>
      </c>
      <c r="D841" t="s">
        <v>22</v>
      </c>
      <c r="E841">
        <v>73</v>
      </c>
      <c r="F841">
        <v>205</v>
      </c>
      <c r="G841" t="s">
        <v>339</v>
      </c>
      <c r="H841">
        <v>2020</v>
      </c>
      <c r="I841" t="s">
        <v>33</v>
      </c>
      <c r="J841">
        <v>17</v>
      </c>
      <c r="K841">
        <v>5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4</v>
      </c>
      <c r="R841">
        <v>0</v>
      </c>
      <c r="S841">
        <v>69</v>
      </c>
      <c r="T841">
        <v>42</v>
      </c>
      <c r="U841" s="5">
        <f>IF(Merge1[[#This Row],[team_defense_snaps]]=0, "", Merge1[[#This Row],[defense_snaps]] / Merge1[[#This Row],[team_defense_snaps]])</f>
        <v>0.5</v>
      </c>
      <c r="V841">
        <v>84</v>
      </c>
      <c r="W841">
        <v>27</v>
      </c>
      <c r="X841" s="5" t="s">
        <v>81</v>
      </c>
      <c r="Y841">
        <v>5</v>
      </c>
      <c r="Z841">
        <v>0</v>
      </c>
      <c r="AA841" t="s">
        <v>25</v>
      </c>
      <c r="AB841" t="s">
        <v>26</v>
      </c>
      <c r="AC841" t="s">
        <v>27</v>
      </c>
      <c r="AD841" t="s">
        <v>28</v>
      </c>
      <c r="AE841" t="s">
        <v>25</v>
      </c>
      <c r="AF8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0.30434782608695654</v>
      </c>
      <c r="AG841" t="s">
        <v>942</v>
      </c>
      <c r="AH841">
        <v>62</v>
      </c>
      <c r="AI841" t="s">
        <v>939</v>
      </c>
      <c r="AJ841">
        <v>1</v>
      </c>
      <c r="AK8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MIN(AJ841/8, 1) +
  Merge1[[#This Row],[index_defensive_effort]],
  2
)</f>
        <v>1.03</v>
      </c>
    </row>
    <row r="842" spans="1:37" x14ac:dyDescent="0.25">
      <c r="A842" t="s">
        <v>304</v>
      </c>
      <c r="B842" t="s">
        <v>305</v>
      </c>
      <c r="C842">
        <v>23</v>
      </c>
      <c r="D842" t="s">
        <v>56</v>
      </c>
      <c r="E842">
        <v>71</v>
      </c>
      <c r="F842">
        <v>189</v>
      </c>
      <c r="G842" t="s">
        <v>86</v>
      </c>
      <c r="H842">
        <v>2020</v>
      </c>
      <c r="I842" t="s">
        <v>33</v>
      </c>
      <c r="J842">
        <v>17</v>
      </c>
      <c r="K842">
        <v>7</v>
      </c>
      <c r="L842">
        <v>1</v>
      </c>
      <c r="M842">
        <v>0</v>
      </c>
      <c r="N842">
        <v>1</v>
      </c>
      <c r="O842">
        <v>4</v>
      </c>
      <c r="P842">
        <v>4</v>
      </c>
      <c r="Q842">
        <v>0</v>
      </c>
      <c r="R842">
        <v>0</v>
      </c>
      <c r="S842">
        <v>49</v>
      </c>
      <c r="T842">
        <v>45</v>
      </c>
      <c r="U842" s="5">
        <f>IF(Merge1[[#This Row],[team_defense_snaps]]=0, "", Merge1[[#This Row],[defense_snaps]] / Merge1[[#This Row],[team_defense_snaps]])</f>
        <v>0.625</v>
      </c>
      <c r="V842">
        <v>72</v>
      </c>
      <c r="W842">
        <v>4</v>
      </c>
      <c r="X842" s="5" t="s">
        <v>181</v>
      </c>
      <c r="Y842">
        <v>1</v>
      </c>
      <c r="Z842">
        <v>0</v>
      </c>
      <c r="AA842" t="s">
        <v>25</v>
      </c>
      <c r="AB842" t="s">
        <v>26</v>
      </c>
      <c r="AC842" t="s">
        <v>27</v>
      </c>
      <c r="AD842" t="s">
        <v>42</v>
      </c>
      <c r="AE842" t="s">
        <v>25</v>
      </c>
      <c r="AF8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0.56122448979591832</v>
      </c>
      <c r="AG842" t="s">
        <v>941</v>
      </c>
      <c r="AH842">
        <v>56</v>
      </c>
      <c r="AI842" t="s">
        <v>939</v>
      </c>
      <c r="AJ842">
        <v>1</v>
      </c>
      <c r="AK8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MIN(AJ842/8, 1) +
  Merge1[[#This Row],[index_defensive_effort]],
  2
)</f>
        <v>1.0900000000000001</v>
      </c>
    </row>
    <row r="843" spans="1:37" x14ac:dyDescent="0.25">
      <c r="A843" t="s">
        <v>335</v>
      </c>
      <c r="B843" t="s">
        <v>336</v>
      </c>
      <c r="C843">
        <v>27</v>
      </c>
      <c r="D843" t="s">
        <v>22</v>
      </c>
      <c r="E843">
        <v>73</v>
      </c>
      <c r="F843">
        <v>203</v>
      </c>
      <c r="G843" t="s">
        <v>228</v>
      </c>
      <c r="H843">
        <v>2020</v>
      </c>
      <c r="I843" t="s">
        <v>33</v>
      </c>
      <c r="J843">
        <v>5</v>
      </c>
      <c r="K843">
        <v>2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38</v>
      </c>
      <c r="T843">
        <v>14</v>
      </c>
      <c r="U843" s="5">
        <f>IF(Merge1[[#This Row],[team_defense_snaps]]=0, "", Merge1[[#This Row],[defense_snaps]] / Merge1[[#This Row],[team_defense_snaps]])</f>
        <v>0.19718309859154928</v>
      </c>
      <c r="V843">
        <v>71</v>
      </c>
      <c r="W843">
        <v>24</v>
      </c>
      <c r="X843" s="5" t="s">
        <v>90</v>
      </c>
      <c r="Y843">
        <v>4</v>
      </c>
      <c r="Z843">
        <v>0</v>
      </c>
      <c r="AA843" t="s">
        <v>25</v>
      </c>
      <c r="AB843" t="s">
        <v>26</v>
      </c>
      <c r="AC843" t="s">
        <v>27</v>
      </c>
      <c r="AD843" t="s">
        <v>28</v>
      </c>
      <c r="AE843" t="s">
        <v>25</v>
      </c>
      <c r="AF8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5.2631578947368418E-2</v>
      </c>
      <c r="AG843" t="s">
        <v>941</v>
      </c>
      <c r="AH843">
        <v>62.5</v>
      </c>
      <c r="AI843" t="s">
        <v>939</v>
      </c>
      <c r="AJ843">
        <v>2</v>
      </c>
      <c r="AK8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MIN(AJ843/8, 1) +
  Merge1[[#This Row],[index_defensive_effort]],
  2
)</f>
        <v>0.8</v>
      </c>
    </row>
    <row r="844" spans="1:37" x14ac:dyDescent="0.25">
      <c r="A844" t="s">
        <v>335</v>
      </c>
      <c r="B844" t="s">
        <v>336</v>
      </c>
      <c r="C844">
        <v>27</v>
      </c>
      <c r="D844" t="s">
        <v>22</v>
      </c>
      <c r="E844">
        <v>73</v>
      </c>
      <c r="F844">
        <v>203</v>
      </c>
      <c r="G844" t="s">
        <v>228</v>
      </c>
      <c r="H844">
        <v>2020</v>
      </c>
      <c r="I844" t="s">
        <v>33</v>
      </c>
      <c r="J844">
        <v>6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2</v>
      </c>
      <c r="R844">
        <v>0</v>
      </c>
      <c r="S844">
        <v>29</v>
      </c>
      <c r="T844">
        <v>8</v>
      </c>
      <c r="U844" s="5">
        <f>IF(Merge1[[#This Row],[team_defense_snaps]]=0, "", Merge1[[#This Row],[defense_snaps]] / Merge1[[#This Row],[team_defense_snaps]])</f>
        <v>0.11594202898550725</v>
      </c>
      <c r="V844">
        <v>69</v>
      </c>
      <c r="W844">
        <v>21</v>
      </c>
      <c r="X844" s="5" t="s">
        <v>43</v>
      </c>
      <c r="Y844">
        <v>4</v>
      </c>
      <c r="Z844">
        <v>0</v>
      </c>
      <c r="AA844" t="s">
        <v>25</v>
      </c>
      <c r="AB844" t="s">
        <v>26</v>
      </c>
      <c r="AC844" t="s">
        <v>27</v>
      </c>
      <c r="AD844" t="s">
        <v>28</v>
      </c>
      <c r="AE844" t="s">
        <v>25</v>
      </c>
      <c r="AF8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0.27586206896551724</v>
      </c>
      <c r="AG844" t="s">
        <v>941</v>
      </c>
      <c r="AH844">
        <v>49</v>
      </c>
      <c r="AI844" t="s">
        <v>939</v>
      </c>
      <c r="AJ844">
        <v>1</v>
      </c>
      <c r="AK8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MIN(AJ844/8, 1) +
  Merge1[[#This Row],[index_defensive_effort]],
  2
)</f>
        <v>0.9</v>
      </c>
    </row>
    <row r="845" spans="1:37" x14ac:dyDescent="0.25">
      <c r="A845" t="s">
        <v>335</v>
      </c>
      <c r="B845" t="s">
        <v>336</v>
      </c>
      <c r="C845">
        <v>27</v>
      </c>
      <c r="D845" t="s">
        <v>22</v>
      </c>
      <c r="E845">
        <v>73</v>
      </c>
      <c r="F845">
        <v>203</v>
      </c>
      <c r="G845" t="s">
        <v>228</v>
      </c>
      <c r="H845">
        <v>2020</v>
      </c>
      <c r="I845" t="s">
        <v>33</v>
      </c>
      <c r="J845">
        <v>13</v>
      </c>
      <c r="K845">
        <v>3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38</v>
      </c>
      <c r="T845">
        <v>13</v>
      </c>
      <c r="U845" s="5">
        <f>IF(Merge1[[#This Row],[team_defense_snaps]]=0, "", Merge1[[#This Row],[defense_snaps]] / Merge1[[#This Row],[team_defense_snaps]])</f>
        <v>0.17333333333333334</v>
      </c>
      <c r="V845">
        <v>75</v>
      </c>
      <c r="W845">
        <v>25</v>
      </c>
      <c r="X845" s="5" t="s">
        <v>103</v>
      </c>
      <c r="Y845">
        <v>4</v>
      </c>
      <c r="Z845">
        <v>0</v>
      </c>
      <c r="AA845" t="s">
        <v>25</v>
      </c>
      <c r="AB845" t="s">
        <v>26</v>
      </c>
      <c r="AC845" t="s">
        <v>27</v>
      </c>
      <c r="AD845" t="s">
        <v>28</v>
      </c>
      <c r="AE845" t="s">
        <v>25</v>
      </c>
      <c r="AF8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7.8947368421052627E-2</v>
      </c>
      <c r="AG845" t="s">
        <v>941</v>
      </c>
      <c r="AH845">
        <v>50.5</v>
      </c>
      <c r="AI845" t="s">
        <v>939</v>
      </c>
      <c r="AJ845">
        <v>2</v>
      </c>
      <c r="AK8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MIN(AJ845/8, 1) +
  Merge1[[#This Row],[index_defensive_effort]],
  2
)</f>
        <v>0.83</v>
      </c>
    </row>
    <row r="846" spans="1:37" x14ac:dyDescent="0.25">
      <c r="A846" t="s">
        <v>335</v>
      </c>
      <c r="B846" t="s">
        <v>336</v>
      </c>
      <c r="C846">
        <v>27</v>
      </c>
      <c r="D846" t="s">
        <v>22</v>
      </c>
      <c r="E846">
        <v>73</v>
      </c>
      <c r="F846">
        <v>203</v>
      </c>
      <c r="G846" t="s">
        <v>228</v>
      </c>
      <c r="H846">
        <v>2020</v>
      </c>
      <c r="I846" t="s">
        <v>33</v>
      </c>
      <c r="J846">
        <v>14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20</v>
      </c>
      <c r="T846">
        <v>1</v>
      </c>
      <c r="U846" s="5">
        <f>IF(Merge1[[#This Row],[team_defense_snaps]]=0, "", Merge1[[#This Row],[defense_snaps]] / Merge1[[#This Row],[team_defense_snaps]])</f>
        <v>1.4925373134328358E-2</v>
      </c>
      <c r="V846">
        <v>67</v>
      </c>
      <c r="W846">
        <v>19</v>
      </c>
      <c r="X846" s="5" t="s">
        <v>87</v>
      </c>
      <c r="Y846">
        <v>4</v>
      </c>
      <c r="Z846">
        <v>0</v>
      </c>
      <c r="AA846" t="s">
        <v>25</v>
      </c>
      <c r="AB846" t="s">
        <v>26</v>
      </c>
      <c r="AC846" t="s">
        <v>27</v>
      </c>
      <c r="AD846" t="s">
        <v>28</v>
      </c>
      <c r="AE846" t="s">
        <v>25</v>
      </c>
      <c r="AF8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846" t="s">
        <v>941</v>
      </c>
      <c r="AH846">
        <v>52</v>
      </c>
      <c r="AI846" t="s">
        <v>939</v>
      </c>
      <c r="AJ846">
        <v>3</v>
      </c>
      <c r="AK8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MIN(AJ846/8, 1) +
  Merge1[[#This Row],[index_defensive_effort]],
  2
)</f>
        <v>0.93</v>
      </c>
    </row>
    <row r="847" spans="1:37" x14ac:dyDescent="0.25">
      <c r="A847" t="s">
        <v>335</v>
      </c>
      <c r="B847" t="s">
        <v>336</v>
      </c>
      <c r="C847">
        <v>27</v>
      </c>
      <c r="D847" t="s">
        <v>22</v>
      </c>
      <c r="E847">
        <v>73</v>
      </c>
      <c r="F847">
        <v>203</v>
      </c>
      <c r="G847" t="s">
        <v>228</v>
      </c>
      <c r="H847">
        <v>2020</v>
      </c>
      <c r="I847" t="s">
        <v>33</v>
      </c>
      <c r="J847">
        <v>15</v>
      </c>
      <c r="K847">
        <v>0</v>
      </c>
      <c r="L847">
        <v>1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35</v>
      </c>
      <c r="T847">
        <v>13</v>
      </c>
      <c r="U847" s="5">
        <f>IF(Merge1[[#This Row],[team_defense_snaps]]=0, "", Merge1[[#This Row],[defense_snaps]] / Merge1[[#This Row],[team_defense_snaps]])</f>
        <v>0.19117647058823528</v>
      </c>
      <c r="V847">
        <v>68</v>
      </c>
      <c r="W847">
        <v>22</v>
      </c>
      <c r="X847" s="5" t="s">
        <v>95</v>
      </c>
      <c r="Y847">
        <v>4</v>
      </c>
      <c r="Z847">
        <v>0</v>
      </c>
      <c r="AA847" t="s">
        <v>25</v>
      </c>
      <c r="AB847" t="s">
        <v>26</v>
      </c>
      <c r="AC847" t="s">
        <v>27</v>
      </c>
      <c r="AD847" t="s">
        <v>28</v>
      </c>
      <c r="AE847" t="s">
        <v>25</v>
      </c>
      <c r="AF8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1.4285714285714285E-2</v>
      </c>
      <c r="AG847" t="s">
        <v>941</v>
      </c>
      <c r="AH847">
        <v>47.5</v>
      </c>
      <c r="AI847" t="s">
        <v>939</v>
      </c>
      <c r="AJ847">
        <v>4</v>
      </c>
      <c r="AK8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MIN(AJ847/8, 1) +
  Merge1[[#This Row],[index_defensive_effort]],
  2
)</f>
        <v>1.01</v>
      </c>
    </row>
    <row r="848" spans="1:37" x14ac:dyDescent="0.25">
      <c r="A848" t="s">
        <v>335</v>
      </c>
      <c r="B848" t="s">
        <v>336</v>
      </c>
      <c r="C848">
        <v>27</v>
      </c>
      <c r="D848" t="s">
        <v>22</v>
      </c>
      <c r="E848">
        <v>73</v>
      </c>
      <c r="F848">
        <v>203</v>
      </c>
      <c r="G848" t="s">
        <v>228</v>
      </c>
      <c r="H848">
        <v>2020</v>
      </c>
      <c r="I848" t="s">
        <v>33</v>
      </c>
      <c r="J848">
        <v>16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37</v>
      </c>
      <c r="T848">
        <v>14</v>
      </c>
      <c r="U848" s="5">
        <f>IF(Merge1[[#This Row],[team_defense_snaps]]=0, "", Merge1[[#This Row],[defense_snaps]] / Merge1[[#This Row],[team_defense_snaps]])</f>
        <v>0.25</v>
      </c>
      <c r="V848">
        <v>56</v>
      </c>
      <c r="W848">
        <v>23</v>
      </c>
      <c r="X848" s="5" t="s">
        <v>110</v>
      </c>
      <c r="Y848">
        <v>4</v>
      </c>
      <c r="Z848">
        <v>0</v>
      </c>
      <c r="AA848" t="s">
        <v>25</v>
      </c>
      <c r="AB848" t="s">
        <v>26</v>
      </c>
      <c r="AC848" t="s">
        <v>27</v>
      </c>
      <c r="AD848" t="s">
        <v>28</v>
      </c>
      <c r="AE848" t="s">
        <v>25</v>
      </c>
      <c r="AF8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848" t="s">
        <v>941</v>
      </c>
      <c r="AH848">
        <v>64</v>
      </c>
      <c r="AI848" t="s">
        <v>939</v>
      </c>
      <c r="AJ848">
        <v>1</v>
      </c>
      <c r="AK8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MIN(AJ848/8, 1) +
  Merge1[[#This Row],[index_defensive_effort]],
  2
)</f>
        <v>0.63</v>
      </c>
    </row>
    <row r="849" spans="1:37" x14ac:dyDescent="0.25">
      <c r="A849" t="s">
        <v>306</v>
      </c>
      <c r="B849" t="s">
        <v>307</v>
      </c>
      <c r="C849">
        <v>26</v>
      </c>
      <c r="D849" t="s">
        <v>56</v>
      </c>
      <c r="E849">
        <v>74</v>
      </c>
      <c r="F849">
        <v>205</v>
      </c>
      <c r="G849" t="s">
        <v>78</v>
      </c>
      <c r="H849">
        <v>2020</v>
      </c>
      <c r="I849" t="s">
        <v>33</v>
      </c>
      <c r="J849">
        <v>14</v>
      </c>
      <c r="K849">
        <v>2</v>
      </c>
      <c r="L849">
        <v>1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26</v>
      </c>
      <c r="T849">
        <v>14</v>
      </c>
      <c r="U849" s="5">
        <f>IF(Merge1[[#This Row],[team_defense_snaps]]=0, "", Merge1[[#This Row],[defense_snaps]] / Merge1[[#This Row],[team_defense_snaps]])</f>
        <v>0.1891891891891892</v>
      </c>
      <c r="V849">
        <v>74</v>
      </c>
      <c r="W849">
        <v>12</v>
      </c>
      <c r="X849" s="5" t="s">
        <v>232</v>
      </c>
      <c r="Y849">
        <v>3</v>
      </c>
      <c r="Z849">
        <v>0</v>
      </c>
      <c r="AA849" t="s">
        <v>25</v>
      </c>
      <c r="AB849" t="s">
        <v>26</v>
      </c>
      <c r="AC849" t="s">
        <v>27</v>
      </c>
      <c r="AD849" t="s">
        <v>28</v>
      </c>
      <c r="AE849" t="s">
        <v>25</v>
      </c>
      <c r="AF8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9.6153846153846159E-2</v>
      </c>
      <c r="AG849" t="s">
        <v>942</v>
      </c>
      <c r="AH849">
        <v>65.5</v>
      </c>
      <c r="AI849" t="s">
        <v>939</v>
      </c>
      <c r="AJ849">
        <v>1</v>
      </c>
      <c r="AK8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MIN(AJ849/8, 1) +
  Merge1[[#This Row],[index_defensive_effort]],
  2
)</f>
        <v>0.72</v>
      </c>
    </row>
    <row r="850" spans="1:37" x14ac:dyDescent="0.25">
      <c r="A850" t="s">
        <v>384</v>
      </c>
      <c r="B850" t="s">
        <v>385</v>
      </c>
      <c r="C850">
        <v>23</v>
      </c>
      <c r="D850" t="s">
        <v>22</v>
      </c>
      <c r="E850">
        <v>73</v>
      </c>
      <c r="F850">
        <v>195</v>
      </c>
      <c r="G850" t="s">
        <v>153</v>
      </c>
      <c r="H850">
        <v>2020</v>
      </c>
      <c r="I850" t="s">
        <v>33</v>
      </c>
      <c r="J850">
        <v>3</v>
      </c>
      <c r="K850">
        <v>3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50</v>
      </c>
      <c r="T850">
        <v>36</v>
      </c>
      <c r="U850" s="5">
        <f>IF(Merge1[[#This Row],[team_defense_snaps]]=0, "", Merge1[[#This Row],[defense_snaps]] / Merge1[[#This Row],[team_defense_snaps]])</f>
        <v>0.53731343283582089</v>
      </c>
      <c r="V850">
        <v>67</v>
      </c>
      <c r="W850">
        <v>14</v>
      </c>
      <c r="X850" s="5" t="s">
        <v>52</v>
      </c>
      <c r="Y850">
        <v>1</v>
      </c>
      <c r="Z850">
        <v>0</v>
      </c>
      <c r="AA850" t="s">
        <v>25</v>
      </c>
      <c r="AB850" t="s">
        <v>26</v>
      </c>
      <c r="AC850" t="s">
        <v>27</v>
      </c>
      <c r="AD850" t="s">
        <v>28</v>
      </c>
      <c r="AE850" t="s">
        <v>25</v>
      </c>
      <c r="AF8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0.06</v>
      </c>
      <c r="AG850" t="s">
        <v>941</v>
      </c>
      <c r="AH850">
        <v>72.5</v>
      </c>
      <c r="AI850" t="s">
        <v>939</v>
      </c>
      <c r="AJ850">
        <v>2</v>
      </c>
      <c r="AK8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MIN(AJ850/8, 1) +
  Merge1[[#This Row],[index_defensive_effort]],
  2
)</f>
        <v>0.71</v>
      </c>
    </row>
    <row r="851" spans="1:37" x14ac:dyDescent="0.25">
      <c r="A851" t="s">
        <v>384</v>
      </c>
      <c r="B851" t="s">
        <v>385</v>
      </c>
      <c r="C851">
        <v>23</v>
      </c>
      <c r="D851" t="s">
        <v>22</v>
      </c>
      <c r="E851">
        <v>73</v>
      </c>
      <c r="F851">
        <v>195</v>
      </c>
      <c r="G851" t="s">
        <v>153</v>
      </c>
      <c r="H851">
        <v>2020</v>
      </c>
      <c r="I851" t="s">
        <v>33</v>
      </c>
      <c r="J851">
        <v>4</v>
      </c>
      <c r="K851">
        <v>4</v>
      </c>
      <c r="L851">
        <v>5</v>
      </c>
      <c r="M851">
        <v>1</v>
      </c>
      <c r="N851">
        <v>6</v>
      </c>
      <c r="O851">
        <v>0</v>
      </c>
      <c r="P851">
        <v>0</v>
      </c>
      <c r="Q851">
        <v>0</v>
      </c>
      <c r="R851">
        <v>0</v>
      </c>
      <c r="S851">
        <v>66</v>
      </c>
      <c r="T851">
        <v>59</v>
      </c>
      <c r="U851" s="5">
        <f>IF(Merge1[[#This Row],[team_defense_snaps]]=0, "", Merge1[[#This Row],[defense_snaps]] / Merge1[[#This Row],[team_defense_snaps]])</f>
        <v>0.77631578947368418</v>
      </c>
      <c r="V851">
        <v>76</v>
      </c>
      <c r="W851">
        <v>7</v>
      </c>
      <c r="X851" s="5" t="s">
        <v>261</v>
      </c>
      <c r="Y851">
        <v>1</v>
      </c>
      <c r="Z851">
        <v>0</v>
      </c>
      <c r="AA851" t="s">
        <v>25</v>
      </c>
      <c r="AB851" t="s">
        <v>26</v>
      </c>
      <c r="AC851" t="s">
        <v>27</v>
      </c>
      <c r="AD851" t="s">
        <v>42</v>
      </c>
      <c r="AE851" t="s">
        <v>25</v>
      </c>
      <c r="AF8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0.10606060606060606</v>
      </c>
      <c r="AG851" t="s">
        <v>941</v>
      </c>
      <c r="AH851">
        <v>90.5</v>
      </c>
      <c r="AI851" t="s">
        <v>939</v>
      </c>
      <c r="AJ851">
        <v>3</v>
      </c>
      <c r="AK8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MIN(AJ851/8, 1) +
  Merge1[[#This Row],[index_defensive_effort]],
  2
)</f>
        <v>0.88</v>
      </c>
    </row>
    <row r="852" spans="1:37" x14ac:dyDescent="0.25">
      <c r="A852" t="s">
        <v>384</v>
      </c>
      <c r="B852" t="s">
        <v>385</v>
      </c>
      <c r="C852">
        <v>23</v>
      </c>
      <c r="D852" t="s">
        <v>22</v>
      </c>
      <c r="E852">
        <v>73</v>
      </c>
      <c r="F852">
        <v>195</v>
      </c>
      <c r="G852" t="s">
        <v>153</v>
      </c>
      <c r="H852">
        <v>2020</v>
      </c>
      <c r="I852" t="s">
        <v>33</v>
      </c>
      <c r="J852">
        <v>5</v>
      </c>
      <c r="K852">
        <v>3</v>
      </c>
      <c r="L852">
        <v>1</v>
      </c>
      <c r="M852">
        <v>1</v>
      </c>
      <c r="N852">
        <v>2</v>
      </c>
      <c r="O852">
        <v>0</v>
      </c>
      <c r="P852">
        <v>0</v>
      </c>
      <c r="Q852">
        <v>0</v>
      </c>
      <c r="R852">
        <v>0</v>
      </c>
      <c r="S852">
        <v>71</v>
      </c>
      <c r="T852">
        <v>68</v>
      </c>
      <c r="U852" s="5">
        <f>IF(Merge1[[#This Row],[team_defense_snaps]]=0, "", Merge1[[#This Row],[defense_snaps]] / Merge1[[#This Row],[team_defense_snaps]])</f>
        <v>0.98550724637681164</v>
      </c>
      <c r="V852">
        <v>69</v>
      </c>
      <c r="W852">
        <v>3</v>
      </c>
      <c r="X852" s="5" t="s">
        <v>251</v>
      </c>
      <c r="Y852">
        <v>1</v>
      </c>
      <c r="Z852">
        <v>0</v>
      </c>
      <c r="AA852" t="s">
        <v>25</v>
      </c>
      <c r="AB852" t="s">
        <v>26</v>
      </c>
      <c r="AC852" t="s">
        <v>27</v>
      </c>
      <c r="AD852" t="s">
        <v>42</v>
      </c>
      <c r="AE852" t="s">
        <v>25</v>
      </c>
      <c r="AF8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5.6338028169014086E-2</v>
      </c>
      <c r="AG852" t="s">
        <v>941</v>
      </c>
      <c r="AH852">
        <v>92</v>
      </c>
      <c r="AI852" t="s">
        <v>939</v>
      </c>
      <c r="AJ852">
        <v>4</v>
      </c>
      <c r="AK8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MIN(AJ852/8, 1) +
  Merge1[[#This Row],[index_defensive_effort]],
  2
)</f>
        <v>0.96</v>
      </c>
    </row>
    <row r="853" spans="1:37" x14ac:dyDescent="0.25">
      <c r="A853" t="s">
        <v>384</v>
      </c>
      <c r="B853" t="s">
        <v>385</v>
      </c>
      <c r="C853">
        <v>23</v>
      </c>
      <c r="D853" t="s">
        <v>22</v>
      </c>
      <c r="E853">
        <v>73</v>
      </c>
      <c r="F853">
        <v>195</v>
      </c>
      <c r="G853" t="s">
        <v>153</v>
      </c>
      <c r="H853">
        <v>2020</v>
      </c>
      <c r="I853" t="s">
        <v>33</v>
      </c>
      <c r="J853">
        <v>6</v>
      </c>
      <c r="K853">
        <v>3</v>
      </c>
      <c r="L853">
        <v>1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91</v>
      </c>
      <c r="T853">
        <v>84</v>
      </c>
      <c r="U853" s="5">
        <f>IF(Merge1[[#This Row],[team_defense_snaps]]=0, "", Merge1[[#This Row],[defense_snaps]] / Merge1[[#This Row],[team_defense_snaps]])</f>
        <v>0.9438202247191011</v>
      </c>
      <c r="V853">
        <v>89</v>
      </c>
      <c r="W853">
        <v>7</v>
      </c>
      <c r="X853" s="5" t="s">
        <v>136</v>
      </c>
      <c r="Y853">
        <v>1</v>
      </c>
      <c r="Z853">
        <v>0</v>
      </c>
      <c r="AA853" t="s">
        <v>25</v>
      </c>
      <c r="AB853" t="s">
        <v>26</v>
      </c>
      <c r="AC853" t="s">
        <v>27</v>
      </c>
      <c r="AD853" t="s">
        <v>42</v>
      </c>
      <c r="AE853" t="s">
        <v>25</v>
      </c>
      <c r="AF8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3.8461538461538464E-2</v>
      </c>
      <c r="AG853" t="s">
        <v>941</v>
      </c>
      <c r="AH853">
        <v>87.5</v>
      </c>
      <c r="AI853" t="s">
        <v>939</v>
      </c>
      <c r="AJ853">
        <v>5</v>
      </c>
      <c r="AK8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MIN(AJ853/8, 1) +
  Merge1[[#This Row],[index_defensive_effort]],
  2
)</f>
        <v>1.06</v>
      </c>
    </row>
    <row r="854" spans="1:37" x14ac:dyDescent="0.25">
      <c r="A854" t="s">
        <v>384</v>
      </c>
      <c r="B854" t="s">
        <v>385</v>
      </c>
      <c r="C854">
        <v>23</v>
      </c>
      <c r="D854" t="s">
        <v>22</v>
      </c>
      <c r="E854">
        <v>73</v>
      </c>
      <c r="F854">
        <v>195</v>
      </c>
      <c r="G854" t="s">
        <v>153</v>
      </c>
      <c r="H854">
        <v>2020</v>
      </c>
      <c r="I854" t="s">
        <v>33</v>
      </c>
      <c r="J854">
        <v>7</v>
      </c>
      <c r="K854">
        <v>3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75</v>
      </c>
      <c r="T854">
        <v>72</v>
      </c>
      <c r="U854" s="5">
        <f>IF(Merge1[[#This Row],[team_defense_snaps]]=0, "", Merge1[[#This Row],[defense_snaps]] / Merge1[[#This Row],[team_defense_snaps]])</f>
        <v>0.8571428571428571</v>
      </c>
      <c r="V854">
        <v>84</v>
      </c>
      <c r="W854">
        <v>3</v>
      </c>
      <c r="X854" s="5" t="s">
        <v>250</v>
      </c>
      <c r="Y854">
        <v>1</v>
      </c>
      <c r="Z854">
        <v>0</v>
      </c>
      <c r="AA854" t="s">
        <v>25</v>
      </c>
      <c r="AB854" t="s">
        <v>26</v>
      </c>
      <c r="AC854" t="s">
        <v>27</v>
      </c>
      <c r="AD854" t="s">
        <v>42</v>
      </c>
      <c r="AE854" t="s">
        <v>25</v>
      </c>
      <c r="AF8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854" t="s">
        <v>941</v>
      </c>
      <c r="AH854">
        <v>86</v>
      </c>
      <c r="AI854" t="s">
        <v>939</v>
      </c>
      <c r="AJ854">
        <v>1</v>
      </c>
      <c r="AK8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MIN(AJ854/8, 1) +
  Merge1[[#This Row],[index_defensive_effort]],
  2
)</f>
        <v>0.59</v>
      </c>
    </row>
    <row r="855" spans="1:37" x14ac:dyDescent="0.25">
      <c r="A855" t="s">
        <v>384</v>
      </c>
      <c r="B855" t="s">
        <v>385</v>
      </c>
      <c r="C855">
        <v>23</v>
      </c>
      <c r="D855" t="s">
        <v>22</v>
      </c>
      <c r="E855">
        <v>73</v>
      </c>
      <c r="F855">
        <v>195</v>
      </c>
      <c r="G855" t="s">
        <v>153</v>
      </c>
      <c r="H855">
        <v>2020</v>
      </c>
      <c r="I855" t="s">
        <v>33</v>
      </c>
      <c r="J855">
        <v>16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15</v>
      </c>
      <c r="T855">
        <v>4</v>
      </c>
      <c r="U855" s="5">
        <f>IF(Merge1[[#This Row],[team_defense_snaps]]=0, "", Merge1[[#This Row],[defense_snaps]] / Merge1[[#This Row],[team_defense_snaps]])</f>
        <v>7.0175438596491224E-2</v>
      </c>
      <c r="V855">
        <v>57</v>
      </c>
      <c r="W855">
        <v>11</v>
      </c>
      <c r="X855" s="5" t="s">
        <v>260</v>
      </c>
      <c r="Y855">
        <v>1</v>
      </c>
      <c r="Z855">
        <v>0</v>
      </c>
      <c r="AA855" t="s">
        <v>25</v>
      </c>
      <c r="AB855" t="s">
        <v>26</v>
      </c>
      <c r="AC855" t="s">
        <v>27</v>
      </c>
      <c r="AD855" t="s">
        <v>28</v>
      </c>
      <c r="AE855" t="s">
        <v>25</v>
      </c>
      <c r="AF8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855" t="s">
        <v>941</v>
      </c>
      <c r="AH855">
        <v>89</v>
      </c>
      <c r="AI855" t="s">
        <v>939</v>
      </c>
      <c r="AJ855">
        <v>1</v>
      </c>
      <c r="AK8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MIN(AJ855/8, 1) +
  Merge1[[#This Row],[index_defensive_effort]],
  2
)</f>
        <v>0.53</v>
      </c>
    </row>
    <row r="856" spans="1:37" x14ac:dyDescent="0.25">
      <c r="A856" t="s">
        <v>328</v>
      </c>
      <c r="B856" t="s">
        <v>329</v>
      </c>
      <c r="C856">
        <v>25</v>
      </c>
      <c r="D856" t="s">
        <v>22</v>
      </c>
      <c r="E856">
        <v>73</v>
      </c>
      <c r="F856">
        <v>216</v>
      </c>
      <c r="G856" t="s">
        <v>330</v>
      </c>
      <c r="H856">
        <v>2020</v>
      </c>
      <c r="I856" t="s">
        <v>33</v>
      </c>
      <c r="J856">
        <v>1</v>
      </c>
      <c r="K856">
        <v>6</v>
      </c>
      <c r="L856">
        <v>0</v>
      </c>
      <c r="M856">
        <v>0</v>
      </c>
      <c r="N856">
        <v>0</v>
      </c>
      <c r="O856">
        <v>0</v>
      </c>
      <c r="P856">
        <v>2</v>
      </c>
      <c r="Q856">
        <v>0</v>
      </c>
      <c r="R856">
        <v>0</v>
      </c>
      <c r="S856">
        <v>15</v>
      </c>
      <c r="T856">
        <v>0</v>
      </c>
      <c r="U856" s="5">
        <f>IF(Merge1[[#This Row],[team_defense_snaps]]=0, "", Merge1[[#This Row],[defense_snaps]] / Merge1[[#This Row],[team_defense_snaps]])</f>
        <v>0</v>
      </c>
      <c r="V856">
        <v>80</v>
      </c>
      <c r="W856">
        <v>15</v>
      </c>
      <c r="X856" s="5" t="s">
        <v>52</v>
      </c>
      <c r="Y856">
        <v>3</v>
      </c>
      <c r="Z856">
        <v>0</v>
      </c>
      <c r="AA856" t="s">
        <v>25</v>
      </c>
      <c r="AB856" t="s">
        <v>26</v>
      </c>
      <c r="AC856" t="s">
        <v>27</v>
      </c>
      <c r="AD856" t="s">
        <v>28</v>
      </c>
      <c r="AE856" t="s">
        <v>25</v>
      </c>
      <c r="AF8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0.66666666666666663</v>
      </c>
      <c r="AG856" t="s">
        <v>942</v>
      </c>
      <c r="AH856">
        <v>68.5</v>
      </c>
      <c r="AI856" t="s">
        <v>939</v>
      </c>
      <c r="AJ856">
        <v>2</v>
      </c>
      <c r="AK8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MIN(AJ856/8, 1) +
  Merge1[[#This Row],[index_defensive_effort]],
  2
)</f>
        <v>1.42</v>
      </c>
    </row>
    <row r="857" spans="1:37" x14ac:dyDescent="0.25">
      <c r="A857" t="s">
        <v>328</v>
      </c>
      <c r="B857" t="s">
        <v>329</v>
      </c>
      <c r="C857">
        <v>25</v>
      </c>
      <c r="D857" t="s">
        <v>22</v>
      </c>
      <c r="E857">
        <v>73</v>
      </c>
      <c r="F857">
        <v>216</v>
      </c>
      <c r="G857" t="s">
        <v>330</v>
      </c>
      <c r="H857">
        <v>2020</v>
      </c>
      <c r="I857" t="s">
        <v>33</v>
      </c>
      <c r="J857">
        <v>2</v>
      </c>
      <c r="K857">
        <v>3</v>
      </c>
      <c r="L857">
        <v>2</v>
      </c>
      <c r="M857">
        <v>0</v>
      </c>
      <c r="N857">
        <v>2</v>
      </c>
      <c r="O857">
        <v>0</v>
      </c>
      <c r="P857">
        <v>0</v>
      </c>
      <c r="Q857">
        <v>0</v>
      </c>
      <c r="R857">
        <v>0</v>
      </c>
      <c r="S857">
        <v>22</v>
      </c>
      <c r="T857">
        <v>0</v>
      </c>
      <c r="U857" s="5">
        <f>IF(Merge1[[#This Row],[team_defense_snaps]]=0, "", Merge1[[#This Row],[defense_snaps]] / Merge1[[#This Row],[team_defense_snaps]])</f>
        <v>0</v>
      </c>
      <c r="V857">
        <v>72</v>
      </c>
      <c r="W857">
        <v>22</v>
      </c>
      <c r="X857" s="5" t="s">
        <v>49</v>
      </c>
      <c r="Y857">
        <v>3</v>
      </c>
      <c r="Z857">
        <v>0</v>
      </c>
      <c r="AA857" t="s">
        <v>25</v>
      </c>
      <c r="AB857" t="s">
        <v>26</v>
      </c>
      <c r="AC857" t="s">
        <v>27</v>
      </c>
      <c r="AD857" t="s">
        <v>28</v>
      </c>
      <c r="AE857" t="s">
        <v>25</v>
      </c>
      <c r="AF8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0.18181818181818182</v>
      </c>
      <c r="AG857" t="s">
        <v>942</v>
      </c>
      <c r="AH857">
        <v>70</v>
      </c>
      <c r="AI857" t="s">
        <v>939</v>
      </c>
      <c r="AJ857">
        <v>1</v>
      </c>
      <c r="AK8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MIN(AJ857/8, 1) +
  Merge1[[#This Row],[index_defensive_effort]],
  2
)</f>
        <v>0.81</v>
      </c>
    </row>
    <row r="858" spans="1:37" x14ac:dyDescent="0.25">
      <c r="A858" t="s">
        <v>390</v>
      </c>
      <c r="B858" t="s">
        <v>391</v>
      </c>
      <c r="C858">
        <v>23</v>
      </c>
      <c r="D858" t="s">
        <v>56</v>
      </c>
      <c r="E858">
        <v>71</v>
      </c>
      <c r="F858">
        <v>190</v>
      </c>
      <c r="G858" t="s">
        <v>47</v>
      </c>
      <c r="H858">
        <v>2020</v>
      </c>
      <c r="I858" t="s">
        <v>33</v>
      </c>
      <c r="J858">
        <v>1</v>
      </c>
      <c r="K858">
        <v>3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65</v>
      </c>
      <c r="T858">
        <v>59</v>
      </c>
      <c r="U858" s="5">
        <f>IF(Merge1[[#This Row],[team_defense_snaps]]=0, "", Merge1[[#This Row],[defense_snaps]] / Merge1[[#This Row],[team_defense_snaps]])</f>
        <v>0.98333333333333328</v>
      </c>
      <c r="V858">
        <v>60</v>
      </c>
      <c r="W858">
        <v>6</v>
      </c>
      <c r="X858" s="5" t="s">
        <v>135</v>
      </c>
      <c r="Y858">
        <v>2</v>
      </c>
      <c r="Z858">
        <v>0</v>
      </c>
      <c r="AA858" t="s">
        <v>25</v>
      </c>
      <c r="AB858" t="s">
        <v>26</v>
      </c>
      <c r="AC858" t="s">
        <v>27</v>
      </c>
      <c r="AD858" t="s">
        <v>42</v>
      </c>
      <c r="AE858" t="s">
        <v>25</v>
      </c>
      <c r="AF8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4.6153846153846156E-2</v>
      </c>
      <c r="AG858" t="s">
        <v>941</v>
      </c>
      <c r="AH858">
        <v>59.5</v>
      </c>
      <c r="AI858" t="s">
        <v>939</v>
      </c>
      <c r="AJ858">
        <v>2</v>
      </c>
      <c r="AK8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MIN(AJ858/8, 1) +
  Merge1[[#This Row],[index_defensive_effort]],
  2
)</f>
        <v>0.7</v>
      </c>
    </row>
    <row r="859" spans="1:37" x14ac:dyDescent="0.25">
      <c r="A859" t="s">
        <v>390</v>
      </c>
      <c r="B859" t="s">
        <v>391</v>
      </c>
      <c r="C859">
        <v>23</v>
      </c>
      <c r="D859" t="s">
        <v>56</v>
      </c>
      <c r="E859">
        <v>71</v>
      </c>
      <c r="F859">
        <v>190</v>
      </c>
      <c r="G859" t="s">
        <v>47</v>
      </c>
      <c r="H859">
        <v>2020</v>
      </c>
      <c r="I859" t="s">
        <v>33</v>
      </c>
      <c r="J859">
        <v>2</v>
      </c>
      <c r="K859">
        <v>2</v>
      </c>
      <c r="L859">
        <v>1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97</v>
      </c>
      <c r="T859">
        <v>91</v>
      </c>
      <c r="U859" s="5">
        <f>IF(Merge1[[#This Row],[team_defense_snaps]]=0, "", Merge1[[#This Row],[defense_snaps]] / Merge1[[#This Row],[team_defense_snaps]])</f>
        <v>0.98913043478260865</v>
      </c>
      <c r="V859">
        <v>92</v>
      </c>
      <c r="W859">
        <v>6</v>
      </c>
      <c r="X859" s="5" t="s">
        <v>139</v>
      </c>
      <c r="Y859">
        <v>2</v>
      </c>
      <c r="Z859">
        <v>0</v>
      </c>
      <c r="AA859" t="s">
        <v>25</v>
      </c>
      <c r="AB859" t="s">
        <v>26</v>
      </c>
      <c r="AC859" t="s">
        <v>27</v>
      </c>
      <c r="AD859" t="s">
        <v>42</v>
      </c>
      <c r="AE859" t="s">
        <v>25</v>
      </c>
      <c r="AF8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2.5773195876288658E-2</v>
      </c>
      <c r="AG859" t="s">
        <v>941</v>
      </c>
      <c r="AH859">
        <v>62.5</v>
      </c>
      <c r="AI859" t="s">
        <v>939</v>
      </c>
      <c r="AJ859">
        <v>3</v>
      </c>
      <c r="AK8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MIN(AJ859/8, 1) +
  Merge1[[#This Row],[index_defensive_effort]],
  2
)</f>
        <v>0.8</v>
      </c>
    </row>
    <row r="860" spans="1:37" x14ac:dyDescent="0.25">
      <c r="A860" t="s">
        <v>390</v>
      </c>
      <c r="B860" t="s">
        <v>391</v>
      </c>
      <c r="C860">
        <v>23</v>
      </c>
      <c r="D860" t="s">
        <v>56</v>
      </c>
      <c r="E860">
        <v>71</v>
      </c>
      <c r="F860">
        <v>190</v>
      </c>
      <c r="G860" t="s">
        <v>47</v>
      </c>
      <c r="H860">
        <v>2020</v>
      </c>
      <c r="I860" t="s">
        <v>33</v>
      </c>
      <c r="J860">
        <v>3</v>
      </c>
      <c r="K860">
        <v>1</v>
      </c>
      <c r="L860">
        <v>1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30</v>
      </c>
      <c r="T860">
        <v>29</v>
      </c>
      <c r="U860" s="5">
        <f>IF(Merge1[[#This Row],[team_defense_snaps]]=0, "", Merge1[[#This Row],[defense_snaps]] / Merge1[[#This Row],[team_defense_snaps]])</f>
        <v>0.43283582089552236</v>
      </c>
      <c r="V860">
        <v>67</v>
      </c>
      <c r="W860">
        <v>1</v>
      </c>
      <c r="X860" s="5" t="s">
        <v>193</v>
      </c>
      <c r="Y860">
        <v>2</v>
      </c>
      <c r="Z860">
        <v>0</v>
      </c>
      <c r="AA860" t="s">
        <v>25</v>
      </c>
      <c r="AB860" t="s">
        <v>36</v>
      </c>
      <c r="AC860" t="s">
        <v>50</v>
      </c>
      <c r="AD860" t="s">
        <v>42</v>
      </c>
      <c r="AE860" t="s">
        <v>25</v>
      </c>
      <c r="AF8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860" t="s">
        <v>941</v>
      </c>
      <c r="AH860">
        <v>68.5</v>
      </c>
      <c r="AI860" t="s">
        <v>939</v>
      </c>
      <c r="AJ860">
        <v>4</v>
      </c>
      <c r="AK8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MIN(AJ860/8, 1) +
  Merge1[[#This Row],[index_defensive_effort]],
  2
)</f>
        <v>0.95</v>
      </c>
    </row>
    <row r="861" spans="1:37" x14ac:dyDescent="0.25">
      <c r="A861" t="s">
        <v>390</v>
      </c>
      <c r="B861" t="s">
        <v>391</v>
      </c>
      <c r="C861">
        <v>23</v>
      </c>
      <c r="D861" t="s">
        <v>56</v>
      </c>
      <c r="E861">
        <v>71</v>
      </c>
      <c r="F861">
        <v>190</v>
      </c>
      <c r="G861" t="s">
        <v>47</v>
      </c>
      <c r="H861">
        <v>2020</v>
      </c>
      <c r="I861" t="s">
        <v>33</v>
      </c>
      <c r="J861">
        <v>4</v>
      </c>
      <c r="K861">
        <v>6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2</v>
      </c>
      <c r="R861">
        <v>0</v>
      </c>
      <c r="S861">
        <v>84</v>
      </c>
      <c r="T861">
        <v>82</v>
      </c>
      <c r="U861" s="5">
        <f>IF(Merge1[[#This Row],[team_defense_snaps]]=0, "", Merge1[[#This Row],[defense_snaps]] / Merge1[[#This Row],[team_defense_snaps]])</f>
        <v>0.96470588235294119</v>
      </c>
      <c r="V861">
        <v>85</v>
      </c>
      <c r="W861">
        <v>2</v>
      </c>
      <c r="X861" s="5" t="s">
        <v>114</v>
      </c>
      <c r="Y861">
        <v>2</v>
      </c>
      <c r="Z861">
        <v>0</v>
      </c>
      <c r="AA861" t="s">
        <v>25</v>
      </c>
      <c r="AB861" t="s">
        <v>36</v>
      </c>
      <c r="AC861" t="s">
        <v>50</v>
      </c>
      <c r="AD861" t="s">
        <v>42</v>
      </c>
      <c r="AE861" t="s">
        <v>25</v>
      </c>
      <c r="AF8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AG861" t="s">
        <v>941</v>
      </c>
      <c r="AH861">
        <v>67</v>
      </c>
      <c r="AI861" t="s">
        <v>939</v>
      </c>
      <c r="AJ861">
        <v>5</v>
      </c>
      <c r="AK8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MIN(AJ861/8, 1) +
  Merge1[[#This Row],[index_defensive_effort]],
  2
)</f>
        <v>1.19</v>
      </c>
    </row>
    <row r="862" spans="1:37" x14ac:dyDescent="0.25">
      <c r="A862" t="s">
        <v>390</v>
      </c>
      <c r="B862" t="s">
        <v>391</v>
      </c>
      <c r="C862">
        <v>23</v>
      </c>
      <c r="D862" t="s">
        <v>56</v>
      </c>
      <c r="E862">
        <v>71</v>
      </c>
      <c r="F862">
        <v>190</v>
      </c>
      <c r="G862" t="s">
        <v>47</v>
      </c>
      <c r="H862">
        <v>2020</v>
      </c>
      <c r="I862" t="s">
        <v>33</v>
      </c>
      <c r="J862">
        <v>5</v>
      </c>
      <c r="K862">
        <v>4</v>
      </c>
      <c r="L862">
        <v>1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61</v>
      </c>
      <c r="T862">
        <v>56</v>
      </c>
      <c r="U862" s="5">
        <f>IF(Merge1[[#This Row],[team_defense_snaps]]=0, "", Merge1[[#This Row],[defense_snaps]] / Merge1[[#This Row],[team_defense_snaps]])</f>
        <v>1</v>
      </c>
      <c r="V862">
        <v>56</v>
      </c>
      <c r="W862">
        <v>5</v>
      </c>
      <c r="X862" s="5" t="s">
        <v>181</v>
      </c>
      <c r="Y862">
        <v>2</v>
      </c>
      <c r="Z862">
        <v>0</v>
      </c>
      <c r="AA862" t="s">
        <v>25</v>
      </c>
      <c r="AB862" t="s">
        <v>26</v>
      </c>
      <c r="AC862" t="s">
        <v>27</v>
      </c>
      <c r="AD862" t="s">
        <v>42</v>
      </c>
      <c r="AE862" t="s">
        <v>25</v>
      </c>
      <c r="AF8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7.3770491803278687E-2</v>
      </c>
      <c r="AG862" t="s">
        <v>941</v>
      </c>
      <c r="AH862">
        <v>70</v>
      </c>
      <c r="AI862" t="s">
        <v>939</v>
      </c>
      <c r="AJ862">
        <v>6</v>
      </c>
      <c r="AK8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MIN(AJ862/8, 1) +
  Merge1[[#This Row],[index_defensive_effort]],
  2
)</f>
        <v>1.22</v>
      </c>
    </row>
    <row r="863" spans="1:37" x14ac:dyDescent="0.25">
      <c r="A863" t="s">
        <v>390</v>
      </c>
      <c r="B863" t="s">
        <v>391</v>
      </c>
      <c r="C863">
        <v>23</v>
      </c>
      <c r="D863" t="s">
        <v>56</v>
      </c>
      <c r="E863">
        <v>71</v>
      </c>
      <c r="F863">
        <v>190</v>
      </c>
      <c r="G863" t="s">
        <v>47</v>
      </c>
      <c r="H863">
        <v>2020</v>
      </c>
      <c r="I863" t="s">
        <v>33</v>
      </c>
      <c r="J863">
        <v>6</v>
      </c>
      <c r="K863">
        <v>1</v>
      </c>
      <c r="L863">
        <v>2</v>
      </c>
      <c r="M863">
        <v>0</v>
      </c>
      <c r="N863">
        <v>2</v>
      </c>
      <c r="O863">
        <v>0</v>
      </c>
      <c r="P863">
        <v>0</v>
      </c>
      <c r="Q863">
        <v>0</v>
      </c>
      <c r="R863">
        <v>0</v>
      </c>
      <c r="S863">
        <v>71</v>
      </c>
      <c r="T863">
        <v>65</v>
      </c>
      <c r="U863" s="5">
        <f>IF(Merge1[[#This Row],[team_defense_snaps]]=0, "", Merge1[[#This Row],[defense_snaps]] / Merge1[[#This Row],[team_defense_snaps]])</f>
        <v>1</v>
      </c>
      <c r="V863">
        <v>65</v>
      </c>
      <c r="W863">
        <v>6</v>
      </c>
      <c r="X863" s="5" t="s">
        <v>139</v>
      </c>
      <c r="Y863">
        <v>2</v>
      </c>
      <c r="Z863">
        <v>0</v>
      </c>
      <c r="AA863" t="s">
        <v>25</v>
      </c>
      <c r="AB863" t="s">
        <v>26</v>
      </c>
      <c r="AC863" t="s">
        <v>27</v>
      </c>
      <c r="AD863" t="s">
        <v>42</v>
      </c>
      <c r="AE863" t="s">
        <v>25</v>
      </c>
      <c r="AF8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2.8169014084507043E-2</v>
      </c>
      <c r="AG863" t="s">
        <v>941</v>
      </c>
      <c r="AH863">
        <v>49</v>
      </c>
      <c r="AI863" t="s">
        <v>939</v>
      </c>
      <c r="AJ863">
        <v>7</v>
      </c>
      <c r="AK8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MIN(AJ863/8, 1) +
  Merge1[[#This Row],[index_defensive_effort]],
  2
)</f>
        <v>1.3</v>
      </c>
    </row>
    <row r="864" spans="1:37" x14ac:dyDescent="0.25">
      <c r="A864" t="s">
        <v>390</v>
      </c>
      <c r="B864" t="s">
        <v>391</v>
      </c>
      <c r="C864">
        <v>23</v>
      </c>
      <c r="D864" t="s">
        <v>56</v>
      </c>
      <c r="E864">
        <v>71</v>
      </c>
      <c r="F864">
        <v>190</v>
      </c>
      <c r="G864" t="s">
        <v>47</v>
      </c>
      <c r="H864">
        <v>2020</v>
      </c>
      <c r="I864" t="s">
        <v>33</v>
      </c>
      <c r="J864">
        <v>7</v>
      </c>
      <c r="K864">
        <v>7</v>
      </c>
      <c r="L864">
        <v>1</v>
      </c>
      <c r="M864">
        <v>0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81</v>
      </c>
      <c r="T864">
        <v>75</v>
      </c>
      <c r="U864" s="5">
        <f>IF(Merge1[[#This Row],[team_defense_snaps]]=0, "", Merge1[[#This Row],[defense_snaps]] / Merge1[[#This Row],[team_defense_snaps]])</f>
        <v>0.98684210526315785</v>
      </c>
      <c r="V864">
        <v>76</v>
      </c>
      <c r="W864">
        <v>6</v>
      </c>
      <c r="X864" s="5" t="s">
        <v>293</v>
      </c>
      <c r="Y864">
        <v>2</v>
      </c>
      <c r="Z864">
        <v>0</v>
      </c>
      <c r="AA864" t="s">
        <v>25</v>
      </c>
      <c r="AB864" t="s">
        <v>26</v>
      </c>
      <c r="AC864" t="s">
        <v>27</v>
      </c>
      <c r="AD864" t="s">
        <v>42</v>
      </c>
      <c r="AE864" t="s">
        <v>25</v>
      </c>
      <c r="AF8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0.1419753086419753</v>
      </c>
      <c r="AG864" t="s">
        <v>941</v>
      </c>
      <c r="AH864">
        <v>56.5</v>
      </c>
      <c r="AI864" t="s">
        <v>939</v>
      </c>
      <c r="AJ864">
        <v>8</v>
      </c>
      <c r="AK8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MIN(AJ864/8, 1) +
  Merge1[[#This Row],[index_defensive_effort]],
  2
)</f>
        <v>1.54</v>
      </c>
    </row>
    <row r="865" spans="1:37" x14ac:dyDescent="0.25">
      <c r="A865" t="s">
        <v>390</v>
      </c>
      <c r="B865" t="s">
        <v>391</v>
      </c>
      <c r="C865">
        <v>23</v>
      </c>
      <c r="D865" t="s">
        <v>56</v>
      </c>
      <c r="E865">
        <v>71</v>
      </c>
      <c r="F865">
        <v>190</v>
      </c>
      <c r="G865" t="s">
        <v>47</v>
      </c>
      <c r="H865">
        <v>2020</v>
      </c>
      <c r="I865" t="s">
        <v>33</v>
      </c>
      <c r="J865">
        <v>8</v>
      </c>
      <c r="K865">
        <v>3</v>
      </c>
      <c r="L865">
        <v>1</v>
      </c>
      <c r="M865">
        <v>1</v>
      </c>
      <c r="N865">
        <v>2</v>
      </c>
      <c r="O865">
        <v>0</v>
      </c>
      <c r="P865">
        <v>0</v>
      </c>
      <c r="Q865">
        <v>0</v>
      </c>
      <c r="R865">
        <v>2</v>
      </c>
      <c r="S865">
        <v>75</v>
      </c>
      <c r="T865">
        <v>70</v>
      </c>
      <c r="U865" s="5">
        <f>IF(Merge1[[#This Row],[team_defense_snaps]]=0, "", Merge1[[#This Row],[defense_snaps]] / Merge1[[#This Row],[team_defense_snaps]])</f>
        <v>0.93333333333333335</v>
      </c>
      <c r="V865">
        <v>75</v>
      </c>
      <c r="W865">
        <v>5</v>
      </c>
      <c r="X865" s="5" t="s">
        <v>261</v>
      </c>
      <c r="Y865">
        <v>2</v>
      </c>
      <c r="Z865">
        <v>0</v>
      </c>
      <c r="AA865" t="s">
        <v>25</v>
      </c>
      <c r="AB865" t="s">
        <v>26</v>
      </c>
      <c r="AC865" t="s">
        <v>27</v>
      </c>
      <c r="AD865" t="s">
        <v>42</v>
      </c>
      <c r="AE865" t="s">
        <v>25</v>
      </c>
      <c r="AF8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0.10666666666666667</v>
      </c>
      <c r="AG865" t="s">
        <v>941</v>
      </c>
      <c r="AH865">
        <v>50</v>
      </c>
      <c r="AI865" t="s">
        <v>939</v>
      </c>
      <c r="AJ865">
        <v>1</v>
      </c>
      <c r="AK8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MIN(AJ865/8, 1) +
  Merge1[[#This Row],[index_defensive_effort]],
  2
)</f>
        <v>0.63</v>
      </c>
    </row>
    <row r="866" spans="1:37" x14ac:dyDescent="0.25">
      <c r="A866" t="s">
        <v>390</v>
      </c>
      <c r="B866" t="s">
        <v>391</v>
      </c>
      <c r="C866">
        <v>23</v>
      </c>
      <c r="D866" t="s">
        <v>56</v>
      </c>
      <c r="E866">
        <v>71</v>
      </c>
      <c r="F866">
        <v>190</v>
      </c>
      <c r="G866" t="s">
        <v>47</v>
      </c>
      <c r="H866">
        <v>2020</v>
      </c>
      <c r="I866" t="s">
        <v>33</v>
      </c>
      <c r="J866">
        <v>10</v>
      </c>
      <c r="K866">
        <v>5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60</v>
      </c>
      <c r="T866">
        <v>57</v>
      </c>
      <c r="U866" s="5">
        <f>IF(Merge1[[#This Row],[team_defense_snaps]]=0, "", Merge1[[#This Row],[defense_snaps]] / Merge1[[#This Row],[team_defense_snaps]])</f>
        <v>1</v>
      </c>
      <c r="V866">
        <v>57</v>
      </c>
      <c r="W866">
        <v>3</v>
      </c>
      <c r="X866" s="5" t="s">
        <v>181</v>
      </c>
      <c r="Y866">
        <v>2</v>
      </c>
      <c r="Z866">
        <v>0</v>
      </c>
      <c r="AA866" t="s">
        <v>25</v>
      </c>
      <c r="AB866" t="s">
        <v>26</v>
      </c>
      <c r="AC866" t="s">
        <v>27</v>
      </c>
      <c r="AD866" t="s">
        <v>42</v>
      </c>
      <c r="AE866" t="s">
        <v>25</v>
      </c>
      <c r="AF8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866" t="s">
        <v>941</v>
      </c>
      <c r="AH866">
        <v>61</v>
      </c>
      <c r="AI866" t="s">
        <v>939</v>
      </c>
      <c r="AJ866">
        <v>2</v>
      </c>
      <c r="AK8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MIN(AJ866/8, 1) +
  Merge1[[#This Row],[index_defensive_effort]],
  2
)</f>
        <v>0.73</v>
      </c>
    </row>
    <row r="867" spans="1:37" x14ac:dyDescent="0.25">
      <c r="A867" t="s">
        <v>390</v>
      </c>
      <c r="B867" t="s">
        <v>391</v>
      </c>
      <c r="C867">
        <v>23</v>
      </c>
      <c r="D867" t="s">
        <v>56</v>
      </c>
      <c r="E867">
        <v>71</v>
      </c>
      <c r="F867">
        <v>190</v>
      </c>
      <c r="G867" t="s">
        <v>47</v>
      </c>
      <c r="H867">
        <v>2020</v>
      </c>
      <c r="I867" t="s">
        <v>33</v>
      </c>
      <c r="J867">
        <v>11</v>
      </c>
      <c r="K867">
        <v>3</v>
      </c>
      <c r="L867">
        <v>0</v>
      </c>
      <c r="M867">
        <v>0</v>
      </c>
      <c r="N867">
        <v>0</v>
      </c>
      <c r="O867">
        <v>0</v>
      </c>
      <c r="P867">
        <v>2</v>
      </c>
      <c r="Q867">
        <v>3</v>
      </c>
      <c r="R867">
        <v>0</v>
      </c>
      <c r="S867">
        <v>71</v>
      </c>
      <c r="T867">
        <v>68</v>
      </c>
      <c r="U867" s="5">
        <f>IF(Merge1[[#This Row],[team_defense_snaps]]=0, "", Merge1[[#This Row],[defense_snaps]] / Merge1[[#This Row],[team_defense_snaps]])</f>
        <v>0.98550724637681164</v>
      </c>
      <c r="V867">
        <v>69</v>
      </c>
      <c r="W867">
        <v>3</v>
      </c>
      <c r="X867" s="5" t="s">
        <v>38</v>
      </c>
      <c r="Y867">
        <v>2</v>
      </c>
      <c r="Z867">
        <v>0</v>
      </c>
      <c r="AA867" t="s">
        <v>25</v>
      </c>
      <c r="AB867" t="s">
        <v>26</v>
      </c>
      <c r="AC867" t="s">
        <v>27</v>
      </c>
      <c r="AD867" t="s">
        <v>42</v>
      </c>
      <c r="AE867" t="s">
        <v>25</v>
      </c>
      <c r="AF8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0.26760563380281688</v>
      </c>
      <c r="AG867" t="s">
        <v>941</v>
      </c>
      <c r="AH867">
        <v>65.5</v>
      </c>
      <c r="AI867" t="s">
        <v>939</v>
      </c>
      <c r="AJ867">
        <v>1</v>
      </c>
      <c r="AK8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MIN(AJ867/8, 1) +
  Merge1[[#This Row],[index_defensive_effort]],
  2
)</f>
        <v>0.79</v>
      </c>
    </row>
    <row r="868" spans="1:37" x14ac:dyDescent="0.25">
      <c r="A868" t="s">
        <v>390</v>
      </c>
      <c r="B868" t="s">
        <v>391</v>
      </c>
      <c r="C868">
        <v>23</v>
      </c>
      <c r="D868" t="s">
        <v>56</v>
      </c>
      <c r="E868">
        <v>71</v>
      </c>
      <c r="F868">
        <v>190</v>
      </c>
      <c r="G868" t="s">
        <v>47</v>
      </c>
      <c r="H868">
        <v>2020</v>
      </c>
      <c r="I868" t="s">
        <v>33</v>
      </c>
      <c r="J868">
        <v>15</v>
      </c>
      <c r="K868">
        <v>4</v>
      </c>
      <c r="L868">
        <v>2</v>
      </c>
      <c r="M868">
        <v>0</v>
      </c>
      <c r="N868">
        <v>2</v>
      </c>
      <c r="O868">
        <v>0</v>
      </c>
      <c r="P868">
        <v>0</v>
      </c>
      <c r="Q868">
        <v>0</v>
      </c>
      <c r="R868">
        <v>0</v>
      </c>
      <c r="S868">
        <v>58</v>
      </c>
      <c r="T868">
        <v>54</v>
      </c>
      <c r="U868" s="5">
        <f>IF(Merge1[[#This Row],[team_defense_snaps]]=0, "", Merge1[[#This Row],[defense_snaps]] / Merge1[[#This Row],[team_defense_snaps]])</f>
        <v>1</v>
      </c>
      <c r="V868">
        <v>54</v>
      </c>
      <c r="W868">
        <v>4</v>
      </c>
      <c r="X868" s="5" t="s">
        <v>139</v>
      </c>
      <c r="Y868">
        <v>2</v>
      </c>
      <c r="Z868">
        <v>0</v>
      </c>
      <c r="AA868" t="s">
        <v>25</v>
      </c>
      <c r="AB868" t="s">
        <v>36</v>
      </c>
      <c r="AC868" t="s">
        <v>177</v>
      </c>
      <c r="AD868" t="s">
        <v>42</v>
      </c>
      <c r="AE868" t="s">
        <v>25</v>
      </c>
      <c r="AF8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8.6206896551724144E-2</v>
      </c>
      <c r="AG868" t="s">
        <v>941</v>
      </c>
      <c r="AH868">
        <v>64</v>
      </c>
      <c r="AI868" t="s">
        <v>939</v>
      </c>
      <c r="AJ868">
        <v>2</v>
      </c>
      <c r="AK8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MIN(AJ868/8, 1) +
  Merge1[[#This Row],[index_defensive_effort]],
  2
)</f>
        <v>0.74</v>
      </c>
    </row>
    <row r="869" spans="1:37" x14ac:dyDescent="0.25">
      <c r="A869" t="s">
        <v>390</v>
      </c>
      <c r="B869" t="s">
        <v>391</v>
      </c>
      <c r="C869">
        <v>23</v>
      </c>
      <c r="D869" t="s">
        <v>56</v>
      </c>
      <c r="E869">
        <v>71</v>
      </c>
      <c r="F869">
        <v>190</v>
      </c>
      <c r="G869" t="s">
        <v>47</v>
      </c>
      <c r="H869">
        <v>2020</v>
      </c>
      <c r="I869" t="s">
        <v>33</v>
      </c>
      <c r="J869">
        <v>16</v>
      </c>
      <c r="K869">
        <v>2</v>
      </c>
      <c r="L869">
        <v>0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75</v>
      </c>
      <c r="T869">
        <v>69</v>
      </c>
      <c r="U869" s="5">
        <f>IF(Merge1[[#This Row],[team_defense_snaps]]=0, "", Merge1[[#This Row],[defense_snaps]] / Merge1[[#This Row],[team_defense_snaps]])</f>
        <v>0.971830985915493</v>
      </c>
      <c r="V869">
        <v>71</v>
      </c>
      <c r="W869">
        <v>6</v>
      </c>
      <c r="X869" s="5" t="s">
        <v>59</v>
      </c>
      <c r="Y869">
        <v>2</v>
      </c>
      <c r="Z869">
        <v>0</v>
      </c>
      <c r="AA869" t="s">
        <v>25</v>
      </c>
      <c r="AB869" t="s">
        <v>26</v>
      </c>
      <c r="AC869" t="s">
        <v>27</v>
      </c>
      <c r="AD869" t="s">
        <v>42</v>
      </c>
      <c r="AE869" t="s">
        <v>25</v>
      </c>
      <c r="AF8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5.3333333333333337E-2</v>
      </c>
      <c r="AG869" t="s">
        <v>941</v>
      </c>
      <c r="AH869">
        <v>47.5</v>
      </c>
      <c r="AI869" t="s">
        <v>939</v>
      </c>
      <c r="AJ869">
        <v>1</v>
      </c>
      <c r="AK8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MIN(AJ869/8, 1) +
  Merge1[[#This Row],[index_defensive_effort]],
  2
)</f>
        <v>0.57999999999999996</v>
      </c>
    </row>
    <row r="870" spans="1:37" x14ac:dyDescent="0.25">
      <c r="A870" t="s">
        <v>390</v>
      </c>
      <c r="B870" t="s">
        <v>391</v>
      </c>
      <c r="C870">
        <v>23</v>
      </c>
      <c r="D870" t="s">
        <v>56</v>
      </c>
      <c r="E870">
        <v>71</v>
      </c>
      <c r="F870">
        <v>190</v>
      </c>
      <c r="G870" t="s">
        <v>47</v>
      </c>
      <c r="H870">
        <v>2020</v>
      </c>
      <c r="I870" t="s">
        <v>24</v>
      </c>
      <c r="J870">
        <v>19</v>
      </c>
      <c r="K870">
        <v>3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51</v>
      </c>
      <c r="T870">
        <v>46</v>
      </c>
      <c r="U870" s="5">
        <f>IF(Merge1[[#This Row],[team_defense_snaps]]=0, "", Merge1[[#This Row],[defense_snaps]] / Merge1[[#This Row],[team_defense_snaps]])</f>
        <v>0.68656716417910446</v>
      </c>
      <c r="V870">
        <v>67</v>
      </c>
      <c r="W870">
        <v>5</v>
      </c>
      <c r="X870" s="5" t="s">
        <v>133</v>
      </c>
      <c r="Y870">
        <v>2</v>
      </c>
      <c r="Z870">
        <v>0</v>
      </c>
      <c r="AA870" t="s">
        <v>25</v>
      </c>
      <c r="AB870" t="s">
        <v>26</v>
      </c>
      <c r="AC870" t="s">
        <v>27</v>
      </c>
      <c r="AD870" t="s">
        <v>42</v>
      </c>
      <c r="AE870" t="s">
        <v>25</v>
      </c>
      <c r="AF8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AG870" t="s">
        <v>941</v>
      </c>
      <c r="AH870">
        <v>55</v>
      </c>
      <c r="AI870" t="s">
        <v>939</v>
      </c>
      <c r="AJ870">
        <v>1</v>
      </c>
      <c r="AK8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MIN(AJ870/8, 1) +
  Merge1[[#This Row],[index_defensive_effort]],
  2
)</f>
        <v>0.78</v>
      </c>
    </row>
    <row r="871" spans="1:37" x14ac:dyDescent="0.25">
      <c r="A871" t="s">
        <v>308</v>
      </c>
      <c r="B871" t="s">
        <v>309</v>
      </c>
      <c r="C871">
        <v>27</v>
      </c>
      <c r="D871" t="s">
        <v>22</v>
      </c>
      <c r="E871">
        <v>72</v>
      </c>
      <c r="F871">
        <v>200</v>
      </c>
      <c r="G871" t="s">
        <v>228</v>
      </c>
      <c r="H871">
        <v>2020</v>
      </c>
      <c r="I871" t="s">
        <v>33</v>
      </c>
      <c r="J871">
        <v>2</v>
      </c>
      <c r="K871">
        <v>3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2</v>
      </c>
      <c r="R871">
        <v>0</v>
      </c>
      <c r="S871">
        <v>39</v>
      </c>
      <c r="T871">
        <v>25</v>
      </c>
      <c r="U871" s="5">
        <f>IF(Merge1[[#This Row],[team_defense_snaps]]=0, "", Merge1[[#This Row],[defense_snaps]] / Merge1[[#This Row],[team_defense_snaps]])</f>
        <v>0.37878787878787878</v>
      </c>
      <c r="V871">
        <v>66</v>
      </c>
      <c r="W871">
        <v>14</v>
      </c>
      <c r="X871" s="5" t="s">
        <v>80</v>
      </c>
      <c r="Y871">
        <v>4</v>
      </c>
      <c r="Z871">
        <v>0</v>
      </c>
      <c r="AA871" t="s">
        <v>25</v>
      </c>
      <c r="AB871" t="s">
        <v>26</v>
      </c>
      <c r="AC871" t="s">
        <v>27</v>
      </c>
      <c r="AD871" t="s">
        <v>28</v>
      </c>
      <c r="AE871" t="s">
        <v>25</v>
      </c>
      <c r="AF8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0.28205128205128205</v>
      </c>
      <c r="AG871" t="s">
        <v>941</v>
      </c>
      <c r="AH871">
        <v>52</v>
      </c>
      <c r="AI871" t="s">
        <v>939</v>
      </c>
      <c r="AJ871">
        <v>1</v>
      </c>
      <c r="AK8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MIN(AJ871/8, 1) +
  Merge1[[#This Row],[index_defensive_effort]],
  2
)</f>
        <v>1.01</v>
      </c>
    </row>
    <row r="872" spans="1:37" x14ac:dyDescent="0.25">
      <c r="A872" t="s">
        <v>308</v>
      </c>
      <c r="B872" t="s">
        <v>309</v>
      </c>
      <c r="C872">
        <v>27</v>
      </c>
      <c r="D872" t="s">
        <v>22</v>
      </c>
      <c r="E872">
        <v>72</v>
      </c>
      <c r="F872">
        <v>200</v>
      </c>
      <c r="G872" t="s">
        <v>228</v>
      </c>
      <c r="H872">
        <v>2020</v>
      </c>
      <c r="I872" t="s">
        <v>33</v>
      </c>
      <c r="J872">
        <v>13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23</v>
      </c>
      <c r="T872">
        <v>3</v>
      </c>
      <c r="U872" s="5">
        <f>IF(Merge1[[#This Row],[team_defense_snaps]]=0, "", Merge1[[#This Row],[defense_snaps]] / Merge1[[#This Row],[team_defense_snaps]])</f>
        <v>0.04</v>
      </c>
      <c r="V872">
        <v>75</v>
      </c>
      <c r="W872">
        <v>20</v>
      </c>
      <c r="X872" s="5" t="s">
        <v>83</v>
      </c>
      <c r="Y872">
        <v>4</v>
      </c>
      <c r="Z872">
        <v>0</v>
      </c>
      <c r="AA872" t="s">
        <v>25</v>
      </c>
      <c r="AB872" t="s">
        <v>26</v>
      </c>
      <c r="AC872" t="s">
        <v>27</v>
      </c>
      <c r="AD872" t="s">
        <v>28</v>
      </c>
      <c r="AE872" t="s">
        <v>25</v>
      </c>
      <c r="AF8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872" t="s">
        <v>941</v>
      </c>
      <c r="AH872">
        <v>68.5</v>
      </c>
      <c r="AI872" t="s">
        <v>939</v>
      </c>
      <c r="AJ872">
        <v>1</v>
      </c>
      <c r="AK8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MIN(AJ872/8, 1) +
  Merge1[[#This Row],[index_defensive_effort]],
  2
)</f>
        <v>0.73</v>
      </c>
    </row>
    <row r="873" spans="1:37" x14ac:dyDescent="0.25">
      <c r="A873" t="s">
        <v>319</v>
      </c>
      <c r="B873" t="s">
        <v>320</v>
      </c>
      <c r="C873">
        <v>28</v>
      </c>
      <c r="D873" t="s">
        <v>22</v>
      </c>
      <c r="E873">
        <v>72</v>
      </c>
      <c r="F873">
        <v>203</v>
      </c>
      <c r="G873" t="s">
        <v>286</v>
      </c>
      <c r="H873">
        <v>2020</v>
      </c>
      <c r="I873" t="s">
        <v>33</v>
      </c>
      <c r="J873">
        <v>6</v>
      </c>
      <c r="K873">
        <v>3</v>
      </c>
      <c r="L873">
        <v>2</v>
      </c>
      <c r="M873">
        <v>1</v>
      </c>
      <c r="N873">
        <v>3</v>
      </c>
      <c r="O873">
        <v>0</v>
      </c>
      <c r="P873">
        <v>0</v>
      </c>
      <c r="Q873">
        <v>0</v>
      </c>
      <c r="R873">
        <v>0</v>
      </c>
      <c r="S873">
        <v>55</v>
      </c>
      <c r="T873">
        <v>46</v>
      </c>
      <c r="U873" s="5">
        <f>IF(Merge1[[#This Row],[team_defense_snaps]]=0, "", Merge1[[#This Row],[defense_snaps]] / Merge1[[#This Row],[team_defense_snaps]])</f>
        <v>0.92</v>
      </c>
      <c r="V873">
        <v>50</v>
      </c>
      <c r="W873">
        <v>9</v>
      </c>
      <c r="X873" s="5" t="s">
        <v>210</v>
      </c>
      <c r="Y873">
        <v>5</v>
      </c>
      <c r="Z873">
        <v>0</v>
      </c>
      <c r="AA873" t="s">
        <v>25</v>
      </c>
      <c r="AB873" t="s">
        <v>26</v>
      </c>
      <c r="AC873" t="s">
        <v>27</v>
      </c>
      <c r="AD873" t="s">
        <v>42</v>
      </c>
      <c r="AE873" t="s">
        <v>25</v>
      </c>
      <c r="AF8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8.1818181818181818E-2</v>
      </c>
      <c r="AG873" t="s">
        <v>941</v>
      </c>
      <c r="AH873">
        <v>54.5</v>
      </c>
      <c r="AI873" t="s">
        <v>939</v>
      </c>
      <c r="AJ873">
        <v>1</v>
      </c>
      <c r="AK8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MIN(AJ873/8, 1) +
  Merge1[[#This Row],[index_defensive_effort]],
  2
)</f>
        <v>0.81</v>
      </c>
    </row>
    <row r="874" spans="1:37" x14ac:dyDescent="0.25">
      <c r="A874" t="s">
        <v>319</v>
      </c>
      <c r="B874" t="s">
        <v>320</v>
      </c>
      <c r="C874">
        <v>28</v>
      </c>
      <c r="D874" t="s">
        <v>22</v>
      </c>
      <c r="E874">
        <v>72</v>
      </c>
      <c r="F874">
        <v>203</v>
      </c>
      <c r="G874" t="s">
        <v>286</v>
      </c>
      <c r="H874">
        <v>2020</v>
      </c>
      <c r="I874" t="s">
        <v>33</v>
      </c>
      <c r="J874">
        <v>6</v>
      </c>
      <c r="K874">
        <v>3</v>
      </c>
      <c r="L874">
        <v>2</v>
      </c>
      <c r="M874">
        <v>1</v>
      </c>
      <c r="N874">
        <v>3</v>
      </c>
      <c r="O874">
        <v>0</v>
      </c>
      <c r="P874">
        <v>0</v>
      </c>
      <c r="Q874">
        <v>0</v>
      </c>
      <c r="R874">
        <v>0</v>
      </c>
      <c r="S874">
        <v>55</v>
      </c>
      <c r="T874">
        <v>46</v>
      </c>
      <c r="U874" s="5">
        <f>IF(Merge1[[#This Row],[team_defense_snaps]]=0, "", Merge1[[#This Row],[defense_snaps]] / Merge1[[#This Row],[team_defense_snaps]])</f>
        <v>0.92</v>
      </c>
      <c r="V874">
        <v>50</v>
      </c>
      <c r="W874">
        <v>9</v>
      </c>
      <c r="X874" s="5" t="s">
        <v>210</v>
      </c>
      <c r="Y874">
        <v>5</v>
      </c>
      <c r="Z874">
        <v>0</v>
      </c>
      <c r="AA874" t="s">
        <v>25</v>
      </c>
      <c r="AB874" t="s">
        <v>26</v>
      </c>
      <c r="AC874" t="s">
        <v>27</v>
      </c>
      <c r="AD874" t="s">
        <v>42</v>
      </c>
      <c r="AE874" t="s">
        <v>25</v>
      </c>
      <c r="AF8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8.1818181818181818E-2</v>
      </c>
      <c r="AG874" t="s">
        <v>941</v>
      </c>
      <c r="AH874">
        <v>62</v>
      </c>
      <c r="AI874" t="s">
        <v>939</v>
      </c>
      <c r="AJ874">
        <v>2</v>
      </c>
      <c r="AK8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MIN(AJ874/8, 1) +
  Merge1[[#This Row],[index_defensive_effort]],
  2
)</f>
        <v>0.93</v>
      </c>
    </row>
    <row r="875" spans="1:37" x14ac:dyDescent="0.25">
      <c r="A875" t="s">
        <v>319</v>
      </c>
      <c r="B875" t="s">
        <v>320</v>
      </c>
      <c r="C875">
        <v>28</v>
      </c>
      <c r="D875" t="s">
        <v>22</v>
      </c>
      <c r="E875">
        <v>72</v>
      </c>
      <c r="F875">
        <v>203</v>
      </c>
      <c r="G875" t="s">
        <v>286</v>
      </c>
      <c r="H875">
        <v>2020</v>
      </c>
      <c r="I875" t="s">
        <v>33</v>
      </c>
      <c r="J875">
        <v>7</v>
      </c>
      <c r="K875">
        <v>3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65</v>
      </c>
      <c r="T875">
        <v>57</v>
      </c>
      <c r="U875" s="5">
        <f>IF(Merge1[[#This Row],[team_defense_snaps]]=0, "", Merge1[[#This Row],[defense_snaps]] / Merge1[[#This Row],[team_defense_snaps]])</f>
        <v>1</v>
      </c>
      <c r="V875">
        <v>57</v>
      </c>
      <c r="W875">
        <v>8</v>
      </c>
      <c r="X875" s="5" t="s">
        <v>221</v>
      </c>
      <c r="Y875">
        <v>5</v>
      </c>
      <c r="Z875">
        <v>0</v>
      </c>
      <c r="AA875" t="s">
        <v>25</v>
      </c>
      <c r="AB875" t="s">
        <v>26</v>
      </c>
      <c r="AC875" t="s">
        <v>27</v>
      </c>
      <c r="AD875" t="s">
        <v>42</v>
      </c>
      <c r="AE875" t="s">
        <v>25</v>
      </c>
      <c r="AF8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4.6153846153846156E-2</v>
      </c>
      <c r="AG875" t="s">
        <v>941</v>
      </c>
      <c r="AH875">
        <v>56</v>
      </c>
      <c r="AI875" t="s">
        <v>939</v>
      </c>
      <c r="AJ875">
        <v>1</v>
      </c>
      <c r="AK8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MIN(AJ875/8, 1) +
  Merge1[[#This Row],[index_defensive_effort]],
  2
)</f>
        <v>0.77</v>
      </c>
    </row>
    <row r="876" spans="1:37" x14ac:dyDescent="0.25">
      <c r="A876" t="s">
        <v>319</v>
      </c>
      <c r="B876" t="s">
        <v>320</v>
      </c>
      <c r="C876">
        <v>28</v>
      </c>
      <c r="D876" t="s">
        <v>22</v>
      </c>
      <c r="E876">
        <v>72</v>
      </c>
      <c r="F876">
        <v>203</v>
      </c>
      <c r="G876" t="s">
        <v>286</v>
      </c>
      <c r="H876">
        <v>2020</v>
      </c>
      <c r="I876" t="s">
        <v>33</v>
      </c>
      <c r="J876">
        <v>7</v>
      </c>
      <c r="K876">
        <v>3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65</v>
      </c>
      <c r="T876">
        <v>57</v>
      </c>
      <c r="U876" s="5">
        <f>IF(Merge1[[#This Row],[team_defense_snaps]]=0, "", Merge1[[#This Row],[defense_snaps]] / Merge1[[#This Row],[team_defense_snaps]])</f>
        <v>1</v>
      </c>
      <c r="V876">
        <v>57</v>
      </c>
      <c r="W876">
        <v>8</v>
      </c>
      <c r="X876" s="5" t="s">
        <v>221</v>
      </c>
      <c r="Y876">
        <v>5</v>
      </c>
      <c r="Z876">
        <v>0</v>
      </c>
      <c r="AA876" t="s">
        <v>25</v>
      </c>
      <c r="AB876" t="s">
        <v>26</v>
      </c>
      <c r="AC876" t="s">
        <v>27</v>
      </c>
      <c r="AD876" t="s">
        <v>42</v>
      </c>
      <c r="AE876" t="s">
        <v>25</v>
      </c>
      <c r="AF8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4.6153846153846156E-2</v>
      </c>
      <c r="AG876" t="s">
        <v>941</v>
      </c>
      <c r="AH876">
        <v>60.5</v>
      </c>
      <c r="AI876" t="s">
        <v>939</v>
      </c>
      <c r="AJ876">
        <v>1</v>
      </c>
      <c r="AK8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MIN(AJ876/8, 1) +
  Merge1[[#This Row],[index_defensive_effort]],
  2
)</f>
        <v>0.77</v>
      </c>
    </row>
    <row r="877" spans="1:37" x14ac:dyDescent="0.25">
      <c r="A877" t="s">
        <v>319</v>
      </c>
      <c r="B877" t="s">
        <v>320</v>
      </c>
      <c r="C877">
        <v>28</v>
      </c>
      <c r="D877" t="s">
        <v>22</v>
      </c>
      <c r="E877">
        <v>72</v>
      </c>
      <c r="F877">
        <v>203</v>
      </c>
      <c r="G877" t="s">
        <v>286</v>
      </c>
      <c r="H877">
        <v>2020</v>
      </c>
      <c r="I877" t="s">
        <v>33</v>
      </c>
      <c r="J877">
        <v>9</v>
      </c>
      <c r="K877">
        <v>7</v>
      </c>
      <c r="L877">
        <v>0</v>
      </c>
      <c r="M877">
        <v>0</v>
      </c>
      <c r="N877">
        <v>0</v>
      </c>
      <c r="O877">
        <v>0</v>
      </c>
      <c r="P877">
        <v>1</v>
      </c>
      <c r="Q877">
        <v>0</v>
      </c>
      <c r="R877">
        <v>2</v>
      </c>
      <c r="S877">
        <v>85</v>
      </c>
      <c r="T877">
        <v>77</v>
      </c>
      <c r="U877" s="5">
        <f>IF(Merge1[[#This Row],[team_defense_snaps]]=0, "", Merge1[[#This Row],[defense_snaps]] / Merge1[[#This Row],[team_defense_snaps]])</f>
        <v>1</v>
      </c>
      <c r="V877">
        <v>77</v>
      </c>
      <c r="W877">
        <v>8</v>
      </c>
      <c r="X877" s="5" t="s">
        <v>314</v>
      </c>
      <c r="Y877">
        <v>5</v>
      </c>
      <c r="Z877">
        <v>0</v>
      </c>
      <c r="AA877" t="s">
        <v>25</v>
      </c>
      <c r="AB877" t="s">
        <v>26</v>
      </c>
      <c r="AC877" t="s">
        <v>27</v>
      </c>
      <c r="AD877" t="s">
        <v>42</v>
      </c>
      <c r="AE877" t="s">
        <v>25</v>
      </c>
      <c r="AF8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0.15294117647058825</v>
      </c>
      <c r="AG877" t="s">
        <v>941</v>
      </c>
      <c r="AH877">
        <v>65</v>
      </c>
      <c r="AI877" t="s">
        <v>939</v>
      </c>
      <c r="AJ877">
        <v>1</v>
      </c>
      <c r="AK8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MIN(AJ877/8, 1) +
  Merge1[[#This Row],[index_defensive_effort]],
  2
)</f>
        <v>0.88</v>
      </c>
    </row>
    <row r="878" spans="1:37" x14ac:dyDescent="0.25">
      <c r="A878" t="s">
        <v>319</v>
      </c>
      <c r="B878" t="s">
        <v>320</v>
      </c>
      <c r="C878">
        <v>28</v>
      </c>
      <c r="D878" t="s">
        <v>22</v>
      </c>
      <c r="E878">
        <v>72</v>
      </c>
      <c r="F878">
        <v>203</v>
      </c>
      <c r="G878" t="s">
        <v>286</v>
      </c>
      <c r="H878">
        <v>2020</v>
      </c>
      <c r="I878" t="s">
        <v>33</v>
      </c>
      <c r="J878">
        <v>9</v>
      </c>
      <c r="K878">
        <v>7</v>
      </c>
      <c r="L878">
        <v>0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2</v>
      </c>
      <c r="S878">
        <v>85</v>
      </c>
      <c r="T878">
        <v>77</v>
      </c>
      <c r="U878" s="5">
        <f>IF(Merge1[[#This Row],[team_defense_snaps]]=0, "", Merge1[[#This Row],[defense_snaps]] / Merge1[[#This Row],[team_defense_snaps]])</f>
        <v>1</v>
      </c>
      <c r="V878">
        <v>77</v>
      </c>
      <c r="W878">
        <v>8</v>
      </c>
      <c r="X878" s="5" t="s">
        <v>314</v>
      </c>
      <c r="Y878">
        <v>5</v>
      </c>
      <c r="Z878">
        <v>0</v>
      </c>
      <c r="AA878" t="s">
        <v>25</v>
      </c>
      <c r="AB878" t="s">
        <v>26</v>
      </c>
      <c r="AC878" t="s">
        <v>27</v>
      </c>
      <c r="AD878" t="s">
        <v>42</v>
      </c>
      <c r="AE878" t="s">
        <v>25</v>
      </c>
      <c r="AF8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0.15294117647058825</v>
      </c>
      <c r="AG878" t="s">
        <v>941</v>
      </c>
      <c r="AH878">
        <v>66.5</v>
      </c>
      <c r="AI878" t="s">
        <v>939</v>
      </c>
      <c r="AJ878">
        <v>2</v>
      </c>
      <c r="AK8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MIN(AJ878/8, 1) +
  Merge1[[#This Row],[index_defensive_effort]],
  2
)</f>
        <v>1</v>
      </c>
    </row>
    <row r="879" spans="1:37" x14ac:dyDescent="0.25">
      <c r="A879" t="s">
        <v>319</v>
      </c>
      <c r="B879" t="s">
        <v>320</v>
      </c>
      <c r="C879">
        <v>28</v>
      </c>
      <c r="D879" t="s">
        <v>22</v>
      </c>
      <c r="E879">
        <v>72</v>
      </c>
      <c r="F879">
        <v>203</v>
      </c>
      <c r="G879" t="s">
        <v>286</v>
      </c>
      <c r="H879">
        <v>2020</v>
      </c>
      <c r="I879" t="s">
        <v>33</v>
      </c>
      <c r="J879">
        <v>10</v>
      </c>
      <c r="K879">
        <v>1</v>
      </c>
      <c r="L879">
        <v>2</v>
      </c>
      <c r="M879">
        <v>1</v>
      </c>
      <c r="N879">
        <v>3</v>
      </c>
      <c r="O879">
        <v>0</v>
      </c>
      <c r="P879">
        <v>0</v>
      </c>
      <c r="Q879">
        <v>0</v>
      </c>
      <c r="R879">
        <v>0</v>
      </c>
      <c r="S879">
        <v>38</v>
      </c>
      <c r="T879">
        <v>32</v>
      </c>
      <c r="U879" s="5">
        <f>IF(Merge1[[#This Row],[team_defense_snaps]]=0, "", Merge1[[#This Row],[defense_snaps]] / Merge1[[#This Row],[team_defense_snaps]])</f>
        <v>0.5423728813559322</v>
      </c>
      <c r="V879">
        <v>59</v>
      </c>
      <c r="W879">
        <v>6</v>
      </c>
      <c r="X879" s="5" t="s">
        <v>58</v>
      </c>
      <c r="Y879">
        <v>5</v>
      </c>
      <c r="Z879">
        <v>0</v>
      </c>
      <c r="AA879" t="s">
        <v>25</v>
      </c>
      <c r="AB879" t="s">
        <v>26</v>
      </c>
      <c r="AC879" t="s">
        <v>27</v>
      </c>
      <c r="AD879" t="s">
        <v>42</v>
      </c>
      <c r="AE879" t="s">
        <v>25</v>
      </c>
      <c r="AF8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6.5789473684210523E-2</v>
      </c>
      <c r="AG879" t="s">
        <v>941</v>
      </c>
      <c r="AH879">
        <v>66.5</v>
      </c>
      <c r="AI879" t="s">
        <v>939</v>
      </c>
      <c r="AJ879">
        <v>1</v>
      </c>
      <c r="AK8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MIN(AJ879/8, 1) +
  Merge1[[#This Row],[index_defensive_effort]],
  2
)</f>
        <v>0.79</v>
      </c>
    </row>
    <row r="880" spans="1:37" x14ac:dyDescent="0.25">
      <c r="A880" t="s">
        <v>319</v>
      </c>
      <c r="B880" t="s">
        <v>320</v>
      </c>
      <c r="C880">
        <v>28</v>
      </c>
      <c r="D880" t="s">
        <v>22</v>
      </c>
      <c r="E880">
        <v>72</v>
      </c>
      <c r="F880">
        <v>203</v>
      </c>
      <c r="G880" t="s">
        <v>286</v>
      </c>
      <c r="H880">
        <v>2020</v>
      </c>
      <c r="I880" t="s">
        <v>33</v>
      </c>
      <c r="J880">
        <v>10</v>
      </c>
      <c r="K880">
        <v>1</v>
      </c>
      <c r="L880">
        <v>2</v>
      </c>
      <c r="M880">
        <v>1</v>
      </c>
      <c r="N880">
        <v>3</v>
      </c>
      <c r="O880">
        <v>0</v>
      </c>
      <c r="P880">
        <v>0</v>
      </c>
      <c r="Q880">
        <v>0</v>
      </c>
      <c r="R880">
        <v>0</v>
      </c>
      <c r="S880">
        <v>38</v>
      </c>
      <c r="T880">
        <v>32</v>
      </c>
      <c r="U880" s="5">
        <f>IF(Merge1[[#This Row],[team_defense_snaps]]=0, "", Merge1[[#This Row],[defense_snaps]] / Merge1[[#This Row],[team_defense_snaps]])</f>
        <v>0.5423728813559322</v>
      </c>
      <c r="V880">
        <v>59</v>
      </c>
      <c r="W880">
        <v>6</v>
      </c>
      <c r="X880" s="5" t="s">
        <v>58</v>
      </c>
      <c r="Y880">
        <v>5</v>
      </c>
      <c r="Z880">
        <v>0</v>
      </c>
      <c r="AA880" t="s">
        <v>25</v>
      </c>
      <c r="AB880" t="s">
        <v>26</v>
      </c>
      <c r="AC880" t="s">
        <v>27</v>
      </c>
      <c r="AD880" t="s">
        <v>42</v>
      </c>
      <c r="AE880" t="s">
        <v>25</v>
      </c>
      <c r="AF8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6.5789473684210523E-2</v>
      </c>
      <c r="AG880" t="s">
        <v>941</v>
      </c>
      <c r="AH880">
        <v>54.5</v>
      </c>
      <c r="AI880" t="s">
        <v>939</v>
      </c>
      <c r="AJ880">
        <v>1</v>
      </c>
      <c r="AK8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MIN(AJ880/8, 1) +
  Merge1[[#This Row],[index_defensive_effort]],
  2
)</f>
        <v>0.79</v>
      </c>
    </row>
    <row r="881" spans="1:37" x14ac:dyDescent="0.25">
      <c r="A881" t="s">
        <v>319</v>
      </c>
      <c r="B881" t="s">
        <v>320</v>
      </c>
      <c r="C881">
        <v>28</v>
      </c>
      <c r="D881" t="s">
        <v>22</v>
      </c>
      <c r="E881">
        <v>72</v>
      </c>
      <c r="F881">
        <v>203</v>
      </c>
      <c r="G881" t="s">
        <v>286</v>
      </c>
      <c r="H881">
        <v>2020</v>
      </c>
      <c r="I881" t="s">
        <v>33</v>
      </c>
      <c r="J881">
        <v>13</v>
      </c>
      <c r="K881">
        <v>2</v>
      </c>
      <c r="L881">
        <v>2</v>
      </c>
      <c r="M881">
        <v>1</v>
      </c>
      <c r="N881">
        <v>3</v>
      </c>
      <c r="O881">
        <v>0</v>
      </c>
      <c r="P881">
        <v>0</v>
      </c>
      <c r="Q881">
        <v>0</v>
      </c>
      <c r="R881">
        <v>0</v>
      </c>
      <c r="S881">
        <v>81</v>
      </c>
      <c r="T881">
        <v>70</v>
      </c>
      <c r="U881" s="5">
        <f>IF(Merge1[[#This Row],[team_defense_snaps]]=0, "", Merge1[[#This Row],[defense_snaps]] / Merge1[[#This Row],[team_defense_snaps]])</f>
        <v>0.9859154929577465</v>
      </c>
      <c r="V881">
        <v>71</v>
      </c>
      <c r="W881">
        <v>11</v>
      </c>
      <c r="X881" s="5" t="s">
        <v>334</v>
      </c>
      <c r="Y881">
        <v>5</v>
      </c>
      <c r="Z881">
        <v>0</v>
      </c>
      <c r="AA881" t="s">
        <v>25</v>
      </c>
      <c r="AB881" t="s">
        <v>26</v>
      </c>
      <c r="AC881" t="s">
        <v>27</v>
      </c>
      <c r="AD881" t="s">
        <v>42</v>
      </c>
      <c r="AE881" t="s">
        <v>25</v>
      </c>
      <c r="AF8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4.3209876543209874E-2</v>
      </c>
      <c r="AG881" t="s">
        <v>941</v>
      </c>
      <c r="AH881">
        <v>60.5</v>
      </c>
      <c r="AI881" t="s">
        <v>939</v>
      </c>
      <c r="AJ881">
        <v>1</v>
      </c>
      <c r="AK8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MIN(AJ881/8, 1) +
  Merge1[[#This Row],[index_defensive_effort]],
  2
)</f>
        <v>0.77</v>
      </c>
    </row>
    <row r="882" spans="1:37" x14ac:dyDescent="0.25">
      <c r="A882" t="s">
        <v>319</v>
      </c>
      <c r="B882" t="s">
        <v>320</v>
      </c>
      <c r="C882">
        <v>28</v>
      </c>
      <c r="D882" t="s">
        <v>22</v>
      </c>
      <c r="E882">
        <v>72</v>
      </c>
      <c r="F882">
        <v>203</v>
      </c>
      <c r="G882" t="s">
        <v>286</v>
      </c>
      <c r="H882">
        <v>2020</v>
      </c>
      <c r="I882" t="s">
        <v>33</v>
      </c>
      <c r="J882">
        <v>13</v>
      </c>
      <c r="K882">
        <v>2</v>
      </c>
      <c r="L882">
        <v>2</v>
      </c>
      <c r="M882">
        <v>1</v>
      </c>
      <c r="N882">
        <v>3</v>
      </c>
      <c r="O882">
        <v>0</v>
      </c>
      <c r="P882">
        <v>0</v>
      </c>
      <c r="Q882">
        <v>0</v>
      </c>
      <c r="R882">
        <v>0</v>
      </c>
      <c r="S882">
        <v>81</v>
      </c>
      <c r="T882">
        <v>70</v>
      </c>
      <c r="U882" s="5">
        <f>IF(Merge1[[#This Row],[team_defense_snaps]]=0, "", Merge1[[#This Row],[defense_snaps]] / Merge1[[#This Row],[team_defense_snaps]])</f>
        <v>0.9859154929577465</v>
      </c>
      <c r="V882">
        <v>71</v>
      </c>
      <c r="W882">
        <v>11</v>
      </c>
      <c r="X882" s="5" t="s">
        <v>334</v>
      </c>
      <c r="Y882">
        <v>5</v>
      </c>
      <c r="Z882">
        <v>0</v>
      </c>
      <c r="AA882" t="s">
        <v>25</v>
      </c>
      <c r="AB882" t="s">
        <v>26</v>
      </c>
      <c r="AC882" t="s">
        <v>27</v>
      </c>
      <c r="AD882" t="s">
        <v>42</v>
      </c>
      <c r="AE882" t="s">
        <v>25</v>
      </c>
      <c r="AF8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4.3209876543209874E-2</v>
      </c>
      <c r="AG882" t="s">
        <v>941</v>
      </c>
      <c r="AH882">
        <v>56</v>
      </c>
      <c r="AI882" t="s">
        <v>939</v>
      </c>
      <c r="AJ882">
        <v>2</v>
      </c>
      <c r="AK8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MIN(AJ882/8, 1) +
  Merge1[[#This Row],[index_defensive_effort]],
  2
)</f>
        <v>0.89</v>
      </c>
    </row>
    <row r="883" spans="1:37" x14ac:dyDescent="0.25">
      <c r="A883" t="s">
        <v>319</v>
      </c>
      <c r="B883" t="s">
        <v>320</v>
      </c>
      <c r="C883">
        <v>28</v>
      </c>
      <c r="D883" t="s">
        <v>22</v>
      </c>
      <c r="E883">
        <v>72</v>
      </c>
      <c r="F883">
        <v>203</v>
      </c>
      <c r="G883" t="s">
        <v>286</v>
      </c>
      <c r="H883">
        <v>2020</v>
      </c>
      <c r="I883" t="s">
        <v>33</v>
      </c>
      <c r="J883">
        <v>14</v>
      </c>
      <c r="K883">
        <v>4</v>
      </c>
      <c r="L883">
        <v>2</v>
      </c>
      <c r="M883">
        <v>0</v>
      </c>
      <c r="N883">
        <v>2</v>
      </c>
      <c r="O883">
        <v>0</v>
      </c>
      <c r="P883">
        <v>0</v>
      </c>
      <c r="Q883">
        <v>0</v>
      </c>
      <c r="R883">
        <v>0</v>
      </c>
      <c r="S883">
        <v>50</v>
      </c>
      <c r="T883">
        <v>48</v>
      </c>
      <c r="U883" s="5">
        <f>IF(Merge1[[#This Row],[team_defense_snaps]]=0, "", Merge1[[#This Row],[defense_snaps]] / Merge1[[#This Row],[team_defense_snaps]])</f>
        <v>0.59259259259259256</v>
      </c>
      <c r="V883">
        <v>81</v>
      </c>
      <c r="W883">
        <v>2</v>
      </c>
      <c r="X883" s="5" t="s">
        <v>114</v>
      </c>
      <c r="Y883">
        <v>5</v>
      </c>
      <c r="Z883">
        <v>0</v>
      </c>
      <c r="AA883" t="s">
        <v>25</v>
      </c>
      <c r="AB883" t="s">
        <v>26</v>
      </c>
      <c r="AC883" t="s">
        <v>27</v>
      </c>
      <c r="AD883" t="s">
        <v>42</v>
      </c>
      <c r="AE883" t="s">
        <v>25</v>
      </c>
      <c r="AF8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883" t="s">
        <v>941</v>
      </c>
      <c r="AH883">
        <v>62</v>
      </c>
      <c r="AI883" t="s">
        <v>939</v>
      </c>
      <c r="AJ883">
        <v>1</v>
      </c>
      <c r="AK8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MIN(AJ883/8, 1) +
  Merge1[[#This Row],[index_defensive_effort]],
  2
)</f>
        <v>0.83</v>
      </c>
    </row>
    <row r="884" spans="1:37" x14ac:dyDescent="0.25">
      <c r="A884" t="s">
        <v>319</v>
      </c>
      <c r="B884" t="s">
        <v>320</v>
      </c>
      <c r="C884">
        <v>28</v>
      </c>
      <c r="D884" t="s">
        <v>22</v>
      </c>
      <c r="E884">
        <v>72</v>
      </c>
      <c r="F884">
        <v>203</v>
      </c>
      <c r="G884" t="s">
        <v>286</v>
      </c>
      <c r="H884">
        <v>2020</v>
      </c>
      <c r="I884" t="s">
        <v>33</v>
      </c>
      <c r="J884">
        <v>14</v>
      </c>
      <c r="K884">
        <v>4</v>
      </c>
      <c r="L884">
        <v>2</v>
      </c>
      <c r="M884">
        <v>0</v>
      </c>
      <c r="N884">
        <v>2</v>
      </c>
      <c r="O884">
        <v>0</v>
      </c>
      <c r="P884">
        <v>0</v>
      </c>
      <c r="Q884">
        <v>0</v>
      </c>
      <c r="R884">
        <v>0</v>
      </c>
      <c r="S884">
        <v>50</v>
      </c>
      <c r="T884">
        <v>48</v>
      </c>
      <c r="U884" s="5">
        <f>IF(Merge1[[#This Row],[team_defense_snaps]]=0, "", Merge1[[#This Row],[defense_snaps]] / Merge1[[#This Row],[team_defense_snaps]])</f>
        <v>0.59259259259259256</v>
      </c>
      <c r="V884">
        <v>81</v>
      </c>
      <c r="W884">
        <v>2</v>
      </c>
      <c r="X884" s="5" t="s">
        <v>114</v>
      </c>
      <c r="Y884">
        <v>5</v>
      </c>
      <c r="Z884">
        <v>0</v>
      </c>
      <c r="AA884" t="s">
        <v>25</v>
      </c>
      <c r="AB884" t="s">
        <v>26</v>
      </c>
      <c r="AC884" t="s">
        <v>27</v>
      </c>
      <c r="AD884" t="s">
        <v>42</v>
      </c>
      <c r="AE884" t="s">
        <v>25</v>
      </c>
      <c r="AF8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884" t="s">
        <v>941</v>
      </c>
      <c r="AH884">
        <v>65</v>
      </c>
      <c r="AI884" t="s">
        <v>939</v>
      </c>
      <c r="AJ884">
        <v>1</v>
      </c>
      <c r="AK8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MIN(AJ884/8, 1) +
  Merge1[[#This Row],[index_defensive_effort]],
  2
)</f>
        <v>0.83</v>
      </c>
    </row>
    <row r="885" spans="1:37" x14ac:dyDescent="0.25">
      <c r="A885" t="s">
        <v>317</v>
      </c>
      <c r="B885" t="s">
        <v>318</v>
      </c>
      <c r="C885">
        <v>23</v>
      </c>
      <c r="D885" t="s">
        <v>22</v>
      </c>
      <c r="E885">
        <v>72</v>
      </c>
      <c r="F885">
        <v>210</v>
      </c>
      <c r="G885" t="s">
        <v>32</v>
      </c>
      <c r="H885">
        <v>2020</v>
      </c>
      <c r="I885" t="s">
        <v>33</v>
      </c>
      <c r="J885">
        <v>1</v>
      </c>
      <c r="K885">
        <v>2</v>
      </c>
      <c r="L885">
        <v>3</v>
      </c>
      <c r="M885">
        <v>0</v>
      </c>
      <c r="N885">
        <v>3</v>
      </c>
      <c r="O885">
        <v>0</v>
      </c>
      <c r="P885">
        <v>0</v>
      </c>
      <c r="Q885">
        <v>0</v>
      </c>
      <c r="R885">
        <v>0</v>
      </c>
      <c r="S885">
        <v>77</v>
      </c>
      <c r="T885">
        <v>72</v>
      </c>
      <c r="U885" s="5">
        <f>IF(Merge1[[#This Row],[team_defense_snaps]]=0, "", Merge1[[#This Row],[defense_snaps]] / Merge1[[#This Row],[team_defense_snaps]])</f>
        <v>0.98630136986301364</v>
      </c>
      <c r="V885">
        <v>73</v>
      </c>
      <c r="W885">
        <v>5</v>
      </c>
      <c r="X885" s="5" t="s">
        <v>293</v>
      </c>
      <c r="Y885">
        <v>2</v>
      </c>
      <c r="Z885">
        <v>0</v>
      </c>
      <c r="AA885" t="s">
        <v>25</v>
      </c>
      <c r="AB885" t="s">
        <v>26</v>
      </c>
      <c r="AC885" t="s">
        <v>27</v>
      </c>
      <c r="AD885" t="s">
        <v>42</v>
      </c>
      <c r="AE885" t="s">
        <v>25</v>
      </c>
      <c r="AF8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G885" t="s">
        <v>941</v>
      </c>
      <c r="AH885">
        <v>72</v>
      </c>
      <c r="AI885" t="s">
        <v>939</v>
      </c>
      <c r="AJ885">
        <v>2</v>
      </c>
      <c r="AK8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MIN(AJ885/8, 1) +
  Merge1[[#This Row],[index_defensive_effort]],
  2
)</f>
        <v>0.8</v>
      </c>
    </row>
    <row r="886" spans="1:37" x14ac:dyDescent="0.25">
      <c r="A886" t="s">
        <v>317</v>
      </c>
      <c r="B886" t="s">
        <v>318</v>
      </c>
      <c r="C886">
        <v>23</v>
      </c>
      <c r="D886" t="s">
        <v>22</v>
      </c>
      <c r="E886">
        <v>72</v>
      </c>
      <c r="F886">
        <v>210</v>
      </c>
      <c r="G886" t="s">
        <v>32</v>
      </c>
      <c r="H886">
        <v>2020</v>
      </c>
      <c r="I886" t="s">
        <v>33</v>
      </c>
      <c r="J886">
        <v>2</v>
      </c>
      <c r="K886">
        <v>7</v>
      </c>
      <c r="L886">
        <v>0</v>
      </c>
      <c r="M886">
        <v>0</v>
      </c>
      <c r="N886">
        <v>0</v>
      </c>
      <c r="O886">
        <v>4</v>
      </c>
      <c r="P886">
        <v>5</v>
      </c>
      <c r="Q886">
        <v>0</v>
      </c>
      <c r="R886">
        <v>0</v>
      </c>
      <c r="S886">
        <v>68</v>
      </c>
      <c r="T886">
        <v>59</v>
      </c>
      <c r="U886" s="5">
        <f>IF(Merge1[[#This Row],[team_defense_snaps]]=0, "", Merge1[[#This Row],[defense_snaps]] / Merge1[[#This Row],[team_defense_snaps]])</f>
        <v>1</v>
      </c>
      <c r="V886">
        <v>59</v>
      </c>
      <c r="W886">
        <v>9</v>
      </c>
      <c r="X886" s="5" t="s">
        <v>108</v>
      </c>
      <c r="Y886">
        <v>2</v>
      </c>
      <c r="Z886">
        <v>0</v>
      </c>
      <c r="AA886" t="s">
        <v>25</v>
      </c>
      <c r="AB886" t="s">
        <v>26</v>
      </c>
      <c r="AC886" t="s">
        <v>27</v>
      </c>
      <c r="AD886" t="s">
        <v>42</v>
      </c>
      <c r="AE886" t="s">
        <v>25</v>
      </c>
      <c r="AF8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0.4264705882352941</v>
      </c>
      <c r="AG886" t="s">
        <v>941</v>
      </c>
      <c r="AH886">
        <v>49.5</v>
      </c>
      <c r="AI886" t="s">
        <v>939</v>
      </c>
      <c r="AJ886">
        <v>3</v>
      </c>
      <c r="AK8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MIN(AJ886/8, 1) +
  Merge1[[#This Row],[index_defensive_effort]],
  2
)</f>
        <v>1.3</v>
      </c>
    </row>
    <row r="887" spans="1:37" x14ac:dyDescent="0.25">
      <c r="A887" t="s">
        <v>317</v>
      </c>
      <c r="B887" t="s">
        <v>318</v>
      </c>
      <c r="C887">
        <v>23</v>
      </c>
      <c r="D887" t="s">
        <v>22</v>
      </c>
      <c r="E887">
        <v>72</v>
      </c>
      <c r="F887">
        <v>210</v>
      </c>
      <c r="G887" t="s">
        <v>32</v>
      </c>
      <c r="H887">
        <v>2020</v>
      </c>
      <c r="I887" t="s">
        <v>33</v>
      </c>
      <c r="J887">
        <v>3</v>
      </c>
      <c r="K887">
        <v>4</v>
      </c>
      <c r="L887">
        <v>1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82</v>
      </c>
      <c r="T887">
        <v>75</v>
      </c>
      <c r="U887" s="5">
        <f>IF(Merge1[[#This Row],[team_defense_snaps]]=0, "", Merge1[[#This Row],[defense_snaps]] / Merge1[[#This Row],[team_defense_snaps]])</f>
        <v>0.98684210526315785</v>
      </c>
      <c r="V887">
        <v>76</v>
      </c>
      <c r="W887">
        <v>7</v>
      </c>
      <c r="X887" s="5" t="s">
        <v>261</v>
      </c>
      <c r="Y887">
        <v>2</v>
      </c>
      <c r="Z887">
        <v>0</v>
      </c>
      <c r="AA887" t="s">
        <v>25</v>
      </c>
      <c r="AB887" t="s">
        <v>26</v>
      </c>
      <c r="AC887" t="s">
        <v>27</v>
      </c>
      <c r="AD887" t="s">
        <v>42</v>
      </c>
      <c r="AE887" t="s">
        <v>25</v>
      </c>
      <c r="AF8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5.4878048780487805E-2</v>
      </c>
      <c r="AG887" t="s">
        <v>941</v>
      </c>
      <c r="AH887">
        <v>57</v>
      </c>
      <c r="AI887" t="s">
        <v>939</v>
      </c>
      <c r="AJ887">
        <v>4</v>
      </c>
      <c r="AK8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MIN(AJ887/8, 1) +
  Merge1[[#This Row],[index_defensive_effort]],
  2
)</f>
        <v>1.05</v>
      </c>
    </row>
    <row r="888" spans="1:37" x14ac:dyDescent="0.25">
      <c r="A888" t="s">
        <v>317</v>
      </c>
      <c r="B888" t="s">
        <v>318</v>
      </c>
      <c r="C888">
        <v>23</v>
      </c>
      <c r="D888" t="s">
        <v>22</v>
      </c>
      <c r="E888">
        <v>72</v>
      </c>
      <c r="F888">
        <v>210</v>
      </c>
      <c r="G888" t="s">
        <v>32</v>
      </c>
      <c r="H888">
        <v>2020</v>
      </c>
      <c r="I888" t="s">
        <v>33</v>
      </c>
      <c r="J888">
        <v>4</v>
      </c>
      <c r="K888">
        <v>2</v>
      </c>
      <c r="L888">
        <v>1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68</v>
      </c>
      <c r="T888">
        <v>63</v>
      </c>
      <c r="U888" s="5">
        <f>IF(Merge1[[#This Row],[team_defense_snaps]]=0, "", Merge1[[#This Row],[defense_snaps]] / Merge1[[#This Row],[team_defense_snaps]])</f>
        <v>0.88732394366197187</v>
      </c>
      <c r="V888">
        <v>71</v>
      </c>
      <c r="W888">
        <v>5</v>
      </c>
      <c r="X888" s="5" t="s">
        <v>59</v>
      </c>
      <c r="Y888">
        <v>2</v>
      </c>
      <c r="Z888">
        <v>0</v>
      </c>
      <c r="AA888" t="s">
        <v>25</v>
      </c>
      <c r="AB888" t="s">
        <v>26</v>
      </c>
      <c r="AC888" t="s">
        <v>27</v>
      </c>
      <c r="AD888" t="s">
        <v>42</v>
      </c>
      <c r="AE888" t="s">
        <v>25</v>
      </c>
      <c r="AF8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3.6764705882352942E-2</v>
      </c>
      <c r="AG888" t="s">
        <v>941</v>
      </c>
      <c r="AH888">
        <v>58.5</v>
      </c>
      <c r="AI888" t="s">
        <v>939</v>
      </c>
      <c r="AJ888">
        <v>5</v>
      </c>
      <c r="AK8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MIN(AJ888/8, 1) +
  Merge1[[#This Row],[index_defensive_effort]],
  2
)</f>
        <v>1.1599999999999999</v>
      </c>
    </row>
    <row r="889" spans="1:37" x14ac:dyDescent="0.25">
      <c r="A889" t="s">
        <v>317</v>
      </c>
      <c r="B889" t="s">
        <v>318</v>
      </c>
      <c r="C889">
        <v>23</v>
      </c>
      <c r="D889" t="s">
        <v>22</v>
      </c>
      <c r="E889">
        <v>72</v>
      </c>
      <c r="F889">
        <v>210</v>
      </c>
      <c r="G889" t="s">
        <v>32</v>
      </c>
      <c r="H889">
        <v>2020</v>
      </c>
      <c r="I889" t="s">
        <v>33</v>
      </c>
      <c r="J889">
        <v>5</v>
      </c>
      <c r="K889">
        <v>6</v>
      </c>
      <c r="L889">
        <v>3</v>
      </c>
      <c r="M889">
        <v>0</v>
      </c>
      <c r="N889">
        <v>3</v>
      </c>
      <c r="O889">
        <v>4</v>
      </c>
      <c r="P889">
        <v>5</v>
      </c>
      <c r="Q889">
        <v>0</v>
      </c>
      <c r="R889">
        <v>0</v>
      </c>
      <c r="S889">
        <v>71</v>
      </c>
      <c r="T889">
        <v>67</v>
      </c>
      <c r="U889" s="5">
        <f>IF(Merge1[[#This Row],[team_defense_snaps]]=0, "", Merge1[[#This Row],[defense_snaps]] / Merge1[[#This Row],[team_defense_snaps]])</f>
        <v>1</v>
      </c>
      <c r="V889">
        <v>67</v>
      </c>
      <c r="W889">
        <v>4</v>
      </c>
      <c r="X889" s="5" t="s">
        <v>168</v>
      </c>
      <c r="Y889">
        <v>2</v>
      </c>
      <c r="Z889">
        <v>0</v>
      </c>
      <c r="AA889" t="s">
        <v>25</v>
      </c>
      <c r="AB889" t="s">
        <v>26</v>
      </c>
      <c r="AC889" t="s">
        <v>27</v>
      </c>
      <c r="AD889" t="s">
        <v>42</v>
      </c>
      <c r="AE889" t="s">
        <v>25</v>
      </c>
      <c r="AF8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0.41549295774647887</v>
      </c>
      <c r="AG889" t="s">
        <v>941</v>
      </c>
      <c r="AH889">
        <v>54</v>
      </c>
      <c r="AI889" t="s">
        <v>939</v>
      </c>
      <c r="AJ889">
        <v>6</v>
      </c>
      <c r="AK8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MIN(AJ889/8, 1) +
  Merge1[[#This Row],[index_defensive_effort]],
  2
)</f>
        <v>1.67</v>
      </c>
    </row>
    <row r="890" spans="1:37" x14ac:dyDescent="0.25">
      <c r="A890" t="s">
        <v>317</v>
      </c>
      <c r="B890" t="s">
        <v>318</v>
      </c>
      <c r="C890">
        <v>23</v>
      </c>
      <c r="D890" t="s">
        <v>22</v>
      </c>
      <c r="E890">
        <v>72</v>
      </c>
      <c r="F890">
        <v>210</v>
      </c>
      <c r="G890" t="s">
        <v>32</v>
      </c>
      <c r="H890">
        <v>2020</v>
      </c>
      <c r="I890" t="s">
        <v>33</v>
      </c>
      <c r="J890">
        <v>6</v>
      </c>
      <c r="K890">
        <v>3</v>
      </c>
      <c r="L890">
        <v>2</v>
      </c>
      <c r="M890">
        <v>0</v>
      </c>
      <c r="N890">
        <v>2</v>
      </c>
      <c r="O890">
        <v>0</v>
      </c>
      <c r="P890">
        <v>2</v>
      </c>
      <c r="Q890">
        <v>0</v>
      </c>
      <c r="R890">
        <v>4</v>
      </c>
      <c r="S890">
        <v>76</v>
      </c>
      <c r="T890">
        <v>72</v>
      </c>
      <c r="U890" s="5">
        <f>IF(Merge1[[#This Row],[team_defense_snaps]]=0, "", Merge1[[#This Row],[defense_snaps]] / Merge1[[#This Row],[team_defense_snaps]])</f>
        <v>1</v>
      </c>
      <c r="V890">
        <v>72</v>
      </c>
      <c r="W890">
        <v>4</v>
      </c>
      <c r="X890" s="5" t="s">
        <v>251</v>
      </c>
      <c r="Y890">
        <v>2</v>
      </c>
      <c r="Z890">
        <v>0</v>
      </c>
      <c r="AA890" t="s">
        <v>25</v>
      </c>
      <c r="AB890" t="s">
        <v>26</v>
      </c>
      <c r="AC890" t="s">
        <v>27</v>
      </c>
      <c r="AD890" t="s">
        <v>42</v>
      </c>
      <c r="AE890" t="s">
        <v>25</v>
      </c>
      <c r="AF8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0.21052631578947367</v>
      </c>
      <c r="AG890" t="s">
        <v>941</v>
      </c>
      <c r="AH890">
        <v>51</v>
      </c>
      <c r="AI890" t="s">
        <v>939</v>
      </c>
      <c r="AJ890">
        <v>1</v>
      </c>
      <c r="AK8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MIN(AJ890/8, 1) +
  Merge1[[#This Row],[index_defensive_effort]],
  2
)</f>
        <v>0.84</v>
      </c>
    </row>
    <row r="891" spans="1:37" x14ac:dyDescent="0.25">
      <c r="A891" t="s">
        <v>317</v>
      </c>
      <c r="B891" t="s">
        <v>318</v>
      </c>
      <c r="C891">
        <v>23</v>
      </c>
      <c r="D891" t="s">
        <v>22</v>
      </c>
      <c r="E891">
        <v>72</v>
      </c>
      <c r="F891">
        <v>210</v>
      </c>
      <c r="G891" t="s">
        <v>32</v>
      </c>
      <c r="H891">
        <v>2020</v>
      </c>
      <c r="I891" t="s">
        <v>33</v>
      </c>
      <c r="J891">
        <v>8</v>
      </c>
      <c r="K891">
        <v>4</v>
      </c>
      <c r="L891">
        <v>5</v>
      </c>
      <c r="M891">
        <v>0</v>
      </c>
      <c r="N891">
        <v>5</v>
      </c>
      <c r="O891">
        <v>3</v>
      </c>
      <c r="P891">
        <v>4</v>
      </c>
      <c r="Q891">
        <v>0</v>
      </c>
      <c r="R891">
        <v>3</v>
      </c>
      <c r="S891">
        <v>59</v>
      </c>
      <c r="T891">
        <v>54</v>
      </c>
      <c r="U891" s="5">
        <f>IF(Merge1[[#This Row],[team_defense_snaps]]=0, "", Merge1[[#This Row],[defense_snaps]] / Merge1[[#This Row],[team_defense_snaps]])</f>
        <v>0.98181818181818181</v>
      </c>
      <c r="V891">
        <v>55</v>
      </c>
      <c r="W891">
        <v>5</v>
      </c>
      <c r="X891" s="5" t="s">
        <v>59</v>
      </c>
      <c r="Y891">
        <v>2</v>
      </c>
      <c r="Z891">
        <v>0</v>
      </c>
      <c r="AA891" t="s">
        <v>25</v>
      </c>
      <c r="AB891" t="s">
        <v>26</v>
      </c>
      <c r="AC891" t="s">
        <v>27</v>
      </c>
      <c r="AD891" t="s">
        <v>42</v>
      </c>
      <c r="AE891" t="s">
        <v>25</v>
      </c>
      <c r="AF8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</v>
      </c>
      <c r="AG891" t="s">
        <v>941</v>
      </c>
      <c r="AH891">
        <v>52</v>
      </c>
      <c r="AI891" t="s">
        <v>939</v>
      </c>
      <c r="AJ891">
        <v>2</v>
      </c>
      <c r="AK8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MIN(AJ891/8, 1) +
  Merge1[[#This Row],[index_defensive_effort]],
  2
)</f>
        <v>1.25</v>
      </c>
    </row>
    <row r="892" spans="1:37" x14ac:dyDescent="0.25">
      <c r="A892" t="s">
        <v>317</v>
      </c>
      <c r="B892" t="s">
        <v>318</v>
      </c>
      <c r="C892">
        <v>23</v>
      </c>
      <c r="D892" t="s">
        <v>22</v>
      </c>
      <c r="E892">
        <v>72</v>
      </c>
      <c r="F892">
        <v>210</v>
      </c>
      <c r="G892" t="s">
        <v>32</v>
      </c>
      <c r="H892">
        <v>2020</v>
      </c>
      <c r="I892" t="s">
        <v>33</v>
      </c>
      <c r="J892">
        <v>9</v>
      </c>
      <c r="K892">
        <v>3</v>
      </c>
      <c r="L892">
        <v>1</v>
      </c>
      <c r="M892">
        <v>1</v>
      </c>
      <c r="N892">
        <v>2</v>
      </c>
      <c r="O892">
        <v>0</v>
      </c>
      <c r="P892">
        <v>0</v>
      </c>
      <c r="Q892">
        <v>0</v>
      </c>
      <c r="R892">
        <v>0</v>
      </c>
      <c r="S892">
        <v>69</v>
      </c>
      <c r="T892">
        <v>69</v>
      </c>
      <c r="U892" s="5">
        <f>IF(Merge1[[#This Row],[team_defense_snaps]]=0, "", Merge1[[#This Row],[defense_snaps]] / Merge1[[#This Row],[team_defense_snaps]])</f>
        <v>1</v>
      </c>
      <c r="V892">
        <v>69</v>
      </c>
      <c r="W892">
        <v>0</v>
      </c>
      <c r="X892" s="5" t="s">
        <v>29</v>
      </c>
      <c r="Y892">
        <v>2</v>
      </c>
      <c r="Z892">
        <v>0</v>
      </c>
      <c r="AA892" t="s">
        <v>25</v>
      </c>
      <c r="AB892" t="s">
        <v>26</v>
      </c>
      <c r="AC892" t="s">
        <v>27</v>
      </c>
      <c r="AD892" t="s">
        <v>42</v>
      </c>
      <c r="AE892" t="s">
        <v>25</v>
      </c>
      <c r="AF8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5.7971014492753624E-2</v>
      </c>
      <c r="AG892" t="s">
        <v>941</v>
      </c>
      <c r="AH892">
        <v>55.5</v>
      </c>
      <c r="AI892" t="s">
        <v>939</v>
      </c>
      <c r="AJ892">
        <v>3</v>
      </c>
      <c r="AK8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MIN(AJ892/8, 1) +
  Merge1[[#This Row],[index_defensive_effort]],
  2
)</f>
        <v>0.93</v>
      </c>
    </row>
    <row r="893" spans="1:37" x14ac:dyDescent="0.25">
      <c r="A893" t="s">
        <v>317</v>
      </c>
      <c r="B893" t="s">
        <v>318</v>
      </c>
      <c r="C893">
        <v>23</v>
      </c>
      <c r="D893" t="s">
        <v>22</v>
      </c>
      <c r="E893">
        <v>72</v>
      </c>
      <c r="F893">
        <v>210</v>
      </c>
      <c r="G893" t="s">
        <v>32</v>
      </c>
      <c r="H893">
        <v>2020</v>
      </c>
      <c r="I893" t="s">
        <v>33</v>
      </c>
      <c r="J893">
        <v>10</v>
      </c>
      <c r="K893">
        <v>4</v>
      </c>
      <c r="L893">
        <v>2</v>
      </c>
      <c r="M893">
        <v>0</v>
      </c>
      <c r="N893">
        <v>2</v>
      </c>
      <c r="O893">
        <v>0</v>
      </c>
      <c r="P893">
        <v>0</v>
      </c>
      <c r="Q893">
        <v>0</v>
      </c>
      <c r="R893">
        <v>0</v>
      </c>
      <c r="S893">
        <v>59</v>
      </c>
      <c r="T893">
        <v>58</v>
      </c>
      <c r="U893" s="5">
        <f>IF(Merge1[[#This Row],[team_defense_snaps]]=0, "", Merge1[[#This Row],[defense_snaps]] / Merge1[[#This Row],[team_defense_snaps]])</f>
        <v>1</v>
      </c>
      <c r="V893">
        <v>58</v>
      </c>
      <c r="W893">
        <v>1</v>
      </c>
      <c r="X893" s="5" t="s">
        <v>193</v>
      </c>
      <c r="Y893">
        <v>2</v>
      </c>
      <c r="Z893">
        <v>0</v>
      </c>
      <c r="AA893" t="s">
        <v>25</v>
      </c>
      <c r="AB893" t="s">
        <v>26</v>
      </c>
      <c r="AC893" t="s">
        <v>27</v>
      </c>
      <c r="AD893" t="s">
        <v>42</v>
      </c>
      <c r="AE893" t="s">
        <v>25</v>
      </c>
      <c r="AF8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8.4745762711864403E-2</v>
      </c>
      <c r="AG893" t="s">
        <v>941</v>
      </c>
      <c r="AH893">
        <v>60</v>
      </c>
      <c r="AI893" t="s">
        <v>939</v>
      </c>
      <c r="AJ893">
        <v>4</v>
      </c>
      <c r="AK8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MIN(AJ893/8, 1) +
  Merge1[[#This Row],[index_defensive_effort]],
  2
)</f>
        <v>1.08</v>
      </c>
    </row>
    <row r="894" spans="1:37" x14ac:dyDescent="0.25">
      <c r="A894" t="s">
        <v>317</v>
      </c>
      <c r="B894" t="s">
        <v>318</v>
      </c>
      <c r="C894">
        <v>23</v>
      </c>
      <c r="D894" t="s">
        <v>22</v>
      </c>
      <c r="E894">
        <v>72</v>
      </c>
      <c r="F894">
        <v>210</v>
      </c>
      <c r="G894" t="s">
        <v>32</v>
      </c>
      <c r="H894">
        <v>2020</v>
      </c>
      <c r="I894" t="s">
        <v>33</v>
      </c>
      <c r="J894">
        <v>11</v>
      </c>
      <c r="K894">
        <v>3</v>
      </c>
      <c r="L894">
        <v>3</v>
      </c>
      <c r="M894">
        <v>0</v>
      </c>
      <c r="N894">
        <v>3</v>
      </c>
      <c r="O894">
        <v>0</v>
      </c>
      <c r="P894">
        <v>0</v>
      </c>
      <c r="Q894">
        <v>0</v>
      </c>
      <c r="R894">
        <v>0</v>
      </c>
      <c r="S894">
        <v>71</v>
      </c>
      <c r="T894">
        <v>69</v>
      </c>
      <c r="U894" s="5">
        <f>IF(Merge1[[#This Row],[team_defense_snaps]]=0, "", Merge1[[#This Row],[defense_snaps]] / Merge1[[#This Row],[team_defense_snaps]])</f>
        <v>0.98571428571428577</v>
      </c>
      <c r="V894">
        <v>70</v>
      </c>
      <c r="W894">
        <v>2</v>
      </c>
      <c r="X894" s="5" t="s">
        <v>208</v>
      </c>
      <c r="Y894">
        <v>2</v>
      </c>
      <c r="Z894">
        <v>0</v>
      </c>
      <c r="AA894" t="s">
        <v>25</v>
      </c>
      <c r="AB894" t="s">
        <v>26</v>
      </c>
      <c r="AC894" t="s">
        <v>27</v>
      </c>
      <c r="AD894" t="s">
        <v>42</v>
      </c>
      <c r="AE894" t="s">
        <v>25</v>
      </c>
      <c r="AF8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6.3380281690140844E-2</v>
      </c>
      <c r="AG894" t="s">
        <v>941</v>
      </c>
      <c r="AH894">
        <v>66</v>
      </c>
      <c r="AI894" t="s">
        <v>939</v>
      </c>
      <c r="AJ894">
        <v>5</v>
      </c>
      <c r="AK8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MIN(AJ894/8, 1) +
  Merge1[[#This Row],[index_defensive_effort]],
  2
)</f>
        <v>1.19</v>
      </c>
    </row>
    <row r="895" spans="1:37" x14ac:dyDescent="0.25">
      <c r="A895" t="s">
        <v>317</v>
      </c>
      <c r="B895" t="s">
        <v>318</v>
      </c>
      <c r="C895">
        <v>23</v>
      </c>
      <c r="D895" t="s">
        <v>22</v>
      </c>
      <c r="E895">
        <v>72</v>
      </c>
      <c r="F895">
        <v>210</v>
      </c>
      <c r="G895" t="s">
        <v>32</v>
      </c>
      <c r="H895">
        <v>2020</v>
      </c>
      <c r="I895" t="s">
        <v>33</v>
      </c>
      <c r="J895">
        <v>12</v>
      </c>
      <c r="K895">
        <v>4</v>
      </c>
      <c r="L895">
        <v>3</v>
      </c>
      <c r="M895">
        <v>1</v>
      </c>
      <c r="N895">
        <v>4</v>
      </c>
      <c r="O895">
        <v>0</v>
      </c>
      <c r="P895">
        <v>0</v>
      </c>
      <c r="Q895">
        <v>0</v>
      </c>
      <c r="R895">
        <v>0</v>
      </c>
      <c r="S895">
        <v>71</v>
      </c>
      <c r="T895">
        <v>71</v>
      </c>
      <c r="U895" s="5">
        <f>IF(Merge1[[#This Row],[team_defense_snaps]]=0, "", Merge1[[#This Row],[defense_snaps]] / Merge1[[#This Row],[team_defense_snaps]])</f>
        <v>0.95945945945945943</v>
      </c>
      <c r="V895">
        <v>74</v>
      </c>
      <c r="W895">
        <v>0</v>
      </c>
      <c r="X895" s="5" t="s">
        <v>29</v>
      </c>
      <c r="Y895">
        <v>2</v>
      </c>
      <c r="Z895">
        <v>0</v>
      </c>
      <c r="AA895" t="s">
        <v>25</v>
      </c>
      <c r="AB895" t="s">
        <v>26</v>
      </c>
      <c r="AC895" t="s">
        <v>27</v>
      </c>
      <c r="AD895" t="s">
        <v>42</v>
      </c>
      <c r="AE895" t="s">
        <v>25</v>
      </c>
      <c r="AF8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8.4507042253521125E-2</v>
      </c>
      <c r="AG895" t="s">
        <v>941</v>
      </c>
      <c r="AH895">
        <v>70.5</v>
      </c>
      <c r="AI895" t="s">
        <v>939</v>
      </c>
      <c r="AJ895">
        <v>6</v>
      </c>
      <c r="AK8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MIN(AJ895/8, 1) +
  Merge1[[#This Row],[index_defensive_effort]],
  2
)</f>
        <v>1.33</v>
      </c>
    </row>
    <row r="896" spans="1:37" x14ac:dyDescent="0.25">
      <c r="A896" t="s">
        <v>317</v>
      </c>
      <c r="B896" t="s">
        <v>318</v>
      </c>
      <c r="C896">
        <v>23</v>
      </c>
      <c r="D896" t="s">
        <v>22</v>
      </c>
      <c r="E896">
        <v>72</v>
      </c>
      <c r="F896">
        <v>210</v>
      </c>
      <c r="G896" t="s">
        <v>32</v>
      </c>
      <c r="H896">
        <v>2020</v>
      </c>
      <c r="I896" t="s">
        <v>33</v>
      </c>
      <c r="J896">
        <v>13</v>
      </c>
      <c r="K896">
        <v>7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79</v>
      </c>
      <c r="T896">
        <v>79</v>
      </c>
      <c r="U896" s="5">
        <f>IF(Merge1[[#This Row],[team_defense_snaps]]=0, "", Merge1[[#This Row],[defense_snaps]] / Merge1[[#This Row],[team_defense_snaps]])</f>
        <v>0.98750000000000004</v>
      </c>
      <c r="V896">
        <v>80</v>
      </c>
      <c r="W896">
        <v>0</v>
      </c>
      <c r="X896" s="5" t="s">
        <v>29</v>
      </c>
      <c r="Y896">
        <v>2</v>
      </c>
      <c r="Z896">
        <v>0</v>
      </c>
      <c r="AA896" t="s">
        <v>25</v>
      </c>
      <c r="AB896" t="s">
        <v>36</v>
      </c>
      <c r="AC896" t="s">
        <v>247</v>
      </c>
      <c r="AD896" t="s">
        <v>42</v>
      </c>
      <c r="AE896" t="s">
        <v>25</v>
      </c>
      <c r="AF8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8.8607594936708861E-2</v>
      </c>
      <c r="AG896" t="s">
        <v>941</v>
      </c>
      <c r="AH896">
        <v>48</v>
      </c>
      <c r="AI896" t="s">
        <v>939</v>
      </c>
      <c r="AJ896">
        <v>7</v>
      </c>
      <c r="AK8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MIN(AJ896/8, 1) +
  Merge1[[#This Row],[index_defensive_effort]],
  2
)</f>
        <v>1.46</v>
      </c>
    </row>
    <row r="897" spans="1:37" x14ac:dyDescent="0.25">
      <c r="A897" t="s">
        <v>317</v>
      </c>
      <c r="B897" t="s">
        <v>318</v>
      </c>
      <c r="C897">
        <v>23</v>
      </c>
      <c r="D897" t="s">
        <v>22</v>
      </c>
      <c r="E897">
        <v>72</v>
      </c>
      <c r="F897">
        <v>210</v>
      </c>
      <c r="G897" t="s">
        <v>32</v>
      </c>
      <c r="H897">
        <v>2020</v>
      </c>
      <c r="I897" t="s">
        <v>33</v>
      </c>
      <c r="J897">
        <v>14</v>
      </c>
      <c r="K897">
        <v>5</v>
      </c>
      <c r="L897">
        <v>2</v>
      </c>
      <c r="M897">
        <v>0</v>
      </c>
      <c r="N897">
        <v>2</v>
      </c>
      <c r="O897">
        <v>0</v>
      </c>
      <c r="P897">
        <v>1</v>
      </c>
      <c r="Q897">
        <v>0</v>
      </c>
      <c r="R897">
        <v>0</v>
      </c>
      <c r="S897">
        <v>91</v>
      </c>
      <c r="T897">
        <v>83</v>
      </c>
      <c r="U897" s="5">
        <f>IF(Merge1[[#This Row],[team_defense_snaps]]=0, "", Merge1[[#This Row],[defense_snaps]] / Merge1[[#This Row],[team_defense_snaps]])</f>
        <v>0.97647058823529409</v>
      </c>
      <c r="V897">
        <v>85</v>
      </c>
      <c r="W897">
        <v>8</v>
      </c>
      <c r="X897" s="5" t="s">
        <v>133</v>
      </c>
      <c r="Y897">
        <v>2</v>
      </c>
      <c r="Z897">
        <v>0</v>
      </c>
      <c r="AA897" t="s">
        <v>25</v>
      </c>
      <c r="AB897" t="s">
        <v>26</v>
      </c>
      <c r="AC897" t="s">
        <v>27</v>
      </c>
      <c r="AD897" t="s">
        <v>42</v>
      </c>
      <c r="AE897" t="s">
        <v>25</v>
      </c>
      <c r="AF8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8.7912087912087919E-2</v>
      </c>
      <c r="AG897" t="s">
        <v>941</v>
      </c>
      <c r="AH897">
        <v>52</v>
      </c>
      <c r="AI897" t="s">
        <v>939</v>
      </c>
      <c r="AJ897">
        <v>8</v>
      </c>
      <c r="AK8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MIN(AJ897/8, 1) +
  Merge1[[#This Row],[index_defensive_effort]],
  2
)</f>
        <v>1.59</v>
      </c>
    </row>
    <row r="898" spans="1:37" x14ac:dyDescent="0.25">
      <c r="A898" t="s">
        <v>317</v>
      </c>
      <c r="B898" t="s">
        <v>318</v>
      </c>
      <c r="C898">
        <v>23</v>
      </c>
      <c r="D898" t="s">
        <v>22</v>
      </c>
      <c r="E898">
        <v>72</v>
      </c>
      <c r="F898">
        <v>210</v>
      </c>
      <c r="G898" t="s">
        <v>32</v>
      </c>
      <c r="H898">
        <v>2020</v>
      </c>
      <c r="I898" t="s">
        <v>33</v>
      </c>
      <c r="J898">
        <v>15</v>
      </c>
      <c r="K898">
        <v>1</v>
      </c>
      <c r="L898">
        <v>4</v>
      </c>
      <c r="M898">
        <v>0</v>
      </c>
      <c r="N898">
        <v>4</v>
      </c>
      <c r="O898">
        <v>0</v>
      </c>
      <c r="P898">
        <v>0</v>
      </c>
      <c r="Q898">
        <v>0</v>
      </c>
      <c r="R898">
        <v>0</v>
      </c>
      <c r="S898">
        <v>61</v>
      </c>
      <c r="T898">
        <v>58</v>
      </c>
      <c r="U898" s="5">
        <f>IF(Merge1[[#This Row],[team_defense_snaps]]=0, "", Merge1[[#This Row],[defense_snaps]] / Merge1[[#This Row],[team_defense_snaps]])</f>
        <v>1</v>
      </c>
      <c r="V898">
        <v>58</v>
      </c>
      <c r="W898">
        <v>3</v>
      </c>
      <c r="X898" s="5" t="s">
        <v>209</v>
      </c>
      <c r="Y898">
        <v>2</v>
      </c>
      <c r="Z898">
        <v>0</v>
      </c>
      <c r="AA898" t="s">
        <v>25</v>
      </c>
      <c r="AB898" t="s">
        <v>26</v>
      </c>
      <c r="AC898" t="s">
        <v>27</v>
      </c>
      <c r="AD898" t="s">
        <v>42</v>
      </c>
      <c r="AE898" t="s">
        <v>25</v>
      </c>
      <c r="AF8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4.9180327868852458E-2</v>
      </c>
      <c r="AG898" t="s">
        <v>941</v>
      </c>
      <c r="AH898">
        <v>69</v>
      </c>
      <c r="AI898" t="s">
        <v>939</v>
      </c>
      <c r="AJ898">
        <v>9</v>
      </c>
      <c r="AK8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MIN(AJ898/8, 1) +
  Merge1[[#This Row],[index_defensive_effort]],
  2
)</f>
        <v>1.55</v>
      </c>
    </row>
    <row r="899" spans="1:37" x14ac:dyDescent="0.25">
      <c r="A899" t="s">
        <v>317</v>
      </c>
      <c r="B899" t="s">
        <v>318</v>
      </c>
      <c r="C899">
        <v>23</v>
      </c>
      <c r="D899" t="s">
        <v>22</v>
      </c>
      <c r="E899">
        <v>72</v>
      </c>
      <c r="F899">
        <v>210</v>
      </c>
      <c r="G899" t="s">
        <v>32</v>
      </c>
      <c r="H899">
        <v>2020</v>
      </c>
      <c r="I899" t="s">
        <v>33</v>
      </c>
      <c r="J899">
        <v>16</v>
      </c>
      <c r="K899">
        <v>3</v>
      </c>
      <c r="L899">
        <v>1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64</v>
      </c>
      <c r="T899">
        <v>59</v>
      </c>
      <c r="U899" s="5">
        <f>IF(Merge1[[#This Row],[team_defense_snaps]]=0, "", Merge1[[#This Row],[defense_snaps]] / Merge1[[#This Row],[team_defense_snaps]])</f>
        <v>0.921875</v>
      </c>
      <c r="V899">
        <v>64</v>
      </c>
      <c r="W899">
        <v>5</v>
      </c>
      <c r="X899" s="5" t="s">
        <v>139</v>
      </c>
      <c r="Y899">
        <v>2</v>
      </c>
      <c r="Z899">
        <v>0</v>
      </c>
      <c r="AA899" t="s">
        <v>25</v>
      </c>
      <c r="AB899" t="s">
        <v>26</v>
      </c>
      <c r="AC899" t="s">
        <v>27</v>
      </c>
      <c r="AD899" t="s">
        <v>42</v>
      </c>
      <c r="AE899" t="s">
        <v>25</v>
      </c>
      <c r="AF8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5.46875E-2</v>
      </c>
      <c r="AG899" t="s">
        <v>941</v>
      </c>
      <c r="AH899">
        <v>67.5</v>
      </c>
      <c r="AI899" t="s">
        <v>939</v>
      </c>
      <c r="AJ899">
        <v>10</v>
      </c>
      <c r="AK8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MIN(AJ899/8, 1) +
  Merge1[[#This Row],[index_defensive_effort]],
  2
)</f>
        <v>1.55</v>
      </c>
    </row>
    <row r="900" spans="1:37" x14ac:dyDescent="0.25">
      <c r="A900" t="s">
        <v>317</v>
      </c>
      <c r="B900" t="s">
        <v>318</v>
      </c>
      <c r="C900">
        <v>23</v>
      </c>
      <c r="D900" t="s">
        <v>22</v>
      </c>
      <c r="E900">
        <v>72</v>
      </c>
      <c r="F900">
        <v>210</v>
      </c>
      <c r="G900" t="s">
        <v>32</v>
      </c>
      <c r="H900">
        <v>2020</v>
      </c>
      <c r="I900" t="s">
        <v>33</v>
      </c>
      <c r="J900">
        <v>17</v>
      </c>
      <c r="K900">
        <v>0</v>
      </c>
      <c r="L900">
        <v>2</v>
      </c>
      <c r="M900">
        <v>0</v>
      </c>
      <c r="N900">
        <v>2</v>
      </c>
      <c r="O900">
        <v>0</v>
      </c>
      <c r="P900">
        <v>0</v>
      </c>
      <c r="Q900">
        <v>0</v>
      </c>
      <c r="R900">
        <v>0</v>
      </c>
      <c r="S900">
        <v>45</v>
      </c>
      <c r="T900">
        <v>38</v>
      </c>
      <c r="U900" s="5">
        <f>IF(Merge1[[#This Row],[team_defense_snaps]]=0, "", Merge1[[#This Row],[defense_snaps]] / Merge1[[#This Row],[team_defense_snaps]])</f>
        <v>0.88372093023255816</v>
      </c>
      <c r="V900">
        <v>43</v>
      </c>
      <c r="W900">
        <v>7</v>
      </c>
      <c r="X900" s="5" t="s">
        <v>261</v>
      </c>
      <c r="Y900">
        <v>2</v>
      </c>
      <c r="Z900">
        <v>0</v>
      </c>
      <c r="AA900" t="s">
        <v>25</v>
      </c>
      <c r="AB900" t="s">
        <v>26</v>
      </c>
      <c r="AC900" t="s">
        <v>27</v>
      </c>
      <c r="AD900" t="s">
        <v>42</v>
      </c>
      <c r="AE900" t="s">
        <v>25</v>
      </c>
      <c r="AF9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2.2222222222222223E-2</v>
      </c>
      <c r="AG900" t="s">
        <v>941</v>
      </c>
      <c r="AH900">
        <v>52.5</v>
      </c>
      <c r="AI900" t="s">
        <v>939</v>
      </c>
      <c r="AJ900">
        <v>11</v>
      </c>
      <c r="AK9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MIN(AJ900/8, 1) +
  Merge1[[#This Row],[index_defensive_effort]],
  2
)</f>
        <v>1.52</v>
      </c>
    </row>
    <row r="901" spans="1:37" x14ac:dyDescent="0.25">
      <c r="A901" t="s">
        <v>317</v>
      </c>
      <c r="B901" t="s">
        <v>318</v>
      </c>
      <c r="C901">
        <v>23</v>
      </c>
      <c r="D901" t="s">
        <v>22</v>
      </c>
      <c r="E901">
        <v>72</v>
      </c>
      <c r="F901">
        <v>210</v>
      </c>
      <c r="G901" t="s">
        <v>32</v>
      </c>
      <c r="H901">
        <v>2020</v>
      </c>
      <c r="I901" t="s">
        <v>24</v>
      </c>
      <c r="J901">
        <v>18</v>
      </c>
      <c r="K901">
        <v>2</v>
      </c>
      <c r="L901">
        <v>2</v>
      </c>
      <c r="M901">
        <v>2</v>
      </c>
      <c r="N901">
        <v>4</v>
      </c>
      <c r="O901">
        <v>0</v>
      </c>
      <c r="P901">
        <v>0</v>
      </c>
      <c r="Q901">
        <v>0</v>
      </c>
      <c r="R901">
        <v>0</v>
      </c>
      <c r="S901">
        <v>55</v>
      </c>
      <c r="T901">
        <v>50</v>
      </c>
      <c r="U901" s="5">
        <f>IF(Merge1[[#This Row],[team_defense_snaps]]=0, "", Merge1[[#This Row],[defense_snaps]] / Merge1[[#This Row],[team_defense_snaps]])</f>
        <v>1</v>
      </c>
      <c r="V901">
        <v>50</v>
      </c>
      <c r="W901">
        <v>5</v>
      </c>
      <c r="X901" s="5" t="s">
        <v>58</v>
      </c>
      <c r="Y901">
        <v>2</v>
      </c>
      <c r="Z901">
        <v>0</v>
      </c>
      <c r="AA901" t="s">
        <v>25</v>
      </c>
      <c r="AB901" t="s">
        <v>26</v>
      </c>
      <c r="AC901" t="s">
        <v>27</v>
      </c>
      <c r="AD901" t="s">
        <v>42</v>
      </c>
      <c r="AE901" t="s">
        <v>25</v>
      </c>
      <c r="AF9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7.2727272727272724E-2</v>
      </c>
      <c r="AG901" t="s">
        <v>941</v>
      </c>
      <c r="AH901">
        <v>64.5</v>
      </c>
      <c r="AI901" t="s">
        <v>939</v>
      </c>
      <c r="AJ901">
        <v>12</v>
      </c>
      <c r="AK9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MIN(AJ901/8, 1) +
  Merge1[[#This Row],[index_defensive_effort]],
  2
)</f>
        <v>1.77</v>
      </c>
    </row>
    <row r="902" spans="1:37" x14ac:dyDescent="0.25">
      <c r="A902" t="s">
        <v>317</v>
      </c>
      <c r="B902" t="s">
        <v>318</v>
      </c>
      <c r="C902">
        <v>23</v>
      </c>
      <c r="D902" t="s">
        <v>22</v>
      </c>
      <c r="E902">
        <v>72</v>
      </c>
      <c r="F902">
        <v>210</v>
      </c>
      <c r="G902" t="s">
        <v>32</v>
      </c>
      <c r="H902">
        <v>2020</v>
      </c>
      <c r="I902" t="s">
        <v>24</v>
      </c>
      <c r="J902">
        <v>19</v>
      </c>
      <c r="K902">
        <v>3</v>
      </c>
      <c r="L902">
        <v>1</v>
      </c>
      <c r="M902">
        <v>0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57</v>
      </c>
      <c r="T902">
        <v>55</v>
      </c>
      <c r="U902" s="5">
        <f>IF(Merge1[[#This Row],[team_defense_snaps]]=0, "", Merge1[[#This Row],[defense_snaps]] / Merge1[[#This Row],[team_defense_snaps]])</f>
        <v>0.96491228070175439</v>
      </c>
      <c r="V902">
        <v>57</v>
      </c>
      <c r="W902">
        <v>2</v>
      </c>
      <c r="X902" s="5" t="s">
        <v>167</v>
      </c>
      <c r="Y902">
        <v>2</v>
      </c>
      <c r="Z902">
        <v>0</v>
      </c>
      <c r="AA902" t="s">
        <v>25</v>
      </c>
      <c r="AB902" t="s">
        <v>26</v>
      </c>
      <c r="AC902" t="s">
        <v>27</v>
      </c>
      <c r="AD902" t="s">
        <v>42</v>
      </c>
      <c r="AE902" t="s">
        <v>25</v>
      </c>
      <c r="AF9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6.1403508771929821E-2</v>
      </c>
      <c r="AG902" t="s">
        <v>941</v>
      </c>
      <c r="AH902">
        <v>61.5</v>
      </c>
      <c r="AI902" t="s">
        <v>939</v>
      </c>
      <c r="AJ902">
        <v>1</v>
      </c>
      <c r="AK9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MIN(AJ902/8, 1) +
  Merge1[[#This Row],[index_defensive_effort]],
  2
)</f>
        <v>0.89</v>
      </c>
    </row>
    <row r="903" spans="1:37" x14ac:dyDescent="0.25">
      <c r="A903" t="s">
        <v>347</v>
      </c>
      <c r="B903" t="s">
        <v>348</v>
      </c>
      <c r="C903">
        <v>26</v>
      </c>
      <c r="D903" t="s">
        <v>56</v>
      </c>
      <c r="E903">
        <v>70</v>
      </c>
      <c r="F903">
        <v>200</v>
      </c>
      <c r="G903" t="s">
        <v>120</v>
      </c>
      <c r="H903">
        <v>2020</v>
      </c>
      <c r="I903" t="s">
        <v>33</v>
      </c>
      <c r="J903">
        <v>1</v>
      </c>
      <c r="K903">
        <v>1</v>
      </c>
      <c r="L903">
        <v>2</v>
      </c>
      <c r="M903">
        <v>1</v>
      </c>
      <c r="N903">
        <v>3</v>
      </c>
      <c r="O903">
        <v>0</v>
      </c>
      <c r="P903">
        <v>0</v>
      </c>
      <c r="Q903">
        <v>0</v>
      </c>
      <c r="R903">
        <v>0</v>
      </c>
      <c r="S903">
        <v>41</v>
      </c>
      <c r="T903">
        <v>41</v>
      </c>
      <c r="U903" s="5">
        <f>IF(Merge1[[#This Row],[team_defense_snaps]]=0, "", Merge1[[#This Row],[defense_snaps]] / Merge1[[#This Row],[team_defense_snaps]])</f>
        <v>0.6029411764705882</v>
      </c>
      <c r="V903">
        <v>68</v>
      </c>
      <c r="W903">
        <v>0</v>
      </c>
      <c r="X903" s="5">
        <v>0</v>
      </c>
      <c r="Y903">
        <v>3</v>
      </c>
      <c r="Z903">
        <v>0</v>
      </c>
      <c r="AA903" t="s">
        <v>25</v>
      </c>
      <c r="AB903" t="s">
        <v>36</v>
      </c>
      <c r="AC903" t="s">
        <v>147</v>
      </c>
      <c r="AD903" t="s">
        <v>42</v>
      </c>
      <c r="AE903" t="s">
        <v>25</v>
      </c>
      <c r="AF9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6.097560975609756E-2</v>
      </c>
      <c r="AG903" t="s">
        <v>941</v>
      </c>
      <c r="AH903">
        <v>66</v>
      </c>
      <c r="AI903" t="s">
        <v>939</v>
      </c>
      <c r="AJ903">
        <v>1</v>
      </c>
      <c r="AK9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MIN(AJ903/8, 1) +
  Merge1[[#This Row],[index_defensive_effort]],
  2
)</f>
        <v>0.79</v>
      </c>
    </row>
    <row r="904" spans="1:37" x14ac:dyDescent="0.25">
      <c r="A904" t="s">
        <v>347</v>
      </c>
      <c r="B904" t="s">
        <v>348</v>
      </c>
      <c r="C904">
        <v>26</v>
      </c>
      <c r="D904" t="s">
        <v>56</v>
      </c>
      <c r="E904">
        <v>70</v>
      </c>
      <c r="F904">
        <v>200</v>
      </c>
      <c r="G904" t="s">
        <v>120</v>
      </c>
      <c r="H904">
        <v>2020</v>
      </c>
      <c r="I904" t="s">
        <v>33</v>
      </c>
      <c r="J904">
        <v>2</v>
      </c>
      <c r="K904">
        <v>4</v>
      </c>
      <c r="L904">
        <v>2</v>
      </c>
      <c r="M904">
        <v>2</v>
      </c>
      <c r="N904">
        <v>4</v>
      </c>
      <c r="O904">
        <v>0</v>
      </c>
      <c r="P904">
        <v>0</v>
      </c>
      <c r="Q904">
        <v>0</v>
      </c>
      <c r="R904">
        <v>0</v>
      </c>
      <c r="S904">
        <v>44</v>
      </c>
      <c r="T904">
        <v>44</v>
      </c>
      <c r="U904" s="5">
        <f>IF(Merge1[[#This Row],[team_defense_snaps]]=0, "", Merge1[[#This Row],[defense_snaps]] / Merge1[[#This Row],[team_defense_snaps]])</f>
        <v>0.5714285714285714</v>
      </c>
      <c r="V904">
        <v>77</v>
      </c>
      <c r="W904">
        <v>0</v>
      </c>
      <c r="X904" s="5">
        <v>0</v>
      </c>
      <c r="Y904">
        <v>3</v>
      </c>
      <c r="Z904">
        <v>0</v>
      </c>
      <c r="AA904" t="s">
        <v>25</v>
      </c>
      <c r="AB904" t="s">
        <v>26</v>
      </c>
      <c r="AC904" t="s">
        <v>27</v>
      </c>
      <c r="AD904" t="s">
        <v>42</v>
      </c>
      <c r="AE904" t="s">
        <v>25</v>
      </c>
      <c r="AF9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0.13636363636363635</v>
      </c>
      <c r="AG904" t="s">
        <v>941</v>
      </c>
      <c r="AH904">
        <v>63</v>
      </c>
      <c r="AI904" t="s">
        <v>939</v>
      </c>
      <c r="AJ904">
        <v>2</v>
      </c>
      <c r="AK9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MIN(AJ904/8, 1) +
  Merge1[[#This Row],[index_defensive_effort]],
  2
)</f>
        <v>0.99</v>
      </c>
    </row>
    <row r="905" spans="1:37" x14ac:dyDescent="0.25">
      <c r="A905" t="s">
        <v>347</v>
      </c>
      <c r="B905" t="s">
        <v>348</v>
      </c>
      <c r="C905">
        <v>26</v>
      </c>
      <c r="D905" t="s">
        <v>56</v>
      </c>
      <c r="E905">
        <v>70</v>
      </c>
      <c r="F905">
        <v>200</v>
      </c>
      <c r="G905" t="s">
        <v>120</v>
      </c>
      <c r="H905">
        <v>2020</v>
      </c>
      <c r="I905" t="s">
        <v>33</v>
      </c>
      <c r="J905">
        <v>4</v>
      </c>
      <c r="K905">
        <v>3</v>
      </c>
      <c r="L905">
        <v>2</v>
      </c>
      <c r="M905">
        <v>1</v>
      </c>
      <c r="N905">
        <v>3</v>
      </c>
      <c r="O905">
        <v>0</v>
      </c>
      <c r="P905">
        <v>0</v>
      </c>
      <c r="Q905">
        <v>0</v>
      </c>
      <c r="R905">
        <v>0</v>
      </c>
      <c r="S905">
        <v>50</v>
      </c>
      <c r="T905">
        <v>50</v>
      </c>
      <c r="U905" s="5">
        <f>IF(Merge1[[#This Row],[team_defense_snaps]]=0, "", Merge1[[#This Row],[defense_snaps]] / Merge1[[#This Row],[team_defense_snaps]])</f>
        <v>0.5</v>
      </c>
      <c r="V905">
        <v>100</v>
      </c>
      <c r="W905">
        <v>0</v>
      </c>
      <c r="X905" s="5">
        <v>0</v>
      </c>
      <c r="Y905">
        <v>3</v>
      </c>
      <c r="Z905">
        <v>0</v>
      </c>
      <c r="AA905" t="s">
        <v>25</v>
      </c>
      <c r="AB905" t="s">
        <v>26</v>
      </c>
      <c r="AC905" t="s">
        <v>27</v>
      </c>
      <c r="AD905" t="s">
        <v>42</v>
      </c>
      <c r="AE905" t="s">
        <v>25</v>
      </c>
      <c r="AF9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0.09</v>
      </c>
      <c r="AG905" t="s">
        <v>941</v>
      </c>
      <c r="AH905">
        <v>57</v>
      </c>
      <c r="AI905" t="s">
        <v>939</v>
      </c>
      <c r="AJ905">
        <v>1</v>
      </c>
      <c r="AK9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MIN(AJ905/8, 1) +
  Merge1[[#This Row],[index_defensive_effort]],
  2
)</f>
        <v>0.82</v>
      </c>
    </row>
    <row r="906" spans="1:37" x14ac:dyDescent="0.25">
      <c r="A906" t="s">
        <v>347</v>
      </c>
      <c r="B906" t="s">
        <v>348</v>
      </c>
      <c r="C906">
        <v>26</v>
      </c>
      <c r="D906" t="s">
        <v>56</v>
      </c>
      <c r="E906">
        <v>70</v>
      </c>
      <c r="F906">
        <v>200</v>
      </c>
      <c r="G906" t="s">
        <v>120</v>
      </c>
      <c r="H906">
        <v>2020</v>
      </c>
      <c r="I906" t="s">
        <v>33</v>
      </c>
      <c r="J906">
        <v>5</v>
      </c>
      <c r="K906">
        <v>3</v>
      </c>
      <c r="L906">
        <v>2</v>
      </c>
      <c r="M906">
        <v>0</v>
      </c>
      <c r="N906">
        <v>2</v>
      </c>
      <c r="O906">
        <v>0</v>
      </c>
      <c r="P906">
        <v>0</v>
      </c>
      <c r="Q906">
        <v>0</v>
      </c>
      <c r="R906">
        <v>0</v>
      </c>
      <c r="S906">
        <v>60</v>
      </c>
      <c r="T906">
        <v>60</v>
      </c>
      <c r="U906" s="5">
        <f>IF(Merge1[[#This Row],[team_defense_snaps]]=0, "", Merge1[[#This Row],[defense_snaps]] / Merge1[[#This Row],[team_defense_snaps]])</f>
        <v>0.78947368421052633</v>
      </c>
      <c r="V906">
        <v>76</v>
      </c>
      <c r="W906">
        <v>0</v>
      </c>
      <c r="X906" s="5">
        <v>0</v>
      </c>
      <c r="Y906">
        <v>3</v>
      </c>
      <c r="Z906">
        <v>0</v>
      </c>
      <c r="AA906" t="s">
        <v>25</v>
      </c>
      <c r="AB906" t="s">
        <v>36</v>
      </c>
      <c r="AC906" t="s">
        <v>188</v>
      </c>
      <c r="AD906" t="s">
        <v>42</v>
      </c>
      <c r="AE906" t="s">
        <v>25</v>
      </c>
      <c r="AF9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906" t="s">
        <v>941</v>
      </c>
      <c r="AH906">
        <v>60</v>
      </c>
      <c r="AI906" t="s">
        <v>939</v>
      </c>
      <c r="AJ906">
        <v>2</v>
      </c>
      <c r="AK9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MIN(AJ906/8, 1) +
  Merge1[[#This Row],[index_defensive_effort]],
  2
)</f>
        <v>0.92</v>
      </c>
    </row>
    <row r="907" spans="1:37" x14ac:dyDescent="0.25">
      <c r="A907" t="s">
        <v>347</v>
      </c>
      <c r="B907" t="s">
        <v>348</v>
      </c>
      <c r="C907">
        <v>26</v>
      </c>
      <c r="D907" t="s">
        <v>56</v>
      </c>
      <c r="E907">
        <v>70</v>
      </c>
      <c r="F907">
        <v>200</v>
      </c>
      <c r="G907" t="s">
        <v>130</v>
      </c>
      <c r="H907">
        <v>2020</v>
      </c>
      <c r="I907" t="s">
        <v>33</v>
      </c>
      <c r="J907">
        <v>9</v>
      </c>
      <c r="K907">
        <v>2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54</v>
      </c>
      <c r="T907">
        <v>54</v>
      </c>
      <c r="U907" s="5">
        <f>IF(Merge1[[#This Row],[team_defense_snaps]]=0, "", Merge1[[#This Row],[defense_snaps]] / Merge1[[#This Row],[team_defense_snaps]])</f>
        <v>0.69230769230769229</v>
      </c>
      <c r="V907">
        <v>78</v>
      </c>
      <c r="W907">
        <v>0</v>
      </c>
      <c r="X907" s="5" t="s">
        <v>29</v>
      </c>
      <c r="Y907">
        <v>3</v>
      </c>
      <c r="Z907">
        <v>0</v>
      </c>
      <c r="AA907" t="s">
        <v>25</v>
      </c>
      <c r="AB907" t="s">
        <v>26</v>
      </c>
      <c r="AC907" t="s">
        <v>27</v>
      </c>
      <c r="AD907" t="s">
        <v>42</v>
      </c>
      <c r="AE907" t="s">
        <v>25</v>
      </c>
      <c r="AF9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3.7037037037037035E-2</v>
      </c>
      <c r="AG907" t="s">
        <v>941</v>
      </c>
      <c r="AH907">
        <v>61.5</v>
      </c>
      <c r="AI907" t="s">
        <v>939</v>
      </c>
      <c r="AJ907">
        <v>1</v>
      </c>
      <c r="AK9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MIN(AJ907/8, 1) +
  Merge1[[#This Row],[index_defensive_effort]],
  2
)</f>
        <v>0.76</v>
      </c>
    </row>
    <row r="908" spans="1:37" x14ac:dyDescent="0.25">
      <c r="A908" t="s">
        <v>347</v>
      </c>
      <c r="B908" t="s">
        <v>348</v>
      </c>
      <c r="C908">
        <v>26</v>
      </c>
      <c r="D908" t="s">
        <v>56</v>
      </c>
      <c r="E908">
        <v>70</v>
      </c>
      <c r="F908">
        <v>200</v>
      </c>
      <c r="G908" t="s">
        <v>130</v>
      </c>
      <c r="H908">
        <v>2020</v>
      </c>
      <c r="I908" t="s">
        <v>33</v>
      </c>
      <c r="J908">
        <v>10</v>
      </c>
      <c r="K908">
        <v>2</v>
      </c>
      <c r="L908">
        <v>3</v>
      </c>
      <c r="M908">
        <v>0</v>
      </c>
      <c r="N908">
        <v>3</v>
      </c>
      <c r="O908">
        <v>0</v>
      </c>
      <c r="P908">
        <v>0</v>
      </c>
      <c r="Q908">
        <v>0</v>
      </c>
      <c r="R908">
        <v>0</v>
      </c>
      <c r="S908">
        <v>48</v>
      </c>
      <c r="T908">
        <v>48</v>
      </c>
      <c r="U908" s="5">
        <f>IF(Merge1[[#This Row],[team_defense_snaps]]=0, "", Merge1[[#This Row],[defense_snaps]] / Merge1[[#This Row],[team_defense_snaps]])</f>
        <v>0.68571428571428572</v>
      </c>
      <c r="V908">
        <v>70</v>
      </c>
      <c r="W908">
        <v>0</v>
      </c>
      <c r="X908" s="5" t="s">
        <v>29</v>
      </c>
      <c r="Y908">
        <v>3</v>
      </c>
      <c r="Z908">
        <v>0</v>
      </c>
      <c r="AA908" t="s">
        <v>25</v>
      </c>
      <c r="AB908" t="s">
        <v>26</v>
      </c>
      <c r="AC908" t="s">
        <v>27</v>
      </c>
      <c r="AD908" t="s">
        <v>42</v>
      </c>
      <c r="AE908" t="s">
        <v>25</v>
      </c>
      <c r="AF9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7.2916666666666671E-2</v>
      </c>
      <c r="AG908" t="s">
        <v>941</v>
      </c>
      <c r="AH908">
        <v>64.5</v>
      </c>
      <c r="AI908" t="s">
        <v>939</v>
      </c>
      <c r="AJ908">
        <v>2</v>
      </c>
      <c r="AK9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MIN(AJ908/8, 1) +
  Merge1[[#This Row],[index_defensive_effort]],
  2
)</f>
        <v>0.92</v>
      </c>
    </row>
    <row r="909" spans="1:37" x14ac:dyDescent="0.25">
      <c r="A909" t="s">
        <v>347</v>
      </c>
      <c r="B909" t="s">
        <v>348</v>
      </c>
      <c r="C909">
        <v>26</v>
      </c>
      <c r="D909" t="s">
        <v>56</v>
      </c>
      <c r="E909">
        <v>70</v>
      </c>
      <c r="F909">
        <v>200</v>
      </c>
      <c r="G909" t="s">
        <v>130</v>
      </c>
      <c r="H909">
        <v>2020</v>
      </c>
      <c r="I909" t="s">
        <v>33</v>
      </c>
      <c r="J909">
        <v>11</v>
      </c>
      <c r="K909">
        <v>3</v>
      </c>
      <c r="L909">
        <v>1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59</v>
      </c>
      <c r="T909">
        <v>52</v>
      </c>
      <c r="U909" s="5">
        <f>IF(Merge1[[#This Row],[team_defense_snaps]]=0, "", Merge1[[#This Row],[defense_snaps]] / Merge1[[#This Row],[team_defense_snaps]])</f>
        <v>0.8</v>
      </c>
      <c r="V909">
        <v>65</v>
      </c>
      <c r="W909">
        <v>7</v>
      </c>
      <c r="X909" s="5" t="s">
        <v>137</v>
      </c>
      <c r="Y909">
        <v>3</v>
      </c>
      <c r="Z909">
        <v>0</v>
      </c>
      <c r="AA909" t="s">
        <v>25</v>
      </c>
      <c r="AB909" t="s">
        <v>26</v>
      </c>
      <c r="AC909" t="s">
        <v>27</v>
      </c>
      <c r="AD909" t="s">
        <v>28</v>
      </c>
      <c r="AE909" t="s">
        <v>25</v>
      </c>
      <c r="AF9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5.9322033898305086E-2</v>
      </c>
      <c r="AG909" t="s">
        <v>941</v>
      </c>
      <c r="AH909">
        <v>58</v>
      </c>
      <c r="AI909" t="s">
        <v>939</v>
      </c>
      <c r="AJ909">
        <v>3</v>
      </c>
      <c r="AK9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MIN(AJ909/8, 1) +
  Merge1[[#This Row],[index_defensive_effort]],
  2
)</f>
        <v>1.03</v>
      </c>
    </row>
    <row r="910" spans="1:37" x14ac:dyDescent="0.25">
      <c r="A910" t="s">
        <v>347</v>
      </c>
      <c r="B910" t="s">
        <v>348</v>
      </c>
      <c r="C910">
        <v>26</v>
      </c>
      <c r="D910" t="s">
        <v>56</v>
      </c>
      <c r="E910">
        <v>70</v>
      </c>
      <c r="F910">
        <v>200</v>
      </c>
      <c r="G910" t="s">
        <v>130</v>
      </c>
      <c r="H910">
        <v>2020</v>
      </c>
      <c r="I910" t="s">
        <v>33</v>
      </c>
      <c r="J910">
        <v>12</v>
      </c>
      <c r="K910">
        <v>2</v>
      </c>
      <c r="L910">
        <v>1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74</v>
      </c>
      <c r="T910">
        <v>71</v>
      </c>
      <c r="U910" s="5">
        <f>IF(Merge1[[#This Row],[team_defense_snaps]]=0, "", Merge1[[#This Row],[defense_snaps]] / Merge1[[#This Row],[team_defense_snaps]])</f>
        <v>0.94666666666666666</v>
      </c>
      <c r="V910">
        <v>75</v>
      </c>
      <c r="W910">
        <v>3</v>
      </c>
      <c r="X910" s="5" t="s">
        <v>38</v>
      </c>
      <c r="Y910">
        <v>3</v>
      </c>
      <c r="Z910">
        <v>0</v>
      </c>
      <c r="AA910" t="s">
        <v>25</v>
      </c>
      <c r="AB910" t="s">
        <v>26</v>
      </c>
      <c r="AC910" t="s">
        <v>27</v>
      </c>
      <c r="AD910" t="s">
        <v>42</v>
      </c>
      <c r="AE910" t="s">
        <v>25</v>
      </c>
      <c r="AF9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3.3783783783783786E-2</v>
      </c>
      <c r="AG910" t="s">
        <v>941</v>
      </c>
      <c r="AH910">
        <v>54</v>
      </c>
      <c r="AI910" t="s">
        <v>939</v>
      </c>
      <c r="AJ910">
        <v>4</v>
      </c>
      <c r="AK9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MIN(AJ910/8, 1) +
  Merge1[[#This Row],[index_defensive_effort]],
  2
)</f>
        <v>1.1299999999999999</v>
      </c>
    </row>
    <row r="911" spans="1:37" x14ac:dyDescent="0.25">
      <c r="A911" t="s">
        <v>347</v>
      </c>
      <c r="B911" t="s">
        <v>348</v>
      </c>
      <c r="C911">
        <v>26</v>
      </c>
      <c r="D911" t="s">
        <v>56</v>
      </c>
      <c r="E911">
        <v>70</v>
      </c>
      <c r="F911">
        <v>200</v>
      </c>
      <c r="G911" t="s">
        <v>130</v>
      </c>
      <c r="H911">
        <v>2020</v>
      </c>
      <c r="I911" t="s">
        <v>33</v>
      </c>
      <c r="J911">
        <v>13</v>
      </c>
      <c r="K911">
        <v>3</v>
      </c>
      <c r="L911">
        <v>3</v>
      </c>
      <c r="M911">
        <v>1</v>
      </c>
      <c r="N911">
        <v>4</v>
      </c>
      <c r="O911">
        <v>0</v>
      </c>
      <c r="P911">
        <v>0</v>
      </c>
      <c r="Q911">
        <v>0</v>
      </c>
      <c r="R911">
        <v>0</v>
      </c>
      <c r="S911">
        <v>41</v>
      </c>
      <c r="T911">
        <v>39</v>
      </c>
      <c r="U911" s="5">
        <f>IF(Merge1[[#This Row],[team_defense_snaps]]=0, "", Merge1[[#This Row],[defense_snaps]] / Merge1[[#This Row],[team_defense_snaps]])</f>
        <v>0.52702702702702697</v>
      </c>
      <c r="V911">
        <v>74</v>
      </c>
      <c r="W911">
        <v>2</v>
      </c>
      <c r="X911" s="5" t="s">
        <v>208</v>
      </c>
      <c r="Y911">
        <v>3</v>
      </c>
      <c r="Z911">
        <v>0</v>
      </c>
      <c r="AA911" t="s">
        <v>25</v>
      </c>
      <c r="AB911" t="s">
        <v>26</v>
      </c>
      <c r="AC911" t="s">
        <v>27</v>
      </c>
      <c r="AD911" t="s">
        <v>28</v>
      </c>
      <c r="AE911" t="s">
        <v>25</v>
      </c>
      <c r="AF9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0.12195121951219512</v>
      </c>
      <c r="AG911" t="s">
        <v>941</v>
      </c>
      <c r="AH911">
        <v>58.5</v>
      </c>
      <c r="AI911" t="s">
        <v>939</v>
      </c>
      <c r="AJ911">
        <v>5</v>
      </c>
      <c r="AK9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MIN(AJ911/8, 1) +
  Merge1[[#This Row],[index_defensive_effort]],
  2
)</f>
        <v>1.35</v>
      </c>
    </row>
    <row r="912" spans="1:37" x14ac:dyDescent="0.25">
      <c r="A912" t="s">
        <v>347</v>
      </c>
      <c r="B912" t="s">
        <v>348</v>
      </c>
      <c r="C912">
        <v>26</v>
      </c>
      <c r="D912" t="s">
        <v>56</v>
      </c>
      <c r="E912">
        <v>70</v>
      </c>
      <c r="F912">
        <v>200</v>
      </c>
      <c r="G912" t="s">
        <v>130</v>
      </c>
      <c r="H912">
        <v>2020</v>
      </c>
      <c r="I912" t="s">
        <v>33</v>
      </c>
      <c r="J912">
        <v>14</v>
      </c>
      <c r="K912">
        <v>4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63</v>
      </c>
      <c r="T912">
        <v>63</v>
      </c>
      <c r="U912" s="5">
        <f>IF(Merge1[[#This Row],[team_defense_snaps]]=0, "", Merge1[[#This Row],[defense_snaps]] / Merge1[[#This Row],[team_defense_snaps]])</f>
        <v>0.88732394366197187</v>
      </c>
      <c r="V912">
        <v>71</v>
      </c>
      <c r="W912">
        <v>0</v>
      </c>
      <c r="X912" s="5" t="s">
        <v>29</v>
      </c>
      <c r="Y912">
        <v>3</v>
      </c>
      <c r="Z912">
        <v>0</v>
      </c>
      <c r="AA912" t="s">
        <v>25</v>
      </c>
      <c r="AB912" t="s">
        <v>26</v>
      </c>
      <c r="AC912" t="s">
        <v>27</v>
      </c>
      <c r="AD912" t="s">
        <v>28</v>
      </c>
      <c r="AE912" t="s">
        <v>25</v>
      </c>
      <c r="AF9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6.3492063492063489E-2</v>
      </c>
      <c r="AG912" t="s">
        <v>941</v>
      </c>
      <c r="AH912">
        <v>55.5</v>
      </c>
      <c r="AI912" t="s">
        <v>939</v>
      </c>
      <c r="AJ912">
        <v>6</v>
      </c>
      <c r="AK9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MIN(AJ912/8, 1) +
  Merge1[[#This Row],[index_defensive_effort]],
  2
)</f>
        <v>1.41</v>
      </c>
    </row>
    <row r="913" spans="1:37" x14ac:dyDescent="0.25">
      <c r="A913" t="s">
        <v>347</v>
      </c>
      <c r="B913" t="s">
        <v>348</v>
      </c>
      <c r="C913">
        <v>26</v>
      </c>
      <c r="D913" t="s">
        <v>56</v>
      </c>
      <c r="E913">
        <v>70</v>
      </c>
      <c r="F913">
        <v>200</v>
      </c>
      <c r="G913" t="s">
        <v>130</v>
      </c>
      <c r="H913">
        <v>2020</v>
      </c>
      <c r="I913" t="s">
        <v>33</v>
      </c>
      <c r="J913">
        <v>15</v>
      </c>
      <c r="K913">
        <v>1</v>
      </c>
      <c r="L913">
        <v>1</v>
      </c>
      <c r="M913">
        <v>1</v>
      </c>
      <c r="N913">
        <v>2</v>
      </c>
      <c r="O913">
        <v>0</v>
      </c>
      <c r="P913">
        <v>0</v>
      </c>
      <c r="Q913">
        <v>0</v>
      </c>
      <c r="R913">
        <v>0</v>
      </c>
      <c r="S913">
        <v>33</v>
      </c>
      <c r="T913">
        <v>33</v>
      </c>
      <c r="U913" s="5">
        <f>IF(Merge1[[#This Row],[team_defense_snaps]]=0, "", Merge1[[#This Row],[defense_snaps]] / Merge1[[#This Row],[team_defense_snaps]])</f>
        <v>0.50769230769230766</v>
      </c>
      <c r="V913">
        <v>65</v>
      </c>
      <c r="W913">
        <v>0</v>
      </c>
      <c r="X913" s="5" t="s">
        <v>29</v>
      </c>
      <c r="Y913">
        <v>3</v>
      </c>
      <c r="Z913">
        <v>0</v>
      </c>
      <c r="AA913" t="s">
        <v>25</v>
      </c>
      <c r="AB913" t="s">
        <v>26</v>
      </c>
      <c r="AC913" t="s">
        <v>27</v>
      </c>
      <c r="AD913" t="s">
        <v>42</v>
      </c>
      <c r="AE913" t="s">
        <v>25</v>
      </c>
      <c r="AF9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6.0606060606060608E-2</v>
      </c>
      <c r="AG913" t="s">
        <v>942</v>
      </c>
      <c r="AH913">
        <v>82</v>
      </c>
      <c r="AI913" t="s">
        <v>939</v>
      </c>
      <c r="AJ913">
        <v>7</v>
      </c>
      <c r="AK9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MIN(AJ913/8, 1) +
  Merge1[[#This Row],[index_defensive_effort]],
  2
)</f>
        <v>1.54</v>
      </c>
    </row>
    <row r="914" spans="1:37" x14ac:dyDescent="0.25">
      <c r="A914" t="s">
        <v>347</v>
      </c>
      <c r="B914" t="s">
        <v>348</v>
      </c>
      <c r="C914">
        <v>26</v>
      </c>
      <c r="D914" t="s">
        <v>56</v>
      </c>
      <c r="E914">
        <v>70</v>
      </c>
      <c r="F914">
        <v>200</v>
      </c>
      <c r="G914" t="s">
        <v>130</v>
      </c>
      <c r="H914">
        <v>2020</v>
      </c>
      <c r="I914" t="s">
        <v>33</v>
      </c>
      <c r="J914">
        <v>16</v>
      </c>
      <c r="K914">
        <v>1</v>
      </c>
      <c r="L914">
        <v>1</v>
      </c>
      <c r="M914">
        <v>1</v>
      </c>
      <c r="N914">
        <v>2</v>
      </c>
      <c r="O914">
        <v>0</v>
      </c>
      <c r="P914">
        <v>0</v>
      </c>
      <c r="Q914">
        <v>0</v>
      </c>
      <c r="R914">
        <v>0</v>
      </c>
      <c r="S914">
        <v>44</v>
      </c>
      <c r="T914">
        <v>44</v>
      </c>
      <c r="U914" s="5">
        <f>IF(Merge1[[#This Row],[team_defense_snaps]]=0, "", Merge1[[#This Row],[defense_snaps]] / Merge1[[#This Row],[team_defense_snaps]])</f>
        <v>0.65671641791044777</v>
      </c>
      <c r="V914">
        <v>67</v>
      </c>
      <c r="W914">
        <v>0</v>
      </c>
      <c r="X914" s="5" t="s">
        <v>29</v>
      </c>
      <c r="Y914">
        <v>3</v>
      </c>
      <c r="Z914">
        <v>0</v>
      </c>
      <c r="AA914" t="s">
        <v>25</v>
      </c>
      <c r="AB914" t="s">
        <v>26</v>
      </c>
      <c r="AC914" t="s">
        <v>27</v>
      </c>
      <c r="AD914" t="s">
        <v>28</v>
      </c>
      <c r="AE914" t="s">
        <v>25</v>
      </c>
      <c r="AF9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G914" t="s">
        <v>942</v>
      </c>
      <c r="AH914">
        <v>80.5</v>
      </c>
      <c r="AI914" t="s">
        <v>939</v>
      </c>
      <c r="AJ914">
        <v>8</v>
      </c>
      <c r="AK9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MIN(AJ914/8, 1) +
  Merge1[[#This Row],[index_defensive_effort]],
  2
)</f>
        <v>1.65</v>
      </c>
    </row>
    <row r="915" spans="1:37" x14ac:dyDescent="0.25">
      <c r="A915" t="s">
        <v>347</v>
      </c>
      <c r="B915" t="s">
        <v>348</v>
      </c>
      <c r="C915">
        <v>26</v>
      </c>
      <c r="D915" t="s">
        <v>56</v>
      </c>
      <c r="E915">
        <v>70</v>
      </c>
      <c r="F915">
        <v>200</v>
      </c>
      <c r="G915" t="s">
        <v>130</v>
      </c>
      <c r="H915">
        <v>2020</v>
      </c>
      <c r="I915" t="s">
        <v>33</v>
      </c>
      <c r="J915">
        <v>17</v>
      </c>
      <c r="K915">
        <v>6</v>
      </c>
      <c r="L915">
        <v>1</v>
      </c>
      <c r="M915">
        <v>0</v>
      </c>
      <c r="N915">
        <v>1</v>
      </c>
      <c r="O915">
        <v>4</v>
      </c>
      <c r="P915">
        <v>4</v>
      </c>
      <c r="Q915">
        <v>0</v>
      </c>
      <c r="R915">
        <v>0</v>
      </c>
      <c r="S915">
        <v>60</v>
      </c>
      <c r="T915">
        <v>44</v>
      </c>
      <c r="U915" s="5">
        <f>IF(Merge1[[#This Row],[team_defense_snaps]]=0, "", Merge1[[#This Row],[defense_snaps]] / Merge1[[#This Row],[team_defense_snaps]])</f>
        <v>0.6875</v>
      </c>
      <c r="V915">
        <v>64</v>
      </c>
      <c r="W915">
        <v>16</v>
      </c>
      <c r="X915" s="5" t="s">
        <v>200</v>
      </c>
      <c r="Y915">
        <v>3</v>
      </c>
      <c r="Z915">
        <v>0</v>
      </c>
      <c r="AA915" t="s">
        <v>25</v>
      </c>
      <c r="AB915" t="s">
        <v>26</v>
      </c>
      <c r="AC915" t="s">
        <v>27</v>
      </c>
      <c r="AD915" t="s">
        <v>42</v>
      </c>
      <c r="AE915" t="s">
        <v>25</v>
      </c>
      <c r="AF9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0.44166666666666665</v>
      </c>
      <c r="AG915" t="s">
        <v>942</v>
      </c>
      <c r="AH915">
        <v>77.5</v>
      </c>
      <c r="AI915" t="s">
        <v>939</v>
      </c>
      <c r="AJ915">
        <v>9</v>
      </c>
      <c r="AK9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MIN(AJ915/8, 1) +
  Merge1[[#This Row],[index_defensive_effort]],
  2
)</f>
        <v>2.04</v>
      </c>
    </row>
    <row r="916" spans="1:37" x14ac:dyDescent="0.25">
      <c r="A916" t="s">
        <v>347</v>
      </c>
      <c r="B916" t="s">
        <v>348</v>
      </c>
      <c r="C916">
        <v>26</v>
      </c>
      <c r="D916" t="s">
        <v>56</v>
      </c>
      <c r="E916">
        <v>70</v>
      </c>
      <c r="F916">
        <v>200</v>
      </c>
      <c r="G916" t="s">
        <v>130</v>
      </c>
      <c r="H916">
        <v>2020</v>
      </c>
      <c r="I916" t="s">
        <v>24</v>
      </c>
      <c r="J916">
        <v>18</v>
      </c>
      <c r="K916">
        <v>3</v>
      </c>
      <c r="L916">
        <v>3</v>
      </c>
      <c r="M916">
        <v>2</v>
      </c>
      <c r="N916">
        <v>5</v>
      </c>
      <c r="O916">
        <v>0</v>
      </c>
      <c r="P916">
        <v>0</v>
      </c>
      <c r="Q916">
        <v>0</v>
      </c>
      <c r="R916">
        <v>0</v>
      </c>
      <c r="S916">
        <v>51</v>
      </c>
      <c r="T916">
        <v>42</v>
      </c>
      <c r="U916" s="5">
        <f>IF(Merge1[[#This Row],[team_defense_snaps]]=0, "", Merge1[[#This Row],[defense_snaps]] / Merge1[[#This Row],[team_defense_snaps]])</f>
        <v>0.64615384615384619</v>
      </c>
      <c r="V916">
        <v>65</v>
      </c>
      <c r="W916">
        <v>9</v>
      </c>
      <c r="X916" s="5" t="s">
        <v>134</v>
      </c>
      <c r="Y916">
        <v>3</v>
      </c>
      <c r="Z916">
        <v>0</v>
      </c>
      <c r="AA916" t="s">
        <v>25</v>
      </c>
      <c r="AB916" t="s">
        <v>26</v>
      </c>
      <c r="AC916" t="s">
        <v>27</v>
      </c>
      <c r="AD916" t="s">
        <v>28</v>
      </c>
      <c r="AE916" t="s">
        <v>25</v>
      </c>
      <c r="AF9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0.10784313725490197</v>
      </c>
      <c r="AG916" t="s">
        <v>942</v>
      </c>
      <c r="AH916">
        <v>76</v>
      </c>
      <c r="AI916" t="s">
        <v>939</v>
      </c>
      <c r="AJ916">
        <v>10</v>
      </c>
      <c r="AK9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MIN(AJ916/8, 1) +
  Merge1[[#This Row],[index_defensive_effort]],
  2
)</f>
        <v>1.91</v>
      </c>
    </row>
    <row r="917" spans="1:37" x14ac:dyDescent="0.25">
      <c r="A917" t="s">
        <v>347</v>
      </c>
      <c r="B917" t="s">
        <v>348</v>
      </c>
      <c r="C917">
        <v>26</v>
      </c>
      <c r="D917" t="s">
        <v>56</v>
      </c>
      <c r="E917">
        <v>70</v>
      </c>
      <c r="F917">
        <v>200</v>
      </c>
      <c r="G917" t="s">
        <v>120</v>
      </c>
      <c r="H917">
        <v>2020</v>
      </c>
      <c r="I917" t="s">
        <v>33</v>
      </c>
      <c r="J917">
        <v>7</v>
      </c>
      <c r="K917">
        <v>5</v>
      </c>
      <c r="L917">
        <v>1</v>
      </c>
      <c r="M917">
        <v>0</v>
      </c>
      <c r="N917">
        <v>1</v>
      </c>
      <c r="O917">
        <v>3</v>
      </c>
      <c r="P917">
        <v>3</v>
      </c>
      <c r="Q917">
        <v>0</v>
      </c>
      <c r="R917">
        <v>0</v>
      </c>
      <c r="S917">
        <v>48</v>
      </c>
      <c r="T917">
        <v>48</v>
      </c>
      <c r="U917" s="5">
        <f>IF(Merge1[[#This Row],[team_defense_snaps]]=0, "", Merge1[[#This Row],[defense_snaps]] / Merge1[[#This Row],[team_defense_snaps]])</f>
        <v>0.76190476190476186</v>
      </c>
      <c r="V917">
        <v>63</v>
      </c>
      <c r="W917">
        <v>0</v>
      </c>
      <c r="X917" s="5">
        <v>0</v>
      </c>
      <c r="Y917">
        <v>3</v>
      </c>
      <c r="Z917">
        <v>0</v>
      </c>
      <c r="AA917" t="s">
        <v>25</v>
      </c>
      <c r="AB917" t="s">
        <v>26</v>
      </c>
      <c r="AC917" t="s">
        <v>27</v>
      </c>
      <c r="AD917" t="s">
        <v>42</v>
      </c>
      <c r="AE917" t="s">
        <v>25</v>
      </c>
      <c r="AF9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0.42708333333333331</v>
      </c>
      <c r="AG917" t="s">
        <v>942</v>
      </c>
      <c r="AH917">
        <v>73</v>
      </c>
      <c r="AI917" t="s">
        <v>939</v>
      </c>
      <c r="AJ917">
        <v>1</v>
      </c>
      <c r="AK9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MIN(AJ917/8, 1) +
  Merge1[[#This Row],[index_defensive_effort]],
  2
)</f>
        <v>1.1499999999999999</v>
      </c>
    </row>
    <row r="918" spans="1:37" x14ac:dyDescent="0.25">
      <c r="A918" t="s">
        <v>388</v>
      </c>
      <c r="B918" t="s">
        <v>389</v>
      </c>
      <c r="C918">
        <v>30</v>
      </c>
      <c r="D918" t="s">
        <v>56</v>
      </c>
      <c r="E918">
        <v>72</v>
      </c>
      <c r="F918">
        <v>190</v>
      </c>
      <c r="G918" t="s">
        <v>162</v>
      </c>
      <c r="H918">
        <v>2020</v>
      </c>
      <c r="I918" t="s">
        <v>33</v>
      </c>
      <c r="J918">
        <v>1</v>
      </c>
      <c r="K918">
        <v>2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48</v>
      </c>
      <c r="T918">
        <v>48</v>
      </c>
      <c r="U918" s="5">
        <f>IF(Merge1[[#This Row],[team_defense_snaps]]=0, "", Merge1[[#This Row],[defense_snaps]] / Merge1[[#This Row],[team_defense_snaps]])</f>
        <v>0.72727272727272729</v>
      </c>
      <c r="V918">
        <v>66</v>
      </c>
      <c r="W918">
        <v>0</v>
      </c>
      <c r="X918" s="5" t="s">
        <v>29</v>
      </c>
      <c r="Y918">
        <v>7</v>
      </c>
      <c r="Z918">
        <v>0</v>
      </c>
      <c r="AA918" t="s">
        <v>25</v>
      </c>
      <c r="AB918" t="s">
        <v>26</v>
      </c>
      <c r="AC918" t="s">
        <v>27</v>
      </c>
      <c r="AD918" t="s">
        <v>42</v>
      </c>
      <c r="AE918" t="s">
        <v>25</v>
      </c>
      <c r="AF9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918" t="s">
        <v>942</v>
      </c>
      <c r="AH918">
        <v>65.5</v>
      </c>
      <c r="AI918" t="s">
        <v>939</v>
      </c>
      <c r="AJ918">
        <v>1</v>
      </c>
      <c r="AK9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MIN(AJ918/8, 1) +
  Merge1[[#This Row],[index_defensive_effort]],
  2
)</f>
        <v>0.71</v>
      </c>
    </row>
    <row r="919" spans="1:37" x14ac:dyDescent="0.25">
      <c r="A919" t="s">
        <v>388</v>
      </c>
      <c r="B919" t="s">
        <v>389</v>
      </c>
      <c r="C919">
        <v>30</v>
      </c>
      <c r="D919" t="s">
        <v>56</v>
      </c>
      <c r="E919">
        <v>72</v>
      </c>
      <c r="F919">
        <v>190</v>
      </c>
      <c r="G919" t="s">
        <v>162</v>
      </c>
      <c r="H919">
        <v>2020</v>
      </c>
      <c r="I919" t="s">
        <v>33</v>
      </c>
      <c r="J919">
        <v>4</v>
      </c>
      <c r="K919">
        <v>2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44</v>
      </c>
      <c r="T919">
        <v>44</v>
      </c>
      <c r="U919" s="5">
        <f>IF(Merge1[[#This Row],[team_defense_snaps]]=0, "", Merge1[[#This Row],[defense_snaps]] / Merge1[[#This Row],[team_defense_snaps]])</f>
        <v>0.61971830985915488</v>
      </c>
      <c r="V919">
        <v>71</v>
      </c>
      <c r="W919">
        <v>0</v>
      </c>
      <c r="X919" s="5" t="s">
        <v>29</v>
      </c>
      <c r="Y919">
        <v>7</v>
      </c>
      <c r="Z919">
        <v>0</v>
      </c>
      <c r="AA919" t="s">
        <v>25</v>
      </c>
      <c r="AB919" t="s">
        <v>36</v>
      </c>
      <c r="AC919" t="s">
        <v>147</v>
      </c>
      <c r="AD919" t="s">
        <v>42</v>
      </c>
      <c r="AE919" t="s">
        <v>25</v>
      </c>
      <c r="AF9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9.0909090909090912E-2</v>
      </c>
      <c r="AG919" t="s">
        <v>942</v>
      </c>
      <c r="AH919">
        <v>58</v>
      </c>
      <c r="AI919" t="s">
        <v>939</v>
      </c>
      <c r="AJ919">
        <v>1</v>
      </c>
      <c r="AK9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MIN(AJ919/8, 1) +
  Merge1[[#This Row],[index_defensive_effort]],
  2
)</f>
        <v>0.72</v>
      </c>
    </row>
    <row r="920" spans="1:37" x14ac:dyDescent="0.25">
      <c r="A920" t="s">
        <v>388</v>
      </c>
      <c r="B920" t="s">
        <v>389</v>
      </c>
      <c r="C920">
        <v>30</v>
      </c>
      <c r="D920" t="s">
        <v>56</v>
      </c>
      <c r="E920">
        <v>72</v>
      </c>
      <c r="F920">
        <v>190</v>
      </c>
      <c r="G920" t="s">
        <v>162</v>
      </c>
      <c r="H920">
        <v>2020</v>
      </c>
      <c r="I920" t="s">
        <v>33</v>
      </c>
      <c r="J920">
        <v>9</v>
      </c>
      <c r="K920">
        <v>7</v>
      </c>
      <c r="L920">
        <v>2</v>
      </c>
      <c r="M920">
        <v>0</v>
      </c>
      <c r="N920">
        <v>2</v>
      </c>
      <c r="O920">
        <v>4</v>
      </c>
      <c r="P920">
        <v>4</v>
      </c>
      <c r="Q920">
        <v>0</v>
      </c>
      <c r="R920">
        <v>0</v>
      </c>
      <c r="S920">
        <v>50</v>
      </c>
      <c r="T920">
        <v>50</v>
      </c>
      <c r="U920" s="5">
        <f>IF(Merge1[[#This Row],[team_defense_snaps]]=0, "", Merge1[[#This Row],[defense_snaps]] / Merge1[[#This Row],[team_defense_snaps]])</f>
        <v>0.84745762711864403</v>
      </c>
      <c r="V920">
        <v>59</v>
      </c>
      <c r="W920">
        <v>0</v>
      </c>
      <c r="X920" s="5" t="s">
        <v>29</v>
      </c>
      <c r="Y920">
        <v>7</v>
      </c>
      <c r="Z920">
        <v>0</v>
      </c>
      <c r="AA920" t="s">
        <v>25</v>
      </c>
      <c r="AB920" t="s">
        <v>26</v>
      </c>
      <c r="AC920" t="s">
        <v>27</v>
      </c>
      <c r="AD920" t="s">
        <v>42</v>
      </c>
      <c r="AE920" t="s">
        <v>25</v>
      </c>
      <c r="AF9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0.56000000000000005</v>
      </c>
      <c r="AG920" t="s">
        <v>942</v>
      </c>
      <c r="AH920">
        <v>53.5</v>
      </c>
      <c r="AI920" t="s">
        <v>939</v>
      </c>
      <c r="AJ920">
        <v>2</v>
      </c>
      <c r="AK9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MIN(AJ920/8, 1) +
  Merge1[[#This Row],[index_defensive_effort]],
  2
)</f>
        <v>1.31</v>
      </c>
    </row>
    <row r="921" spans="1:37" x14ac:dyDescent="0.25">
      <c r="A921" t="s">
        <v>388</v>
      </c>
      <c r="B921" t="s">
        <v>389</v>
      </c>
      <c r="C921">
        <v>30</v>
      </c>
      <c r="D921" t="s">
        <v>56</v>
      </c>
      <c r="E921">
        <v>72</v>
      </c>
      <c r="F921">
        <v>190</v>
      </c>
      <c r="G921" t="s">
        <v>162</v>
      </c>
      <c r="H921">
        <v>2020</v>
      </c>
      <c r="I921" t="s">
        <v>33</v>
      </c>
      <c r="J921">
        <v>10</v>
      </c>
      <c r="K921">
        <v>5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88</v>
      </c>
      <c r="T921">
        <v>88</v>
      </c>
      <c r="U921" s="5">
        <f>IF(Merge1[[#This Row],[team_defense_snaps]]=0, "", Merge1[[#This Row],[defense_snaps]] / Merge1[[#This Row],[team_defense_snaps]])</f>
        <v>0.9887640449438202</v>
      </c>
      <c r="V921">
        <v>89</v>
      </c>
      <c r="W921">
        <v>0</v>
      </c>
      <c r="X921" s="5" t="s">
        <v>29</v>
      </c>
      <c r="Y921">
        <v>7</v>
      </c>
      <c r="Z921">
        <v>0</v>
      </c>
      <c r="AA921" t="s">
        <v>25</v>
      </c>
      <c r="AB921" t="s">
        <v>26</v>
      </c>
      <c r="AC921" t="s">
        <v>27</v>
      </c>
      <c r="AD921" t="s">
        <v>42</v>
      </c>
      <c r="AE921" t="s">
        <v>25</v>
      </c>
      <c r="AF9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5.6818181818181816E-2</v>
      </c>
      <c r="AG921" t="s">
        <v>942</v>
      </c>
      <c r="AH921">
        <v>56.5</v>
      </c>
      <c r="AI921" t="s">
        <v>939</v>
      </c>
      <c r="AJ921">
        <v>3</v>
      </c>
      <c r="AK9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MIN(AJ921/8, 1) +
  Merge1[[#This Row],[index_defensive_effort]],
  2
)</f>
        <v>0.93</v>
      </c>
    </row>
    <row r="922" spans="1:37" x14ac:dyDescent="0.25">
      <c r="A922" t="s">
        <v>388</v>
      </c>
      <c r="B922" t="s">
        <v>389</v>
      </c>
      <c r="C922">
        <v>30</v>
      </c>
      <c r="D922" t="s">
        <v>56</v>
      </c>
      <c r="E922">
        <v>72</v>
      </c>
      <c r="F922">
        <v>190</v>
      </c>
      <c r="G922" t="s">
        <v>162</v>
      </c>
      <c r="H922">
        <v>2020</v>
      </c>
      <c r="I922" t="s">
        <v>33</v>
      </c>
      <c r="J922">
        <v>11</v>
      </c>
      <c r="K922">
        <v>2</v>
      </c>
      <c r="L922">
        <v>2</v>
      </c>
      <c r="M922">
        <v>1</v>
      </c>
      <c r="N922">
        <v>3</v>
      </c>
      <c r="O922">
        <v>0</v>
      </c>
      <c r="P922">
        <v>0</v>
      </c>
      <c r="Q922">
        <v>2</v>
      </c>
      <c r="R922">
        <v>0</v>
      </c>
      <c r="S922">
        <v>67</v>
      </c>
      <c r="T922">
        <v>67</v>
      </c>
      <c r="U922" s="5">
        <f>IF(Merge1[[#This Row],[team_defense_snaps]]=0, "", Merge1[[#This Row],[defense_snaps]] / Merge1[[#This Row],[team_defense_snaps]])</f>
        <v>0.94366197183098588</v>
      </c>
      <c r="V922">
        <v>71</v>
      </c>
      <c r="W922">
        <v>0</v>
      </c>
      <c r="X922" s="5" t="s">
        <v>29</v>
      </c>
      <c r="Y922">
        <v>7</v>
      </c>
      <c r="Z922">
        <v>0</v>
      </c>
      <c r="AA922" t="s">
        <v>25</v>
      </c>
      <c r="AB922" t="s">
        <v>26</v>
      </c>
      <c r="AC922" t="s">
        <v>27</v>
      </c>
      <c r="AD922" t="s">
        <v>42</v>
      </c>
      <c r="AE922" t="s">
        <v>25</v>
      </c>
      <c r="AF9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0.17164179104477612</v>
      </c>
      <c r="AG922" t="s">
        <v>942</v>
      </c>
      <c r="AH922">
        <v>55</v>
      </c>
      <c r="AI922" t="s">
        <v>939</v>
      </c>
      <c r="AJ922">
        <v>4</v>
      </c>
      <c r="AK9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MIN(AJ922/8, 1) +
  Merge1[[#This Row],[index_defensive_effort]],
  2
)</f>
        <v>1.17</v>
      </c>
    </row>
    <row r="923" spans="1:37" x14ac:dyDescent="0.25">
      <c r="A923" t="s">
        <v>388</v>
      </c>
      <c r="B923" t="s">
        <v>389</v>
      </c>
      <c r="C923">
        <v>30</v>
      </c>
      <c r="D923" t="s">
        <v>56</v>
      </c>
      <c r="E923">
        <v>72</v>
      </c>
      <c r="F923">
        <v>190</v>
      </c>
      <c r="G923" t="s">
        <v>162</v>
      </c>
      <c r="H923">
        <v>2020</v>
      </c>
      <c r="I923" t="s">
        <v>33</v>
      </c>
      <c r="J923">
        <v>12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27</v>
      </c>
      <c r="T923">
        <v>27</v>
      </c>
      <c r="U923" s="5">
        <f>IF(Merge1[[#This Row],[team_defense_snaps]]=0, "", Merge1[[#This Row],[defense_snaps]] / Merge1[[#This Row],[team_defense_snaps]])</f>
        <v>0.46551724137931033</v>
      </c>
      <c r="V923">
        <v>58</v>
      </c>
      <c r="W923">
        <v>0</v>
      </c>
      <c r="X923" s="5" t="s">
        <v>29</v>
      </c>
      <c r="Y923">
        <v>7</v>
      </c>
      <c r="Z923">
        <v>0</v>
      </c>
      <c r="AA923" t="s">
        <v>25</v>
      </c>
      <c r="AB923" t="s">
        <v>26</v>
      </c>
      <c r="AC923" t="s">
        <v>27</v>
      </c>
      <c r="AD923" t="s">
        <v>42</v>
      </c>
      <c r="AE923" t="s">
        <v>25</v>
      </c>
      <c r="AF9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3.7037037037037035E-2</v>
      </c>
      <c r="AG923" t="s">
        <v>942</v>
      </c>
      <c r="AH923">
        <v>70</v>
      </c>
      <c r="AI923" t="s">
        <v>939</v>
      </c>
      <c r="AJ923">
        <v>1</v>
      </c>
      <c r="AK9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MIN(AJ923/8, 1) +
  Merge1[[#This Row],[index_defensive_effort]],
  2
)</f>
        <v>0.66</v>
      </c>
    </row>
    <row r="924" spans="1:37" x14ac:dyDescent="0.25">
      <c r="A924" t="s">
        <v>880</v>
      </c>
      <c r="B924" t="s">
        <v>881</v>
      </c>
      <c r="C924">
        <v>27</v>
      </c>
      <c r="D924" t="s">
        <v>56</v>
      </c>
      <c r="E924">
        <v>74</v>
      </c>
      <c r="F924">
        <v>190</v>
      </c>
      <c r="G924" t="s">
        <v>67</v>
      </c>
      <c r="H924">
        <v>2020</v>
      </c>
      <c r="I924" t="s">
        <v>33</v>
      </c>
      <c r="J924">
        <v>4</v>
      </c>
      <c r="K924">
        <v>3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 s="5">
        <f>IF(Merge1[[#This Row],[team_defense_snaps]]=0, "", Merge1[[#This Row],[defense_snaps]] / Merge1[[#This Row],[team_defense_snaps]])</f>
        <v>0</v>
      </c>
      <c r="V924">
        <v>77</v>
      </c>
      <c r="W924">
        <v>0</v>
      </c>
      <c r="X924" s="5">
        <v>0</v>
      </c>
      <c r="Y924">
        <v>5</v>
      </c>
      <c r="Z924">
        <v>0</v>
      </c>
      <c r="AA924" t="s">
        <v>25</v>
      </c>
      <c r="AB924" t="s">
        <v>26</v>
      </c>
      <c r="AC924" t="s">
        <v>27</v>
      </c>
      <c r="AD924" t="s">
        <v>42</v>
      </c>
      <c r="AE924" t="s">
        <v>25</v>
      </c>
      <c r="AF9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924" t="s">
        <v>941</v>
      </c>
      <c r="AH924">
        <v>73.5</v>
      </c>
      <c r="AI924" t="s">
        <v>27</v>
      </c>
      <c r="AJ924">
        <v>1</v>
      </c>
      <c r="AK9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MIN(AJ924/8, 1) +
  Merge1[[#This Row],[index_defensive_effort]],
  2
)</f>
        <v>0.63</v>
      </c>
    </row>
    <row r="925" spans="1:37" x14ac:dyDescent="0.25">
      <c r="A925" t="s">
        <v>880</v>
      </c>
      <c r="B925" t="s">
        <v>881</v>
      </c>
      <c r="C925">
        <v>27</v>
      </c>
      <c r="D925" t="s">
        <v>56</v>
      </c>
      <c r="E925">
        <v>74</v>
      </c>
      <c r="F925">
        <v>190</v>
      </c>
      <c r="G925" t="s">
        <v>67</v>
      </c>
      <c r="H925">
        <v>2020</v>
      </c>
      <c r="I925" t="s">
        <v>33</v>
      </c>
      <c r="J925">
        <v>6</v>
      </c>
      <c r="K925">
        <v>2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 s="5">
        <f>IF(Merge1[[#This Row],[team_defense_snaps]]=0, "", Merge1[[#This Row],[defense_snaps]] / Merge1[[#This Row],[team_defense_snaps]])</f>
        <v>0</v>
      </c>
      <c r="V925">
        <v>57</v>
      </c>
      <c r="W925">
        <v>0</v>
      </c>
      <c r="X925" s="5">
        <v>0</v>
      </c>
      <c r="Y925">
        <v>5</v>
      </c>
      <c r="Z925">
        <v>0</v>
      </c>
      <c r="AA925" t="s">
        <v>25</v>
      </c>
      <c r="AB925" t="s">
        <v>36</v>
      </c>
      <c r="AC925" t="s">
        <v>188</v>
      </c>
      <c r="AD925" t="s">
        <v>42</v>
      </c>
      <c r="AE925" t="s">
        <v>25</v>
      </c>
      <c r="AF9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925" t="s">
        <v>941</v>
      </c>
      <c r="AH925">
        <v>70.5</v>
      </c>
      <c r="AI925" t="s">
        <v>939</v>
      </c>
      <c r="AJ925">
        <v>1</v>
      </c>
      <c r="AK9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MIN(AJ925/8, 1) +
  Merge1[[#This Row],[index_defensive_effort]],
  2
)</f>
        <v>0.63</v>
      </c>
    </row>
    <row r="926" spans="1:37" x14ac:dyDescent="0.25">
      <c r="A926" t="s">
        <v>880</v>
      </c>
      <c r="B926" t="s">
        <v>881</v>
      </c>
      <c r="C926">
        <v>27</v>
      </c>
      <c r="D926" t="s">
        <v>56</v>
      </c>
      <c r="E926">
        <v>74</v>
      </c>
      <c r="F926">
        <v>190</v>
      </c>
      <c r="G926" t="s">
        <v>153</v>
      </c>
      <c r="H926">
        <v>2020</v>
      </c>
      <c r="I926" t="s">
        <v>33</v>
      </c>
      <c r="J926">
        <v>9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 s="5">
        <f>IF(Merge1[[#This Row],[team_defense_snaps]]=0, "", Merge1[[#This Row],[defense_snaps]] / Merge1[[#This Row],[team_defense_snaps]])</f>
        <v>0</v>
      </c>
      <c r="V926">
        <v>61</v>
      </c>
      <c r="W926">
        <v>0</v>
      </c>
      <c r="X926" s="5">
        <v>0</v>
      </c>
      <c r="Y926">
        <v>5</v>
      </c>
      <c r="Z926">
        <v>0</v>
      </c>
      <c r="AA926" t="s">
        <v>25</v>
      </c>
      <c r="AB926" t="s">
        <v>26</v>
      </c>
      <c r="AC926" t="s">
        <v>27</v>
      </c>
      <c r="AD926" t="s">
        <v>42</v>
      </c>
      <c r="AE926" t="s">
        <v>25</v>
      </c>
      <c r="AF9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926" t="s">
        <v>941</v>
      </c>
      <c r="AH926">
        <v>83</v>
      </c>
      <c r="AI926" t="s">
        <v>27</v>
      </c>
      <c r="AJ926">
        <v>1</v>
      </c>
      <c r="AK9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MIN(AJ926/8, 1) +
  Merge1[[#This Row],[index_defensive_effort]],
  2
)</f>
        <v>0.63</v>
      </c>
    </row>
    <row r="927" spans="1:37" x14ac:dyDescent="0.25">
      <c r="A927" t="s">
        <v>880</v>
      </c>
      <c r="B927" t="s">
        <v>881</v>
      </c>
      <c r="C927">
        <v>27</v>
      </c>
      <c r="D927" t="s">
        <v>56</v>
      </c>
      <c r="E927">
        <v>74</v>
      </c>
      <c r="F927">
        <v>190</v>
      </c>
      <c r="G927" t="s">
        <v>67</v>
      </c>
      <c r="H927">
        <v>2020</v>
      </c>
      <c r="I927" t="s">
        <v>33</v>
      </c>
      <c r="J927">
        <v>14</v>
      </c>
      <c r="K927">
        <v>5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 s="5">
        <f>IF(Merge1[[#This Row],[team_defense_snaps]]=0, "", Merge1[[#This Row],[defense_snaps]] / Merge1[[#This Row],[team_defense_snaps]])</f>
        <v>0</v>
      </c>
      <c r="V927">
        <v>70</v>
      </c>
      <c r="W927">
        <v>0</v>
      </c>
      <c r="X927" s="5">
        <v>0</v>
      </c>
      <c r="Y927">
        <v>5</v>
      </c>
      <c r="Z927">
        <v>0</v>
      </c>
      <c r="AA927" t="s">
        <v>25</v>
      </c>
      <c r="AB927" t="s">
        <v>26</v>
      </c>
      <c r="AC927" t="s">
        <v>27</v>
      </c>
      <c r="AD927" t="s">
        <v>42</v>
      </c>
      <c r="AE927" t="s">
        <v>25</v>
      </c>
      <c r="AF9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927" t="s">
        <v>941</v>
      </c>
      <c r="AH927">
        <v>58.5</v>
      </c>
      <c r="AI927" t="s">
        <v>27</v>
      </c>
      <c r="AJ927">
        <v>1</v>
      </c>
      <c r="AK9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MIN(AJ927/8, 1) +
  Merge1[[#This Row],[index_defensive_effort]],
  2
)</f>
        <v>0.63</v>
      </c>
    </row>
    <row r="928" spans="1:37" x14ac:dyDescent="0.25">
      <c r="A928" t="s">
        <v>880</v>
      </c>
      <c r="B928" t="s">
        <v>881</v>
      </c>
      <c r="C928">
        <v>27</v>
      </c>
      <c r="D928" t="s">
        <v>56</v>
      </c>
      <c r="E928">
        <v>74</v>
      </c>
      <c r="F928">
        <v>190</v>
      </c>
      <c r="G928" t="s">
        <v>67</v>
      </c>
      <c r="H928">
        <v>2020</v>
      </c>
      <c r="I928" t="s">
        <v>33</v>
      </c>
      <c r="J928">
        <v>15</v>
      </c>
      <c r="K928">
        <v>6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 s="5">
        <f>IF(Merge1[[#This Row],[team_defense_snaps]]=0, "", Merge1[[#This Row],[defense_snaps]] / Merge1[[#This Row],[team_defense_snaps]])</f>
        <v>0</v>
      </c>
      <c r="V928">
        <v>73</v>
      </c>
      <c r="W928">
        <v>0</v>
      </c>
      <c r="X928" s="5">
        <v>0</v>
      </c>
      <c r="Y928">
        <v>5</v>
      </c>
      <c r="Z928">
        <v>0</v>
      </c>
      <c r="AA928" t="s">
        <v>25</v>
      </c>
      <c r="AB928" t="s">
        <v>26</v>
      </c>
      <c r="AC928" t="s">
        <v>27</v>
      </c>
      <c r="AD928" t="s">
        <v>42</v>
      </c>
      <c r="AE928" t="s">
        <v>25</v>
      </c>
      <c r="AF9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928" t="s">
        <v>941</v>
      </c>
      <c r="AH928">
        <v>57</v>
      </c>
      <c r="AI928" t="s">
        <v>27</v>
      </c>
      <c r="AJ928">
        <v>2</v>
      </c>
      <c r="AK9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MIN(AJ928/8, 1) +
  Merge1[[#This Row],[index_defensive_effort]],
  2
)</f>
        <v>0.75</v>
      </c>
    </row>
    <row r="929" spans="1:37" x14ac:dyDescent="0.25">
      <c r="A929" t="s">
        <v>880</v>
      </c>
      <c r="B929" t="s">
        <v>881</v>
      </c>
      <c r="C929">
        <v>27</v>
      </c>
      <c r="D929" t="s">
        <v>56</v>
      </c>
      <c r="E929">
        <v>74</v>
      </c>
      <c r="F929">
        <v>190</v>
      </c>
      <c r="G929" t="s">
        <v>67</v>
      </c>
      <c r="H929">
        <v>2020</v>
      </c>
      <c r="I929" t="s">
        <v>33</v>
      </c>
      <c r="J929">
        <v>16</v>
      </c>
      <c r="K929">
        <v>3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 s="5">
        <f>IF(Merge1[[#This Row],[team_defense_snaps]]=0, "", Merge1[[#This Row],[defense_snaps]] / Merge1[[#This Row],[team_defense_snaps]])</f>
        <v>0</v>
      </c>
      <c r="V929">
        <v>58</v>
      </c>
      <c r="W929">
        <v>0</v>
      </c>
      <c r="X929" s="5">
        <v>0</v>
      </c>
      <c r="Y929">
        <v>5</v>
      </c>
      <c r="Z929">
        <v>0</v>
      </c>
      <c r="AA929" t="s">
        <v>25</v>
      </c>
      <c r="AB929" t="s">
        <v>26</v>
      </c>
      <c r="AC929" t="s">
        <v>27</v>
      </c>
      <c r="AD929" t="s">
        <v>42</v>
      </c>
      <c r="AE929" t="s">
        <v>25</v>
      </c>
      <c r="AF9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929" t="s">
        <v>941</v>
      </c>
      <c r="AH929">
        <v>55.5</v>
      </c>
      <c r="AI929" t="s">
        <v>939</v>
      </c>
      <c r="AJ929">
        <v>1</v>
      </c>
      <c r="AK9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MIN(AJ929/8, 1) +
  Merge1[[#This Row],[index_defensive_effort]],
  2
)</f>
        <v>0.63</v>
      </c>
    </row>
    <row r="930" spans="1:37" x14ac:dyDescent="0.25">
      <c r="A930" t="s">
        <v>360</v>
      </c>
      <c r="B930" t="s">
        <v>361</v>
      </c>
      <c r="C930">
        <v>33</v>
      </c>
      <c r="D930" t="s">
        <v>22</v>
      </c>
      <c r="E930">
        <v>70</v>
      </c>
      <c r="F930">
        <v>195</v>
      </c>
      <c r="G930" t="s">
        <v>99</v>
      </c>
      <c r="H930">
        <v>2020</v>
      </c>
      <c r="I930" t="s">
        <v>33</v>
      </c>
      <c r="J930">
        <v>1</v>
      </c>
      <c r="K930">
        <v>3</v>
      </c>
      <c r="L930">
        <v>2</v>
      </c>
      <c r="M930">
        <v>2</v>
      </c>
      <c r="N930">
        <v>4</v>
      </c>
      <c r="O930">
        <v>0</v>
      </c>
      <c r="P930">
        <v>1</v>
      </c>
      <c r="Q930">
        <v>0</v>
      </c>
      <c r="R930">
        <v>0</v>
      </c>
      <c r="S930">
        <v>62</v>
      </c>
      <c r="T930">
        <v>61</v>
      </c>
      <c r="U930" s="5">
        <f>IF(Merge1[[#This Row],[team_defense_snaps]]=0, "", Merge1[[#This Row],[defense_snaps]] / Merge1[[#This Row],[team_defense_snaps]])</f>
        <v>0.9838709677419355</v>
      </c>
      <c r="V930">
        <v>62</v>
      </c>
      <c r="W930">
        <v>1</v>
      </c>
      <c r="X930" s="5" t="s">
        <v>114</v>
      </c>
      <c r="Y930">
        <v>10</v>
      </c>
      <c r="Z930">
        <v>0</v>
      </c>
      <c r="AA930" t="s">
        <v>25</v>
      </c>
      <c r="AB930" t="s">
        <v>26</v>
      </c>
      <c r="AC930" t="s">
        <v>27</v>
      </c>
      <c r="AD930" t="s">
        <v>42</v>
      </c>
      <c r="AE930" t="s">
        <v>25</v>
      </c>
      <c r="AF9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0.11290322580645161</v>
      </c>
      <c r="AG930" t="s">
        <v>942</v>
      </c>
      <c r="AH930">
        <v>65</v>
      </c>
      <c r="AI930" t="s">
        <v>939</v>
      </c>
      <c r="AJ930">
        <v>2</v>
      </c>
      <c r="AK9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MIN(AJ930/8, 1) +
  Merge1[[#This Row],[index_defensive_effort]],
  2
)</f>
        <v>1.06</v>
      </c>
    </row>
    <row r="931" spans="1:37" x14ac:dyDescent="0.25">
      <c r="A931" t="s">
        <v>360</v>
      </c>
      <c r="B931" t="s">
        <v>361</v>
      </c>
      <c r="C931">
        <v>33</v>
      </c>
      <c r="D931" t="s">
        <v>22</v>
      </c>
      <c r="E931">
        <v>70</v>
      </c>
      <c r="F931">
        <v>195</v>
      </c>
      <c r="G931" t="s">
        <v>99</v>
      </c>
      <c r="H931">
        <v>2020</v>
      </c>
      <c r="I931" t="s">
        <v>33</v>
      </c>
      <c r="J931">
        <v>2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2</v>
      </c>
      <c r="R931">
        <v>0</v>
      </c>
      <c r="S931">
        <v>68</v>
      </c>
      <c r="T931">
        <v>63</v>
      </c>
      <c r="U931" s="5">
        <f>IF(Merge1[[#This Row],[team_defense_snaps]]=0, "", Merge1[[#This Row],[defense_snaps]] / Merge1[[#This Row],[team_defense_snaps]])</f>
        <v>1</v>
      </c>
      <c r="V931">
        <v>63</v>
      </c>
      <c r="W931">
        <v>5</v>
      </c>
      <c r="X931" s="5" t="s">
        <v>181</v>
      </c>
      <c r="Y931">
        <v>10</v>
      </c>
      <c r="Z931">
        <v>0</v>
      </c>
      <c r="AA931" t="s">
        <v>25</v>
      </c>
      <c r="AB931" t="s">
        <v>26</v>
      </c>
      <c r="AC931" t="s">
        <v>27</v>
      </c>
      <c r="AD931" t="s">
        <v>42</v>
      </c>
      <c r="AE931" t="s">
        <v>25</v>
      </c>
      <c r="AF9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0.13235294117647059</v>
      </c>
      <c r="AG931" t="s">
        <v>942</v>
      </c>
      <c r="AH931">
        <v>45.5</v>
      </c>
      <c r="AI931" t="s">
        <v>939</v>
      </c>
      <c r="AJ931">
        <v>3</v>
      </c>
      <c r="AK9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MIN(AJ931/8, 1) +
  Merge1[[#This Row],[index_defensive_effort]],
  2
)</f>
        <v>1.21</v>
      </c>
    </row>
    <row r="932" spans="1:37" x14ac:dyDescent="0.25">
      <c r="A932" t="s">
        <v>360</v>
      </c>
      <c r="B932" t="s">
        <v>361</v>
      </c>
      <c r="C932">
        <v>33</v>
      </c>
      <c r="D932" t="s">
        <v>22</v>
      </c>
      <c r="E932">
        <v>70</v>
      </c>
      <c r="F932">
        <v>195</v>
      </c>
      <c r="G932" t="s">
        <v>99</v>
      </c>
      <c r="H932">
        <v>2020</v>
      </c>
      <c r="I932" t="s">
        <v>33</v>
      </c>
      <c r="J932">
        <v>3</v>
      </c>
      <c r="K932">
        <v>1</v>
      </c>
      <c r="L932">
        <v>2</v>
      </c>
      <c r="M932">
        <v>1</v>
      </c>
      <c r="N932">
        <v>3</v>
      </c>
      <c r="O932">
        <v>0</v>
      </c>
      <c r="P932">
        <v>1</v>
      </c>
      <c r="Q932">
        <v>0</v>
      </c>
      <c r="R932">
        <v>0</v>
      </c>
      <c r="S932">
        <v>65</v>
      </c>
      <c r="T932">
        <v>59</v>
      </c>
      <c r="U932" s="5">
        <f>IF(Merge1[[#This Row],[team_defense_snaps]]=0, "", Merge1[[#This Row],[defense_snaps]] / Merge1[[#This Row],[team_defense_snaps]])</f>
        <v>0.98333333333333328</v>
      </c>
      <c r="V932">
        <v>60</v>
      </c>
      <c r="W932">
        <v>6</v>
      </c>
      <c r="X932" s="5" t="s">
        <v>59</v>
      </c>
      <c r="Y932">
        <v>10</v>
      </c>
      <c r="Z932">
        <v>0</v>
      </c>
      <c r="AA932" t="s">
        <v>25</v>
      </c>
      <c r="AB932" t="s">
        <v>26</v>
      </c>
      <c r="AC932" t="s">
        <v>27</v>
      </c>
      <c r="AD932" t="s">
        <v>42</v>
      </c>
      <c r="AE932" t="s">
        <v>25</v>
      </c>
      <c r="AF9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6.9230769230769235E-2</v>
      </c>
      <c r="AG932" t="s">
        <v>942</v>
      </c>
      <c r="AH932">
        <v>63.5</v>
      </c>
      <c r="AI932" t="s">
        <v>939</v>
      </c>
      <c r="AJ932">
        <v>4</v>
      </c>
      <c r="AK9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MIN(AJ932/8, 1) +
  Merge1[[#This Row],[index_defensive_effort]],
  2
)</f>
        <v>1.27</v>
      </c>
    </row>
    <row r="933" spans="1:37" x14ac:dyDescent="0.25">
      <c r="A933" t="s">
        <v>360</v>
      </c>
      <c r="B933" t="s">
        <v>361</v>
      </c>
      <c r="C933">
        <v>33</v>
      </c>
      <c r="D933" t="s">
        <v>22</v>
      </c>
      <c r="E933">
        <v>70</v>
      </c>
      <c r="F933">
        <v>195</v>
      </c>
      <c r="G933" t="s">
        <v>99</v>
      </c>
      <c r="H933">
        <v>2020</v>
      </c>
      <c r="I933" t="s">
        <v>33</v>
      </c>
      <c r="J933">
        <v>4</v>
      </c>
      <c r="K933">
        <v>1</v>
      </c>
      <c r="L933">
        <v>1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61</v>
      </c>
      <c r="T933">
        <v>56</v>
      </c>
      <c r="U933" s="5">
        <f>IF(Merge1[[#This Row],[team_defense_snaps]]=0, "", Merge1[[#This Row],[defense_snaps]] / Merge1[[#This Row],[team_defense_snaps]])</f>
        <v>1</v>
      </c>
      <c r="V933">
        <v>56</v>
      </c>
      <c r="W933">
        <v>5</v>
      </c>
      <c r="X933" s="5" t="s">
        <v>139</v>
      </c>
      <c r="Y933">
        <v>10</v>
      </c>
      <c r="Z933">
        <v>0</v>
      </c>
      <c r="AA933" t="s">
        <v>25</v>
      </c>
      <c r="AB933" t="s">
        <v>26</v>
      </c>
      <c r="AC933" t="s">
        <v>27</v>
      </c>
      <c r="AD933" t="s">
        <v>42</v>
      </c>
      <c r="AE933" t="s">
        <v>25</v>
      </c>
      <c r="AF9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2.4590163934426229E-2</v>
      </c>
      <c r="AG933" t="s">
        <v>942</v>
      </c>
      <c r="AH933">
        <v>56</v>
      </c>
      <c r="AI933" t="s">
        <v>939</v>
      </c>
      <c r="AJ933">
        <v>1</v>
      </c>
      <c r="AK9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MIN(AJ933/8, 1) +
  Merge1[[#This Row],[index_defensive_effort]],
  2
)</f>
        <v>0.85</v>
      </c>
    </row>
    <row r="934" spans="1:37" x14ac:dyDescent="0.25">
      <c r="A934" t="s">
        <v>360</v>
      </c>
      <c r="B934" t="s">
        <v>361</v>
      </c>
      <c r="C934">
        <v>33</v>
      </c>
      <c r="D934" t="s">
        <v>22</v>
      </c>
      <c r="E934">
        <v>70</v>
      </c>
      <c r="F934">
        <v>195</v>
      </c>
      <c r="G934" t="s">
        <v>99</v>
      </c>
      <c r="H934">
        <v>2020</v>
      </c>
      <c r="I934" t="s">
        <v>33</v>
      </c>
      <c r="J934">
        <v>6</v>
      </c>
      <c r="K934">
        <v>4</v>
      </c>
      <c r="L934">
        <v>1</v>
      </c>
      <c r="M934">
        <v>1</v>
      </c>
      <c r="N934">
        <v>2</v>
      </c>
      <c r="O934">
        <v>0</v>
      </c>
      <c r="P934">
        <v>0</v>
      </c>
      <c r="Q934">
        <v>0</v>
      </c>
      <c r="R934">
        <v>0</v>
      </c>
      <c r="S934">
        <v>70</v>
      </c>
      <c r="T934">
        <v>64</v>
      </c>
      <c r="U934" s="5">
        <f>IF(Merge1[[#This Row],[team_defense_snaps]]=0, "", Merge1[[#This Row],[defense_snaps]] / Merge1[[#This Row],[team_defense_snaps]])</f>
        <v>0.98461538461538467</v>
      </c>
      <c r="V934">
        <v>65</v>
      </c>
      <c r="W934">
        <v>6</v>
      </c>
      <c r="X934" s="5" t="s">
        <v>135</v>
      </c>
      <c r="Y934">
        <v>10</v>
      </c>
      <c r="Z934">
        <v>0</v>
      </c>
      <c r="AA934" t="s">
        <v>25</v>
      </c>
      <c r="AB934" t="s">
        <v>26</v>
      </c>
      <c r="AC934" t="s">
        <v>27</v>
      </c>
      <c r="AD934" t="s">
        <v>42</v>
      </c>
      <c r="AE934" t="s">
        <v>25</v>
      </c>
      <c r="AF9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934" t="s">
        <v>942</v>
      </c>
      <c r="AH934">
        <v>51.5</v>
      </c>
      <c r="AI934" t="s">
        <v>939</v>
      </c>
      <c r="AJ934">
        <v>2</v>
      </c>
      <c r="AK9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MIN(AJ934/8, 1) +
  Merge1[[#This Row],[index_defensive_effort]],
  2
)</f>
        <v>1.02</v>
      </c>
    </row>
    <row r="935" spans="1:37" x14ac:dyDescent="0.25">
      <c r="A935" t="s">
        <v>360</v>
      </c>
      <c r="B935" t="s">
        <v>361</v>
      </c>
      <c r="C935">
        <v>33</v>
      </c>
      <c r="D935" t="s">
        <v>22</v>
      </c>
      <c r="E935">
        <v>70</v>
      </c>
      <c r="F935">
        <v>195</v>
      </c>
      <c r="G935" t="s">
        <v>99</v>
      </c>
      <c r="H935">
        <v>2020</v>
      </c>
      <c r="I935" t="s">
        <v>33</v>
      </c>
      <c r="J935">
        <v>7</v>
      </c>
      <c r="K935">
        <v>8</v>
      </c>
      <c r="L935">
        <v>2</v>
      </c>
      <c r="M935">
        <v>2</v>
      </c>
      <c r="N935">
        <v>4</v>
      </c>
      <c r="O935">
        <v>0</v>
      </c>
      <c r="P935">
        <v>0</v>
      </c>
      <c r="Q935">
        <v>2</v>
      </c>
      <c r="R935">
        <v>0</v>
      </c>
      <c r="S935">
        <v>72</v>
      </c>
      <c r="T935">
        <v>66</v>
      </c>
      <c r="U935" s="5">
        <f>IF(Merge1[[#This Row],[team_defense_snaps]]=0, "", Merge1[[#This Row],[defense_snaps]] / Merge1[[#This Row],[team_defense_snaps]])</f>
        <v>1</v>
      </c>
      <c r="V935">
        <v>66</v>
      </c>
      <c r="W935">
        <v>6</v>
      </c>
      <c r="X935" s="5" t="s">
        <v>113</v>
      </c>
      <c r="Y935">
        <v>10</v>
      </c>
      <c r="Z935">
        <v>0</v>
      </c>
      <c r="AA935" t="s">
        <v>25</v>
      </c>
      <c r="AB935" t="s">
        <v>26</v>
      </c>
      <c r="AC935" t="s">
        <v>27</v>
      </c>
      <c r="AD935" t="s">
        <v>42</v>
      </c>
      <c r="AE935" t="s">
        <v>25</v>
      </c>
      <c r="AF9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</v>
      </c>
      <c r="AG935" t="s">
        <v>942</v>
      </c>
      <c r="AH935">
        <v>47</v>
      </c>
      <c r="AI935" t="s">
        <v>939</v>
      </c>
      <c r="AJ935">
        <v>3</v>
      </c>
      <c r="AK9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MIN(AJ935/8, 1) +
  Merge1[[#This Row],[index_defensive_effort]],
  2
)</f>
        <v>1.33</v>
      </c>
    </row>
    <row r="936" spans="1:37" x14ac:dyDescent="0.25">
      <c r="A936" t="s">
        <v>360</v>
      </c>
      <c r="B936" t="s">
        <v>361</v>
      </c>
      <c r="C936">
        <v>33</v>
      </c>
      <c r="D936" t="s">
        <v>22</v>
      </c>
      <c r="E936">
        <v>70</v>
      </c>
      <c r="F936">
        <v>195</v>
      </c>
      <c r="G936" t="s">
        <v>99</v>
      </c>
      <c r="H936">
        <v>2020</v>
      </c>
      <c r="I936" t="s">
        <v>33</v>
      </c>
      <c r="J936">
        <v>8</v>
      </c>
      <c r="K936">
        <v>4</v>
      </c>
      <c r="L936">
        <v>3</v>
      </c>
      <c r="M936">
        <v>1</v>
      </c>
      <c r="N936">
        <v>4</v>
      </c>
      <c r="O936">
        <v>0</v>
      </c>
      <c r="P936">
        <v>0</v>
      </c>
      <c r="Q936">
        <v>0</v>
      </c>
      <c r="R936">
        <v>0</v>
      </c>
      <c r="S936">
        <v>62</v>
      </c>
      <c r="T936">
        <v>58</v>
      </c>
      <c r="U936" s="5">
        <f>IF(Merge1[[#This Row],[team_defense_snaps]]=0, "", Merge1[[#This Row],[defense_snaps]] / Merge1[[#This Row],[team_defense_snaps]])</f>
        <v>0.98305084745762716</v>
      </c>
      <c r="V936">
        <v>59</v>
      </c>
      <c r="W936">
        <v>4</v>
      </c>
      <c r="X936" s="5" t="s">
        <v>124</v>
      </c>
      <c r="Y936">
        <v>10</v>
      </c>
      <c r="Z936">
        <v>0</v>
      </c>
      <c r="AA936" t="s">
        <v>25</v>
      </c>
      <c r="AB936" t="s">
        <v>26</v>
      </c>
      <c r="AC936" t="s">
        <v>27</v>
      </c>
      <c r="AD936" t="s">
        <v>42</v>
      </c>
      <c r="AE936" t="s">
        <v>25</v>
      </c>
      <c r="AF9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9.6774193548387094E-2</v>
      </c>
      <c r="AG936" t="s">
        <v>942</v>
      </c>
      <c r="AH936">
        <v>57.5</v>
      </c>
      <c r="AI936" t="s">
        <v>939</v>
      </c>
      <c r="AJ936">
        <v>4</v>
      </c>
      <c r="AK9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MIN(AJ936/8, 1) +
  Merge1[[#This Row],[index_defensive_effort]],
  2
)</f>
        <v>1.3</v>
      </c>
    </row>
    <row r="937" spans="1:37" x14ac:dyDescent="0.25">
      <c r="A937" t="s">
        <v>360</v>
      </c>
      <c r="B937" t="s">
        <v>361</v>
      </c>
      <c r="C937">
        <v>33</v>
      </c>
      <c r="D937" t="s">
        <v>22</v>
      </c>
      <c r="E937">
        <v>70</v>
      </c>
      <c r="F937">
        <v>195</v>
      </c>
      <c r="G937" t="s">
        <v>99</v>
      </c>
      <c r="H937">
        <v>2020</v>
      </c>
      <c r="I937" t="s">
        <v>33</v>
      </c>
      <c r="J937">
        <v>9</v>
      </c>
      <c r="K937">
        <v>1</v>
      </c>
      <c r="L937">
        <v>2</v>
      </c>
      <c r="M937">
        <v>0</v>
      </c>
      <c r="N937">
        <v>2</v>
      </c>
      <c r="O937">
        <v>0</v>
      </c>
      <c r="P937">
        <v>0</v>
      </c>
      <c r="Q937">
        <v>0</v>
      </c>
      <c r="R937">
        <v>0</v>
      </c>
      <c r="S937">
        <v>51</v>
      </c>
      <c r="T937">
        <v>46</v>
      </c>
      <c r="U937" s="5">
        <f>IF(Merge1[[#This Row],[team_defense_snaps]]=0, "", Merge1[[#This Row],[defense_snaps]] / Merge1[[#This Row],[team_defense_snaps]])</f>
        <v>1</v>
      </c>
      <c r="V937">
        <v>46</v>
      </c>
      <c r="W937">
        <v>5</v>
      </c>
      <c r="X937" s="5" t="s">
        <v>59</v>
      </c>
      <c r="Y937">
        <v>10</v>
      </c>
      <c r="Z937">
        <v>0</v>
      </c>
      <c r="AA937" t="s">
        <v>25</v>
      </c>
      <c r="AB937" t="s">
        <v>26</v>
      </c>
      <c r="AC937" t="s">
        <v>27</v>
      </c>
      <c r="AD937" t="s">
        <v>42</v>
      </c>
      <c r="AE937" t="s">
        <v>25</v>
      </c>
      <c r="AF9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3.9215686274509803E-2</v>
      </c>
      <c r="AG937" t="s">
        <v>942</v>
      </c>
      <c r="AH937">
        <v>60.5</v>
      </c>
      <c r="AI937" t="s">
        <v>939</v>
      </c>
      <c r="AJ937">
        <v>5</v>
      </c>
      <c r="AK9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MIN(AJ937/8, 1) +
  Merge1[[#This Row],[index_defensive_effort]],
  2
)</f>
        <v>1.36</v>
      </c>
    </row>
    <row r="938" spans="1:37" x14ac:dyDescent="0.25">
      <c r="A938" t="s">
        <v>360</v>
      </c>
      <c r="B938" t="s">
        <v>361</v>
      </c>
      <c r="C938">
        <v>33</v>
      </c>
      <c r="D938" t="s">
        <v>22</v>
      </c>
      <c r="E938">
        <v>70</v>
      </c>
      <c r="F938">
        <v>195</v>
      </c>
      <c r="G938" t="s">
        <v>99</v>
      </c>
      <c r="H938">
        <v>2020</v>
      </c>
      <c r="I938" t="s">
        <v>33</v>
      </c>
      <c r="J938">
        <v>10</v>
      </c>
      <c r="K938">
        <v>2</v>
      </c>
      <c r="L938">
        <v>2</v>
      </c>
      <c r="M938">
        <v>2</v>
      </c>
      <c r="N938">
        <v>4</v>
      </c>
      <c r="O938">
        <v>0</v>
      </c>
      <c r="P938">
        <v>0</v>
      </c>
      <c r="Q938">
        <v>0</v>
      </c>
      <c r="R938">
        <v>0</v>
      </c>
      <c r="S938">
        <v>69</v>
      </c>
      <c r="T938">
        <v>66</v>
      </c>
      <c r="U938" s="5">
        <f>IF(Merge1[[#This Row],[team_defense_snaps]]=0, "", Merge1[[#This Row],[defense_snaps]] / Merge1[[#This Row],[team_defense_snaps]])</f>
        <v>0.9850746268656716</v>
      </c>
      <c r="V938">
        <v>67</v>
      </c>
      <c r="W938">
        <v>3</v>
      </c>
      <c r="X938" s="5" t="s">
        <v>209</v>
      </c>
      <c r="Y938">
        <v>10</v>
      </c>
      <c r="Z938">
        <v>0</v>
      </c>
      <c r="AA938" t="s">
        <v>25</v>
      </c>
      <c r="AB938" t="s">
        <v>26</v>
      </c>
      <c r="AC938" t="s">
        <v>27</v>
      </c>
      <c r="AD938" t="s">
        <v>42</v>
      </c>
      <c r="AE938" t="s">
        <v>25</v>
      </c>
      <c r="AF9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5.7971014492753624E-2</v>
      </c>
      <c r="AG938" t="s">
        <v>942</v>
      </c>
      <c r="AH938">
        <v>44</v>
      </c>
      <c r="AI938" t="s">
        <v>939</v>
      </c>
      <c r="AJ938">
        <v>6</v>
      </c>
      <c r="AK9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MIN(AJ938/8, 1) +
  Merge1[[#This Row],[index_defensive_effort]],
  2
)</f>
        <v>1.51</v>
      </c>
    </row>
    <row r="939" spans="1:37" x14ac:dyDescent="0.25">
      <c r="A939" t="s">
        <v>360</v>
      </c>
      <c r="B939" t="s">
        <v>361</v>
      </c>
      <c r="C939">
        <v>33</v>
      </c>
      <c r="D939" t="s">
        <v>22</v>
      </c>
      <c r="E939">
        <v>70</v>
      </c>
      <c r="F939">
        <v>195</v>
      </c>
      <c r="G939" t="s">
        <v>99</v>
      </c>
      <c r="H939">
        <v>2020</v>
      </c>
      <c r="I939" t="s">
        <v>33</v>
      </c>
      <c r="J939">
        <v>11</v>
      </c>
      <c r="K939">
        <v>2</v>
      </c>
      <c r="L939">
        <v>1</v>
      </c>
      <c r="M939">
        <v>1</v>
      </c>
      <c r="N939">
        <v>2</v>
      </c>
      <c r="O939">
        <v>0</v>
      </c>
      <c r="P939">
        <v>0</v>
      </c>
      <c r="Q939">
        <v>0</v>
      </c>
      <c r="R939">
        <v>0</v>
      </c>
      <c r="S939">
        <v>66</v>
      </c>
      <c r="T939">
        <v>61</v>
      </c>
      <c r="U939" s="5">
        <f>IF(Merge1[[#This Row],[team_defense_snaps]]=0, "", Merge1[[#This Row],[defense_snaps]] / Merge1[[#This Row],[team_defense_snaps]])</f>
        <v>1</v>
      </c>
      <c r="V939">
        <v>61</v>
      </c>
      <c r="W939">
        <v>5</v>
      </c>
      <c r="X939" s="5" t="s">
        <v>59</v>
      </c>
      <c r="Y939">
        <v>10</v>
      </c>
      <c r="Z939">
        <v>0</v>
      </c>
      <c r="AA939" t="s">
        <v>25</v>
      </c>
      <c r="AB939" t="s">
        <v>26</v>
      </c>
      <c r="AC939" t="s">
        <v>27</v>
      </c>
      <c r="AD939" t="s">
        <v>42</v>
      </c>
      <c r="AE939" t="s">
        <v>25</v>
      </c>
      <c r="AF9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G939" t="s">
        <v>942</v>
      </c>
      <c r="AH939">
        <v>53</v>
      </c>
      <c r="AI939" t="s">
        <v>939</v>
      </c>
      <c r="AJ939">
        <v>7</v>
      </c>
      <c r="AK9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MIN(AJ939/8, 1) +
  Merge1[[#This Row],[index_defensive_effort]],
  2
)</f>
        <v>1.62</v>
      </c>
    </row>
    <row r="940" spans="1:37" x14ac:dyDescent="0.25">
      <c r="A940" t="s">
        <v>360</v>
      </c>
      <c r="B940" t="s">
        <v>361</v>
      </c>
      <c r="C940">
        <v>33</v>
      </c>
      <c r="D940" t="s">
        <v>22</v>
      </c>
      <c r="E940">
        <v>70</v>
      </c>
      <c r="F940">
        <v>195</v>
      </c>
      <c r="G940" t="s">
        <v>99</v>
      </c>
      <c r="H940">
        <v>2020</v>
      </c>
      <c r="I940" t="s">
        <v>33</v>
      </c>
      <c r="J940">
        <v>12</v>
      </c>
      <c r="K940">
        <v>2</v>
      </c>
      <c r="L940">
        <v>1</v>
      </c>
      <c r="M940">
        <v>1</v>
      </c>
      <c r="N940">
        <v>2</v>
      </c>
      <c r="O940">
        <v>0</v>
      </c>
      <c r="P940">
        <v>1</v>
      </c>
      <c r="Q940">
        <v>0</v>
      </c>
      <c r="R940">
        <v>0</v>
      </c>
      <c r="S940">
        <v>78</v>
      </c>
      <c r="T940">
        <v>74</v>
      </c>
      <c r="U940" s="5">
        <f>IF(Merge1[[#This Row],[team_defense_snaps]]=0, "", Merge1[[#This Row],[defense_snaps]] / Merge1[[#This Row],[team_defense_snaps]])</f>
        <v>1</v>
      </c>
      <c r="V940">
        <v>74</v>
      </c>
      <c r="W940">
        <v>4</v>
      </c>
      <c r="X940" s="5" t="s">
        <v>181</v>
      </c>
      <c r="Y940">
        <v>10</v>
      </c>
      <c r="Z940">
        <v>0</v>
      </c>
      <c r="AA940" t="s">
        <v>25</v>
      </c>
      <c r="AB940" t="s">
        <v>26</v>
      </c>
      <c r="AC940" t="s">
        <v>27</v>
      </c>
      <c r="AD940" t="s">
        <v>42</v>
      </c>
      <c r="AE940" t="s">
        <v>25</v>
      </c>
      <c r="AF9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6.4102564102564097E-2</v>
      </c>
      <c r="AG940" t="s">
        <v>942</v>
      </c>
      <c r="AH940">
        <v>68</v>
      </c>
      <c r="AI940" t="s">
        <v>939</v>
      </c>
      <c r="AJ940">
        <v>8</v>
      </c>
      <c r="AK9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MIN(AJ940/8, 1) +
  Merge1[[#This Row],[index_defensive_effort]],
  2
)</f>
        <v>1.76</v>
      </c>
    </row>
    <row r="941" spans="1:37" x14ac:dyDescent="0.25">
      <c r="A941" t="s">
        <v>360</v>
      </c>
      <c r="B941" t="s">
        <v>361</v>
      </c>
      <c r="C941">
        <v>33</v>
      </c>
      <c r="D941" t="s">
        <v>22</v>
      </c>
      <c r="E941">
        <v>70</v>
      </c>
      <c r="F941">
        <v>195</v>
      </c>
      <c r="G941" t="s">
        <v>99</v>
      </c>
      <c r="H941">
        <v>2020</v>
      </c>
      <c r="I941" t="s">
        <v>33</v>
      </c>
      <c r="J941">
        <v>13</v>
      </c>
      <c r="K941">
        <v>2</v>
      </c>
      <c r="L941">
        <v>2</v>
      </c>
      <c r="M941">
        <v>0</v>
      </c>
      <c r="N941">
        <v>2</v>
      </c>
      <c r="O941">
        <v>0</v>
      </c>
      <c r="P941">
        <v>1</v>
      </c>
      <c r="Q941">
        <v>0</v>
      </c>
      <c r="R941">
        <v>0</v>
      </c>
      <c r="S941">
        <v>60</v>
      </c>
      <c r="T941">
        <v>58</v>
      </c>
      <c r="U941" s="5">
        <f>IF(Merge1[[#This Row],[team_defense_snaps]]=0, "", Merge1[[#This Row],[defense_snaps]] / Merge1[[#This Row],[team_defense_snaps]])</f>
        <v>0.79452054794520544</v>
      </c>
      <c r="V941">
        <v>73</v>
      </c>
      <c r="W941">
        <v>2</v>
      </c>
      <c r="X941" s="5" t="s">
        <v>167</v>
      </c>
      <c r="Y941">
        <v>10</v>
      </c>
      <c r="Z941">
        <v>0</v>
      </c>
      <c r="AA941" t="s">
        <v>25</v>
      </c>
      <c r="AB941" t="s">
        <v>26</v>
      </c>
      <c r="AC941" t="s">
        <v>27</v>
      </c>
      <c r="AD941" t="s">
        <v>42</v>
      </c>
      <c r="AE941" t="s">
        <v>25</v>
      </c>
      <c r="AF9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941" t="s">
        <v>942</v>
      </c>
      <c r="AH941">
        <v>48.5</v>
      </c>
      <c r="AI941" t="s">
        <v>939</v>
      </c>
      <c r="AJ941">
        <v>9</v>
      </c>
      <c r="AK9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MIN(AJ941/8, 1) +
  Merge1[[#This Row],[index_defensive_effort]],
  2
)</f>
        <v>1.78</v>
      </c>
    </row>
    <row r="942" spans="1:37" x14ac:dyDescent="0.25">
      <c r="A942" t="s">
        <v>360</v>
      </c>
      <c r="B942" t="s">
        <v>361</v>
      </c>
      <c r="C942">
        <v>33</v>
      </c>
      <c r="D942" t="s">
        <v>22</v>
      </c>
      <c r="E942">
        <v>70</v>
      </c>
      <c r="F942">
        <v>195</v>
      </c>
      <c r="G942" t="s">
        <v>99</v>
      </c>
      <c r="H942">
        <v>2020</v>
      </c>
      <c r="I942" t="s">
        <v>33</v>
      </c>
      <c r="J942">
        <v>14</v>
      </c>
      <c r="K942">
        <v>3</v>
      </c>
      <c r="L942">
        <v>1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64</v>
      </c>
      <c r="T942">
        <v>59</v>
      </c>
      <c r="U942" s="5">
        <f>IF(Merge1[[#This Row],[team_defense_snaps]]=0, "", Merge1[[#This Row],[defense_snaps]] / Merge1[[#This Row],[team_defense_snaps]])</f>
        <v>0.921875</v>
      </c>
      <c r="V942">
        <v>64</v>
      </c>
      <c r="W942">
        <v>5</v>
      </c>
      <c r="X942" s="5" t="s">
        <v>293</v>
      </c>
      <c r="Y942">
        <v>10</v>
      </c>
      <c r="Z942">
        <v>0</v>
      </c>
      <c r="AA942" t="s">
        <v>25</v>
      </c>
      <c r="AB942" t="s">
        <v>26</v>
      </c>
      <c r="AC942" t="s">
        <v>27</v>
      </c>
      <c r="AD942" t="s">
        <v>42</v>
      </c>
      <c r="AE942" t="s">
        <v>25</v>
      </c>
      <c r="AF9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5.46875E-2</v>
      </c>
      <c r="AG942" t="s">
        <v>942</v>
      </c>
      <c r="AH942">
        <v>50</v>
      </c>
      <c r="AI942" t="s">
        <v>939</v>
      </c>
      <c r="AJ942">
        <v>10</v>
      </c>
      <c r="AK9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MIN(AJ942/8, 1) +
  Merge1[[#This Row],[index_defensive_effort]],
  2
)</f>
        <v>1.75</v>
      </c>
    </row>
    <row r="943" spans="1:37" x14ac:dyDescent="0.25">
      <c r="A943" t="s">
        <v>360</v>
      </c>
      <c r="B943" t="s">
        <v>361</v>
      </c>
      <c r="C943">
        <v>33</v>
      </c>
      <c r="D943" t="s">
        <v>22</v>
      </c>
      <c r="E943">
        <v>70</v>
      </c>
      <c r="F943">
        <v>195</v>
      </c>
      <c r="G943" t="s">
        <v>99</v>
      </c>
      <c r="H943">
        <v>2020</v>
      </c>
      <c r="I943" t="s">
        <v>33</v>
      </c>
      <c r="J943">
        <v>15</v>
      </c>
      <c r="K943">
        <v>2</v>
      </c>
      <c r="L943">
        <v>3</v>
      </c>
      <c r="M943">
        <v>0</v>
      </c>
      <c r="N943">
        <v>3</v>
      </c>
      <c r="O943">
        <v>0</v>
      </c>
      <c r="P943">
        <v>0</v>
      </c>
      <c r="Q943">
        <v>0</v>
      </c>
      <c r="R943">
        <v>0</v>
      </c>
      <c r="S943">
        <v>75</v>
      </c>
      <c r="T943">
        <v>72</v>
      </c>
      <c r="U943" s="5">
        <f>IF(Merge1[[#This Row],[team_defense_snaps]]=0, "", Merge1[[#This Row],[defense_snaps]] / Merge1[[#This Row],[team_defense_snaps]])</f>
        <v>0.98630136986301364</v>
      </c>
      <c r="V943">
        <v>73</v>
      </c>
      <c r="W943">
        <v>3</v>
      </c>
      <c r="X943" s="5" t="s">
        <v>212</v>
      </c>
      <c r="Y943">
        <v>10</v>
      </c>
      <c r="Z943">
        <v>0</v>
      </c>
      <c r="AA943" t="s">
        <v>25</v>
      </c>
      <c r="AB943" t="s">
        <v>26</v>
      </c>
      <c r="AC943" t="s">
        <v>27</v>
      </c>
      <c r="AD943" t="s">
        <v>42</v>
      </c>
      <c r="AE943" t="s">
        <v>25</v>
      </c>
      <c r="AF9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4.6666666666666669E-2</v>
      </c>
      <c r="AG943" t="s">
        <v>942</v>
      </c>
      <c r="AH943">
        <v>54.5</v>
      </c>
      <c r="AI943" t="s">
        <v>939</v>
      </c>
      <c r="AJ943">
        <v>11</v>
      </c>
      <c r="AK9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MIN(AJ943/8, 1) +
  Merge1[[#This Row],[index_defensive_effort]],
  2
)</f>
        <v>1.75</v>
      </c>
    </row>
    <row r="944" spans="1:37" x14ac:dyDescent="0.25">
      <c r="A944" t="s">
        <v>360</v>
      </c>
      <c r="B944" t="s">
        <v>361</v>
      </c>
      <c r="C944">
        <v>33</v>
      </c>
      <c r="D944" t="s">
        <v>22</v>
      </c>
      <c r="E944">
        <v>70</v>
      </c>
      <c r="F944">
        <v>195</v>
      </c>
      <c r="G944" t="s">
        <v>99</v>
      </c>
      <c r="H944">
        <v>2020</v>
      </c>
      <c r="I944" t="s">
        <v>33</v>
      </c>
      <c r="J944">
        <v>16</v>
      </c>
      <c r="K944">
        <v>2</v>
      </c>
      <c r="L944">
        <v>5</v>
      </c>
      <c r="M944">
        <v>5</v>
      </c>
      <c r="N944">
        <v>10</v>
      </c>
      <c r="O944">
        <v>0</v>
      </c>
      <c r="P944">
        <v>0</v>
      </c>
      <c r="Q944">
        <v>0</v>
      </c>
      <c r="R944">
        <v>0</v>
      </c>
      <c r="S944">
        <v>39</v>
      </c>
      <c r="T944">
        <v>35</v>
      </c>
      <c r="U944" s="5">
        <f>IF(Merge1[[#This Row],[team_defense_snaps]]=0, "", Merge1[[#This Row],[defense_snaps]] / Merge1[[#This Row],[team_defense_snaps]])</f>
        <v>0.4861111111111111</v>
      </c>
      <c r="V944">
        <v>72</v>
      </c>
      <c r="W944">
        <v>4</v>
      </c>
      <c r="X944" s="5" t="s">
        <v>212</v>
      </c>
      <c r="Y944">
        <v>10</v>
      </c>
      <c r="Z944">
        <v>0</v>
      </c>
      <c r="AA944" t="s">
        <v>25</v>
      </c>
      <c r="AB944" t="s">
        <v>26</v>
      </c>
      <c r="AC944" t="s">
        <v>27</v>
      </c>
      <c r="AD944" t="s">
        <v>42</v>
      </c>
      <c r="AE944" t="s">
        <v>25</v>
      </c>
      <c r="AF9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0.17948717948717949</v>
      </c>
      <c r="AG944" t="s">
        <v>942</v>
      </c>
      <c r="AH944">
        <v>66.5</v>
      </c>
      <c r="AI944" t="s">
        <v>939</v>
      </c>
      <c r="AJ944">
        <v>12</v>
      </c>
      <c r="AK9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MIN(AJ944/8, 1) +
  Merge1[[#This Row],[index_defensive_effort]],
  2
)</f>
        <v>1.88</v>
      </c>
    </row>
    <row r="945" spans="1:37" x14ac:dyDescent="0.25">
      <c r="A945" t="s">
        <v>360</v>
      </c>
      <c r="B945" t="s">
        <v>361</v>
      </c>
      <c r="C945">
        <v>33</v>
      </c>
      <c r="D945" t="s">
        <v>22</v>
      </c>
      <c r="E945">
        <v>70</v>
      </c>
      <c r="F945">
        <v>195</v>
      </c>
      <c r="G945" t="s">
        <v>99</v>
      </c>
      <c r="H945">
        <v>2020</v>
      </c>
      <c r="I945" t="s">
        <v>33</v>
      </c>
      <c r="J945">
        <v>17</v>
      </c>
      <c r="K945">
        <v>4</v>
      </c>
      <c r="L945">
        <v>2</v>
      </c>
      <c r="M945">
        <v>1</v>
      </c>
      <c r="N945">
        <v>3</v>
      </c>
      <c r="O945">
        <v>0</v>
      </c>
      <c r="P945">
        <v>0</v>
      </c>
      <c r="Q945">
        <v>0</v>
      </c>
      <c r="R945">
        <v>0</v>
      </c>
      <c r="S945">
        <v>64</v>
      </c>
      <c r="T945">
        <v>63</v>
      </c>
      <c r="U945" s="5">
        <f>IF(Merge1[[#This Row],[team_defense_snaps]]=0, "", Merge1[[#This Row],[defense_snaps]] / Merge1[[#This Row],[team_defense_snaps]])</f>
        <v>0.94029850746268662</v>
      </c>
      <c r="V945">
        <v>67</v>
      </c>
      <c r="W945">
        <v>1</v>
      </c>
      <c r="X945" s="5" t="s">
        <v>193</v>
      </c>
      <c r="Y945">
        <v>10</v>
      </c>
      <c r="Z945">
        <v>0</v>
      </c>
      <c r="AA945" t="s">
        <v>25</v>
      </c>
      <c r="AB945" t="s">
        <v>36</v>
      </c>
      <c r="AC945" t="s">
        <v>362</v>
      </c>
      <c r="AD945" t="s">
        <v>42</v>
      </c>
      <c r="AE945" t="s">
        <v>25</v>
      </c>
      <c r="AF9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8.59375E-2</v>
      </c>
      <c r="AG945" t="s">
        <v>942</v>
      </c>
      <c r="AH945">
        <v>59</v>
      </c>
      <c r="AI945" t="s">
        <v>939</v>
      </c>
      <c r="AJ945">
        <v>1</v>
      </c>
      <c r="AK9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MIN(AJ945/8, 1) +
  Merge1[[#This Row],[index_defensive_effort]],
  2
)</f>
        <v>0.91</v>
      </c>
    </row>
    <row r="946" spans="1:37" x14ac:dyDescent="0.25">
      <c r="A946" t="s">
        <v>394</v>
      </c>
      <c r="B946" t="s">
        <v>395</v>
      </c>
      <c r="C946">
        <v>25</v>
      </c>
      <c r="D946" t="s">
        <v>22</v>
      </c>
      <c r="E946">
        <v>72</v>
      </c>
      <c r="F946">
        <v>204</v>
      </c>
      <c r="G946" t="s">
        <v>78</v>
      </c>
      <c r="H946">
        <v>2020</v>
      </c>
      <c r="I946" t="s">
        <v>33</v>
      </c>
      <c r="J946">
        <v>4</v>
      </c>
      <c r="K946">
        <v>9</v>
      </c>
      <c r="L946">
        <v>4</v>
      </c>
      <c r="M946">
        <v>0</v>
      </c>
      <c r="N946">
        <v>4</v>
      </c>
      <c r="O946">
        <v>4</v>
      </c>
      <c r="P946">
        <v>4</v>
      </c>
      <c r="Q946">
        <v>0</v>
      </c>
      <c r="R946">
        <v>0</v>
      </c>
      <c r="S946">
        <v>88</v>
      </c>
      <c r="T946">
        <v>71</v>
      </c>
      <c r="U946" s="5">
        <f>IF(Merge1[[#This Row],[team_defense_snaps]]=0, "", Merge1[[#This Row],[defense_snaps]] / Merge1[[#This Row],[team_defense_snaps]])</f>
        <v>0.93421052631578949</v>
      </c>
      <c r="V946">
        <v>76</v>
      </c>
      <c r="W946">
        <v>17</v>
      </c>
      <c r="X946" s="5" t="s">
        <v>182</v>
      </c>
      <c r="Y946">
        <v>1</v>
      </c>
      <c r="Z946">
        <v>0</v>
      </c>
      <c r="AA946" t="s">
        <v>25</v>
      </c>
      <c r="AB946" t="s">
        <v>26</v>
      </c>
      <c r="AC946" t="s">
        <v>27</v>
      </c>
      <c r="AD946" t="s">
        <v>28</v>
      </c>
      <c r="AE946" t="s">
        <v>25</v>
      </c>
      <c r="AF9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0.35227272727272729</v>
      </c>
      <c r="AG946" t="s">
        <v>942</v>
      </c>
      <c r="AH946">
        <v>76</v>
      </c>
      <c r="AI946" t="s">
        <v>939</v>
      </c>
      <c r="AJ946">
        <v>2</v>
      </c>
      <c r="AK9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MIN(AJ946/8, 1) +
  Merge1[[#This Row],[index_defensive_effort]],
  2
)</f>
        <v>1.1000000000000001</v>
      </c>
    </row>
    <row r="947" spans="1:37" x14ac:dyDescent="0.25">
      <c r="A947" t="s">
        <v>394</v>
      </c>
      <c r="B947" t="s">
        <v>395</v>
      </c>
      <c r="C947">
        <v>25</v>
      </c>
      <c r="D947" t="s">
        <v>22</v>
      </c>
      <c r="E947">
        <v>72</v>
      </c>
      <c r="F947">
        <v>204</v>
      </c>
      <c r="G947" t="s">
        <v>78</v>
      </c>
      <c r="H947">
        <v>2020</v>
      </c>
      <c r="I947" t="s">
        <v>33</v>
      </c>
      <c r="J947">
        <v>5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60</v>
      </c>
      <c r="T947">
        <v>44</v>
      </c>
      <c r="U947" s="5">
        <f>IF(Merge1[[#This Row],[team_defense_snaps]]=0, "", Merge1[[#This Row],[defense_snaps]] / Merge1[[#This Row],[team_defense_snaps]])</f>
        <v>0.6376811594202898</v>
      </c>
      <c r="V947">
        <v>69</v>
      </c>
      <c r="W947">
        <v>16</v>
      </c>
      <c r="X947" s="5" t="s">
        <v>231</v>
      </c>
      <c r="Y947">
        <v>1</v>
      </c>
      <c r="Z947">
        <v>0</v>
      </c>
      <c r="AA947" t="s">
        <v>25</v>
      </c>
      <c r="AB947" t="s">
        <v>26</v>
      </c>
      <c r="AC947" t="s">
        <v>27</v>
      </c>
      <c r="AD947" t="s">
        <v>42</v>
      </c>
      <c r="AE947" t="s">
        <v>25</v>
      </c>
      <c r="AF9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1.6666666666666666E-2</v>
      </c>
      <c r="AG947" t="s">
        <v>942</v>
      </c>
      <c r="AH947">
        <v>61</v>
      </c>
      <c r="AI947" t="s">
        <v>939</v>
      </c>
      <c r="AJ947">
        <v>3</v>
      </c>
      <c r="AK9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MIN(AJ947/8, 1) +
  Merge1[[#This Row],[index_defensive_effort]],
  2
)</f>
        <v>0.89</v>
      </c>
    </row>
    <row r="948" spans="1:37" x14ac:dyDescent="0.25">
      <c r="A948" t="s">
        <v>394</v>
      </c>
      <c r="B948" t="s">
        <v>395</v>
      </c>
      <c r="C948">
        <v>25</v>
      </c>
      <c r="D948" t="s">
        <v>22</v>
      </c>
      <c r="E948">
        <v>72</v>
      </c>
      <c r="F948">
        <v>204</v>
      </c>
      <c r="G948" t="s">
        <v>78</v>
      </c>
      <c r="H948">
        <v>2020</v>
      </c>
      <c r="I948" t="s">
        <v>33</v>
      </c>
      <c r="J948">
        <v>6</v>
      </c>
      <c r="K948">
        <v>7</v>
      </c>
      <c r="L948">
        <v>2</v>
      </c>
      <c r="M948">
        <v>0</v>
      </c>
      <c r="N948">
        <v>2</v>
      </c>
      <c r="O948">
        <v>0</v>
      </c>
      <c r="P948">
        <v>0</v>
      </c>
      <c r="Q948">
        <v>0</v>
      </c>
      <c r="R948">
        <v>0</v>
      </c>
      <c r="S948">
        <v>66</v>
      </c>
      <c r="T948">
        <v>54</v>
      </c>
      <c r="U948" s="5">
        <f>IF(Merge1[[#This Row],[team_defense_snaps]]=0, "", Merge1[[#This Row],[defense_snaps]] / Merge1[[#This Row],[team_defense_snaps]])</f>
        <v>0.87096774193548387</v>
      </c>
      <c r="V948">
        <v>62</v>
      </c>
      <c r="W948">
        <v>12</v>
      </c>
      <c r="X948" s="5" t="s">
        <v>260</v>
      </c>
      <c r="Y948">
        <v>1</v>
      </c>
      <c r="Z948">
        <v>0</v>
      </c>
      <c r="AA948" t="s">
        <v>25</v>
      </c>
      <c r="AB948" t="s">
        <v>26</v>
      </c>
      <c r="AC948" t="s">
        <v>27</v>
      </c>
      <c r="AD948" t="s">
        <v>42</v>
      </c>
      <c r="AE948" t="s">
        <v>25</v>
      </c>
      <c r="AF9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0.12121212121212122</v>
      </c>
      <c r="AG948" t="s">
        <v>942</v>
      </c>
      <c r="AH948">
        <v>73</v>
      </c>
      <c r="AI948" t="s">
        <v>939</v>
      </c>
      <c r="AJ948">
        <v>4</v>
      </c>
      <c r="AK9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MIN(AJ948/8, 1) +
  Merge1[[#This Row],[index_defensive_effort]],
  2
)</f>
        <v>1.1200000000000001</v>
      </c>
    </row>
    <row r="949" spans="1:37" x14ac:dyDescent="0.25">
      <c r="A949" t="s">
        <v>394</v>
      </c>
      <c r="B949" t="s">
        <v>395</v>
      </c>
      <c r="C949">
        <v>25</v>
      </c>
      <c r="D949" t="s">
        <v>22</v>
      </c>
      <c r="E949">
        <v>72</v>
      </c>
      <c r="F949">
        <v>204</v>
      </c>
      <c r="G949" t="s">
        <v>78</v>
      </c>
      <c r="H949">
        <v>2020</v>
      </c>
      <c r="I949" t="s">
        <v>33</v>
      </c>
      <c r="J949">
        <v>7</v>
      </c>
      <c r="K949">
        <v>1</v>
      </c>
      <c r="L949">
        <v>2</v>
      </c>
      <c r="M949">
        <v>0</v>
      </c>
      <c r="N949">
        <v>2</v>
      </c>
      <c r="O949">
        <v>0</v>
      </c>
      <c r="P949">
        <v>0</v>
      </c>
      <c r="Q949">
        <v>0</v>
      </c>
      <c r="R949">
        <v>0</v>
      </c>
      <c r="S949">
        <v>56</v>
      </c>
      <c r="T949">
        <v>44</v>
      </c>
      <c r="U949" s="5">
        <f>IF(Merge1[[#This Row],[team_defense_snaps]]=0, "", Merge1[[#This Row],[defense_snaps]] / Merge1[[#This Row],[team_defense_snaps]])</f>
        <v>0.6376811594202898</v>
      </c>
      <c r="V949">
        <v>69</v>
      </c>
      <c r="W949">
        <v>12</v>
      </c>
      <c r="X949" s="5" t="s">
        <v>276</v>
      </c>
      <c r="Y949">
        <v>1</v>
      </c>
      <c r="Z949">
        <v>0</v>
      </c>
      <c r="AA949" t="s">
        <v>25</v>
      </c>
      <c r="AB949" t="s">
        <v>26</v>
      </c>
      <c r="AC949" t="s">
        <v>27</v>
      </c>
      <c r="AD949" t="s">
        <v>42</v>
      </c>
      <c r="AE949" t="s">
        <v>25</v>
      </c>
      <c r="AF9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3.5714285714285712E-2</v>
      </c>
      <c r="AG949" t="s">
        <v>942</v>
      </c>
      <c r="AH949">
        <v>62.5</v>
      </c>
      <c r="AI949" t="s">
        <v>939</v>
      </c>
      <c r="AJ949">
        <v>5</v>
      </c>
      <c r="AK9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MIN(AJ949/8, 1) +
  Merge1[[#This Row],[index_defensive_effort]],
  2
)</f>
        <v>1.1599999999999999</v>
      </c>
    </row>
    <row r="950" spans="1:37" x14ac:dyDescent="0.25">
      <c r="A950" t="s">
        <v>394</v>
      </c>
      <c r="B950" t="s">
        <v>395</v>
      </c>
      <c r="C950">
        <v>25</v>
      </c>
      <c r="D950" t="s">
        <v>22</v>
      </c>
      <c r="E950">
        <v>72</v>
      </c>
      <c r="F950">
        <v>204</v>
      </c>
      <c r="G950" t="s">
        <v>78</v>
      </c>
      <c r="H950">
        <v>2020</v>
      </c>
      <c r="I950" t="s">
        <v>33</v>
      </c>
      <c r="J950">
        <v>8</v>
      </c>
      <c r="K950">
        <v>7</v>
      </c>
      <c r="L950">
        <v>0</v>
      </c>
      <c r="M950">
        <v>0</v>
      </c>
      <c r="N950">
        <v>0</v>
      </c>
      <c r="O950">
        <v>3</v>
      </c>
      <c r="P950">
        <v>3</v>
      </c>
      <c r="Q950">
        <v>0</v>
      </c>
      <c r="R950">
        <v>4</v>
      </c>
      <c r="S950">
        <v>65</v>
      </c>
      <c r="T950">
        <v>59</v>
      </c>
      <c r="U950" s="5">
        <f>IF(Merge1[[#This Row],[team_defense_snaps]]=0, "", Merge1[[#This Row],[defense_snaps]] / Merge1[[#This Row],[team_defense_snaps]])</f>
        <v>0.921875</v>
      </c>
      <c r="V950">
        <v>64</v>
      </c>
      <c r="W950">
        <v>6</v>
      </c>
      <c r="X950" s="5" t="s">
        <v>138</v>
      </c>
      <c r="Y950">
        <v>1</v>
      </c>
      <c r="Z950">
        <v>0</v>
      </c>
      <c r="AA950" t="s">
        <v>25</v>
      </c>
      <c r="AB950" t="s">
        <v>26</v>
      </c>
      <c r="AC950" t="s">
        <v>27</v>
      </c>
      <c r="AD950" t="s">
        <v>42</v>
      </c>
      <c r="AE950" t="s">
        <v>25</v>
      </c>
      <c r="AF9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0.46153846153846156</v>
      </c>
      <c r="AG950" t="s">
        <v>942</v>
      </c>
      <c r="AH950">
        <v>77.5</v>
      </c>
      <c r="AI950" t="s">
        <v>939</v>
      </c>
      <c r="AJ950">
        <v>6</v>
      </c>
      <c r="AK9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MIN(AJ950/8, 1) +
  Merge1[[#This Row],[index_defensive_effort]],
  2
)</f>
        <v>1.71</v>
      </c>
    </row>
    <row r="951" spans="1:37" x14ac:dyDescent="0.25">
      <c r="A951" t="s">
        <v>394</v>
      </c>
      <c r="B951" t="s">
        <v>395</v>
      </c>
      <c r="C951">
        <v>25</v>
      </c>
      <c r="D951" t="s">
        <v>22</v>
      </c>
      <c r="E951">
        <v>72</v>
      </c>
      <c r="F951">
        <v>204</v>
      </c>
      <c r="G951" t="s">
        <v>78</v>
      </c>
      <c r="H951">
        <v>2020</v>
      </c>
      <c r="I951" t="s">
        <v>33</v>
      </c>
      <c r="J951">
        <v>9</v>
      </c>
      <c r="K951">
        <v>2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66</v>
      </c>
      <c r="T951">
        <v>54</v>
      </c>
      <c r="U951" s="5">
        <f>IF(Merge1[[#This Row],[team_defense_snaps]]=0, "", Merge1[[#This Row],[defense_snaps]] / Merge1[[#This Row],[team_defense_snaps]])</f>
        <v>0.78260869565217395</v>
      </c>
      <c r="V951">
        <v>69</v>
      </c>
      <c r="W951">
        <v>12</v>
      </c>
      <c r="X951" s="5" t="s">
        <v>260</v>
      </c>
      <c r="Y951">
        <v>1</v>
      </c>
      <c r="Z951">
        <v>0</v>
      </c>
      <c r="AA951" t="s">
        <v>25</v>
      </c>
      <c r="AB951" t="s">
        <v>26</v>
      </c>
      <c r="AC951" t="s">
        <v>27</v>
      </c>
      <c r="AD951" t="s">
        <v>42</v>
      </c>
      <c r="AE951" t="s">
        <v>25</v>
      </c>
      <c r="AF9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3.0303030303030304E-2</v>
      </c>
      <c r="AG951" t="s">
        <v>942</v>
      </c>
      <c r="AH951">
        <v>70</v>
      </c>
      <c r="AI951" t="s">
        <v>939</v>
      </c>
      <c r="AJ951">
        <v>1</v>
      </c>
      <c r="AK9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MIN(AJ951/8, 1) +
  Merge1[[#This Row],[index_defensive_effort]],
  2
)</f>
        <v>0.66</v>
      </c>
    </row>
    <row r="952" spans="1:37" x14ac:dyDescent="0.25">
      <c r="A952" t="s">
        <v>394</v>
      </c>
      <c r="B952" t="s">
        <v>395</v>
      </c>
      <c r="C952">
        <v>25</v>
      </c>
      <c r="D952" t="s">
        <v>22</v>
      </c>
      <c r="E952">
        <v>72</v>
      </c>
      <c r="F952">
        <v>204</v>
      </c>
      <c r="G952" t="s">
        <v>78</v>
      </c>
      <c r="H952">
        <v>2020</v>
      </c>
      <c r="I952" t="s">
        <v>33</v>
      </c>
      <c r="J952">
        <v>11</v>
      </c>
      <c r="K952">
        <v>4</v>
      </c>
      <c r="L952">
        <v>9</v>
      </c>
      <c r="M952">
        <v>0</v>
      </c>
      <c r="N952">
        <v>9</v>
      </c>
      <c r="O952">
        <v>2</v>
      </c>
      <c r="P952">
        <v>2</v>
      </c>
      <c r="Q952">
        <v>0</v>
      </c>
      <c r="R952">
        <v>5</v>
      </c>
      <c r="S952">
        <v>79</v>
      </c>
      <c r="T952">
        <v>65</v>
      </c>
      <c r="U952" s="5">
        <f>IF(Merge1[[#This Row],[team_defense_snaps]]=0, "", Merge1[[#This Row],[defense_snaps]] / Merge1[[#This Row],[team_defense_snaps]])</f>
        <v>0.98484848484848486</v>
      </c>
      <c r="V952">
        <v>66</v>
      </c>
      <c r="W952">
        <v>14</v>
      </c>
      <c r="X952" s="5" t="s">
        <v>52</v>
      </c>
      <c r="Y952">
        <v>1</v>
      </c>
      <c r="Z952">
        <v>0</v>
      </c>
      <c r="AA952" t="s">
        <v>25</v>
      </c>
      <c r="AB952" t="s">
        <v>26</v>
      </c>
      <c r="AC952" t="s">
        <v>27</v>
      </c>
      <c r="AD952" t="s">
        <v>42</v>
      </c>
      <c r="AE952" t="s">
        <v>25</v>
      </c>
      <c r="AF9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0.36075949367088606</v>
      </c>
      <c r="AG952" t="s">
        <v>942</v>
      </c>
      <c r="AH952">
        <v>74.5</v>
      </c>
      <c r="AI952" t="s">
        <v>939</v>
      </c>
      <c r="AJ952">
        <v>2</v>
      </c>
      <c r="AK9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MIN(AJ952/8, 1) +
  Merge1[[#This Row],[index_defensive_effort]],
  2
)</f>
        <v>1.1100000000000001</v>
      </c>
    </row>
    <row r="953" spans="1:37" x14ac:dyDescent="0.25">
      <c r="A953" t="s">
        <v>394</v>
      </c>
      <c r="B953" t="s">
        <v>395</v>
      </c>
      <c r="C953">
        <v>25</v>
      </c>
      <c r="D953" t="s">
        <v>22</v>
      </c>
      <c r="E953">
        <v>72</v>
      </c>
      <c r="F953">
        <v>204</v>
      </c>
      <c r="G953" t="s">
        <v>78</v>
      </c>
      <c r="H953">
        <v>2020</v>
      </c>
      <c r="I953" t="s">
        <v>33</v>
      </c>
      <c r="J953">
        <v>12</v>
      </c>
      <c r="K953">
        <v>7</v>
      </c>
      <c r="L953">
        <v>1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82</v>
      </c>
      <c r="T953">
        <v>69</v>
      </c>
      <c r="U953" s="5">
        <f>IF(Merge1[[#This Row],[team_defense_snaps]]=0, "", Merge1[[#This Row],[defense_snaps]] / Merge1[[#This Row],[team_defense_snaps]])</f>
        <v>1</v>
      </c>
      <c r="V953">
        <v>69</v>
      </c>
      <c r="W953">
        <v>13</v>
      </c>
      <c r="X953" s="5" t="s">
        <v>238</v>
      </c>
      <c r="Y953">
        <v>1</v>
      </c>
      <c r="Z953">
        <v>0</v>
      </c>
      <c r="AA953" t="s">
        <v>25</v>
      </c>
      <c r="AB953" t="s">
        <v>26</v>
      </c>
      <c r="AC953" t="s">
        <v>27</v>
      </c>
      <c r="AD953" t="s">
        <v>42</v>
      </c>
      <c r="AE953" t="s">
        <v>25</v>
      </c>
      <c r="AF9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9.1463414634146339E-2</v>
      </c>
      <c r="AG953" t="s">
        <v>942</v>
      </c>
      <c r="AH953">
        <v>64</v>
      </c>
      <c r="AI953" t="s">
        <v>939</v>
      </c>
      <c r="AJ953">
        <v>1</v>
      </c>
      <c r="AK9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MIN(AJ953/8, 1) +
  Merge1[[#This Row],[index_defensive_effort]],
  2
)</f>
        <v>0.72</v>
      </c>
    </row>
    <row r="954" spans="1:37" x14ac:dyDescent="0.25">
      <c r="A954" t="s">
        <v>394</v>
      </c>
      <c r="B954" t="s">
        <v>395</v>
      </c>
      <c r="C954">
        <v>25</v>
      </c>
      <c r="D954" t="s">
        <v>22</v>
      </c>
      <c r="E954">
        <v>72</v>
      </c>
      <c r="F954">
        <v>204</v>
      </c>
      <c r="G954" t="s">
        <v>78</v>
      </c>
      <c r="H954">
        <v>2020</v>
      </c>
      <c r="I954" t="s">
        <v>33</v>
      </c>
      <c r="J954">
        <v>15</v>
      </c>
      <c r="K954">
        <v>8</v>
      </c>
      <c r="L954">
        <v>2</v>
      </c>
      <c r="M954">
        <v>0</v>
      </c>
      <c r="N954">
        <v>2</v>
      </c>
      <c r="O954">
        <v>0</v>
      </c>
      <c r="P954">
        <v>0</v>
      </c>
      <c r="Q954">
        <v>2</v>
      </c>
      <c r="R954">
        <v>0</v>
      </c>
      <c r="S954">
        <v>91</v>
      </c>
      <c r="T954">
        <v>83</v>
      </c>
      <c r="U954" s="5">
        <f>IF(Merge1[[#This Row],[team_defense_snaps]]=0, "", Merge1[[#This Row],[defense_snaps]] / Merge1[[#This Row],[team_defense_snaps]])</f>
        <v>0.98809523809523814</v>
      </c>
      <c r="V954">
        <v>84</v>
      </c>
      <c r="W954">
        <v>8</v>
      </c>
      <c r="X954" s="5" t="s">
        <v>293</v>
      </c>
      <c r="Y954">
        <v>1</v>
      </c>
      <c r="Z954">
        <v>0</v>
      </c>
      <c r="AA954" t="s">
        <v>25</v>
      </c>
      <c r="AB954" t="s">
        <v>26</v>
      </c>
      <c r="AC954" t="s">
        <v>27</v>
      </c>
      <c r="AD954" t="s">
        <v>42</v>
      </c>
      <c r="AE954" t="s">
        <v>25</v>
      </c>
      <c r="AF9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0.18681318681318682</v>
      </c>
      <c r="AG954" t="s">
        <v>942</v>
      </c>
      <c r="AH954">
        <v>68.5</v>
      </c>
      <c r="AI954" t="s">
        <v>939</v>
      </c>
      <c r="AJ954">
        <v>2</v>
      </c>
      <c r="AK9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MIN(AJ954/8, 1) +
  Merge1[[#This Row],[index_defensive_effort]],
  2
)</f>
        <v>0.94</v>
      </c>
    </row>
    <row r="955" spans="1:37" x14ac:dyDescent="0.25">
      <c r="A955" t="s">
        <v>394</v>
      </c>
      <c r="B955" t="s">
        <v>395</v>
      </c>
      <c r="C955">
        <v>25</v>
      </c>
      <c r="D955" t="s">
        <v>22</v>
      </c>
      <c r="E955">
        <v>72</v>
      </c>
      <c r="F955">
        <v>204</v>
      </c>
      <c r="G955" t="s">
        <v>78</v>
      </c>
      <c r="H955">
        <v>2020</v>
      </c>
      <c r="I955" t="s">
        <v>33</v>
      </c>
      <c r="J955">
        <v>16</v>
      </c>
      <c r="K955">
        <v>5</v>
      </c>
      <c r="L955">
        <v>1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80</v>
      </c>
      <c r="T955">
        <v>73</v>
      </c>
      <c r="U955" s="5">
        <f>IF(Merge1[[#This Row],[team_defense_snaps]]=0, "", Merge1[[#This Row],[defense_snaps]] / Merge1[[#This Row],[team_defense_snaps]])</f>
        <v>1</v>
      </c>
      <c r="V955">
        <v>73</v>
      </c>
      <c r="W955">
        <v>7</v>
      </c>
      <c r="X955" s="5" t="s">
        <v>132</v>
      </c>
      <c r="Y955">
        <v>1</v>
      </c>
      <c r="Z955">
        <v>0</v>
      </c>
      <c r="AA955" t="s">
        <v>25</v>
      </c>
      <c r="AB955" t="s">
        <v>26</v>
      </c>
      <c r="AC955" t="s">
        <v>27</v>
      </c>
      <c r="AD955" t="s">
        <v>42</v>
      </c>
      <c r="AE955" t="s">
        <v>25</v>
      </c>
      <c r="AF9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6.8750000000000006E-2</v>
      </c>
      <c r="AG955" t="s">
        <v>942</v>
      </c>
      <c r="AH955">
        <v>79</v>
      </c>
      <c r="AI955" t="s">
        <v>939</v>
      </c>
      <c r="AJ955">
        <v>3</v>
      </c>
      <c r="AK9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MIN(AJ955/8, 1) +
  Merge1[[#This Row],[index_defensive_effort]],
  2
)</f>
        <v>0.94</v>
      </c>
    </row>
    <row r="956" spans="1:37" x14ac:dyDescent="0.25">
      <c r="A956" t="s">
        <v>394</v>
      </c>
      <c r="B956" t="s">
        <v>395</v>
      </c>
      <c r="C956">
        <v>25</v>
      </c>
      <c r="D956" t="s">
        <v>22</v>
      </c>
      <c r="E956">
        <v>72</v>
      </c>
      <c r="F956">
        <v>204</v>
      </c>
      <c r="G956" t="s">
        <v>78</v>
      </c>
      <c r="H956">
        <v>2020</v>
      </c>
      <c r="I956" t="s">
        <v>33</v>
      </c>
      <c r="J956">
        <v>17</v>
      </c>
      <c r="K956">
        <v>4</v>
      </c>
      <c r="L956">
        <v>5</v>
      </c>
      <c r="M956">
        <v>0</v>
      </c>
      <c r="N956">
        <v>5</v>
      </c>
      <c r="O956">
        <v>4</v>
      </c>
      <c r="P956">
        <v>4</v>
      </c>
      <c r="Q956">
        <v>2</v>
      </c>
      <c r="R956">
        <v>0</v>
      </c>
      <c r="S956">
        <v>62</v>
      </c>
      <c r="T956">
        <v>58</v>
      </c>
      <c r="U956" s="5">
        <f>IF(Merge1[[#This Row],[team_defense_snaps]]=0, "", Merge1[[#This Row],[defense_snaps]] / Merge1[[#This Row],[team_defense_snaps]])</f>
        <v>0.98305084745762716</v>
      </c>
      <c r="V956">
        <v>59</v>
      </c>
      <c r="W956">
        <v>4</v>
      </c>
      <c r="X956" s="5" t="s">
        <v>209</v>
      </c>
      <c r="Y956">
        <v>1</v>
      </c>
      <c r="Z956">
        <v>0</v>
      </c>
      <c r="AA956" t="s">
        <v>25</v>
      </c>
      <c r="AB956" t="s">
        <v>26</v>
      </c>
      <c r="AC956" t="s">
        <v>27</v>
      </c>
      <c r="AD956" t="s">
        <v>42</v>
      </c>
      <c r="AE956" t="s">
        <v>25</v>
      </c>
      <c r="AF9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0.55645161290322576</v>
      </c>
      <c r="AG956" t="s">
        <v>942</v>
      </c>
      <c r="AH956">
        <v>80.5</v>
      </c>
      <c r="AI956" t="s">
        <v>939</v>
      </c>
      <c r="AJ956">
        <v>1</v>
      </c>
      <c r="AK9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MIN(AJ956/8, 1) +
  Merge1[[#This Row],[index_defensive_effort]],
  2
)</f>
        <v>1.18</v>
      </c>
    </row>
    <row r="957" spans="1:37" x14ac:dyDescent="0.25">
      <c r="A957" t="s">
        <v>343</v>
      </c>
      <c r="B957" t="s">
        <v>344</v>
      </c>
      <c r="C957">
        <v>29</v>
      </c>
      <c r="D957" t="s">
        <v>56</v>
      </c>
      <c r="E957">
        <v>74</v>
      </c>
      <c r="F957">
        <v>200</v>
      </c>
      <c r="G957" t="s">
        <v>144</v>
      </c>
      <c r="H957">
        <v>2020</v>
      </c>
      <c r="I957" t="s">
        <v>33</v>
      </c>
      <c r="J957">
        <v>2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29</v>
      </c>
      <c r="T957">
        <v>8</v>
      </c>
      <c r="U957" s="5">
        <f>IF(Merge1[[#This Row],[team_defense_snaps]]=0, "", Merge1[[#This Row],[defense_snaps]] / Merge1[[#This Row],[team_defense_snaps]])</f>
        <v>0.11940298507462686</v>
      </c>
      <c r="V957">
        <v>67</v>
      </c>
      <c r="W957">
        <v>21</v>
      </c>
      <c r="X957" s="5" t="s">
        <v>101</v>
      </c>
      <c r="Y957">
        <v>6</v>
      </c>
      <c r="Z957">
        <v>0</v>
      </c>
      <c r="AA957" t="s">
        <v>25</v>
      </c>
      <c r="AB957" t="s">
        <v>26</v>
      </c>
      <c r="AC957" t="s">
        <v>27</v>
      </c>
      <c r="AD957" t="s">
        <v>28</v>
      </c>
      <c r="AE957" t="s">
        <v>25</v>
      </c>
      <c r="AF9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3.4482758620689655E-2</v>
      </c>
      <c r="AG957" t="s">
        <v>941</v>
      </c>
      <c r="AH957">
        <v>60</v>
      </c>
      <c r="AI957" t="s">
        <v>939</v>
      </c>
      <c r="AJ957">
        <v>2</v>
      </c>
      <c r="AK9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MIN(AJ957/8, 1) +
  Merge1[[#This Row],[index_defensive_effort]],
  2
)</f>
        <v>0.78</v>
      </c>
    </row>
    <row r="958" spans="1:37" x14ac:dyDescent="0.25">
      <c r="A958" t="s">
        <v>343</v>
      </c>
      <c r="B958" t="s">
        <v>344</v>
      </c>
      <c r="C958">
        <v>29</v>
      </c>
      <c r="D958" t="s">
        <v>56</v>
      </c>
      <c r="E958">
        <v>74</v>
      </c>
      <c r="F958">
        <v>200</v>
      </c>
      <c r="G958" t="s">
        <v>144</v>
      </c>
      <c r="H958">
        <v>2020</v>
      </c>
      <c r="I958" t="s">
        <v>33</v>
      </c>
      <c r="J958">
        <v>3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51</v>
      </c>
      <c r="T958">
        <v>43</v>
      </c>
      <c r="U958" s="5">
        <f>IF(Merge1[[#This Row],[team_defense_snaps]]=0, "", Merge1[[#This Row],[defense_snaps]] / Merge1[[#This Row],[team_defense_snaps]])</f>
        <v>0.79629629629629628</v>
      </c>
      <c r="V958">
        <v>54</v>
      </c>
      <c r="W958">
        <v>8</v>
      </c>
      <c r="X958" s="5" t="s">
        <v>108</v>
      </c>
      <c r="Y958">
        <v>6</v>
      </c>
      <c r="Z958">
        <v>0</v>
      </c>
      <c r="AA958" t="s">
        <v>25</v>
      </c>
      <c r="AB958" t="s">
        <v>26</v>
      </c>
      <c r="AC958" t="s">
        <v>27</v>
      </c>
      <c r="AD958" t="s">
        <v>28</v>
      </c>
      <c r="AE958" t="s">
        <v>25</v>
      </c>
      <c r="AF9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1.9607843137254902E-2</v>
      </c>
      <c r="AG958" t="s">
        <v>941</v>
      </c>
      <c r="AH958">
        <v>76.5</v>
      </c>
      <c r="AI958" t="s">
        <v>939</v>
      </c>
      <c r="AJ958">
        <v>3</v>
      </c>
      <c r="AK9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MIN(AJ958/8, 1) +
  Merge1[[#This Row],[index_defensive_effort]],
  2
)</f>
        <v>0.89</v>
      </c>
    </row>
    <row r="959" spans="1:37" x14ac:dyDescent="0.25">
      <c r="A959" t="s">
        <v>343</v>
      </c>
      <c r="B959" t="s">
        <v>344</v>
      </c>
      <c r="C959">
        <v>29</v>
      </c>
      <c r="D959" t="s">
        <v>56</v>
      </c>
      <c r="E959">
        <v>74</v>
      </c>
      <c r="F959">
        <v>200</v>
      </c>
      <c r="G959" t="s">
        <v>144</v>
      </c>
      <c r="H959">
        <v>2020</v>
      </c>
      <c r="I959" t="s">
        <v>33</v>
      </c>
      <c r="J959">
        <v>4</v>
      </c>
      <c r="K959">
        <v>2</v>
      </c>
      <c r="L959">
        <v>1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67</v>
      </c>
      <c r="T959">
        <v>59</v>
      </c>
      <c r="U959" s="5">
        <f>IF(Merge1[[#This Row],[team_defense_snaps]]=0, "", Merge1[[#This Row],[defense_snaps]] / Merge1[[#This Row],[team_defense_snaps]])</f>
        <v>0.95161290322580649</v>
      </c>
      <c r="V959">
        <v>62</v>
      </c>
      <c r="W959">
        <v>8</v>
      </c>
      <c r="X959" s="5" t="s">
        <v>123</v>
      </c>
      <c r="Y959">
        <v>6</v>
      </c>
      <c r="Z959">
        <v>0</v>
      </c>
      <c r="AA959" t="s">
        <v>25</v>
      </c>
      <c r="AB959" t="s">
        <v>26</v>
      </c>
      <c r="AC959" t="s">
        <v>27</v>
      </c>
      <c r="AD959" t="s">
        <v>42</v>
      </c>
      <c r="AE959" t="s">
        <v>25</v>
      </c>
      <c r="AF9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3.7313432835820892E-2</v>
      </c>
      <c r="AG959" t="s">
        <v>941</v>
      </c>
      <c r="AH959">
        <v>54</v>
      </c>
      <c r="AI959" t="s">
        <v>939</v>
      </c>
      <c r="AJ959">
        <v>1</v>
      </c>
      <c r="AK9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MIN(AJ959/8, 1) +
  Merge1[[#This Row],[index_defensive_effort]],
  2
)</f>
        <v>0.66</v>
      </c>
    </row>
    <row r="960" spans="1:37" x14ac:dyDescent="0.25">
      <c r="A960" t="s">
        <v>343</v>
      </c>
      <c r="B960" t="s">
        <v>344</v>
      </c>
      <c r="C960">
        <v>29</v>
      </c>
      <c r="D960" t="s">
        <v>56</v>
      </c>
      <c r="E960">
        <v>74</v>
      </c>
      <c r="F960">
        <v>200</v>
      </c>
      <c r="G960" t="s">
        <v>144</v>
      </c>
      <c r="H960">
        <v>2020</v>
      </c>
      <c r="I960" t="s">
        <v>33</v>
      </c>
      <c r="J960">
        <v>13</v>
      </c>
      <c r="K960">
        <v>6</v>
      </c>
      <c r="L960">
        <v>1</v>
      </c>
      <c r="M960">
        <v>0</v>
      </c>
      <c r="N960">
        <v>1</v>
      </c>
      <c r="O960">
        <v>0</v>
      </c>
      <c r="P960">
        <v>2</v>
      </c>
      <c r="Q960">
        <v>0</v>
      </c>
      <c r="R960">
        <v>0</v>
      </c>
      <c r="S960">
        <v>71</v>
      </c>
      <c r="T960">
        <v>63</v>
      </c>
      <c r="U960" s="5">
        <f>IF(Merge1[[#This Row],[team_defense_snaps]]=0, "", Merge1[[#This Row],[defense_snaps]] / Merge1[[#This Row],[team_defense_snaps]])</f>
        <v>0.86301369863013699</v>
      </c>
      <c r="V960">
        <v>73</v>
      </c>
      <c r="W960">
        <v>8</v>
      </c>
      <c r="X960" s="5" t="s">
        <v>123</v>
      </c>
      <c r="Y960">
        <v>6</v>
      </c>
      <c r="Z960">
        <v>0</v>
      </c>
      <c r="AA960" t="s">
        <v>25</v>
      </c>
      <c r="AB960" t="s">
        <v>26</v>
      </c>
      <c r="AC960" t="s">
        <v>27</v>
      </c>
      <c r="AD960" t="s">
        <v>42</v>
      </c>
      <c r="AE960" t="s">
        <v>25</v>
      </c>
      <c r="AF9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0.14788732394366197</v>
      </c>
      <c r="AG960" t="s">
        <v>941</v>
      </c>
      <c r="AH960">
        <v>58.5</v>
      </c>
      <c r="AI960" t="s">
        <v>939</v>
      </c>
      <c r="AJ960">
        <v>2</v>
      </c>
      <c r="AK9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MIN(AJ960/8, 1) +
  Merge1[[#This Row],[index_defensive_effort]],
  2
)</f>
        <v>0.9</v>
      </c>
    </row>
    <row r="961" spans="1:37" x14ac:dyDescent="0.25">
      <c r="A961" t="s">
        <v>343</v>
      </c>
      <c r="B961" t="s">
        <v>344</v>
      </c>
      <c r="C961">
        <v>29</v>
      </c>
      <c r="D961" t="s">
        <v>56</v>
      </c>
      <c r="E961">
        <v>74</v>
      </c>
      <c r="F961">
        <v>200</v>
      </c>
      <c r="G961" t="s">
        <v>144</v>
      </c>
      <c r="H961">
        <v>2020</v>
      </c>
      <c r="I961" t="s">
        <v>33</v>
      </c>
      <c r="J961">
        <v>14</v>
      </c>
      <c r="K961">
        <v>2</v>
      </c>
      <c r="L961">
        <v>1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64</v>
      </c>
      <c r="T961">
        <v>46</v>
      </c>
      <c r="U961" s="5">
        <f>IF(Merge1[[#This Row],[team_defense_snaps]]=0, "", Merge1[[#This Row],[defense_snaps]] / Merge1[[#This Row],[team_defense_snaps]])</f>
        <v>0.68656716417910446</v>
      </c>
      <c r="V961">
        <v>67</v>
      </c>
      <c r="W961">
        <v>18</v>
      </c>
      <c r="X961" s="5" t="s">
        <v>182</v>
      </c>
      <c r="Y961">
        <v>6</v>
      </c>
      <c r="Z961">
        <v>0</v>
      </c>
      <c r="AA961" t="s">
        <v>25</v>
      </c>
      <c r="AB961" t="s">
        <v>26</v>
      </c>
      <c r="AC961" t="s">
        <v>27</v>
      </c>
      <c r="AD961" t="s">
        <v>42</v>
      </c>
      <c r="AE961" t="s">
        <v>25</v>
      </c>
      <c r="AF9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3.90625E-2</v>
      </c>
      <c r="AG961" t="s">
        <v>941</v>
      </c>
      <c r="AH961">
        <v>73.5</v>
      </c>
      <c r="AI961" t="s">
        <v>939</v>
      </c>
      <c r="AJ961">
        <v>1</v>
      </c>
      <c r="AK9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MIN(AJ961/8, 1) +
  Merge1[[#This Row],[index_defensive_effort]],
  2
)</f>
        <v>0.66</v>
      </c>
    </row>
    <row r="962" spans="1:37" x14ac:dyDescent="0.25">
      <c r="A962" t="s">
        <v>343</v>
      </c>
      <c r="B962" t="s">
        <v>344</v>
      </c>
      <c r="C962">
        <v>29</v>
      </c>
      <c r="D962" t="s">
        <v>56</v>
      </c>
      <c r="E962">
        <v>74</v>
      </c>
      <c r="F962">
        <v>200</v>
      </c>
      <c r="G962" t="s">
        <v>144</v>
      </c>
      <c r="H962">
        <v>2020</v>
      </c>
      <c r="I962" t="s">
        <v>33</v>
      </c>
      <c r="J962">
        <v>17</v>
      </c>
      <c r="K962">
        <v>5</v>
      </c>
      <c r="L962">
        <v>2</v>
      </c>
      <c r="M962">
        <v>0</v>
      </c>
      <c r="N962">
        <v>2</v>
      </c>
      <c r="O962">
        <v>4</v>
      </c>
      <c r="P962">
        <v>4</v>
      </c>
      <c r="Q962">
        <v>0</v>
      </c>
      <c r="R962">
        <v>0</v>
      </c>
      <c r="S962">
        <v>42</v>
      </c>
      <c r="T962">
        <v>32</v>
      </c>
      <c r="U962" s="5">
        <f>IF(Merge1[[#This Row],[team_defense_snaps]]=0, "", Merge1[[#This Row],[defense_snaps]] / Merge1[[#This Row],[team_defense_snaps]])</f>
        <v>0.49230769230769234</v>
      </c>
      <c r="V962">
        <v>65</v>
      </c>
      <c r="W962">
        <v>10</v>
      </c>
      <c r="X962" s="5" t="s">
        <v>314</v>
      </c>
      <c r="Y962">
        <v>6</v>
      </c>
      <c r="Z962">
        <v>0</v>
      </c>
      <c r="AA962" t="s">
        <v>25</v>
      </c>
      <c r="AB962" t="s">
        <v>26</v>
      </c>
      <c r="AC962" t="s">
        <v>27</v>
      </c>
      <c r="AD962" t="s">
        <v>28</v>
      </c>
      <c r="AE962" t="s">
        <v>25</v>
      </c>
      <c r="AF9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0.61904761904761907</v>
      </c>
      <c r="AG962" t="s">
        <v>941</v>
      </c>
      <c r="AH962">
        <v>75</v>
      </c>
      <c r="AI962" t="s">
        <v>939</v>
      </c>
      <c r="AJ962">
        <v>1</v>
      </c>
      <c r="AK9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MIN(AJ962/8, 1) +
  Merge1[[#This Row],[index_defensive_effort]],
  2
)</f>
        <v>1.24</v>
      </c>
    </row>
    <row r="963" spans="1:37" x14ac:dyDescent="0.25">
      <c r="A963" t="s">
        <v>340</v>
      </c>
      <c r="B963" t="s">
        <v>341</v>
      </c>
      <c r="C963">
        <v>25</v>
      </c>
      <c r="D963" t="s">
        <v>56</v>
      </c>
      <c r="E963">
        <v>70</v>
      </c>
      <c r="F963">
        <v>180</v>
      </c>
      <c r="G963" t="s">
        <v>259</v>
      </c>
      <c r="H963">
        <v>2020</v>
      </c>
      <c r="I963" t="s">
        <v>33</v>
      </c>
      <c r="J963">
        <v>2</v>
      </c>
      <c r="K963">
        <v>1</v>
      </c>
      <c r="L963">
        <v>2</v>
      </c>
      <c r="M963">
        <v>0</v>
      </c>
      <c r="N963">
        <v>2</v>
      </c>
      <c r="O963">
        <v>0</v>
      </c>
      <c r="P963">
        <v>2</v>
      </c>
      <c r="Q963">
        <v>2</v>
      </c>
      <c r="R963">
        <v>0</v>
      </c>
      <c r="S963">
        <v>66</v>
      </c>
      <c r="T963">
        <v>61</v>
      </c>
      <c r="U963" s="5">
        <f>IF(Merge1[[#This Row],[team_defense_snaps]]=0, "", Merge1[[#This Row],[defense_snaps]] / Merge1[[#This Row],[team_defense_snaps]])</f>
        <v>1</v>
      </c>
      <c r="V963">
        <v>61</v>
      </c>
      <c r="W963">
        <v>5</v>
      </c>
      <c r="X963" s="5" t="s">
        <v>58</v>
      </c>
      <c r="Y963">
        <v>2</v>
      </c>
      <c r="Z963">
        <v>0</v>
      </c>
      <c r="AA963" t="s">
        <v>25</v>
      </c>
      <c r="AB963" t="s">
        <v>26</v>
      </c>
      <c r="AC963" t="s">
        <v>27</v>
      </c>
      <c r="AD963" t="s">
        <v>42</v>
      </c>
      <c r="AE963" t="s">
        <v>25</v>
      </c>
      <c r="AF9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0.21212121212121213</v>
      </c>
      <c r="AG963" t="s">
        <v>942</v>
      </c>
      <c r="AH963">
        <v>63</v>
      </c>
      <c r="AI963" t="s">
        <v>939</v>
      </c>
      <c r="AJ963">
        <v>2</v>
      </c>
      <c r="AK9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MIN(AJ963/8, 1) +
  Merge1[[#This Row],[index_defensive_effort]],
  2
)</f>
        <v>0.86</v>
      </c>
    </row>
    <row r="964" spans="1:37" x14ac:dyDescent="0.25">
      <c r="A964" t="s">
        <v>340</v>
      </c>
      <c r="B964" t="s">
        <v>341</v>
      </c>
      <c r="C964">
        <v>25</v>
      </c>
      <c r="D964" t="s">
        <v>56</v>
      </c>
      <c r="E964">
        <v>70</v>
      </c>
      <c r="F964">
        <v>180</v>
      </c>
      <c r="G964" t="s">
        <v>259</v>
      </c>
      <c r="H964">
        <v>2020</v>
      </c>
      <c r="I964" t="s">
        <v>33</v>
      </c>
      <c r="J964">
        <v>3</v>
      </c>
      <c r="K964">
        <v>3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2</v>
      </c>
      <c r="R964">
        <v>0</v>
      </c>
      <c r="S964">
        <v>40</v>
      </c>
      <c r="T964">
        <v>38</v>
      </c>
      <c r="U964" s="5">
        <f>IF(Merge1[[#This Row],[team_defense_snaps]]=0, "", Merge1[[#This Row],[defense_snaps]] / Merge1[[#This Row],[team_defense_snaps]])</f>
        <v>0.48717948717948717</v>
      </c>
      <c r="V964">
        <v>78</v>
      </c>
      <c r="W964">
        <v>2</v>
      </c>
      <c r="X964" s="5" t="s">
        <v>167</v>
      </c>
      <c r="Y964">
        <v>2</v>
      </c>
      <c r="Z964">
        <v>0</v>
      </c>
      <c r="AA964" t="s">
        <v>25</v>
      </c>
      <c r="AB964" t="s">
        <v>26</v>
      </c>
      <c r="AC964" t="s">
        <v>27</v>
      </c>
      <c r="AD964" t="s">
        <v>42</v>
      </c>
      <c r="AE964" t="s">
        <v>25</v>
      </c>
      <c r="AF9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0.27500000000000002</v>
      </c>
      <c r="AG964" t="s">
        <v>942</v>
      </c>
      <c r="AH964">
        <v>64.5</v>
      </c>
      <c r="AI964" t="s">
        <v>939</v>
      </c>
      <c r="AJ964">
        <v>3</v>
      </c>
      <c r="AK9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MIN(AJ964/8, 1) +
  Merge1[[#This Row],[index_defensive_effort]],
  2
)</f>
        <v>1.05</v>
      </c>
    </row>
    <row r="965" spans="1:37" x14ac:dyDescent="0.25">
      <c r="A965" t="s">
        <v>340</v>
      </c>
      <c r="B965" t="s">
        <v>341</v>
      </c>
      <c r="C965">
        <v>25</v>
      </c>
      <c r="D965" t="s">
        <v>56</v>
      </c>
      <c r="E965">
        <v>70</v>
      </c>
      <c r="F965">
        <v>180</v>
      </c>
      <c r="G965" t="s">
        <v>259</v>
      </c>
      <c r="H965">
        <v>2020</v>
      </c>
      <c r="I965" t="s">
        <v>33</v>
      </c>
      <c r="J965">
        <v>4</v>
      </c>
      <c r="K965">
        <v>2</v>
      </c>
      <c r="L965">
        <v>3</v>
      </c>
      <c r="M965">
        <v>0</v>
      </c>
      <c r="N965">
        <v>3</v>
      </c>
      <c r="O965">
        <v>0</v>
      </c>
      <c r="P965">
        <v>0</v>
      </c>
      <c r="Q965">
        <v>0</v>
      </c>
      <c r="R965">
        <v>0</v>
      </c>
      <c r="S965">
        <v>41</v>
      </c>
      <c r="T965">
        <v>41</v>
      </c>
      <c r="U965" s="5">
        <f>IF(Merge1[[#This Row],[team_defense_snaps]]=0, "", Merge1[[#This Row],[defense_snaps]] / Merge1[[#This Row],[team_defense_snaps]])</f>
        <v>0.7192982456140351</v>
      </c>
      <c r="V965">
        <v>57</v>
      </c>
      <c r="W965">
        <v>0</v>
      </c>
      <c r="X965" s="5" t="s">
        <v>29</v>
      </c>
      <c r="Y965">
        <v>2</v>
      </c>
      <c r="Z965">
        <v>0</v>
      </c>
      <c r="AA965" t="s">
        <v>25</v>
      </c>
      <c r="AB965" t="s">
        <v>26</v>
      </c>
      <c r="AC965" t="s">
        <v>27</v>
      </c>
      <c r="AD965" t="s">
        <v>42</v>
      </c>
      <c r="AE965" t="s">
        <v>25</v>
      </c>
      <c r="AF9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8.5365853658536592E-2</v>
      </c>
      <c r="AG965" t="s">
        <v>942</v>
      </c>
      <c r="AH965">
        <v>52.5</v>
      </c>
      <c r="AI965" t="s">
        <v>938</v>
      </c>
      <c r="AJ965">
        <v>1</v>
      </c>
      <c r="AK9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MIN(AJ965/8, 1) +
  Merge1[[#This Row],[index_defensive_effort]],
  2
)</f>
        <v>0.61</v>
      </c>
    </row>
    <row r="966" spans="1:37" x14ac:dyDescent="0.25">
      <c r="A966" t="s">
        <v>340</v>
      </c>
      <c r="B966" t="s">
        <v>341</v>
      </c>
      <c r="C966">
        <v>25</v>
      </c>
      <c r="D966" t="s">
        <v>56</v>
      </c>
      <c r="E966">
        <v>70</v>
      </c>
      <c r="F966">
        <v>180</v>
      </c>
      <c r="G966" t="s">
        <v>259</v>
      </c>
      <c r="H966">
        <v>2020</v>
      </c>
      <c r="I966" t="s">
        <v>33</v>
      </c>
      <c r="J966">
        <v>6</v>
      </c>
      <c r="K966">
        <v>2</v>
      </c>
      <c r="L966">
        <v>0</v>
      </c>
      <c r="M966">
        <v>0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33</v>
      </c>
      <c r="T966">
        <v>33</v>
      </c>
      <c r="U966" s="5">
        <f>IF(Merge1[[#This Row],[team_defense_snaps]]=0, "", Merge1[[#This Row],[defense_snaps]] / Merge1[[#This Row],[team_defense_snaps]])</f>
        <v>0.4925373134328358</v>
      </c>
      <c r="V966">
        <v>67</v>
      </c>
      <c r="W966">
        <v>0</v>
      </c>
      <c r="X966" s="5" t="s">
        <v>29</v>
      </c>
      <c r="Y966">
        <v>2</v>
      </c>
      <c r="Z966">
        <v>0</v>
      </c>
      <c r="AA966" t="s">
        <v>25</v>
      </c>
      <c r="AB966" t="s">
        <v>36</v>
      </c>
      <c r="AC966" t="s">
        <v>342</v>
      </c>
      <c r="AD966" t="s">
        <v>28</v>
      </c>
      <c r="AE966" t="s">
        <v>25</v>
      </c>
      <c r="AF9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0.12121212121212122</v>
      </c>
      <c r="AG966" t="s">
        <v>942</v>
      </c>
      <c r="AH966">
        <v>51</v>
      </c>
      <c r="AI966" t="s">
        <v>939</v>
      </c>
      <c r="AJ966">
        <v>1</v>
      </c>
      <c r="AK9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MIN(AJ966/8, 1) +
  Merge1[[#This Row],[index_defensive_effort]],
  2
)</f>
        <v>0.65</v>
      </c>
    </row>
    <row r="967" spans="1:37" x14ac:dyDescent="0.25">
      <c r="A967" t="s">
        <v>340</v>
      </c>
      <c r="B967" t="s">
        <v>341</v>
      </c>
      <c r="C967">
        <v>25</v>
      </c>
      <c r="D967" t="s">
        <v>56</v>
      </c>
      <c r="E967">
        <v>70</v>
      </c>
      <c r="F967">
        <v>180</v>
      </c>
      <c r="G967" t="s">
        <v>259</v>
      </c>
      <c r="H967">
        <v>2020</v>
      </c>
      <c r="I967" t="s">
        <v>33</v>
      </c>
      <c r="J967">
        <v>8</v>
      </c>
      <c r="K967">
        <v>3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2</v>
      </c>
      <c r="R967">
        <v>0</v>
      </c>
      <c r="S967">
        <v>27</v>
      </c>
      <c r="T967">
        <v>25</v>
      </c>
      <c r="U967" s="5">
        <f>IF(Merge1[[#This Row],[team_defense_snaps]]=0, "", Merge1[[#This Row],[defense_snaps]] / Merge1[[#This Row],[team_defense_snaps]])</f>
        <v>0.352112676056338</v>
      </c>
      <c r="V967">
        <v>71</v>
      </c>
      <c r="W967">
        <v>2</v>
      </c>
      <c r="X967" s="5" t="s">
        <v>250</v>
      </c>
      <c r="Y967">
        <v>2</v>
      </c>
      <c r="Z967">
        <v>0</v>
      </c>
      <c r="AA967" t="s">
        <v>25</v>
      </c>
      <c r="AB967" t="s">
        <v>26</v>
      </c>
      <c r="AC967" t="s">
        <v>27</v>
      </c>
      <c r="AD967" t="s">
        <v>42</v>
      </c>
      <c r="AE967" t="s">
        <v>25</v>
      </c>
      <c r="AF9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0.40740740740740738</v>
      </c>
      <c r="AG967" t="s">
        <v>942</v>
      </c>
      <c r="AH967">
        <v>61.5</v>
      </c>
      <c r="AI967" t="s">
        <v>939</v>
      </c>
      <c r="AJ967">
        <v>2</v>
      </c>
      <c r="AK9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MIN(AJ967/8, 1) +
  Merge1[[#This Row],[index_defensive_effort]],
  2
)</f>
        <v>1.06</v>
      </c>
    </row>
    <row r="968" spans="1:37" x14ac:dyDescent="0.25">
      <c r="A968" t="s">
        <v>340</v>
      </c>
      <c r="B968" t="s">
        <v>341</v>
      </c>
      <c r="C968">
        <v>25</v>
      </c>
      <c r="D968" t="s">
        <v>56</v>
      </c>
      <c r="E968">
        <v>70</v>
      </c>
      <c r="F968">
        <v>180</v>
      </c>
      <c r="G968" t="s">
        <v>259</v>
      </c>
      <c r="H968">
        <v>2020</v>
      </c>
      <c r="I968" t="s">
        <v>33</v>
      </c>
      <c r="J968">
        <v>9</v>
      </c>
      <c r="K968">
        <v>2</v>
      </c>
      <c r="L968">
        <v>0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60</v>
      </c>
      <c r="T968">
        <v>60</v>
      </c>
      <c r="U968" s="5">
        <f>IF(Merge1[[#This Row],[team_defense_snaps]]=0, "", Merge1[[#This Row],[defense_snaps]] / Merge1[[#This Row],[team_defense_snaps]])</f>
        <v>0.967741935483871</v>
      </c>
      <c r="V968">
        <v>62</v>
      </c>
      <c r="W968">
        <v>0</v>
      </c>
      <c r="X968" s="5" t="s">
        <v>29</v>
      </c>
      <c r="Y968">
        <v>2</v>
      </c>
      <c r="Z968">
        <v>0</v>
      </c>
      <c r="AA968" t="s">
        <v>25</v>
      </c>
      <c r="AB968" t="s">
        <v>26</v>
      </c>
      <c r="AC968" t="s">
        <v>27</v>
      </c>
      <c r="AD968" t="s">
        <v>42</v>
      </c>
      <c r="AE968" t="s">
        <v>25</v>
      </c>
      <c r="AF9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968" t="s">
        <v>942</v>
      </c>
      <c r="AH968">
        <v>54</v>
      </c>
      <c r="AI968" t="s">
        <v>939</v>
      </c>
      <c r="AJ968">
        <v>3</v>
      </c>
      <c r="AK9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MIN(AJ968/8, 1) +
  Merge1[[#This Row],[index_defensive_effort]],
  2
)</f>
        <v>0.84</v>
      </c>
    </row>
    <row r="969" spans="1:37" x14ac:dyDescent="0.25">
      <c r="A969" t="s">
        <v>340</v>
      </c>
      <c r="B969" t="s">
        <v>341</v>
      </c>
      <c r="C969">
        <v>25</v>
      </c>
      <c r="D969" t="s">
        <v>56</v>
      </c>
      <c r="E969">
        <v>70</v>
      </c>
      <c r="F969">
        <v>180</v>
      </c>
      <c r="G969" t="s">
        <v>259</v>
      </c>
      <c r="H969">
        <v>2020</v>
      </c>
      <c r="I969" t="s">
        <v>33</v>
      </c>
      <c r="J969">
        <v>10</v>
      </c>
      <c r="K969">
        <v>1</v>
      </c>
      <c r="L969">
        <v>1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19</v>
      </c>
      <c r="T969">
        <v>19</v>
      </c>
      <c r="U969" s="5">
        <f>IF(Merge1[[#This Row],[team_defense_snaps]]=0, "", Merge1[[#This Row],[defense_snaps]] / Merge1[[#This Row],[team_defense_snaps]])</f>
        <v>0.23749999999999999</v>
      </c>
      <c r="V969">
        <v>80</v>
      </c>
      <c r="W969">
        <v>0</v>
      </c>
      <c r="X969" s="5" t="s">
        <v>29</v>
      </c>
      <c r="Y969">
        <v>2</v>
      </c>
      <c r="Z969">
        <v>0</v>
      </c>
      <c r="AA969" t="s">
        <v>25</v>
      </c>
      <c r="AB969" t="s">
        <v>36</v>
      </c>
      <c r="AC969" t="s">
        <v>342</v>
      </c>
      <c r="AD969" t="s">
        <v>42</v>
      </c>
      <c r="AE969" t="s">
        <v>25</v>
      </c>
      <c r="AF9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7.8947368421052627E-2</v>
      </c>
      <c r="AG969" t="s">
        <v>942</v>
      </c>
      <c r="AH969">
        <v>73.5</v>
      </c>
      <c r="AI969" t="s">
        <v>939</v>
      </c>
      <c r="AJ969">
        <v>1</v>
      </c>
      <c r="AK9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MIN(AJ969/8, 1) +
  Merge1[[#This Row],[index_defensive_effort]],
  2
)</f>
        <v>0.6</v>
      </c>
    </row>
    <row r="970" spans="1:37" x14ac:dyDescent="0.25">
      <c r="A970" t="s">
        <v>340</v>
      </c>
      <c r="B970" t="s">
        <v>341</v>
      </c>
      <c r="C970">
        <v>25</v>
      </c>
      <c r="D970" t="s">
        <v>56</v>
      </c>
      <c r="E970">
        <v>70</v>
      </c>
      <c r="F970">
        <v>180</v>
      </c>
      <c r="G970" t="s">
        <v>259</v>
      </c>
      <c r="H970">
        <v>2020</v>
      </c>
      <c r="I970" t="s">
        <v>33</v>
      </c>
      <c r="J970">
        <v>14</v>
      </c>
      <c r="K970">
        <v>3</v>
      </c>
      <c r="L970">
        <v>1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55</v>
      </c>
      <c r="T970">
        <v>52</v>
      </c>
      <c r="U970" s="5">
        <f>IF(Merge1[[#This Row],[team_defense_snaps]]=0, "", Merge1[[#This Row],[defense_snaps]] / Merge1[[#This Row],[team_defense_snaps]])</f>
        <v>0.83870967741935487</v>
      </c>
      <c r="V970">
        <v>62</v>
      </c>
      <c r="W970">
        <v>3</v>
      </c>
      <c r="X970" s="5" t="s">
        <v>38</v>
      </c>
      <c r="Y970">
        <v>2</v>
      </c>
      <c r="Z970">
        <v>0</v>
      </c>
      <c r="AA970" t="s">
        <v>25</v>
      </c>
      <c r="AB970" t="s">
        <v>26</v>
      </c>
      <c r="AC970" t="s">
        <v>27</v>
      </c>
      <c r="AD970" t="s">
        <v>42</v>
      </c>
      <c r="AE970" t="s">
        <v>25</v>
      </c>
      <c r="AF9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6.363636363636363E-2</v>
      </c>
      <c r="AG970" t="s">
        <v>942</v>
      </c>
      <c r="AH970">
        <v>67.5</v>
      </c>
      <c r="AI970" t="s">
        <v>939</v>
      </c>
      <c r="AJ970">
        <v>2</v>
      </c>
      <c r="AK9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MIN(AJ970/8, 1) +
  Merge1[[#This Row],[index_defensive_effort]],
  2
)</f>
        <v>0.71</v>
      </c>
    </row>
    <row r="971" spans="1:37" x14ac:dyDescent="0.25">
      <c r="A971" t="s">
        <v>340</v>
      </c>
      <c r="B971" t="s">
        <v>341</v>
      </c>
      <c r="C971">
        <v>25</v>
      </c>
      <c r="D971" t="s">
        <v>56</v>
      </c>
      <c r="E971">
        <v>70</v>
      </c>
      <c r="F971">
        <v>180</v>
      </c>
      <c r="G971" t="s">
        <v>259</v>
      </c>
      <c r="H971">
        <v>2020</v>
      </c>
      <c r="I971" t="s">
        <v>33</v>
      </c>
      <c r="J971">
        <v>15</v>
      </c>
      <c r="K971">
        <v>3</v>
      </c>
      <c r="L971">
        <v>2</v>
      </c>
      <c r="M971">
        <v>0</v>
      </c>
      <c r="N971">
        <v>2</v>
      </c>
      <c r="O971">
        <v>0</v>
      </c>
      <c r="P971">
        <v>0</v>
      </c>
      <c r="Q971">
        <v>0</v>
      </c>
      <c r="R971">
        <v>0</v>
      </c>
      <c r="S971">
        <v>66</v>
      </c>
      <c r="T971">
        <v>62</v>
      </c>
      <c r="U971" s="5">
        <f>IF(Merge1[[#This Row],[team_defense_snaps]]=0, "", Merge1[[#This Row],[defense_snaps]] / Merge1[[#This Row],[team_defense_snaps]])</f>
        <v>1</v>
      </c>
      <c r="V971">
        <v>62</v>
      </c>
      <c r="W971">
        <v>4</v>
      </c>
      <c r="X971" s="5" t="s">
        <v>212</v>
      </c>
      <c r="Y971">
        <v>2</v>
      </c>
      <c r="Z971">
        <v>0</v>
      </c>
      <c r="AA971" t="s">
        <v>25</v>
      </c>
      <c r="AB971" t="s">
        <v>26</v>
      </c>
      <c r="AC971" t="s">
        <v>27</v>
      </c>
      <c r="AD971" t="s">
        <v>42</v>
      </c>
      <c r="AE971" t="s">
        <v>25</v>
      </c>
      <c r="AF9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6.0606060606060608E-2</v>
      </c>
      <c r="AG971" t="s">
        <v>942</v>
      </c>
      <c r="AH971">
        <v>55.5</v>
      </c>
      <c r="AI971" t="s">
        <v>939</v>
      </c>
      <c r="AJ971">
        <v>3</v>
      </c>
      <c r="AK9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MIN(AJ971/8, 1) +
  Merge1[[#This Row],[index_defensive_effort]],
  2
)</f>
        <v>0.84</v>
      </c>
    </row>
    <row r="972" spans="1:37" x14ac:dyDescent="0.25">
      <c r="A972" t="s">
        <v>340</v>
      </c>
      <c r="B972" t="s">
        <v>341</v>
      </c>
      <c r="C972">
        <v>25</v>
      </c>
      <c r="D972" t="s">
        <v>56</v>
      </c>
      <c r="E972">
        <v>70</v>
      </c>
      <c r="F972">
        <v>180</v>
      </c>
      <c r="G972" t="s">
        <v>259</v>
      </c>
      <c r="H972">
        <v>2020</v>
      </c>
      <c r="I972" t="s">
        <v>33</v>
      </c>
      <c r="J972">
        <v>16</v>
      </c>
      <c r="K972">
        <v>2</v>
      </c>
      <c r="L972">
        <v>1</v>
      </c>
      <c r="M972">
        <v>1</v>
      </c>
      <c r="N972">
        <v>2</v>
      </c>
      <c r="O972">
        <v>0</v>
      </c>
      <c r="P972">
        <v>0</v>
      </c>
      <c r="Q972">
        <v>0</v>
      </c>
      <c r="R972">
        <v>0</v>
      </c>
      <c r="S972">
        <v>75</v>
      </c>
      <c r="T972">
        <v>71</v>
      </c>
      <c r="U972" s="5">
        <f>IF(Merge1[[#This Row],[team_defense_snaps]]=0, "", Merge1[[#This Row],[defense_snaps]] / Merge1[[#This Row],[team_defense_snaps]])</f>
        <v>1</v>
      </c>
      <c r="V972">
        <v>71</v>
      </c>
      <c r="W972">
        <v>4</v>
      </c>
      <c r="X972" s="5" t="s">
        <v>181</v>
      </c>
      <c r="Y972">
        <v>2</v>
      </c>
      <c r="Z972">
        <v>0</v>
      </c>
      <c r="AA972" t="s">
        <v>25</v>
      </c>
      <c r="AB972" t="s">
        <v>26</v>
      </c>
      <c r="AC972" t="s">
        <v>27</v>
      </c>
      <c r="AD972" t="s">
        <v>42</v>
      </c>
      <c r="AE972" t="s">
        <v>25</v>
      </c>
      <c r="AF9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0.04</v>
      </c>
      <c r="AG972" t="s">
        <v>942</v>
      </c>
      <c r="AH972">
        <v>72</v>
      </c>
      <c r="AI972" t="s">
        <v>939</v>
      </c>
      <c r="AJ972">
        <v>4</v>
      </c>
      <c r="AK9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MIN(AJ972/8, 1) +
  Merge1[[#This Row],[index_defensive_effort]],
  2
)</f>
        <v>0.94</v>
      </c>
    </row>
    <row r="973" spans="1:37" x14ac:dyDescent="0.25">
      <c r="A973" t="s">
        <v>340</v>
      </c>
      <c r="B973" t="s">
        <v>341</v>
      </c>
      <c r="C973">
        <v>25</v>
      </c>
      <c r="D973" t="s">
        <v>56</v>
      </c>
      <c r="E973">
        <v>70</v>
      </c>
      <c r="F973">
        <v>180</v>
      </c>
      <c r="G973" t="s">
        <v>259</v>
      </c>
      <c r="H973">
        <v>2020</v>
      </c>
      <c r="I973" t="s">
        <v>33</v>
      </c>
      <c r="J973">
        <v>17</v>
      </c>
      <c r="K973">
        <v>2</v>
      </c>
      <c r="L973">
        <v>3</v>
      </c>
      <c r="M973">
        <v>0</v>
      </c>
      <c r="N973">
        <v>3</v>
      </c>
      <c r="O973">
        <v>0</v>
      </c>
      <c r="P973">
        <v>0</v>
      </c>
      <c r="Q973">
        <v>0</v>
      </c>
      <c r="R973">
        <v>0</v>
      </c>
      <c r="S973">
        <v>64</v>
      </c>
      <c r="T973">
        <v>57</v>
      </c>
      <c r="U973" s="5">
        <f>IF(Merge1[[#This Row],[team_defense_snaps]]=0, "", Merge1[[#This Row],[defense_snaps]] / Merge1[[#This Row],[team_defense_snaps]])</f>
        <v>0.890625</v>
      </c>
      <c r="V973">
        <v>64</v>
      </c>
      <c r="W973">
        <v>7</v>
      </c>
      <c r="X973" s="5" t="s">
        <v>138</v>
      </c>
      <c r="Y973">
        <v>2</v>
      </c>
      <c r="Z973">
        <v>0</v>
      </c>
      <c r="AA973" t="s">
        <v>25</v>
      </c>
      <c r="AB973" t="s">
        <v>26</v>
      </c>
      <c r="AC973" t="s">
        <v>27</v>
      </c>
      <c r="AD973" t="s">
        <v>42</v>
      </c>
      <c r="AE973" t="s">
        <v>25</v>
      </c>
      <c r="AF9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5.46875E-2</v>
      </c>
      <c r="AG973" t="s">
        <v>942</v>
      </c>
      <c r="AH973">
        <v>70.5</v>
      </c>
      <c r="AI973" t="s">
        <v>939</v>
      </c>
      <c r="AJ973">
        <v>1</v>
      </c>
      <c r="AK9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MIN(AJ973/8, 1) +
  Merge1[[#This Row],[index_defensive_effort]],
  2
)</f>
        <v>0.57999999999999996</v>
      </c>
    </row>
    <row r="974" spans="1:37" x14ac:dyDescent="0.25">
      <c r="A974" t="s">
        <v>349</v>
      </c>
      <c r="B974" t="s">
        <v>350</v>
      </c>
      <c r="C974">
        <v>31</v>
      </c>
      <c r="D974" t="s">
        <v>56</v>
      </c>
      <c r="E974">
        <v>74</v>
      </c>
      <c r="F974">
        <v>190</v>
      </c>
      <c r="G974" t="s">
        <v>153</v>
      </c>
      <c r="H974">
        <v>2020</v>
      </c>
      <c r="I974" t="s">
        <v>33</v>
      </c>
      <c r="J974">
        <v>1</v>
      </c>
      <c r="K974">
        <v>3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20</v>
      </c>
      <c r="T974">
        <v>20</v>
      </c>
      <c r="U974" s="5">
        <f>IF(Merge1[[#This Row],[team_defense_snaps]]=0, "", Merge1[[#This Row],[defense_snaps]] / Merge1[[#This Row],[team_defense_snaps]])</f>
        <v>0.29850746268656714</v>
      </c>
      <c r="V974">
        <v>67</v>
      </c>
      <c r="W974">
        <v>0</v>
      </c>
      <c r="X974" s="5" t="s">
        <v>29</v>
      </c>
      <c r="Y974">
        <v>8</v>
      </c>
      <c r="Z974">
        <v>0</v>
      </c>
      <c r="AA974" t="s">
        <v>25</v>
      </c>
      <c r="AB974" t="s">
        <v>26</v>
      </c>
      <c r="AC974" t="s">
        <v>27</v>
      </c>
      <c r="AD974" t="s">
        <v>28</v>
      </c>
      <c r="AE974" t="s">
        <v>25</v>
      </c>
      <c r="AF9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</v>
      </c>
      <c r="AG974" t="s">
        <v>941</v>
      </c>
      <c r="AH974">
        <v>95</v>
      </c>
      <c r="AI974" t="s">
        <v>939</v>
      </c>
      <c r="AJ974">
        <v>2</v>
      </c>
      <c r="AK9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MIN(AJ974/8, 1) +
  Merge1[[#This Row],[index_defensive_effort]],
  2
)</f>
        <v>1.1000000000000001</v>
      </c>
    </row>
    <row r="975" spans="1:37" x14ac:dyDescent="0.25">
      <c r="A975" t="s">
        <v>349</v>
      </c>
      <c r="B975" t="s">
        <v>350</v>
      </c>
      <c r="C975">
        <v>31</v>
      </c>
      <c r="D975" t="s">
        <v>56</v>
      </c>
      <c r="E975">
        <v>74</v>
      </c>
      <c r="F975">
        <v>190</v>
      </c>
      <c r="G975" t="s">
        <v>153</v>
      </c>
      <c r="H975">
        <v>2020</v>
      </c>
      <c r="I975" t="s">
        <v>33</v>
      </c>
      <c r="J975">
        <v>2</v>
      </c>
      <c r="K975">
        <v>2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54</v>
      </c>
      <c r="T975">
        <v>52</v>
      </c>
      <c r="U975" s="5">
        <f>IF(Merge1[[#This Row],[team_defense_snaps]]=0, "", Merge1[[#This Row],[defense_snaps]] / Merge1[[#This Row],[team_defense_snaps]])</f>
        <v>0.78787878787878785</v>
      </c>
      <c r="V975">
        <v>66</v>
      </c>
      <c r="W975">
        <v>2</v>
      </c>
      <c r="X975" s="5" t="s">
        <v>208</v>
      </c>
      <c r="Y975">
        <v>8</v>
      </c>
      <c r="Z975">
        <v>0</v>
      </c>
      <c r="AA975" t="s">
        <v>25</v>
      </c>
      <c r="AB975" t="s">
        <v>26</v>
      </c>
      <c r="AC975" t="s">
        <v>27</v>
      </c>
      <c r="AD975" t="s">
        <v>28</v>
      </c>
      <c r="AE975" t="s">
        <v>25</v>
      </c>
      <c r="AF9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3.7037037037037035E-2</v>
      </c>
      <c r="AG975" t="s">
        <v>941</v>
      </c>
      <c r="AH975">
        <v>90.5</v>
      </c>
      <c r="AI975" t="s">
        <v>939</v>
      </c>
      <c r="AJ975">
        <v>3</v>
      </c>
      <c r="AK9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MIN(AJ975/8, 1) +
  Merge1[[#This Row],[index_defensive_effort]],
  2
)</f>
        <v>1.01</v>
      </c>
    </row>
    <row r="976" spans="1:37" x14ac:dyDescent="0.25">
      <c r="A976" t="s">
        <v>349</v>
      </c>
      <c r="B976" t="s">
        <v>350</v>
      </c>
      <c r="C976">
        <v>31</v>
      </c>
      <c r="D976" t="s">
        <v>56</v>
      </c>
      <c r="E976">
        <v>74</v>
      </c>
      <c r="F976">
        <v>190</v>
      </c>
      <c r="G976" t="s">
        <v>153</v>
      </c>
      <c r="H976">
        <v>2020</v>
      </c>
      <c r="I976" t="s">
        <v>33</v>
      </c>
      <c r="J976">
        <v>3</v>
      </c>
      <c r="K976">
        <v>4</v>
      </c>
      <c r="L976">
        <v>2</v>
      </c>
      <c r="M976">
        <v>0</v>
      </c>
      <c r="N976">
        <v>2</v>
      </c>
      <c r="O976">
        <v>0</v>
      </c>
      <c r="P976">
        <v>0</v>
      </c>
      <c r="Q976">
        <v>0</v>
      </c>
      <c r="R976">
        <v>0</v>
      </c>
      <c r="S976">
        <v>42</v>
      </c>
      <c r="T976">
        <v>42</v>
      </c>
      <c r="U976" s="5">
        <f>IF(Merge1[[#This Row],[team_defense_snaps]]=0, "", Merge1[[#This Row],[defense_snaps]] / Merge1[[#This Row],[team_defense_snaps]])</f>
        <v>0.62686567164179108</v>
      </c>
      <c r="V976">
        <v>67</v>
      </c>
      <c r="W976">
        <v>0</v>
      </c>
      <c r="X976" s="5" t="s">
        <v>29</v>
      </c>
      <c r="Y976">
        <v>8</v>
      </c>
      <c r="Z976">
        <v>0</v>
      </c>
      <c r="AA976" t="s">
        <v>25</v>
      </c>
      <c r="AB976" t="s">
        <v>36</v>
      </c>
      <c r="AC976" t="s">
        <v>96</v>
      </c>
      <c r="AD976" t="s">
        <v>42</v>
      </c>
      <c r="AE976" t="s">
        <v>25</v>
      </c>
      <c r="AF9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0.11904761904761904</v>
      </c>
      <c r="AG976" t="s">
        <v>941</v>
      </c>
      <c r="AH976">
        <v>81.5</v>
      </c>
      <c r="AI976" t="s">
        <v>938</v>
      </c>
      <c r="AJ976">
        <v>4</v>
      </c>
      <c r="AK9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MIN(AJ976/8, 1) +
  Merge1[[#This Row],[index_defensive_effort]],
  2
)</f>
        <v>1.22</v>
      </c>
    </row>
    <row r="977" spans="1:37" x14ac:dyDescent="0.25">
      <c r="A977" t="s">
        <v>349</v>
      </c>
      <c r="B977" t="s">
        <v>350</v>
      </c>
      <c r="C977">
        <v>31</v>
      </c>
      <c r="D977" t="s">
        <v>56</v>
      </c>
      <c r="E977">
        <v>74</v>
      </c>
      <c r="F977">
        <v>190</v>
      </c>
      <c r="G977" t="s">
        <v>153</v>
      </c>
      <c r="H977">
        <v>2020</v>
      </c>
      <c r="I977" t="s">
        <v>33</v>
      </c>
      <c r="J977">
        <v>4</v>
      </c>
      <c r="K977">
        <v>3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31</v>
      </c>
      <c r="T977">
        <v>31</v>
      </c>
      <c r="U977" s="5">
        <f>IF(Merge1[[#This Row],[team_defense_snaps]]=0, "", Merge1[[#This Row],[defense_snaps]] / Merge1[[#This Row],[team_defense_snaps]])</f>
        <v>0.40789473684210525</v>
      </c>
      <c r="V977">
        <v>76</v>
      </c>
      <c r="W977">
        <v>0</v>
      </c>
      <c r="X977" s="5" t="s">
        <v>29</v>
      </c>
      <c r="Y977">
        <v>8</v>
      </c>
      <c r="Z977">
        <v>0</v>
      </c>
      <c r="AA977" t="s">
        <v>25</v>
      </c>
      <c r="AB977" t="s">
        <v>36</v>
      </c>
      <c r="AC977" t="s">
        <v>91</v>
      </c>
      <c r="AD977" t="s">
        <v>28</v>
      </c>
      <c r="AE977" t="s">
        <v>25</v>
      </c>
      <c r="AF9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9.6774193548387094E-2</v>
      </c>
      <c r="AG977" t="s">
        <v>941</v>
      </c>
      <c r="AH977">
        <v>92</v>
      </c>
      <c r="AI977" t="s">
        <v>939</v>
      </c>
      <c r="AJ977">
        <v>5</v>
      </c>
      <c r="AK9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MIN(AJ977/8, 1) +
  Merge1[[#This Row],[index_defensive_effort]],
  2
)</f>
        <v>1.32</v>
      </c>
    </row>
    <row r="978" spans="1:37" x14ac:dyDescent="0.25">
      <c r="A978" t="s">
        <v>349</v>
      </c>
      <c r="B978" t="s">
        <v>350</v>
      </c>
      <c r="C978">
        <v>31</v>
      </c>
      <c r="D978" t="s">
        <v>56</v>
      </c>
      <c r="E978">
        <v>74</v>
      </c>
      <c r="F978">
        <v>190</v>
      </c>
      <c r="G978" t="s">
        <v>153</v>
      </c>
      <c r="H978">
        <v>2020</v>
      </c>
      <c r="I978" t="s">
        <v>33</v>
      </c>
      <c r="J978">
        <v>5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67</v>
      </c>
      <c r="T978">
        <v>65</v>
      </c>
      <c r="U978" s="5">
        <f>IF(Merge1[[#This Row],[team_defense_snaps]]=0, "", Merge1[[#This Row],[defense_snaps]] / Merge1[[#This Row],[team_defense_snaps]])</f>
        <v>0.94202898550724634</v>
      </c>
      <c r="V978">
        <v>69</v>
      </c>
      <c r="W978">
        <v>2</v>
      </c>
      <c r="X978" s="5" t="s">
        <v>167</v>
      </c>
      <c r="Y978">
        <v>8</v>
      </c>
      <c r="Z978">
        <v>0</v>
      </c>
      <c r="AA978" t="s">
        <v>25</v>
      </c>
      <c r="AB978" t="s">
        <v>26</v>
      </c>
      <c r="AC978" t="s">
        <v>27</v>
      </c>
      <c r="AD978" t="s">
        <v>42</v>
      </c>
      <c r="AE978" t="s">
        <v>25</v>
      </c>
      <c r="AF9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1.4925373134328358E-2</v>
      </c>
      <c r="AG978" t="s">
        <v>941</v>
      </c>
      <c r="AH978">
        <v>78.5</v>
      </c>
      <c r="AI978" t="s">
        <v>939</v>
      </c>
      <c r="AJ978">
        <v>6</v>
      </c>
      <c r="AK9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MIN(AJ978/8, 1) +
  Merge1[[#This Row],[index_defensive_effort]],
  2
)</f>
        <v>1.36</v>
      </c>
    </row>
    <row r="979" spans="1:37" x14ac:dyDescent="0.25">
      <c r="A979" t="s">
        <v>349</v>
      </c>
      <c r="B979" t="s">
        <v>350</v>
      </c>
      <c r="C979">
        <v>31</v>
      </c>
      <c r="D979" t="s">
        <v>56</v>
      </c>
      <c r="E979">
        <v>74</v>
      </c>
      <c r="F979">
        <v>190</v>
      </c>
      <c r="G979" t="s">
        <v>153</v>
      </c>
      <c r="H979">
        <v>2020</v>
      </c>
      <c r="I979" t="s">
        <v>33</v>
      </c>
      <c r="J979">
        <v>6</v>
      </c>
      <c r="K979">
        <v>4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2</v>
      </c>
      <c r="R979">
        <v>0</v>
      </c>
      <c r="S979">
        <v>73</v>
      </c>
      <c r="T979">
        <v>72</v>
      </c>
      <c r="U979" s="5">
        <f>IF(Merge1[[#This Row],[team_defense_snaps]]=0, "", Merge1[[#This Row],[defense_snaps]] / Merge1[[#This Row],[team_defense_snaps]])</f>
        <v>0.8089887640449438</v>
      </c>
      <c r="V979">
        <v>89</v>
      </c>
      <c r="W979">
        <v>1</v>
      </c>
      <c r="X979" s="5" t="s">
        <v>193</v>
      </c>
      <c r="Y979">
        <v>8</v>
      </c>
      <c r="Z979">
        <v>0</v>
      </c>
      <c r="AA979" t="s">
        <v>25</v>
      </c>
      <c r="AB979" t="s">
        <v>26</v>
      </c>
      <c r="AC979" t="s">
        <v>27</v>
      </c>
      <c r="AD979" t="s">
        <v>42</v>
      </c>
      <c r="AE979" t="s">
        <v>25</v>
      </c>
      <c r="AF9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0.16438356164383561</v>
      </c>
      <c r="AG979" t="s">
        <v>941</v>
      </c>
      <c r="AH979">
        <v>74</v>
      </c>
      <c r="AI979" t="s">
        <v>939</v>
      </c>
      <c r="AJ979">
        <v>7</v>
      </c>
      <c r="AK9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MIN(AJ979/8, 1) +
  Merge1[[#This Row],[index_defensive_effort]],
  2
)</f>
        <v>1.64</v>
      </c>
    </row>
    <row r="980" spans="1:37" x14ac:dyDescent="0.25">
      <c r="A980" t="s">
        <v>349</v>
      </c>
      <c r="B980" t="s">
        <v>350</v>
      </c>
      <c r="C980">
        <v>31</v>
      </c>
      <c r="D980" t="s">
        <v>56</v>
      </c>
      <c r="E980">
        <v>74</v>
      </c>
      <c r="F980">
        <v>190</v>
      </c>
      <c r="G980" t="s">
        <v>153</v>
      </c>
      <c r="H980">
        <v>2020</v>
      </c>
      <c r="I980" t="s">
        <v>33</v>
      </c>
      <c r="J980">
        <v>7</v>
      </c>
      <c r="K980">
        <v>10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66</v>
      </c>
      <c r="T980">
        <v>66</v>
      </c>
      <c r="U980" s="5">
        <f>IF(Merge1[[#This Row],[team_defense_snaps]]=0, "", Merge1[[#This Row],[defense_snaps]] / Merge1[[#This Row],[team_defense_snaps]])</f>
        <v>0.7857142857142857</v>
      </c>
      <c r="V980">
        <v>84</v>
      </c>
      <c r="W980">
        <v>0</v>
      </c>
      <c r="X980" s="5" t="s">
        <v>29</v>
      </c>
      <c r="Y980">
        <v>8</v>
      </c>
      <c r="Z980">
        <v>0</v>
      </c>
      <c r="AA980" t="s">
        <v>25</v>
      </c>
      <c r="AB980" t="s">
        <v>36</v>
      </c>
      <c r="AC980" t="s">
        <v>190</v>
      </c>
      <c r="AD980" t="s">
        <v>42</v>
      </c>
      <c r="AE980" t="s">
        <v>25</v>
      </c>
      <c r="AF9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0.15151515151515152</v>
      </c>
      <c r="AG980" t="s">
        <v>941</v>
      </c>
      <c r="AH980">
        <v>75.5</v>
      </c>
      <c r="AI980" t="s">
        <v>939</v>
      </c>
      <c r="AJ980">
        <v>1</v>
      </c>
      <c r="AK9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MIN(AJ980/8, 1) +
  Merge1[[#This Row],[index_defensive_effort]],
  2
)</f>
        <v>0.88</v>
      </c>
    </row>
    <row r="981" spans="1:37" x14ac:dyDescent="0.25">
      <c r="A981" t="s">
        <v>349</v>
      </c>
      <c r="B981" t="s">
        <v>350</v>
      </c>
      <c r="C981">
        <v>31</v>
      </c>
      <c r="D981" t="s">
        <v>56</v>
      </c>
      <c r="E981">
        <v>74</v>
      </c>
      <c r="F981">
        <v>190</v>
      </c>
      <c r="G981" t="s">
        <v>153</v>
      </c>
      <c r="H981">
        <v>2020</v>
      </c>
      <c r="I981" t="s">
        <v>33</v>
      </c>
      <c r="J981">
        <v>10</v>
      </c>
      <c r="K981">
        <v>5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2</v>
      </c>
      <c r="R981">
        <v>0</v>
      </c>
      <c r="S981">
        <v>63</v>
      </c>
      <c r="T981">
        <v>63</v>
      </c>
      <c r="U981" s="5">
        <f>IF(Merge1[[#This Row],[team_defense_snaps]]=0, "", Merge1[[#This Row],[defense_snaps]] / Merge1[[#This Row],[team_defense_snaps]])</f>
        <v>0.86301369863013699</v>
      </c>
      <c r="V981">
        <v>73</v>
      </c>
      <c r="W981">
        <v>0</v>
      </c>
      <c r="X981" s="5" t="s">
        <v>29</v>
      </c>
      <c r="Y981">
        <v>8</v>
      </c>
      <c r="Z981">
        <v>0</v>
      </c>
      <c r="AA981" t="s">
        <v>25</v>
      </c>
      <c r="AB981" t="s">
        <v>36</v>
      </c>
      <c r="AC981" t="s">
        <v>325</v>
      </c>
      <c r="AD981" t="s">
        <v>42</v>
      </c>
      <c r="AE981" t="s">
        <v>25</v>
      </c>
      <c r="AF9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0.20634920634920634</v>
      </c>
      <c r="AG981" t="s">
        <v>941</v>
      </c>
      <c r="AH981">
        <v>71</v>
      </c>
      <c r="AI981" t="s">
        <v>939</v>
      </c>
      <c r="AJ981">
        <v>2</v>
      </c>
      <c r="AK9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MIN(AJ981/8, 1) +
  Merge1[[#This Row],[index_defensive_effort]],
  2
)</f>
        <v>1.06</v>
      </c>
    </row>
    <row r="982" spans="1:37" x14ac:dyDescent="0.25">
      <c r="A982" t="s">
        <v>349</v>
      </c>
      <c r="B982" t="s">
        <v>350</v>
      </c>
      <c r="C982">
        <v>31</v>
      </c>
      <c r="D982" t="s">
        <v>56</v>
      </c>
      <c r="E982">
        <v>74</v>
      </c>
      <c r="F982">
        <v>190</v>
      </c>
      <c r="G982" t="s">
        <v>153</v>
      </c>
      <c r="H982">
        <v>2020</v>
      </c>
      <c r="I982" t="s">
        <v>33</v>
      </c>
      <c r="J982">
        <v>11</v>
      </c>
      <c r="K982">
        <v>6</v>
      </c>
      <c r="L982">
        <v>1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63</v>
      </c>
      <c r="T982">
        <v>63</v>
      </c>
      <c r="U982" s="5">
        <f>IF(Merge1[[#This Row],[team_defense_snaps]]=0, "", Merge1[[#This Row],[defense_snaps]] / Merge1[[#This Row],[team_defense_snaps]])</f>
        <v>0.95454545454545459</v>
      </c>
      <c r="V982">
        <v>66</v>
      </c>
      <c r="W982">
        <v>0</v>
      </c>
      <c r="X982" s="5" t="s">
        <v>29</v>
      </c>
      <c r="Y982">
        <v>8</v>
      </c>
      <c r="Z982">
        <v>0</v>
      </c>
      <c r="AA982" t="s">
        <v>25</v>
      </c>
      <c r="AB982" t="s">
        <v>26</v>
      </c>
      <c r="AC982" t="s">
        <v>27</v>
      </c>
      <c r="AD982" t="s">
        <v>42</v>
      </c>
      <c r="AE982" t="s">
        <v>25</v>
      </c>
      <c r="AF9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0.10317460317460317</v>
      </c>
      <c r="AG982" t="s">
        <v>941</v>
      </c>
      <c r="AH982">
        <v>87.5</v>
      </c>
      <c r="AI982" t="s">
        <v>939</v>
      </c>
      <c r="AJ982">
        <v>3</v>
      </c>
      <c r="AK9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MIN(AJ982/8, 1) +
  Merge1[[#This Row],[index_defensive_effort]],
  2
)</f>
        <v>1.08</v>
      </c>
    </row>
    <row r="983" spans="1:37" x14ac:dyDescent="0.25">
      <c r="A983" t="s">
        <v>349</v>
      </c>
      <c r="B983" t="s">
        <v>350</v>
      </c>
      <c r="C983">
        <v>31</v>
      </c>
      <c r="D983" t="s">
        <v>56</v>
      </c>
      <c r="E983">
        <v>74</v>
      </c>
      <c r="F983">
        <v>190</v>
      </c>
      <c r="G983" t="s">
        <v>153</v>
      </c>
      <c r="H983">
        <v>2020</v>
      </c>
      <c r="I983" t="s">
        <v>33</v>
      </c>
      <c r="J983">
        <v>12</v>
      </c>
      <c r="K983">
        <v>5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2</v>
      </c>
      <c r="R983">
        <v>0</v>
      </c>
      <c r="S983">
        <v>42</v>
      </c>
      <c r="T983">
        <v>42</v>
      </c>
      <c r="U983" s="5">
        <f>IF(Merge1[[#This Row],[team_defense_snaps]]=0, "", Merge1[[#This Row],[defense_snaps]] / Merge1[[#This Row],[team_defense_snaps]])</f>
        <v>0.79245283018867929</v>
      </c>
      <c r="V983">
        <v>53</v>
      </c>
      <c r="W983">
        <v>0</v>
      </c>
      <c r="X983" s="5" t="s">
        <v>29</v>
      </c>
      <c r="Y983">
        <v>8</v>
      </c>
      <c r="Z983">
        <v>0</v>
      </c>
      <c r="AA983" t="s">
        <v>25</v>
      </c>
      <c r="AB983" t="s">
        <v>26</v>
      </c>
      <c r="AC983" t="s">
        <v>27</v>
      </c>
      <c r="AD983" t="s">
        <v>42</v>
      </c>
      <c r="AE983" t="s">
        <v>25</v>
      </c>
      <c r="AF9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0.30952380952380953</v>
      </c>
      <c r="AG983" t="s">
        <v>941</v>
      </c>
      <c r="AH983">
        <v>77</v>
      </c>
      <c r="AI983" t="s">
        <v>939</v>
      </c>
      <c r="AJ983">
        <v>4</v>
      </c>
      <c r="AK9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MIN(AJ983/8, 1) +
  Merge1[[#This Row],[index_defensive_effort]],
  2
)</f>
        <v>1.41</v>
      </c>
    </row>
    <row r="984" spans="1:37" x14ac:dyDescent="0.25">
      <c r="A984" t="s">
        <v>349</v>
      </c>
      <c r="B984" t="s">
        <v>350</v>
      </c>
      <c r="C984">
        <v>31</v>
      </c>
      <c r="D984" t="s">
        <v>56</v>
      </c>
      <c r="E984">
        <v>74</v>
      </c>
      <c r="F984">
        <v>190</v>
      </c>
      <c r="G984" t="s">
        <v>153</v>
      </c>
      <c r="H984">
        <v>2020</v>
      </c>
      <c r="I984" t="s">
        <v>33</v>
      </c>
      <c r="J984">
        <v>13</v>
      </c>
      <c r="K984">
        <v>5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65</v>
      </c>
      <c r="T984">
        <v>65</v>
      </c>
      <c r="U984" s="5">
        <f>IF(Merge1[[#This Row],[team_defense_snaps]]=0, "", Merge1[[#This Row],[defense_snaps]] / Merge1[[#This Row],[team_defense_snaps]])</f>
        <v>0.79268292682926833</v>
      </c>
      <c r="V984">
        <v>82</v>
      </c>
      <c r="W984">
        <v>0</v>
      </c>
      <c r="X984" s="5" t="s">
        <v>29</v>
      </c>
      <c r="Y984">
        <v>8</v>
      </c>
      <c r="Z984">
        <v>0</v>
      </c>
      <c r="AA984" t="s">
        <v>25</v>
      </c>
      <c r="AB984" t="s">
        <v>26</v>
      </c>
      <c r="AC984" t="s">
        <v>27</v>
      </c>
      <c r="AD984" t="s">
        <v>42</v>
      </c>
      <c r="AE984" t="s">
        <v>25</v>
      </c>
      <c r="AF9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7.6923076923076927E-2</v>
      </c>
      <c r="AG984" t="s">
        <v>941</v>
      </c>
      <c r="AH984">
        <v>89</v>
      </c>
      <c r="AI984" t="s">
        <v>939</v>
      </c>
      <c r="AJ984">
        <v>5</v>
      </c>
      <c r="AK9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MIN(AJ984/8, 1) +
  Merge1[[#This Row],[index_defensive_effort]],
  2
)</f>
        <v>1.3</v>
      </c>
    </row>
    <row r="985" spans="1:37" x14ac:dyDescent="0.25">
      <c r="A985" t="s">
        <v>349</v>
      </c>
      <c r="B985" t="s">
        <v>350</v>
      </c>
      <c r="C985">
        <v>31</v>
      </c>
      <c r="D985" t="s">
        <v>56</v>
      </c>
      <c r="E985">
        <v>74</v>
      </c>
      <c r="F985">
        <v>190</v>
      </c>
      <c r="G985" t="s">
        <v>153</v>
      </c>
      <c r="H985">
        <v>2020</v>
      </c>
      <c r="I985" t="s">
        <v>33</v>
      </c>
      <c r="J985">
        <v>14</v>
      </c>
      <c r="K985">
        <v>4</v>
      </c>
      <c r="L985">
        <v>0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43</v>
      </c>
      <c r="T985">
        <v>43</v>
      </c>
      <c r="U985" s="5">
        <f>IF(Merge1[[#This Row],[team_defense_snaps]]=0, "", Merge1[[#This Row],[defense_snaps]] / Merge1[[#This Row],[team_defense_snaps]])</f>
        <v>0.87755102040816324</v>
      </c>
      <c r="V985">
        <v>49</v>
      </c>
      <c r="W985">
        <v>0</v>
      </c>
      <c r="X985" s="5" t="s">
        <v>29</v>
      </c>
      <c r="Y985">
        <v>8</v>
      </c>
      <c r="Z985">
        <v>0</v>
      </c>
      <c r="AA985" t="s">
        <v>25</v>
      </c>
      <c r="AB985" t="s">
        <v>26</v>
      </c>
      <c r="AC985" t="s">
        <v>27</v>
      </c>
      <c r="AD985" t="s">
        <v>42</v>
      </c>
      <c r="AE985" t="s">
        <v>25</v>
      </c>
      <c r="AF9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0.13953488372093023</v>
      </c>
      <c r="AG985" t="s">
        <v>941</v>
      </c>
      <c r="AH985">
        <v>93.5</v>
      </c>
      <c r="AI985" t="s">
        <v>939</v>
      </c>
      <c r="AJ985">
        <v>6</v>
      </c>
      <c r="AK9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MIN(AJ985/8, 1) +
  Merge1[[#This Row],[index_defensive_effort]],
  2
)</f>
        <v>1.49</v>
      </c>
    </row>
    <row r="986" spans="1:37" x14ac:dyDescent="0.25">
      <c r="A986" t="s">
        <v>349</v>
      </c>
      <c r="B986" t="s">
        <v>350</v>
      </c>
      <c r="C986">
        <v>31</v>
      </c>
      <c r="D986" t="s">
        <v>56</v>
      </c>
      <c r="E986">
        <v>74</v>
      </c>
      <c r="F986">
        <v>190</v>
      </c>
      <c r="G986" t="s">
        <v>153</v>
      </c>
      <c r="H986">
        <v>2020</v>
      </c>
      <c r="I986" t="s">
        <v>33</v>
      </c>
      <c r="J986">
        <v>15</v>
      </c>
      <c r="K986">
        <v>2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80</v>
      </c>
      <c r="T986">
        <v>80</v>
      </c>
      <c r="U986" s="5">
        <f>IF(Merge1[[#This Row],[team_defense_snaps]]=0, "", Merge1[[#This Row],[defense_snaps]] / Merge1[[#This Row],[team_defense_snaps]])</f>
        <v>0.95238095238095233</v>
      </c>
      <c r="V986">
        <v>84</v>
      </c>
      <c r="W986">
        <v>0</v>
      </c>
      <c r="X986" s="5" t="s">
        <v>29</v>
      </c>
      <c r="Y986">
        <v>8</v>
      </c>
      <c r="Z986">
        <v>0</v>
      </c>
      <c r="AA986" t="s">
        <v>25</v>
      </c>
      <c r="AB986" t="s">
        <v>36</v>
      </c>
      <c r="AC986" t="s">
        <v>147</v>
      </c>
      <c r="AD986" t="s">
        <v>42</v>
      </c>
      <c r="AE986" t="s">
        <v>25</v>
      </c>
      <c r="AF9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2.5000000000000001E-2</v>
      </c>
      <c r="AG986" t="s">
        <v>941</v>
      </c>
      <c r="AH986">
        <v>86</v>
      </c>
      <c r="AI986" t="s">
        <v>939</v>
      </c>
      <c r="AJ986">
        <v>1</v>
      </c>
      <c r="AK9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MIN(AJ986/8, 1) +
  Merge1[[#This Row],[index_defensive_effort]],
  2
)</f>
        <v>0.75</v>
      </c>
    </row>
    <row r="987" spans="1:37" x14ac:dyDescent="0.25">
      <c r="A987" t="s">
        <v>349</v>
      </c>
      <c r="B987" t="s">
        <v>350</v>
      </c>
      <c r="C987">
        <v>31</v>
      </c>
      <c r="D987" t="s">
        <v>56</v>
      </c>
      <c r="E987">
        <v>74</v>
      </c>
      <c r="F987">
        <v>190</v>
      </c>
      <c r="G987" t="s">
        <v>153</v>
      </c>
      <c r="H987">
        <v>2020</v>
      </c>
      <c r="I987" t="s">
        <v>33</v>
      </c>
      <c r="J987">
        <v>17</v>
      </c>
      <c r="K987">
        <v>3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47</v>
      </c>
      <c r="T987">
        <v>46</v>
      </c>
      <c r="U987" s="5">
        <f>IF(Merge1[[#This Row],[team_defense_snaps]]=0, "", Merge1[[#This Row],[defense_snaps]] / Merge1[[#This Row],[team_defense_snaps]])</f>
        <v>0.63013698630136983</v>
      </c>
      <c r="V987">
        <v>73</v>
      </c>
      <c r="W987">
        <v>1</v>
      </c>
      <c r="X987" s="5" t="s">
        <v>193</v>
      </c>
      <c r="Y987">
        <v>8</v>
      </c>
      <c r="Z987">
        <v>0</v>
      </c>
      <c r="AA987" t="s">
        <v>25</v>
      </c>
      <c r="AB987" t="s">
        <v>26</v>
      </c>
      <c r="AC987" t="s">
        <v>27</v>
      </c>
      <c r="AD987" t="s">
        <v>42</v>
      </c>
      <c r="AE987" t="s">
        <v>25</v>
      </c>
      <c r="AF9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6.3829787234042548E-2</v>
      </c>
      <c r="AG987" t="s">
        <v>941</v>
      </c>
      <c r="AH987">
        <v>80</v>
      </c>
      <c r="AI987" t="s">
        <v>939</v>
      </c>
      <c r="AJ987">
        <v>1</v>
      </c>
      <c r="AK9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MIN(AJ987/8, 1) +
  Merge1[[#This Row],[index_defensive_effort]],
  2
)</f>
        <v>0.79</v>
      </c>
    </row>
    <row r="988" spans="1:37" x14ac:dyDescent="0.25">
      <c r="A988" t="s">
        <v>312</v>
      </c>
      <c r="B988" t="s">
        <v>313</v>
      </c>
      <c r="C988">
        <v>25</v>
      </c>
      <c r="D988" t="s">
        <v>56</v>
      </c>
      <c r="E988">
        <v>70</v>
      </c>
      <c r="F988">
        <v>198</v>
      </c>
      <c r="G988" t="s">
        <v>67</v>
      </c>
      <c r="H988">
        <v>2020</v>
      </c>
      <c r="I988" t="s">
        <v>33</v>
      </c>
      <c r="J988">
        <v>6</v>
      </c>
      <c r="K988">
        <v>0</v>
      </c>
      <c r="L988">
        <v>1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23</v>
      </c>
      <c r="T988">
        <v>10</v>
      </c>
      <c r="U988" s="5">
        <f>IF(Merge1[[#This Row],[team_defense_snaps]]=0, "", Merge1[[#This Row],[defense_snaps]] / Merge1[[#This Row],[team_defense_snaps]])</f>
        <v>0.17543859649122806</v>
      </c>
      <c r="V988">
        <v>57</v>
      </c>
      <c r="W988">
        <v>13</v>
      </c>
      <c r="X988" s="5" t="s">
        <v>112</v>
      </c>
      <c r="Y988">
        <v>2</v>
      </c>
      <c r="Z988">
        <v>0</v>
      </c>
      <c r="AA988" t="s">
        <v>25</v>
      </c>
      <c r="AB988" t="s">
        <v>26</v>
      </c>
      <c r="AC988" t="s">
        <v>27</v>
      </c>
      <c r="AD988" t="s">
        <v>28</v>
      </c>
      <c r="AE988" t="s">
        <v>25</v>
      </c>
      <c r="AF9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2.1739130434782608E-2</v>
      </c>
      <c r="AG988" t="s">
        <v>941</v>
      </c>
      <c r="AH988">
        <v>60</v>
      </c>
      <c r="AI988" t="s">
        <v>939</v>
      </c>
      <c r="AJ988">
        <v>1</v>
      </c>
      <c r="AK9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MIN(AJ988/8, 1) +
  Merge1[[#This Row],[index_defensive_effort]],
  2
)</f>
        <v>0.65</v>
      </c>
    </row>
    <row r="989" spans="1:37" x14ac:dyDescent="0.25">
      <c r="A989" t="s">
        <v>312</v>
      </c>
      <c r="B989" t="s">
        <v>313</v>
      </c>
      <c r="C989">
        <v>25</v>
      </c>
      <c r="D989" t="s">
        <v>56</v>
      </c>
      <c r="E989">
        <v>70</v>
      </c>
      <c r="F989">
        <v>198</v>
      </c>
      <c r="G989" t="s">
        <v>67</v>
      </c>
      <c r="H989">
        <v>2020</v>
      </c>
      <c r="I989" t="s">
        <v>33</v>
      </c>
      <c r="J989">
        <v>8</v>
      </c>
      <c r="K989">
        <v>0</v>
      </c>
      <c r="L989">
        <v>1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8</v>
      </c>
      <c r="T989">
        <v>8</v>
      </c>
      <c r="U989" s="5">
        <f>IF(Merge1[[#This Row],[team_defense_snaps]]=0, "", Merge1[[#This Row],[defense_snaps]] / Merge1[[#This Row],[team_defense_snaps]])</f>
        <v>8.98876404494382E-2</v>
      </c>
      <c r="V989">
        <v>89</v>
      </c>
      <c r="W989">
        <v>0</v>
      </c>
      <c r="X989" s="5" t="s">
        <v>29</v>
      </c>
      <c r="Y989">
        <v>2</v>
      </c>
      <c r="Z989">
        <v>0</v>
      </c>
      <c r="AA989" t="s">
        <v>25</v>
      </c>
      <c r="AB989" t="s">
        <v>26</v>
      </c>
      <c r="AC989" t="s">
        <v>27</v>
      </c>
      <c r="AD989" t="s">
        <v>28</v>
      </c>
      <c r="AE989" t="s">
        <v>25</v>
      </c>
      <c r="AF9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989" t="s">
        <v>941</v>
      </c>
      <c r="AH989">
        <v>70.5</v>
      </c>
      <c r="AI989" t="s">
        <v>939</v>
      </c>
      <c r="AJ989">
        <v>1</v>
      </c>
      <c r="AK9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MIN(AJ989/8, 1) +
  Merge1[[#This Row],[index_defensive_effort]],
  2
)</f>
        <v>0.69</v>
      </c>
    </row>
    <row r="990" spans="1:37" x14ac:dyDescent="0.25">
      <c r="A990" t="s">
        <v>312</v>
      </c>
      <c r="B990" t="s">
        <v>313</v>
      </c>
      <c r="C990">
        <v>25</v>
      </c>
      <c r="D990" t="s">
        <v>56</v>
      </c>
      <c r="E990">
        <v>70</v>
      </c>
      <c r="F990">
        <v>198</v>
      </c>
      <c r="G990" t="s">
        <v>67</v>
      </c>
      <c r="H990">
        <v>2020</v>
      </c>
      <c r="I990" t="s">
        <v>33</v>
      </c>
      <c r="J990">
        <v>13</v>
      </c>
      <c r="K990">
        <v>0</v>
      </c>
      <c r="L990">
        <v>1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26</v>
      </c>
      <c r="T990">
        <v>20</v>
      </c>
      <c r="U990" s="5">
        <f>IF(Merge1[[#This Row],[team_defense_snaps]]=0, "", Merge1[[#This Row],[defense_snaps]] / Merge1[[#This Row],[team_defense_snaps]])</f>
        <v>0.30769230769230771</v>
      </c>
      <c r="V990">
        <v>65</v>
      </c>
      <c r="W990">
        <v>6</v>
      </c>
      <c r="X990" s="5" t="s">
        <v>133</v>
      </c>
      <c r="Y990">
        <v>2</v>
      </c>
      <c r="Z990">
        <v>0</v>
      </c>
      <c r="AA990" t="s">
        <v>25</v>
      </c>
      <c r="AB990" t="s">
        <v>26</v>
      </c>
      <c r="AC990" t="s">
        <v>27</v>
      </c>
      <c r="AD990" t="s">
        <v>28</v>
      </c>
      <c r="AE990" t="s">
        <v>25</v>
      </c>
      <c r="AF9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1.9230769230769232E-2</v>
      </c>
      <c r="AG990" t="s">
        <v>941</v>
      </c>
      <c r="AH990">
        <v>67.5</v>
      </c>
      <c r="AI990" t="s">
        <v>939</v>
      </c>
      <c r="AJ990">
        <v>2</v>
      </c>
      <c r="AK9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MIN(AJ990/8, 1) +
  Merge1[[#This Row],[index_defensive_effort]],
  2
)</f>
        <v>0.77</v>
      </c>
    </row>
    <row r="991" spans="1:37" x14ac:dyDescent="0.25">
      <c r="A991" t="s">
        <v>312</v>
      </c>
      <c r="B991" t="s">
        <v>313</v>
      </c>
      <c r="C991">
        <v>25</v>
      </c>
      <c r="D991" t="s">
        <v>56</v>
      </c>
      <c r="E991">
        <v>70</v>
      </c>
      <c r="F991">
        <v>198</v>
      </c>
      <c r="G991" t="s">
        <v>67</v>
      </c>
      <c r="H991">
        <v>2020</v>
      </c>
      <c r="I991" t="s">
        <v>33</v>
      </c>
      <c r="J991">
        <v>14</v>
      </c>
      <c r="K991">
        <v>0</v>
      </c>
      <c r="L991">
        <v>2</v>
      </c>
      <c r="M991">
        <v>0</v>
      </c>
      <c r="N991">
        <v>2</v>
      </c>
      <c r="O991">
        <v>0</v>
      </c>
      <c r="P991">
        <v>0</v>
      </c>
      <c r="Q991">
        <v>0</v>
      </c>
      <c r="R991">
        <v>0</v>
      </c>
      <c r="S991">
        <v>7</v>
      </c>
      <c r="T991">
        <v>7</v>
      </c>
      <c r="U991" s="5">
        <f>IF(Merge1[[#This Row],[team_defense_snaps]]=0, "", Merge1[[#This Row],[defense_snaps]] / Merge1[[#This Row],[team_defense_snaps]])</f>
        <v>0.1</v>
      </c>
      <c r="V991">
        <v>70</v>
      </c>
      <c r="W991">
        <v>0</v>
      </c>
      <c r="X991" s="5" t="s">
        <v>29</v>
      </c>
      <c r="Y991">
        <v>2</v>
      </c>
      <c r="Z991">
        <v>0</v>
      </c>
      <c r="AA991" t="s">
        <v>25</v>
      </c>
      <c r="AB991" t="s">
        <v>26</v>
      </c>
      <c r="AC991" t="s">
        <v>27</v>
      </c>
      <c r="AD991" t="s">
        <v>42</v>
      </c>
      <c r="AE991" t="s">
        <v>25</v>
      </c>
      <c r="AF9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0.14285714285714285</v>
      </c>
      <c r="AG991" t="s">
        <v>941</v>
      </c>
      <c r="AH991">
        <v>58.5</v>
      </c>
      <c r="AI991" t="s">
        <v>939</v>
      </c>
      <c r="AJ991">
        <v>1</v>
      </c>
      <c r="AK9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MIN(AJ991/8, 1) +
  Merge1[[#This Row],[index_defensive_effort]],
  2
)</f>
        <v>0.77</v>
      </c>
    </row>
    <row r="992" spans="1:37" x14ac:dyDescent="0.25">
      <c r="A992" t="s">
        <v>374</v>
      </c>
      <c r="B992" t="s">
        <v>375</v>
      </c>
      <c r="C992">
        <v>24</v>
      </c>
      <c r="D992" t="s">
        <v>56</v>
      </c>
      <c r="E992">
        <v>68</v>
      </c>
      <c r="F992">
        <v>183</v>
      </c>
      <c r="G992" t="s">
        <v>228</v>
      </c>
      <c r="H992">
        <v>2020</v>
      </c>
      <c r="I992" t="s">
        <v>33</v>
      </c>
      <c r="J992">
        <v>12</v>
      </c>
      <c r="K992">
        <v>0</v>
      </c>
      <c r="L992">
        <v>1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9</v>
      </c>
      <c r="T992">
        <v>3</v>
      </c>
      <c r="U992" s="5">
        <f>IF(Merge1[[#This Row],[team_defense_snaps]]=0, "", Merge1[[#This Row],[defense_snaps]] / Merge1[[#This Row],[team_defense_snaps]])</f>
        <v>0.04</v>
      </c>
      <c r="V992">
        <v>75</v>
      </c>
      <c r="W992">
        <v>6</v>
      </c>
      <c r="X992" s="5" t="s">
        <v>133</v>
      </c>
      <c r="Y992">
        <v>1</v>
      </c>
      <c r="Z992">
        <v>0</v>
      </c>
      <c r="AA992" t="s">
        <v>25</v>
      </c>
      <c r="AB992" t="s">
        <v>26</v>
      </c>
      <c r="AC992" t="s">
        <v>27</v>
      </c>
      <c r="AD992" t="s">
        <v>28</v>
      </c>
      <c r="AE992" t="s">
        <v>25</v>
      </c>
      <c r="AF9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992" t="s">
        <v>941</v>
      </c>
      <c r="AH992">
        <v>53.5</v>
      </c>
      <c r="AI992" t="s">
        <v>939</v>
      </c>
      <c r="AJ992">
        <v>1</v>
      </c>
      <c r="AK9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MIN(AJ992/8, 1) +
  Merge1[[#This Row],[index_defensive_effort]],
  2
)</f>
        <v>0.68</v>
      </c>
    </row>
    <row r="993" spans="1:37" x14ac:dyDescent="0.25">
      <c r="A993" t="s">
        <v>374</v>
      </c>
      <c r="B993" t="s">
        <v>375</v>
      </c>
      <c r="C993">
        <v>24</v>
      </c>
      <c r="D993" t="s">
        <v>56</v>
      </c>
      <c r="E993">
        <v>68</v>
      </c>
      <c r="F993">
        <v>183</v>
      </c>
      <c r="G993" t="s">
        <v>228</v>
      </c>
      <c r="H993">
        <v>2020</v>
      </c>
      <c r="I993" t="s">
        <v>33</v>
      </c>
      <c r="J993">
        <v>14</v>
      </c>
      <c r="K993">
        <v>2</v>
      </c>
      <c r="L993">
        <v>1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60</v>
      </c>
      <c r="T993">
        <v>53</v>
      </c>
      <c r="U993" s="5">
        <f>IF(Merge1[[#This Row],[team_defense_snaps]]=0, "", Merge1[[#This Row],[defense_snaps]] / Merge1[[#This Row],[team_defense_snaps]])</f>
        <v>0.79104477611940294</v>
      </c>
      <c r="V993">
        <v>67</v>
      </c>
      <c r="W993">
        <v>7</v>
      </c>
      <c r="X993" s="5" t="s">
        <v>136</v>
      </c>
      <c r="Y993">
        <v>1</v>
      </c>
      <c r="Z993">
        <v>0</v>
      </c>
      <c r="AA993" t="s">
        <v>25</v>
      </c>
      <c r="AB993" t="s">
        <v>26</v>
      </c>
      <c r="AC993" t="s">
        <v>27</v>
      </c>
      <c r="AD993" t="s">
        <v>28</v>
      </c>
      <c r="AE993" t="s">
        <v>25</v>
      </c>
      <c r="AF9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993" t="s">
        <v>941</v>
      </c>
      <c r="AH993">
        <v>46</v>
      </c>
      <c r="AI993" t="s">
        <v>939</v>
      </c>
      <c r="AJ993">
        <v>2</v>
      </c>
      <c r="AK9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MIN(AJ993/8, 1) +
  Merge1[[#This Row],[index_defensive_effort]],
  2
)</f>
        <v>0.79</v>
      </c>
    </row>
    <row r="994" spans="1:37" x14ac:dyDescent="0.25">
      <c r="A994" t="s">
        <v>374</v>
      </c>
      <c r="B994" t="s">
        <v>375</v>
      </c>
      <c r="C994">
        <v>24</v>
      </c>
      <c r="D994" t="s">
        <v>56</v>
      </c>
      <c r="E994">
        <v>68</v>
      </c>
      <c r="F994">
        <v>183</v>
      </c>
      <c r="G994" t="s">
        <v>228</v>
      </c>
      <c r="H994">
        <v>2020</v>
      </c>
      <c r="I994" t="s">
        <v>33</v>
      </c>
      <c r="J994">
        <v>15</v>
      </c>
      <c r="K994">
        <v>4</v>
      </c>
      <c r="L994">
        <v>3</v>
      </c>
      <c r="M994">
        <v>1</v>
      </c>
      <c r="N994">
        <v>4</v>
      </c>
      <c r="O994">
        <v>0</v>
      </c>
      <c r="P994">
        <v>1</v>
      </c>
      <c r="Q994">
        <v>0</v>
      </c>
      <c r="R994">
        <v>0</v>
      </c>
      <c r="S994">
        <v>76</v>
      </c>
      <c r="T994">
        <v>66</v>
      </c>
      <c r="U994" s="5">
        <f>IF(Merge1[[#This Row],[team_defense_snaps]]=0, "", Merge1[[#This Row],[defense_snaps]] / Merge1[[#This Row],[team_defense_snaps]])</f>
        <v>0.97058823529411764</v>
      </c>
      <c r="V994">
        <v>68</v>
      </c>
      <c r="W994">
        <v>10</v>
      </c>
      <c r="X994" s="5" t="s">
        <v>334</v>
      </c>
      <c r="Y994">
        <v>1</v>
      </c>
      <c r="Z994">
        <v>0</v>
      </c>
      <c r="AA994" t="s">
        <v>25</v>
      </c>
      <c r="AB994" t="s">
        <v>26</v>
      </c>
      <c r="AC994" t="s">
        <v>27</v>
      </c>
      <c r="AD994" t="s">
        <v>42</v>
      </c>
      <c r="AE994" t="s">
        <v>25</v>
      </c>
      <c r="AF9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0.10526315789473684</v>
      </c>
      <c r="AG994" t="s">
        <v>941</v>
      </c>
      <c r="AH994">
        <v>47.5</v>
      </c>
      <c r="AI994" t="s">
        <v>938</v>
      </c>
      <c r="AJ994">
        <v>3</v>
      </c>
      <c r="AK9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MIN(AJ994/8, 1) +
  Merge1[[#This Row],[index_defensive_effort]],
  2
)</f>
        <v>0.98</v>
      </c>
    </row>
    <row r="995" spans="1:37" x14ac:dyDescent="0.25">
      <c r="A995" t="s">
        <v>374</v>
      </c>
      <c r="B995" t="s">
        <v>375</v>
      </c>
      <c r="C995">
        <v>24</v>
      </c>
      <c r="D995" t="s">
        <v>56</v>
      </c>
      <c r="E995">
        <v>68</v>
      </c>
      <c r="F995">
        <v>183</v>
      </c>
      <c r="G995" t="s">
        <v>228</v>
      </c>
      <c r="H995">
        <v>2020</v>
      </c>
      <c r="I995" t="s">
        <v>33</v>
      </c>
      <c r="J995">
        <v>16</v>
      </c>
      <c r="K995">
        <v>1</v>
      </c>
      <c r="L995">
        <v>2</v>
      </c>
      <c r="M995">
        <v>0</v>
      </c>
      <c r="N995">
        <v>2</v>
      </c>
      <c r="O995">
        <v>0</v>
      </c>
      <c r="P995">
        <v>0</v>
      </c>
      <c r="Q995">
        <v>0</v>
      </c>
      <c r="R995">
        <v>0</v>
      </c>
      <c r="S995">
        <v>52</v>
      </c>
      <c r="T995">
        <v>44</v>
      </c>
      <c r="U995" s="5">
        <f>IF(Merge1[[#This Row],[team_defense_snaps]]=0, "", Merge1[[#This Row],[defense_snaps]] / Merge1[[#This Row],[team_defense_snaps]])</f>
        <v>0.7857142857142857</v>
      </c>
      <c r="V995">
        <v>56</v>
      </c>
      <c r="W995">
        <v>8</v>
      </c>
      <c r="X995" s="5" t="s">
        <v>137</v>
      </c>
      <c r="Y995">
        <v>1</v>
      </c>
      <c r="Z995">
        <v>0</v>
      </c>
      <c r="AA995" t="s">
        <v>25</v>
      </c>
      <c r="AB995" t="s">
        <v>36</v>
      </c>
      <c r="AC995" t="s">
        <v>247</v>
      </c>
      <c r="AD995" t="s">
        <v>28</v>
      </c>
      <c r="AE995" t="s">
        <v>25</v>
      </c>
      <c r="AF9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3.8461538461538464E-2</v>
      </c>
      <c r="AG995" t="s">
        <v>941</v>
      </c>
      <c r="AH995">
        <v>50</v>
      </c>
      <c r="AI995" t="s">
        <v>939</v>
      </c>
      <c r="AJ995">
        <v>4</v>
      </c>
      <c r="AK9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MIN(AJ995/8, 1) +
  Merge1[[#This Row],[index_defensive_effort]],
  2
)</f>
        <v>1.04</v>
      </c>
    </row>
    <row r="996" spans="1:37" x14ac:dyDescent="0.25">
      <c r="A996" t="s">
        <v>374</v>
      </c>
      <c r="B996" t="s">
        <v>375</v>
      </c>
      <c r="C996">
        <v>24</v>
      </c>
      <c r="D996" t="s">
        <v>56</v>
      </c>
      <c r="E996">
        <v>68</v>
      </c>
      <c r="F996">
        <v>183</v>
      </c>
      <c r="G996" t="s">
        <v>228</v>
      </c>
      <c r="H996">
        <v>2020</v>
      </c>
      <c r="I996" t="s">
        <v>33</v>
      </c>
      <c r="J996">
        <v>17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46</v>
      </c>
      <c r="T996">
        <v>39</v>
      </c>
      <c r="U996" s="5">
        <f>IF(Merge1[[#This Row],[team_defense_snaps]]=0, "", Merge1[[#This Row],[defense_snaps]] / Merge1[[#This Row],[team_defense_snaps]])</f>
        <v>0.84782608695652173</v>
      </c>
      <c r="V996">
        <v>46</v>
      </c>
      <c r="W996">
        <v>7</v>
      </c>
      <c r="X996" s="5" t="s">
        <v>138</v>
      </c>
      <c r="Y996">
        <v>1</v>
      </c>
      <c r="Z996">
        <v>0</v>
      </c>
      <c r="AA996" t="s">
        <v>25</v>
      </c>
      <c r="AB996" t="s">
        <v>26</v>
      </c>
      <c r="AC996" t="s">
        <v>27</v>
      </c>
      <c r="AD996" t="s">
        <v>42</v>
      </c>
      <c r="AE996" t="s">
        <v>25</v>
      </c>
      <c r="AF9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6.5217391304347824E-2</v>
      </c>
      <c r="AG996" t="s">
        <v>941</v>
      </c>
      <c r="AH996">
        <v>50.5</v>
      </c>
      <c r="AI996" t="s">
        <v>939</v>
      </c>
      <c r="AJ996">
        <v>5</v>
      </c>
      <c r="AK9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MIN(AJ996/8, 1) +
  Merge1[[#This Row],[index_defensive_effort]],
  2
)</f>
        <v>1.19</v>
      </c>
    </row>
    <row r="997" spans="1:37" x14ac:dyDescent="0.25">
      <c r="A997" t="s">
        <v>374</v>
      </c>
      <c r="B997" t="s">
        <v>375</v>
      </c>
      <c r="C997">
        <v>24</v>
      </c>
      <c r="D997" t="s">
        <v>56</v>
      </c>
      <c r="E997">
        <v>68</v>
      </c>
      <c r="F997">
        <v>183</v>
      </c>
      <c r="G997" t="s">
        <v>228</v>
      </c>
      <c r="H997">
        <v>2020</v>
      </c>
      <c r="I997" t="s">
        <v>24</v>
      </c>
      <c r="J997">
        <v>18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47</v>
      </c>
      <c r="T997">
        <v>42</v>
      </c>
      <c r="U997" s="5">
        <f>IF(Merge1[[#This Row],[team_defense_snaps]]=0, "", Merge1[[#This Row],[defense_snaps]] / Merge1[[#This Row],[team_defense_snaps]])</f>
        <v>0.54545454545454541</v>
      </c>
      <c r="V997">
        <v>77</v>
      </c>
      <c r="W997">
        <v>5</v>
      </c>
      <c r="X997" s="5" t="s">
        <v>293</v>
      </c>
      <c r="Y997">
        <v>1</v>
      </c>
      <c r="Z997">
        <v>0</v>
      </c>
      <c r="AA997" t="s">
        <v>25</v>
      </c>
      <c r="AB997" t="s">
        <v>26</v>
      </c>
      <c r="AC997" t="s">
        <v>27</v>
      </c>
      <c r="AD997" t="s">
        <v>28</v>
      </c>
      <c r="AE997" t="s">
        <v>25</v>
      </c>
      <c r="AF9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6.3829787234042548E-2</v>
      </c>
      <c r="AG997" t="s">
        <v>941</v>
      </c>
      <c r="AH997">
        <v>49</v>
      </c>
      <c r="AI997" t="s">
        <v>939</v>
      </c>
      <c r="AJ997">
        <v>1</v>
      </c>
      <c r="AK9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MIN(AJ997/8, 1) +
  Merge1[[#This Row],[index_defensive_effort]],
  2
)</f>
        <v>0.89</v>
      </c>
    </row>
    <row r="998" spans="1:37" x14ac:dyDescent="0.25">
      <c r="A998" t="s">
        <v>321</v>
      </c>
      <c r="B998" t="s">
        <v>322</v>
      </c>
      <c r="C998">
        <v>29</v>
      </c>
      <c r="D998" t="s">
        <v>22</v>
      </c>
      <c r="E998">
        <v>72</v>
      </c>
      <c r="F998">
        <v>205</v>
      </c>
      <c r="G998" t="s">
        <v>162</v>
      </c>
      <c r="H998">
        <v>2020</v>
      </c>
      <c r="I998" t="s">
        <v>33</v>
      </c>
      <c r="J998">
        <v>1</v>
      </c>
      <c r="K998">
        <v>4</v>
      </c>
      <c r="L998">
        <v>1</v>
      </c>
      <c r="M998">
        <v>0</v>
      </c>
      <c r="N998">
        <v>1</v>
      </c>
      <c r="O998">
        <v>0</v>
      </c>
      <c r="P998">
        <v>1</v>
      </c>
      <c r="Q998">
        <v>0</v>
      </c>
      <c r="R998">
        <v>0</v>
      </c>
      <c r="S998">
        <v>75</v>
      </c>
      <c r="T998">
        <v>65</v>
      </c>
      <c r="U998" s="5">
        <f>IF(Merge1[[#This Row],[team_defense_snaps]]=0, "", Merge1[[#This Row],[defense_snaps]] / Merge1[[#This Row],[team_defense_snaps]])</f>
        <v>0.98484848484848486</v>
      </c>
      <c r="V998">
        <v>66</v>
      </c>
      <c r="W998">
        <v>10</v>
      </c>
      <c r="X998" s="5" t="s">
        <v>314</v>
      </c>
      <c r="Y998">
        <v>7</v>
      </c>
      <c r="Z998">
        <v>0</v>
      </c>
      <c r="AA998" t="s">
        <v>25</v>
      </c>
      <c r="AB998" t="s">
        <v>26</v>
      </c>
      <c r="AC998" t="s">
        <v>27</v>
      </c>
      <c r="AD998" t="s">
        <v>42</v>
      </c>
      <c r="AE998" t="s">
        <v>25</v>
      </c>
      <c r="AF9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8.666666666666667E-2</v>
      </c>
      <c r="AG998" t="s">
        <v>942</v>
      </c>
      <c r="AH998">
        <v>68.5</v>
      </c>
      <c r="AI998" t="s">
        <v>939</v>
      </c>
      <c r="AJ998">
        <v>2</v>
      </c>
      <c r="AK9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MIN(AJ998/8, 1) +
  Merge1[[#This Row],[index_defensive_effort]],
  2
)</f>
        <v>0.94</v>
      </c>
    </row>
    <row r="999" spans="1:37" x14ac:dyDescent="0.25">
      <c r="A999" t="s">
        <v>321</v>
      </c>
      <c r="B999" t="s">
        <v>322</v>
      </c>
      <c r="C999">
        <v>29</v>
      </c>
      <c r="D999" t="s">
        <v>22</v>
      </c>
      <c r="E999">
        <v>72</v>
      </c>
      <c r="F999">
        <v>205</v>
      </c>
      <c r="G999" t="s">
        <v>162</v>
      </c>
      <c r="H999">
        <v>2020</v>
      </c>
      <c r="I999" t="s">
        <v>33</v>
      </c>
      <c r="J999">
        <v>2</v>
      </c>
      <c r="K999">
        <v>2</v>
      </c>
      <c r="L999">
        <v>2</v>
      </c>
      <c r="M999">
        <v>2</v>
      </c>
      <c r="N999">
        <v>4</v>
      </c>
      <c r="O999">
        <v>0</v>
      </c>
      <c r="P999">
        <v>0</v>
      </c>
      <c r="Q999">
        <v>0</v>
      </c>
      <c r="R999">
        <v>0</v>
      </c>
      <c r="S999">
        <v>81</v>
      </c>
      <c r="T999">
        <v>73</v>
      </c>
      <c r="U999" s="5">
        <f>IF(Merge1[[#This Row],[team_defense_snaps]]=0, "", Merge1[[#This Row],[defense_snaps]] / Merge1[[#This Row],[team_defense_snaps]])</f>
        <v>0.98648648648648651</v>
      </c>
      <c r="V999">
        <v>74</v>
      </c>
      <c r="W999">
        <v>8</v>
      </c>
      <c r="X999" s="5" t="s">
        <v>136</v>
      </c>
      <c r="Y999">
        <v>7</v>
      </c>
      <c r="Z999">
        <v>0</v>
      </c>
      <c r="AA999" t="s">
        <v>25</v>
      </c>
      <c r="AB999" t="s">
        <v>26</v>
      </c>
      <c r="AC999" t="s">
        <v>27</v>
      </c>
      <c r="AD999" t="s">
        <v>42</v>
      </c>
      <c r="AE999" t="s">
        <v>25</v>
      </c>
      <c r="AF9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4.9382716049382713E-2</v>
      </c>
      <c r="AG999" t="s">
        <v>942</v>
      </c>
      <c r="AH999">
        <v>47.5</v>
      </c>
      <c r="AI999" t="s">
        <v>939</v>
      </c>
      <c r="AJ999">
        <v>3</v>
      </c>
      <c r="AK9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MIN(AJ999/8, 1) +
  Merge1[[#This Row],[index_defensive_effort]],
  2
)</f>
        <v>1.02</v>
      </c>
    </row>
    <row r="1000" spans="1:37" x14ac:dyDescent="0.25">
      <c r="A1000" t="s">
        <v>321</v>
      </c>
      <c r="B1000" t="s">
        <v>322</v>
      </c>
      <c r="C1000">
        <v>29</v>
      </c>
      <c r="D1000" t="s">
        <v>22</v>
      </c>
      <c r="E1000">
        <v>72</v>
      </c>
      <c r="F1000">
        <v>205</v>
      </c>
      <c r="G1000" t="s">
        <v>162</v>
      </c>
      <c r="H1000">
        <v>2020</v>
      </c>
      <c r="I1000" t="s">
        <v>33</v>
      </c>
      <c r="J1000">
        <v>3</v>
      </c>
      <c r="K1000">
        <v>4</v>
      </c>
      <c r="L1000">
        <v>3</v>
      </c>
      <c r="M1000">
        <v>1</v>
      </c>
      <c r="N1000">
        <v>4</v>
      </c>
      <c r="O1000">
        <v>0</v>
      </c>
      <c r="P1000">
        <v>2</v>
      </c>
      <c r="Q1000">
        <v>2</v>
      </c>
      <c r="R1000">
        <v>0</v>
      </c>
      <c r="S1000">
        <v>73</v>
      </c>
      <c r="T1000">
        <v>65</v>
      </c>
      <c r="U1000" s="5">
        <f>IF(Merge1[[#This Row],[team_defense_snaps]]=0, "", Merge1[[#This Row],[defense_snaps]] / Merge1[[#This Row],[team_defense_snaps]])</f>
        <v>0.98484848484848486</v>
      </c>
      <c r="V1000">
        <v>66</v>
      </c>
      <c r="W1000">
        <v>8</v>
      </c>
      <c r="X1000" s="5" t="s">
        <v>138</v>
      </c>
      <c r="Y1000">
        <v>7</v>
      </c>
      <c r="Z1000">
        <v>0</v>
      </c>
      <c r="AA1000" t="s">
        <v>25</v>
      </c>
      <c r="AB1000" t="s">
        <v>26</v>
      </c>
      <c r="AC1000" t="s">
        <v>27</v>
      </c>
      <c r="AD1000" t="s">
        <v>42</v>
      </c>
      <c r="AE1000" t="s">
        <v>25</v>
      </c>
      <c r="AF10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0.24657534246575341</v>
      </c>
      <c r="AG1000" t="s">
        <v>942</v>
      </c>
      <c r="AH1000">
        <v>53.5</v>
      </c>
      <c r="AI1000" t="s">
        <v>939</v>
      </c>
      <c r="AJ1000">
        <v>4</v>
      </c>
      <c r="AK10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MIN(AJ1000/8, 1) +
  Merge1[[#This Row],[index_defensive_effort]],
  2
)</f>
        <v>1.35</v>
      </c>
    </row>
    <row r="1001" spans="1:37" x14ac:dyDescent="0.25">
      <c r="A1001" t="s">
        <v>321</v>
      </c>
      <c r="B1001" t="s">
        <v>322</v>
      </c>
      <c r="C1001">
        <v>29</v>
      </c>
      <c r="D1001" t="s">
        <v>22</v>
      </c>
      <c r="E1001">
        <v>72</v>
      </c>
      <c r="F1001">
        <v>205</v>
      </c>
      <c r="G1001" t="s">
        <v>162</v>
      </c>
      <c r="H1001">
        <v>2020</v>
      </c>
      <c r="I1001" t="s">
        <v>33</v>
      </c>
      <c r="J1001">
        <v>4</v>
      </c>
      <c r="K1001">
        <v>4</v>
      </c>
      <c r="L1001">
        <v>1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78</v>
      </c>
      <c r="T1001">
        <v>69</v>
      </c>
      <c r="U1001" s="5">
        <f>IF(Merge1[[#This Row],[team_defense_snaps]]=0, "", Merge1[[#This Row],[defense_snaps]] / Merge1[[#This Row],[team_defense_snaps]])</f>
        <v>0.971830985915493</v>
      </c>
      <c r="V1001">
        <v>71</v>
      </c>
      <c r="W1001">
        <v>9</v>
      </c>
      <c r="X1001" s="5" t="s">
        <v>134</v>
      </c>
      <c r="Y1001">
        <v>7</v>
      </c>
      <c r="Z1001">
        <v>0</v>
      </c>
      <c r="AA1001" t="s">
        <v>25</v>
      </c>
      <c r="AB1001" t="s">
        <v>26</v>
      </c>
      <c r="AC1001" t="s">
        <v>27</v>
      </c>
      <c r="AD1001" t="s">
        <v>42</v>
      </c>
      <c r="AE1001" t="s">
        <v>25</v>
      </c>
      <c r="AF10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5.7692307692307696E-2</v>
      </c>
      <c r="AG1001" t="s">
        <v>942</v>
      </c>
      <c r="AH1001">
        <v>49</v>
      </c>
      <c r="AI1001" t="s">
        <v>939</v>
      </c>
      <c r="AJ1001">
        <v>1</v>
      </c>
      <c r="AK10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MIN(AJ1001/8, 1) +
  Merge1[[#This Row],[index_defensive_effort]],
  2
)</f>
        <v>0.78</v>
      </c>
    </row>
    <row r="1002" spans="1:37" x14ac:dyDescent="0.25">
      <c r="A1002" t="s">
        <v>321</v>
      </c>
      <c r="B1002" t="s">
        <v>322</v>
      </c>
      <c r="C1002">
        <v>29</v>
      </c>
      <c r="D1002" t="s">
        <v>22</v>
      </c>
      <c r="E1002">
        <v>72</v>
      </c>
      <c r="F1002">
        <v>205</v>
      </c>
      <c r="G1002" t="s">
        <v>162</v>
      </c>
      <c r="H1002">
        <v>2020</v>
      </c>
      <c r="I1002" t="s">
        <v>33</v>
      </c>
      <c r="J1002">
        <v>6</v>
      </c>
      <c r="K1002">
        <v>2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2</v>
      </c>
      <c r="R1002">
        <v>0</v>
      </c>
      <c r="S1002">
        <v>61</v>
      </c>
      <c r="T1002">
        <v>57</v>
      </c>
      <c r="U1002" s="5">
        <f>IF(Merge1[[#This Row],[team_defense_snaps]]=0, "", Merge1[[#This Row],[defense_snaps]] / Merge1[[#This Row],[team_defense_snaps]])</f>
        <v>0.890625</v>
      </c>
      <c r="V1002">
        <v>64</v>
      </c>
      <c r="W1002">
        <v>4</v>
      </c>
      <c r="X1002" s="5" t="s">
        <v>168</v>
      </c>
      <c r="Y1002">
        <v>7</v>
      </c>
      <c r="Z1002">
        <v>0</v>
      </c>
      <c r="AA1002" t="s">
        <v>25</v>
      </c>
      <c r="AB1002" t="s">
        <v>26</v>
      </c>
      <c r="AC1002" t="s">
        <v>27</v>
      </c>
      <c r="AD1002" t="s">
        <v>42</v>
      </c>
      <c r="AE1002" t="s">
        <v>25</v>
      </c>
      <c r="AF10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0.16393442622950818</v>
      </c>
      <c r="AG1002" t="s">
        <v>942</v>
      </c>
      <c r="AH1002">
        <v>67</v>
      </c>
      <c r="AI1002" t="s">
        <v>939</v>
      </c>
      <c r="AJ1002">
        <v>2</v>
      </c>
      <c r="AK10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MIN(AJ1002/8, 1) +
  Merge1[[#This Row],[index_defensive_effort]],
  2
)</f>
        <v>1.01</v>
      </c>
    </row>
    <row r="1003" spans="1:37" x14ac:dyDescent="0.25">
      <c r="A1003" t="s">
        <v>321</v>
      </c>
      <c r="B1003" t="s">
        <v>322</v>
      </c>
      <c r="C1003">
        <v>29</v>
      </c>
      <c r="D1003" t="s">
        <v>22</v>
      </c>
      <c r="E1003">
        <v>72</v>
      </c>
      <c r="F1003">
        <v>205</v>
      </c>
      <c r="G1003" t="s">
        <v>162</v>
      </c>
      <c r="H1003">
        <v>2020</v>
      </c>
      <c r="I1003" t="s">
        <v>33</v>
      </c>
      <c r="J1003">
        <v>7</v>
      </c>
      <c r="K1003">
        <v>3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71</v>
      </c>
      <c r="T1003">
        <v>69</v>
      </c>
      <c r="U1003" s="5">
        <f>IF(Merge1[[#This Row],[team_defense_snaps]]=0, "", Merge1[[#This Row],[defense_snaps]] / Merge1[[#This Row],[team_defense_snaps]])</f>
        <v>0.90789473684210531</v>
      </c>
      <c r="V1003">
        <v>76</v>
      </c>
      <c r="W1003">
        <v>2</v>
      </c>
      <c r="X1003" s="5" t="s">
        <v>250</v>
      </c>
      <c r="Y1003">
        <v>7</v>
      </c>
      <c r="Z1003">
        <v>0</v>
      </c>
      <c r="AA1003" t="s">
        <v>25</v>
      </c>
      <c r="AB1003" t="s">
        <v>26</v>
      </c>
      <c r="AC1003" t="s">
        <v>27</v>
      </c>
      <c r="AD1003" t="s">
        <v>42</v>
      </c>
      <c r="AE1003" t="s">
        <v>25</v>
      </c>
      <c r="AF10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4.2253521126760563E-2</v>
      </c>
      <c r="AG1003" t="s">
        <v>942</v>
      </c>
      <c r="AH1003">
        <v>65.5</v>
      </c>
      <c r="AI1003" t="s">
        <v>939</v>
      </c>
      <c r="AJ1003">
        <v>3</v>
      </c>
      <c r="AK10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MIN(AJ1003/8, 1) +
  Merge1[[#This Row],[index_defensive_effort]],
  2
)</f>
        <v>1.02</v>
      </c>
    </row>
    <row r="1004" spans="1:37" x14ac:dyDescent="0.25">
      <c r="A1004" t="s">
        <v>321</v>
      </c>
      <c r="B1004" t="s">
        <v>322</v>
      </c>
      <c r="C1004">
        <v>29</v>
      </c>
      <c r="D1004" t="s">
        <v>22</v>
      </c>
      <c r="E1004">
        <v>72</v>
      </c>
      <c r="F1004">
        <v>205</v>
      </c>
      <c r="G1004" t="s">
        <v>162</v>
      </c>
      <c r="H1004">
        <v>2020</v>
      </c>
      <c r="I1004" t="s">
        <v>33</v>
      </c>
      <c r="J1004">
        <v>8</v>
      </c>
      <c r="K1004">
        <v>1</v>
      </c>
      <c r="L1004">
        <v>2</v>
      </c>
      <c r="M1004">
        <v>1</v>
      </c>
      <c r="N1004">
        <v>3</v>
      </c>
      <c r="O1004">
        <v>0</v>
      </c>
      <c r="P1004">
        <v>0</v>
      </c>
      <c r="Q1004">
        <v>0</v>
      </c>
      <c r="R1004">
        <v>0</v>
      </c>
      <c r="S1004">
        <v>80</v>
      </c>
      <c r="T1004">
        <v>75</v>
      </c>
      <c r="U1004" s="5">
        <f>IF(Merge1[[#This Row],[team_defense_snaps]]=0, "", Merge1[[#This Row],[defense_snaps]] / Merge1[[#This Row],[team_defense_snaps]])</f>
        <v>0.97402597402597402</v>
      </c>
      <c r="V1004">
        <v>77</v>
      </c>
      <c r="W1004">
        <v>5</v>
      </c>
      <c r="X1004" s="5" t="s">
        <v>124</v>
      </c>
      <c r="Y1004">
        <v>7</v>
      </c>
      <c r="Z1004">
        <v>0</v>
      </c>
      <c r="AA1004" t="s">
        <v>25</v>
      </c>
      <c r="AB1004" t="s">
        <v>26</v>
      </c>
      <c r="AC1004" t="s">
        <v>27</v>
      </c>
      <c r="AD1004" t="s">
        <v>42</v>
      </c>
      <c r="AE1004" t="s">
        <v>25</v>
      </c>
      <c r="AF10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3.125E-2</v>
      </c>
      <c r="AG1004" t="s">
        <v>942</v>
      </c>
      <c r="AH1004">
        <v>62.5</v>
      </c>
      <c r="AI1004" t="s">
        <v>939</v>
      </c>
      <c r="AJ1004">
        <v>4</v>
      </c>
      <c r="AK10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MIN(AJ1004/8, 1) +
  Merge1[[#This Row],[index_defensive_effort]],
  2
)</f>
        <v>1.1299999999999999</v>
      </c>
    </row>
    <row r="1005" spans="1:37" x14ac:dyDescent="0.25">
      <c r="A1005" t="s">
        <v>321</v>
      </c>
      <c r="B1005" t="s">
        <v>322</v>
      </c>
      <c r="C1005">
        <v>29</v>
      </c>
      <c r="D1005" t="s">
        <v>22</v>
      </c>
      <c r="E1005">
        <v>72</v>
      </c>
      <c r="F1005">
        <v>205</v>
      </c>
      <c r="G1005" t="s">
        <v>162</v>
      </c>
      <c r="H1005">
        <v>2020</v>
      </c>
      <c r="I1005" t="s">
        <v>33</v>
      </c>
      <c r="J1005">
        <v>9</v>
      </c>
      <c r="K1005">
        <v>2</v>
      </c>
      <c r="L1005">
        <v>3</v>
      </c>
      <c r="M1005">
        <v>0</v>
      </c>
      <c r="N1005">
        <v>3</v>
      </c>
      <c r="O1005">
        <v>0</v>
      </c>
      <c r="P1005">
        <v>0</v>
      </c>
      <c r="Q1005">
        <v>0</v>
      </c>
      <c r="R1005">
        <v>0</v>
      </c>
      <c r="S1005">
        <v>69</v>
      </c>
      <c r="T1005">
        <v>58</v>
      </c>
      <c r="U1005" s="5">
        <f>IF(Merge1[[#This Row],[team_defense_snaps]]=0, "", Merge1[[#This Row],[defense_snaps]] / Merge1[[#This Row],[team_defense_snaps]])</f>
        <v>0.98305084745762716</v>
      </c>
      <c r="V1005">
        <v>59</v>
      </c>
      <c r="W1005">
        <v>11</v>
      </c>
      <c r="X1005" s="5" t="s">
        <v>57</v>
      </c>
      <c r="Y1005">
        <v>7</v>
      </c>
      <c r="Z1005">
        <v>0</v>
      </c>
      <c r="AA1005" t="s">
        <v>25</v>
      </c>
      <c r="AB1005" t="s">
        <v>26</v>
      </c>
      <c r="AC1005" t="s">
        <v>27</v>
      </c>
      <c r="AD1005" t="s">
        <v>42</v>
      </c>
      <c r="AE1005" t="s">
        <v>25</v>
      </c>
      <c r="AF10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5.0724637681159424E-2</v>
      </c>
      <c r="AG1005" t="s">
        <v>942</v>
      </c>
      <c r="AH1005">
        <v>46</v>
      </c>
      <c r="AI1005" t="s">
        <v>939</v>
      </c>
      <c r="AJ1005">
        <v>5</v>
      </c>
      <c r="AK10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MIN(AJ1005/8, 1) +
  Merge1[[#This Row],[index_defensive_effort]],
  2
)</f>
        <v>1.28</v>
      </c>
    </row>
    <row r="1006" spans="1:37" x14ac:dyDescent="0.25">
      <c r="A1006" t="s">
        <v>321</v>
      </c>
      <c r="B1006" t="s">
        <v>322</v>
      </c>
      <c r="C1006">
        <v>29</v>
      </c>
      <c r="D1006" t="s">
        <v>22</v>
      </c>
      <c r="E1006">
        <v>72</v>
      </c>
      <c r="F1006">
        <v>205</v>
      </c>
      <c r="G1006" t="s">
        <v>162</v>
      </c>
      <c r="H1006">
        <v>2020</v>
      </c>
      <c r="I1006" t="s">
        <v>33</v>
      </c>
      <c r="J1006">
        <v>10</v>
      </c>
      <c r="K1006">
        <v>4</v>
      </c>
      <c r="L1006">
        <v>1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100</v>
      </c>
      <c r="T1006">
        <v>88</v>
      </c>
      <c r="U1006" s="5">
        <f>IF(Merge1[[#This Row],[team_defense_snaps]]=0, "", Merge1[[#This Row],[defense_snaps]] / Merge1[[#This Row],[team_defense_snaps]])</f>
        <v>0.9887640449438202</v>
      </c>
      <c r="V1006">
        <v>89</v>
      </c>
      <c r="W1006">
        <v>12</v>
      </c>
      <c r="X1006" s="5" t="s">
        <v>221</v>
      </c>
      <c r="Y1006">
        <v>7</v>
      </c>
      <c r="Z1006">
        <v>0</v>
      </c>
      <c r="AA1006" t="s">
        <v>25</v>
      </c>
      <c r="AB1006" t="s">
        <v>26</v>
      </c>
      <c r="AC1006" t="s">
        <v>27</v>
      </c>
      <c r="AD1006" t="s">
        <v>42</v>
      </c>
      <c r="AE1006" t="s">
        <v>25</v>
      </c>
      <c r="AF10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4.4999999999999998E-2</v>
      </c>
      <c r="AG1006" t="s">
        <v>942</v>
      </c>
      <c r="AH1006">
        <v>70</v>
      </c>
      <c r="AI1006" t="s">
        <v>939</v>
      </c>
      <c r="AJ1006">
        <v>6</v>
      </c>
      <c r="AK10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MIN(AJ1006/8, 1) +
  Merge1[[#This Row],[index_defensive_effort]],
  2
)</f>
        <v>1.4</v>
      </c>
    </row>
    <row r="1007" spans="1:37" x14ac:dyDescent="0.25">
      <c r="A1007" t="s">
        <v>321</v>
      </c>
      <c r="B1007" t="s">
        <v>322</v>
      </c>
      <c r="C1007">
        <v>29</v>
      </c>
      <c r="D1007" t="s">
        <v>22</v>
      </c>
      <c r="E1007">
        <v>72</v>
      </c>
      <c r="F1007">
        <v>205</v>
      </c>
      <c r="G1007" t="s">
        <v>162</v>
      </c>
      <c r="H1007">
        <v>2020</v>
      </c>
      <c r="I1007" t="s">
        <v>33</v>
      </c>
      <c r="J1007">
        <v>11</v>
      </c>
      <c r="K1007">
        <v>3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76</v>
      </c>
      <c r="T1007">
        <v>70</v>
      </c>
      <c r="U1007" s="5">
        <f>IF(Merge1[[#This Row],[team_defense_snaps]]=0, "", Merge1[[#This Row],[defense_snaps]] / Merge1[[#This Row],[team_defense_snaps]])</f>
        <v>0.9859154929577465</v>
      </c>
      <c r="V1007">
        <v>71</v>
      </c>
      <c r="W1007">
        <v>6</v>
      </c>
      <c r="X1007" s="5" t="s">
        <v>136</v>
      </c>
      <c r="Y1007">
        <v>7</v>
      </c>
      <c r="Z1007">
        <v>0</v>
      </c>
      <c r="AA1007" t="s">
        <v>25</v>
      </c>
      <c r="AB1007" t="s">
        <v>26</v>
      </c>
      <c r="AC1007" t="s">
        <v>27</v>
      </c>
      <c r="AD1007" t="s">
        <v>42</v>
      </c>
      <c r="AE1007" t="s">
        <v>25</v>
      </c>
      <c r="AF10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3.9473684210526314E-2</v>
      </c>
      <c r="AG1007" t="s">
        <v>942</v>
      </c>
      <c r="AH1007">
        <v>56.5</v>
      </c>
      <c r="AI1007" t="s">
        <v>939</v>
      </c>
      <c r="AJ1007">
        <v>7</v>
      </c>
      <c r="AK10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MIN(AJ1007/8, 1) +
  Merge1[[#This Row],[index_defensive_effort]],
  2
)</f>
        <v>1.51</v>
      </c>
    </row>
    <row r="1008" spans="1:37" x14ac:dyDescent="0.25">
      <c r="A1008" t="s">
        <v>321</v>
      </c>
      <c r="B1008" t="s">
        <v>322</v>
      </c>
      <c r="C1008">
        <v>29</v>
      </c>
      <c r="D1008" t="s">
        <v>22</v>
      </c>
      <c r="E1008">
        <v>72</v>
      </c>
      <c r="F1008">
        <v>205</v>
      </c>
      <c r="G1008" t="s">
        <v>162</v>
      </c>
      <c r="H1008">
        <v>2020</v>
      </c>
      <c r="I1008" t="s">
        <v>33</v>
      </c>
      <c r="J1008">
        <v>12</v>
      </c>
      <c r="K1008">
        <v>3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64</v>
      </c>
      <c r="T1008">
        <v>57</v>
      </c>
      <c r="U1008" s="5">
        <f>IF(Merge1[[#This Row],[team_defense_snaps]]=0, "", Merge1[[#This Row],[defense_snaps]] / Merge1[[#This Row],[team_defense_snaps]])</f>
        <v>0.98275862068965514</v>
      </c>
      <c r="V1008">
        <v>58</v>
      </c>
      <c r="W1008">
        <v>7</v>
      </c>
      <c r="X1008" s="5" t="s">
        <v>133</v>
      </c>
      <c r="Y1008">
        <v>7</v>
      </c>
      <c r="Z1008">
        <v>0</v>
      </c>
      <c r="AA1008" t="s">
        <v>25</v>
      </c>
      <c r="AB1008" t="s">
        <v>26</v>
      </c>
      <c r="AC1008" t="s">
        <v>27</v>
      </c>
      <c r="AD1008" t="s">
        <v>42</v>
      </c>
      <c r="AE1008" t="s">
        <v>25</v>
      </c>
      <c r="AF10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4.6875E-2</v>
      </c>
      <c r="AG1008" t="s">
        <v>942</v>
      </c>
      <c r="AH1008">
        <v>50.5</v>
      </c>
      <c r="AI1008" t="s">
        <v>939</v>
      </c>
      <c r="AJ1008">
        <v>8</v>
      </c>
      <c r="AK10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MIN(AJ1008/8, 1) +
  Merge1[[#This Row],[index_defensive_effort]],
  2
)</f>
        <v>1.65</v>
      </c>
    </row>
    <row r="1009" spans="1:37" x14ac:dyDescent="0.25">
      <c r="A1009" t="s">
        <v>321</v>
      </c>
      <c r="B1009" t="s">
        <v>322</v>
      </c>
      <c r="C1009">
        <v>29</v>
      </c>
      <c r="D1009" t="s">
        <v>22</v>
      </c>
      <c r="E1009">
        <v>72</v>
      </c>
      <c r="F1009">
        <v>205</v>
      </c>
      <c r="G1009" t="s">
        <v>162</v>
      </c>
      <c r="H1009">
        <v>2020</v>
      </c>
      <c r="I1009" t="s">
        <v>33</v>
      </c>
      <c r="J1009">
        <v>13</v>
      </c>
      <c r="K1009">
        <v>2</v>
      </c>
      <c r="L1009">
        <v>1</v>
      </c>
      <c r="M1009">
        <v>0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75</v>
      </c>
      <c r="T1009">
        <v>69</v>
      </c>
      <c r="U1009" s="5">
        <f>IF(Merge1[[#This Row],[team_defense_snaps]]=0, "", Merge1[[#This Row],[defense_snaps]] / Merge1[[#This Row],[team_defense_snaps]])</f>
        <v>0.971830985915493</v>
      </c>
      <c r="V1009">
        <v>71</v>
      </c>
      <c r="W1009">
        <v>6</v>
      </c>
      <c r="X1009" s="5" t="s">
        <v>58</v>
      </c>
      <c r="Y1009">
        <v>7</v>
      </c>
      <c r="Z1009">
        <v>0</v>
      </c>
      <c r="AA1009" t="s">
        <v>25</v>
      </c>
      <c r="AB1009" t="s">
        <v>26</v>
      </c>
      <c r="AC1009" t="s">
        <v>27</v>
      </c>
      <c r="AD1009" t="s">
        <v>42</v>
      </c>
      <c r="AE1009" t="s">
        <v>25</v>
      </c>
      <c r="AF10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3.3333333333333333E-2</v>
      </c>
      <c r="AG1009" t="s">
        <v>942</v>
      </c>
      <c r="AH1009">
        <v>52</v>
      </c>
      <c r="AI1009" t="s">
        <v>939</v>
      </c>
      <c r="AJ1009">
        <v>9</v>
      </c>
      <c r="AK10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MIN(AJ1009/8, 1) +
  Merge1[[#This Row],[index_defensive_effort]],
  2
)</f>
        <v>1.63</v>
      </c>
    </row>
    <row r="1010" spans="1:37" x14ac:dyDescent="0.25">
      <c r="A1010" t="s">
        <v>321</v>
      </c>
      <c r="B1010" t="s">
        <v>322</v>
      </c>
      <c r="C1010">
        <v>29</v>
      </c>
      <c r="D1010" t="s">
        <v>22</v>
      </c>
      <c r="E1010">
        <v>72</v>
      </c>
      <c r="F1010">
        <v>205</v>
      </c>
      <c r="G1010" t="s">
        <v>162</v>
      </c>
      <c r="H1010">
        <v>2020</v>
      </c>
      <c r="I1010" t="s">
        <v>33</v>
      </c>
      <c r="J1010">
        <v>14</v>
      </c>
      <c r="K1010">
        <v>1</v>
      </c>
      <c r="L1010">
        <v>1</v>
      </c>
      <c r="M1010">
        <v>0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76</v>
      </c>
      <c r="T1010">
        <v>67</v>
      </c>
      <c r="U1010" s="5">
        <f>IF(Merge1[[#This Row],[team_defense_snaps]]=0, "", Merge1[[#This Row],[defense_snaps]] / Merge1[[#This Row],[team_defense_snaps]])</f>
        <v>1</v>
      </c>
      <c r="V1010">
        <v>67</v>
      </c>
      <c r="W1010">
        <v>9</v>
      </c>
      <c r="X1010" s="5" t="s">
        <v>134</v>
      </c>
      <c r="Y1010">
        <v>7</v>
      </c>
      <c r="Z1010">
        <v>0</v>
      </c>
      <c r="AA1010" t="s">
        <v>25</v>
      </c>
      <c r="AB1010" t="s">
        <v>26</v>
      </c>
      <c r="AC1010" t="s">
        <v>27</v>
      </c>
      <c r="AD1010" t="s">
        <v>42</v>
      </c>
      <c r="AE1010" t="s">
        <v>25</v>
      </c>
      <c r="AF10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1.9736842105263157E-2</v>
      </c>
      <c r="AG1010" t="s">
        <v>942</v>
      </c>
      <c r="AH1010">
        <v>61</v>
      </c>
      <c r="AI1010" t="s">
        <v>939</v>
      </c>
      <c r="AJ1010">
        <v>10</v>
      </c>
      <c r="AK10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MIN(AJ1010/8, 1) +
  Merge1[[#This Row],[index_defensive_effort]],
  2
)</f>
        <v>1.62</v>
      </c>
    </row>
    <row r="1011" spans="1:37" x14ac:dyDescent="0.25">
      <c r="A1011" t="s">
        <v>321</v>
      </c>
      <c r="B1011" t="s">
        <v>322</v>
      </c>
      <c r="C1011">
        <v>29</v>
      </c>
      <c r="D1011" t="s">
        <v>22</v>
      </c>
      <c r="E1011">
        <v>72</v>
      </c>
      <c r="F1011">
        <v>205</v>
      </c>
      <c r="G1011" t="s">
        <v>162</v>
      </c>
      <c r="H1011">
        <v>2020</v>
      </c>
      <c r="I1011" t="s">
        <v>33</v>
      </c>
      <c r="J1011">
        <v>15</v>
      </c>
      <c r="K1011">
        <v>4</v>
      </c>
      <c r="L1011">
        <v>6</v>
      </c>
      <c r="M1011">
        <v>4</v>
      </c>
      <c r="N1011">
        <v>10</v>
      </c>
      <c r="O1011">
        <v>0</v>
      </c>
      <c r="P1011">
        <v>0</v>
      </c>
      <c r="Q1011">
        <v>0</v>
      </c>
      <c r="R1011">
        <v>0</v>
      </c>
      <c r="S1011">
        <v>75</v>
      </c>
      <c r="T1011">
        <v>68</v>
      </c>
      <c r="U1011" s="5">
        <f>IF(Merge1[[#This Row],[team_defense_snaps]]=0, "", Merge1[[#This Row],[defense_snaps]] / Merge1[[#This Row],[team_defense_snaps]])</f>
        <v>1</v>
      </c>
      <c r="V1011">
        <v>68</v>
      </c>
      <c r="W1011">
        <v>7</v>
      </c>
      <c r="X1011" s="5" t="s">
        <v>136</v>
      </c>
      <c r="Y1011">
        <v>7</v>
      </c>
      <c r="Z1011">
        <v>0</v>
      </c>
      <c r="AA1011" t="s">
        <v>25</v>
      </c>
      <c r="AB1011" t="s">
        <v>26</v>
      </c>
      <c r="AC1011" t="s">
        <v>27</v>
      </c>
      <c r="AD1011" t="s">
        <v>42</v>
      </c>
      <c r="AE1011" t="s">
        <v>25</v>
      </c>
      <c r="AF10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</v>
      </c>
      <c r="AG1011" t="s">
        <v>942</v>
      </c>
      <c r="AH1011">
        <v>58</v>
      </c>
      <c r="AI1011" t="s">
        <v>939</v>
      </c>
      <c r="AJ1011">
        <v>11</v>
      </c>
      <c r="AK10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MIN(AJ1011/8, 1) +
  Merge1[[#This Row],[index_defensive_effort]],
  2
)</f>
        <v>1.72</v>
      </c>
    </row>
    <row r="1012" spans="1:37" x14ac:dyDescent="0.25">
      <c r="A1012" t="s">
        <v>321</v>
      </c>
      <c r="B1012" t="s">
        <v>322</v>
      </c>
      <c r="C1012">
        <v>29</v>
      </c>
      <c r="D1012" t="s">
        <v>22</v>
      </c>
      <c r="E1012">
        <v>72</v>
      </c>
      <c r="F1012">
        <v>205</v>
      </c>
      <c r="G1012" t="s">
        <v>162</v>
      </c>
      <c r="H1012">
        <v>2020</v>
      </c>
      <c r="I1012" t="s">
        <v>33</v>
      </c>
      <c r="J1012">
        <v>16</v>
      </c>
      <c r="K1012">
        <v>5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81</v>
      </c>
      <c r="T1012">
        <v>73</v>
      </c>
      <c r="U1012" s="5">
        <f>IF(Merge1[[#This Row],[team_defense_snaps]]=0, "", Merge1[[#This Row],[defense_snaps]] / Merge1[[#This Row],[team_defense_snaps]])</f>
        <v>0.91249999999999998</v>
      </c>
      <c r="V1012">
        <v>80</v>
      </c>
      <c r="W1012">
        <v>8</v>
      </c>
      <c r="X1012" s="5" t="s">
        <v>136</v>
      </c>
      <c r="Y1012">
        <v>7</v>
      </c>
      <c r="Z1012">
        <v>0</v>
      </c>
      <c r="AA1012" t="s">
        <v>25</v>
      </c>
      <c r="AB1012" t="s">
        <v>26</v>
      </c>
      <c r="AC1012" t="s">
        <v>27</v>
      </c>
      <c r="AD1012" t="s">
        <v>42</v>
      </c>
      <c r="AE1012" t="s">
        <v>25</v>
      </c>
      <c r="AF10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6.1728395061728392E-2</v>
      </c>
      <c r="AG1012" t="s">
        <v>942</v>
      </c>
      <c r="AH1012">
        <v>55</v>
      </c>
      <c r="AI1012" t="s">
        <v>939</v>
      </c>
      <c r="AJ1012">
        <v>12</v>
      </c>
      <c r="AK10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MIN(AJ1012/8, 1) +
  Merge1[[#This Row],[index_defensive_effort]],
  2
)</f>
        <v>1.66</v>
      </c>
    </row>
    <row r="1013" spans="1:37" x14ac:dyDescent="0.25">
      <c r="A1013" t="s">
        <v>321</v>
      </c>
      <c r="B1013" t="s">
        <v>322</v>
      </c>
      <c r="C1013">
        <v>29</v>
      </c>
      <c r="D1013" t="s">
        <v>22</v>
      </c>
      <c r="E1013">
        <v>72</v>
      </c>
      <c r="F1013">
        <v>205</v>
      </c>
      <c r="G1013" t="s">
        <v>162</v>
      </c>
      <c r="H1013">
        <v>2020</v>
      </c>
      <c r="I1013" t="s">
        <v>33</v>
      </c>
      <c r="J1013">
        <v>17</v>
      </c>
      <c r="K1013">
        <v>8</v>
      </c>
      <c r="L1013">
        <v>1</v>
      </c>
      <c r="M1013">
        <v>1</v>
      </c>
      <c r="N1013">
        <v>2</v>
      </c>
      <c r="O1013">
        <v>0</v>
      </c>
      <c r="P1013">
        <v>0</v>
      </c>
      <c r="Q1013">
        <v>0</v>
      </c>
      <c r="R1013">
        <v>0</v>
      </c>
      <c r="S1013">
        <v>87</v>
      </c>
      <c r="T1013">
        <v>80</v>
      </c>
      <c r="U1013" s="5">
        <f>IF(Merge1[[#This Row],[team_defense_snaps]]=0, "", Merge1[[#This Row],[defense_snaps]] / Merge1[[#This Row],[team_defense_snaps]])</f>
        <v>1</v>
      </c>
      <c r="V1013">
        <v>80</v>
      </c>
      <c r="W1013">
        <v>7</v>
      </c>
      <c r="X1013" s="5" t="s">
        <v>132</v>
      </c>
      <c r="Y1013">
        <v>7</v>
      </c>
      <c r="Z1013">
        <v>0</v>
      </c>
      <c r="AA1013" t="s">
        <v>25</v>
      </c>
      <c r="AB1013" t="s">
        <v>26</v>
      </c>
      <c r="AC1013" t="s">
        <v>27</v>
      </c>
      <c r="AD1013" t="s">
        <v>42</v>
      </c>
      <c r="AE1013" t="s">
        <v>25</v>
      </c>
      <c r="AF10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0.10344827586206896</v>
      </c>
      <c r="AG1013" t="s">
        <v>942</v>
      </c>
      <c r="AH1013">
        <v>59.5</v>
      </c>
      <c r="AI1013" t="s">
        <v>939</v>
      </c>
      <c r="AJ1013">
        <v>1</v>
      </c>
      <c r="AK10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MIN(AJ1013/8, 1) +
  Merge1[[#This Row],[index_defensive_effort]],
  2
)</f>
        <v>0.83</v>
      </c>
    </row>
    <row r="1014" spans="1:37" x14ac:dyDescent="0.25">
      <c r="A1014" t="s">
        <v>356</v>
      </c>
      <c r="B1014" t="s">
        <v>357</v>
      </c>
      <c r="C1014">
        <v>23</v>
      </c>
      <c r="D1014" t="s">
        <v>56</v>
      </c>
      <c r="E1014">
        <v>73</v>
      </c>
      <c r="F1014">
        <v>195</v>
      </c>
      <c r="G1014" t="s">
        <v>117</v>
      </c>
      <c r="H1014">
        <v>2020</v>
      </c>
      <c r="I1014" t="s">
        <v>33</v>
      </c>
      <c r="J1014">
        <v>17</v>
      </c>
      <c r="K1014">
        <v>1</v>
      </c>
      <c r="L1014">
        <v>1</v>
      </c>
      <c r="M1014">
        <v>0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19</v>
      </c>
      <c r="T1014">
        <v>19</v>
      </c>
      <c r="U1014" s="5">
        <f>IF(Merge1[[#This Row],[team_defense_snaps]]=0, "", Merge1[[#This Row],[defense_snaps]] / Merge1[[#This Row],[team_defense_snaps]])</f>
        <v>0.32758620689655171</v>
      </c>
      <c r="V1014">
        <v>58</v>
      </c>
      <c r="W1014">
        <v>0</v>
      </c>
      <c r="X1014" s="5" t="s">
        <v>29</v>
      </c>
      <c r="Y1014">
        <v>1</v>
      </c>
      <c r="Z1014">
        <v>0</v>
      </c>
      <c r="AA1014" t="s">
        <v>25</v>
      </c>
      <c r="AB1014" t="s">
        <v>26</v>
      </c>
      <c r="AC1014" t="s">
        <v>27</v>
      </c>
      <c r="AD1014" t="s">
        <v>28</v>
      </c>
      <c r="AE1014" t="s">
        <v>25</v>
      </c>
      <c r="AF10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7.8947368421052627E-2</v>
      </c>
      <c r="AG1014" t="s">
        <v>942</v>
      </c>
      <c r="AH1014">
        <v>46</v>
      </c>
      <c r="AI1014" t="s">
        <v>939</v>
      </c>
      <c r="AJ1014">
        <v>1</v>
      </c>
      <c r="AK10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MIN(AJ1014/8, 1) +
  Merge1[[#This Row],[index_defensive_effort]],
  2
)</f>
        <v>0.6</v>
      </c>
    </row>
    <row r="1015" spans="1:37" x14ac:dyDescent="0.25">
      <c r="A1015" t="s">
        <v>404</v>
      </c>
      <c r="B1015" t="s">
        <v>405</v>
      </c>
      <c r="C1015">
        <v>27</v>
      </c>
      <c r="D1015" t="s">
        <v>22</v>
      </c>
      <c r="E1015">
        <v>72</v>
      </c>
      <c r="F1015">
        <v>202</v>
      </c>
      <c r="G1015" t="s">
        <v>228</v>
      </c>
      <c r="H1015">
        <v>2020</v>
      </c>
      <c r="I1015" t="s">
        <v>33</v>
      </c>
      <c r="J1015">
        <v>1</v>
      </c>
      <c r="K1015">
        <v>5</v>
      </c>
      <c r="L1015">
        <v>1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80</v>
      </c>
      <c r="T1015">
        <v>78</v>
      </c>
      <c r="U1015" s="5">
        <f>IF(Merge1[[#This Row],[team_defense_snaps]]=0, "", Merge1[[#This Row],[defense_snaps]] / Merge1[[#This Row],[team_defense_snaps]])</f>
        <v>1</v>
      </c>
      <c r="V1015">
        <v>78</v>
      </c>
      <c r="W1015">
        <v>2</v>
      </c>
      <c r="X1015" s="5" t="s">
        <v>114</v>
      </c>
      <c r="Y1015">
        <v>3</v>
      </c>
      <c r="Z1015">
        <v>0</v>
      </c>
      <c r="AA1015" t="s">
        <v>25</v>
      </c>
      <c r="AB1015" t="s">
        <v>26</v>
      </c>
      <c r="AC1015" t="s">
        <v>27</v>
      </c>
      <c r="AD1015" t="s">
        <v>42</v>
      </c>
      <c r="AE1015" t="s">
        <v>25</v>
      </c>
      <c r="AF10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6.8750000000000006E-2</v>
      </c>
      <c r="AG1015" t="s">
        <v>941</v>
      </c>
      <c r="AH1015">
        <v>47.5</v>
      </c>
      <c r="AI1015" t="s">
        <v>939</v>
      </c>
      <c r="AJ1015">
        <v>2</v>
      </c>
      <c r="AK10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MIN(AJ1015/8, 1) +
  Merge1[[#This Row],[index_defensive_effort]],
  2
)</f>
        <v>0.92</v>
      </c>
    </row>
    <row r="1016" spans="1:37" x14ac:dyDescent="0.25">
      <c r="A1016" t="s">
        <v>404</v>
      </c>
      <c r="B1016" t="s">
        <v>405</v>
      </c>
      <c r="C1016">
        <v>27</v>
      </c>
      <c r="D1016" t="s">
        <v>22</v>
      </c>
      <c r="E1016">
        <v>72</v>
      </c>
      <c r="F1016">
        <v>202</v>
      </c>
      <c r="G1016" t="s">
        <v>228</v>
      </c>
      <c r="H1016">
        <v>2020</v>
      </c>
      <c r="I1016" t="s">
        <v>33</v>
      </c>
      <c r="J1016">
        <v>2</v>
      </c>
      <c r="K1016">
        <v>7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64</v>
      </c>
      <c r="T1016">
        <v>63</v>
      </c>
      <c r="U1016" s="5">
        <f>IF(Merge1[[#This Row],[team_defense_snaps]]=0, "", Merge1[[#This Row],[defense_snaps]] / Merge1[[#This Row],[team_defense_snaps]])</f>
        <v>0.95454545454545459</v>
      </c>
      <c r="V1016">
        <v>66</v>
      </c>
      <c r="W1016">
        <v>1</v>
      </c>
      <c r="X1016" s="5" t="s">
        <v>34</v>
      </c>
      <c r="Y1016">
        <v>3</v>
      </c>
      <c r="Z1016">
        <v>0</v>
      </c>
      <c r="AA1016" t="s">
        <v>25</v>
      </c>
      <c r="AB1016" t="s">
        <v>26</v>
      </c>
      <c r="AC1016" t="s">
        <v>27</v>
      </c>
      <c r="AD1016" t="s">
        <v>42</v>
      </c>
      <c r="AE1016" t="s">
        <v>25</v>
      </c>
      <c r="AF10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0.109375</v>
      </c>
      <c r="AG1016" t="s">
        <v>941</v>
      </c>
      <c r="AH1016">
        <v>59.5</v>
      </c>
      <c r="AI1016" t="s">
        <v>939</v>
      </c>
      <c r="AJ1016">
        <v>3</v>
      </c>
      <c r="AK10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MIN(AJ1016/8, 1) +
  Merge1[[#This Row],[index_defensive_effort]],
  2
)</f>
        <v>1.08</v>
      </c>
    </row>
    <row r="1017" spans="1:37" x14ac:dyDescent="0.25">
      <c r="A1017" t="s">
        <v>404</v>
      </c>
      <c r="B1017" t="s">
        <v>405</v>
      </c>
      <c r="C1017">
        <v>27</v>
      </c>
      <c r="D1017" t="s">
        <v>22</v>
      </c>
      <c r="E1017">
        <v>72</v>
      </c>
      <c r="F1017">
        <v>202</v>
      </c>
      <c r="G1017" t="s">
        <v>228</v>
      </c>
      <c r="H1017">
        <v>2020</v>
      </c>
      <c r="I1017" t="s">
        <v>33</v>
      </c>
      <c r="J1017">
        <v>3</v>
      </c>
      <c r="K1017">
        <v>5</v>
      </c>
      <c r="L1017">
        <v>2</v>
      </c>
      <c r="M1017">
        <v>1</v>
      </c>
      <c r="N1017">
        <v>3</v>
      </c>
      <c r="O1017">
        <v>0</v>
      </c>
      <c r="P1017">
        <v>0</v>
      </c>
      <c r="Q1017">
        <v>0</v>
      </c>
      <c r="R1017">
        <v>0</v>
      </c>
      <c r="S1017">
        <v>69</v>
      </c>
      <c r="T1017">
        <v>68</v>
      </c>
      <c r="U1017" s="5">
        <f>IF(Merge1[[#This Row],[team_defense_snaps]]=0, "", Merge1[[#This Row],[defense_snaps]] / Merge1[[#This Row],[team_defense_snaps]])</f>
        <v>1</v>
      </c>
      <c r="V1017">
        <v>68</v>
      </c>
      <c r="W1017">
        <v>1</v>
      </c>
      <c r="X1017" s="5" t="s">
        <v>303</v>
      </c>
      <c r="Y1017">
        <v>3</v>
      </c>
      <c r="Z1017">
        <v>0</v>
      </c>
      <c r="AA1017" t="s">
        <v>25</v>
      </c>
      <c r="AB1017" t="s">
        <v>26</v>
      </c>
      <c r="AC1017" t="s">
        <v>27</v>
      </c>
      <c r="AD1017" t="s">
        <v>42</v>
      </c>
      <c r="AE1017" t="s">
        <v>25</v>
      </c>
      <c r="AF10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9.420289855072464E-2</v>
      </c>
      <c r="AG1017" t="s">
        <v>941</v>
      </c>
      <c r="AH1017">
        <v>62.5</v>
      </c>
      <c r="AI1017" t="s">
        <v>939</v>
      </c>
      <c r="AJ1017">
        <v>4</v>
      </c>
      <c r="AK10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MIN(AJ1017/8, 1) +
  Merge1[[#This Row],[index_defensive_effort]],
  2
)</f>
        <v>1.19</v>
      </c>
    </row>
    <row r="1018" spans="1:37" x14ac:dyDescent="0.25">
      <c r="A1018" t="s">
        <v>404</v>
      </c>
      <c r="B1018" t="s">
        <v>405</v>
      </c>
      <c r="C1018">
        <v>27</v>
      </c>
      <c r="D1018" t="s">
        <v>22</v>
      </c>
      <c r="E1018">
        <v>72</v>
      </c>
      <c r="F1018">
        <v>202</v>
      </c>
      <c r="G1018" t="s">
        <v>228</v>
      </c>
      <c r="H1018">
        <v>2020</v>
      </c>
      <c r="I1018" t="s">
        <v>33</v>
      </c>
      <c r="J1018">
        <v>4</v>
      </c>
      <c r="K1018">
        <v>3</v>
      </c>
      <c r="L1018">
        <v>3</v>
      </c>
      <c r="M1018">
        <v>2</v>
      </c>
      <c r="N1018">
        <v>5</v>
      </c>
      <c r="O1018">
        <v>0</v>
      </c>
      <c r="P1018">
        <v>0</v>
      </c>
      <c r="Q1018">
        <v>0</v>
      </c>
      <c r="R1018">
        <v>0</v>
      </c>
      <c r="S1018">
        <v>72</v>
      </c>
      <c r="T1018">
        <v>72</v>
      </c>
      <c r="U1018" s="5">
        <f>IF(Merge1[[#This Row],[team_defense_snaps]]=0, "", Merge1[[#This Row],[defense_snaps]] / Merge1[[#This Row],[team_defense_snaps]])</f>
        <v>1</v>
      </c>
      <c r="V1018">
        <v>72</v>
      </c>
      <c r="W1018">
        <v>0</v>
      </c>
      <c r="X1018" s="5" t="s">
        <v>29</v>
      </c>
      <c r="Y1018">
        <v>3</v>
      </c>
      <c r="Z1018">
        <v>0</v>
      </c>
      <c r="AA1018" t="s">
        <v>25</v>
      </c>
      <c r="AB1018" t="s">
        <v>26</v>
      </c>
      <c r="AC1018" t="s">
        <v>27</v>
      </c>
      <c r="AD1018" t="s">
        <v>42</v>
      </c>
      <c r="AE1018" t="s">
        <v>25</v>
      </c>
      <c r="AF10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7.6388888888888895E-2</v>
      </c>
      <c r="AG1018" t="s">
        <v>941</v>
      </c>
      <c r="AH1018">
        <v>53.5</v>
      </c>
      <c r="AI1018" t="s">
        <v>939</v>
      </c>
      <c r="AJ1018">
        <v>5</v>
      </c>
      <c r="AK10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MIN(AJ1018/8, 1) +
  Merge1[[#This Row],[index_defensive_effort]],
  2
)</f>
        <v>1.3</v>
      </c>
    </row>
    <row r="1019" spans="1:37" x14ac:dyDescent="0.25">
      <c r="A1019" t="s">
        <v>404</v>
      </c>
      <c r="B1019" t="s">
        <v>405</v>
      </c>
      <c r="C1019">
        <v>27</v>
      </c>
      <c r="D1019" t="s">
        <v>22</v>
      </c>
      <c r="E1019">
        <v>72</v>
      </c>
      <c r="F1019">
        <v>202</v>
      </c>
      <c r="G1019" t="s">
        <v>228</v>
      </c>
      <c r="H1019">
        <v>2020</v>
      </c>
      <c r="I1019" t="s">
        <v>33</v>
      </c>
      <c r="J1019">
        <v>5</v>
      </c>
      <c r="K1019">
        <v>2</v>
      </c>
      <c r="L1019">
        <v>2</v>
      </c>
      <c r="M1019">
        <v>0</v>
      </c>
      <c r="N1019">
        <v>2</v>
      </c>
      <c r="O1019">
        <v>0</v>
      </c>
      <c r="P1019">
        <v>0</v>
      </c>
      <c r="Q1019">
        <v>0</v>
      </c>
      <c r="R1019">
        <v>0</v>
      </c>
      <c r="S1019">
        <v>71</v>
      </c>
      <c r="T1019">
        <v>71</v>
      </c>
      <c r="U1019" s="5">
        <f>IF(Merge1[[#This Row],[team_defense_snaps]]=0, "", Merge1[[#This Row],[defense_snaps]] / Merge1[[#This Row],[team_defense_snaps]])</f>
        <v>1</v>
      </c>
      <c r="V1019">
        <v>71</v>
      </c>
      <c r="W1019">
        <v>0</v>
      </c>
      <c r="X1019" s="5" t="s">
        <v>29</v>
      </c>
      <c r="Y1019">
        <v>3</v>
      </c>
      <c r="Z1019">
        <v>0</v>
      </c>
      <c r="AA1019" t="s">
        <v>25</v>
      </c>
      <c r="AB1019" t="s">
        <v>26</v>
      </c>
      <c r="AC1019" t="s">
        <v>27</v>
      </c>
      <c r="AD1019" t="s">
        <v>42</v>
      </c>
      <c r="AE1019" t="s">
        <v>25</v>
      </c>
      <c r="AF10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4.2253521126760563E-2</v>
      </c>
      <c r="AG1019" t="s">
        <v>941</v>
      </c>
      <c r="AH1019">
        <v>50</v>
      </c>
      <c r="AI1019" t="s">
        <v>939</v>
      </c>
      <c r="AJ1019">
        <v>6</v>
      </c>
      <c r="AK10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MIN(AJ1019/8, 1) +
  Merge1[[#This Row],[index_defensive_effort]],
  2
)</f>
        <v>1.39</v>
      </c>
    </row>
    <row r="1020" spans="1:37" x14ac:dyDescent="0.25">
      <c r="A1020" t="s">
        <v>404</v>
      </c>
      <c r="B1020" t="s">
        <v>405</v>
      </c>
      <c r="C1020">
        <v>27</v>
      </c>
      <c r="D1020" t="s">
        <v>22</v>
      </c>
      <c r="E1020">
        <v>72</v>
      </c>
      <c r="F1020">
        <v>202</v>
      </c>
      <c r="G1020" t="s">
        <v>228</v>
      </c>
      <c r="H1020">
        <v>2020</v>
      </c>
      <c r="I1020" t="s">
        <v>33</v>
      </c>
      <c r="J1020">
        <v>6</v>
      </c>
      <c r="K1020">
        <v>1</v>
      </c>
      <c r="L1020">
        <v>2</v>
      </c>
      <c r="M1020">
        <v>0</v>
      </c>
      <c r="N1020">
        <v>2</v>
      </c>
      <c r="O1020">
        <v>0</v>
      </c>
      <c r="P1020">
        <v>0</v>
      </c>
      <c r="Q1020">
        <v>0</v>
      </c>
      <c r="R1020">
        <v>2</v>
      </c>
      <c r="S1020">
        <v>68</v>
      </c>
      <c r="T1020">
        <v>68</v>
      </c>
      <c r="U1020" s="5">
        <f>IF(Merge1[[#This Row],[team_defense_snaps]]=0, "", Merge1[[#This Row],[defense_snaps]] / Merge1[[#This Row],[team_defense_snaps]])</f>
        <v>0.98550724637681164</v>
      </c>
      <c r="V1020">
        <v>69</v>
      </c>
      <c r="W1020">
        <v>0</v>
      </c>
      <c r="X1020" s="5" t="s">
        <v>29</v>
      </c>
      <c r="Y1020">
        <v>3</v>
      </c>
      <c r="Z1020">
        <v>0</v>
      </c>
      <c r="AA1020" t="s">
        <v>25</v>
      </c>
      <c r="AB1020" t="s">
        <v>26</v>
      </c>
      <c r="AC1020" t="s">
        <v>27</v>
      </c>
      <c r="AD1020" t="s">
        <v>42</v>
      </c>
      <c r="AE1020" t="s">
        <v>25</v>
      </c>
      <c r="AF10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8.8235294117647065E-2</v>
      </c>
      <c r="AG1020" t="s">
        <v>941</v>
      </c>
      <c r="AH1020">
        <v>67</v>
      </c>
      <c r="AI1020" t="s">
        <v>939</v>
      </c>
      <c r="AJ1020">
        <v>7</v>
      </c>
      <c r="AK10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MIN(AJ1020/8, 1) +
  Merge1[[#This Row],[index_defensive_effort]],
  2
)</f>
        <v>1.56</v>
      </c>
    </row>
    <row r="1021" spans="1:37" x14ac:dyDescent="0.25">
      <c r="A1021" t="s">
        <v>404</v>
      </c>
      <c r="B1021" t="s">
        <v>405</v>
      </c>
      <c r="C1021">
        <v>27</v>
      </c>
      <c r="D1021" t="s">
        <v>22</v>
      </c>
      <c r="E1021">
        <v>72</v>
      </c>
      <c r="F1021">
        <v>202</v>
      </c>
      <c r="G1021" t="s">
        <v>228</v>
      </c>
      <c r="H1021">
        <v>2020</v>
      </c>
      <c r="I1021" t="s">
        <v>33</v>
      </c>
      <c r="J1021">
        <v>7</v>
      </c>
      <c r="K1021">
        <v>8</v>
      </c>
      <c r="L1021">
        <v>1</v>
      </c>
      <c r="M1021">
        <v>0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73</v>
      </c>
      <c r="T1021">
        <v>71</v>
      </c>
      <c r="U1021" s="5">
        <f>IF(Merge1[[#This Row],[team_defense_snaps]]=0, "", Merge1[[#This Row],[defense_snaps]] / Merge1[[#This Row],[team_defense_snaps]])</f>
        <v>0.98611111111111116</v>
      </c>
      <c r="V1021">
        <v>72</v>
      </c>
      <c r="W1021">
        <v>2</v>
      </c>
      <c r="X1021" s="5" t="s">
        <v>167</v>
      </c>
      <c r="Y1021">
        <v>3</v>
      </c>
      <c r="Z1021">
        <v>0</v>
      </c>
      <c r="AA1021" t="s">
        <v>25</v>
      </c>
      <c r="AB1021" t="s">
        <v>26</v>
      </c>
      <c r="AC1021" t="s">
        <v>27</v>
      </c>
      <c r="AD1021" t="s">
        <v>42</v>
      </c>
      <c r="AE1021" t="s">
        <v>25</v>
      </c>
      <c r="AF10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0.11643835616438356</v>
      </c>
      <c r="AG1021" t="s">
        <v>941</v>
      </c>
      <c r="AH1021">
        <v>49</v>
      </c>
      <c r="AI1021" t="s">
        <v>939</v>
      </c>
      <c r="AJ1021">
        <v>8</v>
      </c>
      <c r="AK10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MIN(AJ1021/8, 1) +
  Merge1[[#This Row],[index_defensive_effort]],
  2
)</f>
        <v>1.72</v>
      </c>
    </row>
    <row r="1022" spans="1:37" x14ac:dyDescent="0.25">
      <c r="A1022" t="s">
        <v>404</v>
      </c>
      <c r="B1022" t="s">
        <v>405</v>
      </c>
      <c r="C1022">
        <v>27</v>
      </c>
      <c r="D1022" t="s">
        <v>22</v>
      </c>
      <c r="E1022">
        <v>72</v>
      </c>
      <c r="F1022">
        <v>202</v>
      </c>
      <c r="G1022" t="s">
        <v>228</v>
      </c>
      <c r="H1022">
        <v>2020</v>
      </c>
      <c r="I1022" t="s">
        <v>33</v>
      </c>
      <c r="J1022">
        <v>8</v>
      </c>
      <c r="K1022">
        <v>6</v>
      </c>
      <c r="L1022">
        <v>2</v>
      </c>
      <c r="M1022">
        <v>0</v>
      </c>
      <c r="N1022">
        <v>2</v>
      </c>
      <c r="O1022">
        <v>0</v>
      </c>
      <c r="P1022">
        <v>0</v>
      </c>
      <c r="Q1022">
        <v>0</v>
      </c>
      <c r="R1022">
        <v>2</v>
      </c>
      <c r="S1022">
        <v>75</v>
      </c>
      <c r="T1022">
        <v>74</v>
      </c>
      <c r="U1022" s="5">
        <f>IF(Merge1[[#This Row],[team_defense_snaps]]=0, "", Merge1[[#This Row],[defense_snaps]] / Merge1[[#This Row],[team_defense_snaps]])</f>
        <v>1</v>
      </c>
      <c r="V1022">
        <v>74</v>
      </c>
      <c r="W1022">
        <v>1</v>
      </c>
      <c r="X1022" s="5" t="s">
        <v>303</v>
      </c>
      <c r="Y1022">
        <v>3</v>
      </c>
      <c r="Z1022">
        <v>0</v>
      </c>
      <c r="AA1022" t="s">
        <v>25</v>
      </c>
      <c r="AB1022" t="s">
        <v>36</v>
      </c>
      <c r="AC1022" t="s">
        <v>247</v>
      </c>
      <c r="AD1022" t="s">
        <v>42</v>
      </c>
      <c r="AE1022" t="s">
        <v>25</v>
      </c>
      <c r="AF10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0.14666666666666667</v>
      </c>
      <c r="AG1022" t="s">
        <v>941</v>
      </c>
      <c r="AH1022">
        <v>50.5</v>
      </c>
      <c r="AI1022" t="s">
        <v>939</v>
      </c>
      <c r="AJ1022">
        <v>9</v>
      </c>
      <c r="AK10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MIN(AJ1022/8, 1) +
  Merge1[[#This Row],[index_defensive_effort]],
  2
)</f>
        <v>1.75</v>
      </c>
    </row>
    <row r="1023" spans="1:37" x14ac:dyDescent="0.25">
      <c r="A1023" t="s">
        <v>404</v>
      </c>
      <c r="B1023" t="s">
        <v>405</v>
      </c>
      <c r="C1023">
        <v>27</v>
      </c>
      <c r="D1023" t="s">
        <v>22</v>
      </c>
      <c r="E1023">
        <v>72</v>
      </c>
      <c r="F1023">
        <v>202</v>
      </c>
      <c r="G1023" t="s">
        <v>228</v>
      </c>
      <c r="H1023">
        <v>2020</v>
      </c>
      <c r="I1023" t="s">
        <v>33</v>
      </c>
      <c r="J1023">
        <v>9</v>
      </c>
      <c r="K1023">
        <v>2</v>
      </c>
      <c r="L1023">
        <v>0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55</v>
      </c>
      <c r="T1023">
        <v>55</v>
      </c>
      <c r="U1023" s="5">
        <f>IF(Merge1[[#This Row],[team_defense_snaps]]=0, "", Merge1[[#This Row],[defense_snaps]] / Merge1[[#This Row],[team_defense_snaps]])</f>
        <v>1</v>
      </c>
      <c r="V1023">
        <v>55</v>
      </c>
      <c r="W1023">
        <v>0</v>
      </c>
      <c r="X1023" s="5" t="s">
        <v>29</v>
      </c>
      <c r="Y1023">
        <v>3</v>
      </c>
      <c r="Z1023">
        <v>0</v>
      </c>
      <c r="AA1023" t="s">
        <v>25</v>
      </c>
      <c r="AB1023" t="s">
        <v>26</v>
      </c>
      <c r="AC1023" t="s">
        <v>27</v>
      </c>
      <c r="AD1023" t="s">
        <v>42</v>
      </c>
      <c r="AE1023" t="s">
        <v>25</v>
      </c>
      <c r="AF10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7.2727272727272724E-2</v>
      </c>
      <c r="AG1023" t="s">
        <v>941</v>
      </c>
      <c r="AH1023">
        <v>68.5</v>
      </c>
      <c r="AI1023" t="s">
        <v>939</v>
      </c>
      <c r="AJ1023">
        <v>10</v>
      </c>
      <c r="AK10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MIN(AJ1023/8, 1) +
  Merge1[[#This Row],[index_defensive_effort]],
  2
)</f>
        <v>1.67</v>
      </c>
    </row>
    <row r="1024" spans="1:37" x14ac:dyDescent="0.25">
      <c r="A1024" t="s">
        <v>404</v>
      </c>
      <c r="B1024" t="s">
        <v>405</v>
      </c>
      <c r="C1024">
        <v>27</v>
      </c>
      <c r="D1024" t="s">
        <v>22</v>
      </c>
      <c r="E1024">
        <v>72</v>
      </c>
      <c r="F1024">
        <v>202</v>
      </c>
      <c r="G1024" t="s">
        <v>228</v>
      </c>
      <c r="H1024">
        <v>2020</v>
      </c>
      <c r="I1024" t="s">
        <v>33</v>
      </c>
      <c r="J1024">
        <v>10</v>
      </c>
      <c r="K1024">
        <v>6</v>
      </c>
      <c r="L1024">
        <v>1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2</v>
      </c>
      <c r="S1024">
        <v>74</v>
      </c>
      <c r="T1024">
        <v>73</v>
      </c>
      <c r="U1024" s="5">
        <f>IF(Merge1[[#This Row],[team_defense_snaps]]=0, "", Merge1[[#This Row],[defense_snaps]] / Merge1[[#This Row],[team_defense_snaps]])</f>
        <v>0.98648648648648651</v>
      </c>
      <c r="V1024">
        <v>74</v>
      </c>
      <c r="W1024">
        <v>1</v>
      </c>
      <c r="X1024" s="5" t="s">
        <v>193</v>
      </c>
      <c r="Y1024">
        <v>3</v>
      </c>
      <c r="Z1024">
        <v>0</v>
      </c>
      <c r="AA1024" t="s">
        <v>25</v>
      </c>
      <c r="AB1024" t="s">
        <v>26</v>
      </c>
      <c r="AC1024" t="s">
        <v>27</v>
      </c>
      <c r="AD1024" t="s">
        <v>42</v>
      </c>
      <c r="AE1024" t="s">
        <v>25</v>
      </c>
      <c r="AF10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0.14189189189189189</v>
      </c>
      <c r="AG1024" t="s">
        <v>941</v>
      </c>
      <c r="AH1024">
        <v>70</v>
      </c>
      <c r="AI1024" t="s">
        <v>27</v>
      </c>
      <c r="AJ1024">
        <v>1</v>
      </c>
      <c r="AK10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MIN(AJ1024/8, 1) +
  Merge1[[#This Row],[index_defensive_effort]],
  2
)</f>
        <v>0.87</v>
      </c>
    </row>
    <row r="1025" spans="1:37" x14ac:dyDescent="0.25">
      <c r="A1025" t="s">
        <v>404</v>
      </c>
      <c r="B1025" t="s">
        <v>405</v>
      </c>
      <c r="C1025">
        <v>27</v>
      </c>
      <c r="D1025" t="s">
        <v>22</v>
      </c>
      <c r="E1025">
        <v>72</v>
      </c>
      <c r="F1025">
        <v>202</v>
      </c>
      <c r="G1025" t="s">
        <v>228</v>
      </c>
      <c r="H1025">
        <v>2020</v>
      </c>
      <c r="I1025" t="s">
        <v>33</v>
      </c>
      <c r="J1025">
        <v>13</v>
      </c>
      <c r="K1025">
        <v>2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68</v>
      </c>
      <c r="T1025">
        <v>68</v>
      </c>
      <c r="U1025" s="5">
        <f>IF(Merge1[[#This Row],[team_defense_snaps]]=0, "", Merge1[[#This Row],[defense_snaps]] / Merge1[[#This Row],[team_defense_snaps]])</f>
        <v>0.90666666666666662</v>
      </c>
      <c r="V1025">
        <v>75</v>
      </c>
      <c r="W1025">
        <v>0</v>
      </c>
      <c r="X1025" s="5" t="s">
        <v>29</v>
      </c>
      <c r="Y1025">
        <v>3</v>
      </c>
      <c r="Z1025">
        <v>0</v>
      </c>
      <c r="AA1025" t="s">
        <v>25</v>
      </c>
      <c r="AB1025" t="s">
        <v>26</v>
      </c>
      <c r="AC1025" t="s">
        <v>27</v>
      </c>
      <c r="AD1025" t="s">
        <v>42</v>
      </c>
      <c r="AE1025" t="s">
        <v>25</v>
      </c>
      <c r="AF10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2.9411764705882353E-2</v>
      </c>
      <c r="AG1025" t="s">
        <v>941</v>
      </c>
      <c r="AH1025">
        <v>61</v>
      </c>
      <c r="AI1025" t="s">
        <v>939</v>
      </c>
      <c r="AJ1025">
        <v>1</v>
      </c>
      <c r="AK10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MIN(AJ1025/8, 1) +
  Merge1[[#This Row],[index_defensive_effort]],
  2
)</f>
        <v>0.75</v>
      </c>
    </row>
    <row r="1026" spans="1:37" x14ac:dyDescent="0.25">
      <c r="A1026" t="s">
        <v>404</v>
      </c>
      <c r="B1026" t="s">
        <v>405</v>
      </c>
      <c r="C1026">
        <v>27</v>
      </c>
      <c r="D1026" t="s">
        <v>22</v>
      </c>
      <c r="E1026">
        <v>72</v>
      </c>
      <c r="F1026">
        <v>202</v>
      </c>
      <c r="G1026" t="s">
        <v>228</v>
      </c>
      <c r="H1026">
        <v>2020</v>
      </c>
      <c r="I1026" t="s">
        <v>33</v>
      </c>
      <c r="J1026">
        <v>14</v>
      </c>
      <c r="K1026">
        <v>4</v>
      </c>
      <c r="L1026">
        <v>1</v>
      </c>
      <c r="M1026">
        <v>0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67</v>
      </c>
      <c r="T1026">
        <v>66</v>
      </c>
      <c r="U1026" s="5">
        <f>IF(Merge1[[#This Row],[team_defense_snaps]]=0, "", Merge1[[#This Row],[defense_snaps]] / Merge1[[#This Row],[team_defense_snaps]])</f>
        <v>0.9850746268656716</v>
      </c>
      <c r="V1026">
        <v>67</v>
      </c>
      <c r="W1026">
        <v>1</v>
      </c>
      <c r="X1026" s="5" t="s">
        <v>193</v>
      </c>
      <c r="Y1026">
        <v>3</v>
      </c>
      <c r="Z1026">
        <v>0</v>
      </c>
      <c r="AA1026" t="s">
        <v>25</v>
      </c>
      <c r="AB1026" t="s">
        <v>26</v>
      </c>
      <c r="AC1026" t="s">
        <v>27</v>
      </c>
      <c r="AD1026" t="s">
        <v>42</v>
      </c>
      <c r="AE1026" t="s">
        <v>25</v>
      </c>
      <c r="AF10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6.7164179104477612E-2</v>
      </c>
      <c r="AG1026" t="s">
        <v>941</v>
      </c>
      <c r="AH1026">
        <v>58</v>
      </c>
      <c r="AI1026" t="s">
        <v>939</v>
      </c>
      <c r="AJ1026">
        <v>2</v>
      </c>
      <c r="AK10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MIN(AJ1026/8, 1) +
  Merge1[[#This Row],[index_defensive_effort]],
  2
)</f>
        <v>0.92</v>
      </c>
    </row>
    <row r="1027" spans="1:37" x14ac:dyDescent="0.25">
      <c r="A1027" t="s">
        <v>404</v>
      </c>
      <c r="B1027" t="s">
        <v>405</v>
      </c>
      <c r="C1027">
        <v>27</v>
      </c>
      <c r="D1027" t="s">
        <v>22</v>
      </c>
      <c r="E1027">
        <v>72</v>
      </c>
      <c r="F1027">
        <v>202</v>
      </c>
      <c r="G1027" t="s">
        <v>228</v>
      </c>
      <c r="H1027">
        <v>2020</v>
      </c>
      <c r="I1027" t="s">
        <v>33</v>
      </c>
      <c r="J1027">
        <v>15</v>
      </c>
      <c r="K1027">
        <v>5</v>
      </c>
      <c r="L1027">
        <v>2</v>
      </c>
      <c r="M1027">
        <v>0</v>
      </c>
      <c r="N1027">
        <v>2</v>
      </c>
      <c r="O1027">
        <v>0</v>
      </c>
      <c r="P1027">
        <v>1</v>
      </c>
      <c r="Q1027">
        <v>1</v>
      </c>
      <c r="R1027">
        <v>0</v>
      </c>
      <c r="S1027">
        <v>68</v>
      </c>
      <c r="T1027">
        <v>68</v>
      </c>
      <c r="U1027" s="5">
        <f>IF(Merge1[[#This Row],[team_defense_snaps]]=0, "", Merge1[[#This Row],[defense_snaps]] / Merge1[[#This Row],[team_defense_snaps]])</f>
        <v>1</v>
      </c>
      <c r="V1027">
        <v>68</v>
      </c>
      <c r="W1027">
        <v>0</v>
      </c>
      <c r="X1027" s="5" t="s">
        <v>29</v>
      </c>
      <c r="Y1027">
        <v>3</v>
      </c>
      <c r="Z1027">
        <v>0</v>
      </c>
      <c r="AA1027" t="s">
        <v>25</v>
      </c>
      <c r="AB1027" t="s">
        <v>26</v>
      </c>
      <c r="AC1027" t="s">
        <v>27</v>
      </c>
      <c r="AD1027" t="s">
        <v>42</v>
      </c>
      <c r="AE1027" t="s">
        <v>25</v>
      </c>
      <c r="AF10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0.17647058823529413</v>
      </c>
      <c r="AG1027" t="s">
        <v>941</v>
      </c>
      <c r="AH1027">
        <v>64</v>
      </c>
      <c r="AI1027" t="s">
        <v>939</v>
      </c>
      <c r="AJ1027">
        <v>3</v>
      </c>
      <c r="AK10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MIN(AJ1027/8, 1) +
  Merge1[[#This Row],[index_defensive_effort]],
  2
)</f>
        <v>1.1499999999999999</v>
      </c>
    </row>
    <row r="1028" spans="1:37" x14ac:dyDescent="0.25">
      <c r="A1028" t="s">
        <v>404</v>
      </c>
      <c r="B1028" t="s">
        <v>405</v>
      </c>
      <c r="C1028">
        <v>27</v>
      </c>
      <c r="D1028" t="s">
        <v>22</v>
      </c>
      <c r="E1028">
        <v>72</v>
      </c>
      <c r="F1028">
        <v>202</v>
      </c>
      <c r="G1028" t="s">
        <v>228</v>
      </c>
      <c r="H1028">
        <v>2020</v>
      </c>
      <c r="I1028" t="s">
        <v>33</v>
      </c>
      <c r="J1028">
        <v>16</v>
      </c>
      <c r="K1028">
        <v>1</v>
      </c>
      <c r="L1028">
        <v>1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48</v>
      </c>
      <c r="T1028">
        <v>47</v>
      </c>
      <c r="U1028" s="5">
        <f>IF(Merge1[[#This Row],[team_defense_snaps]]=0, "", Merge1[[#This Row],[defense_snaps]] / Merge1[[#This Row],[team_defense_snaps]])</f>
        <v>0.8392857142857143</v>
      </c>
      <c r="V1028">
        <v>56</v>
      </c>
      <c r="W1028">
        <v>1</v>
      </c>
      <c r="X1028" s="5" t="s">
        <v>303</v>
      </c>
      <c r="Y1028">
        <v>3</v>
      </c>
      <c r="Z1028">
        <v>0</v>
      </c>
      <c r="AA1028" t="s">
        <v>25</v>
      </c>
      <c r="AB1028" t="s">
        <v>26</v>
      </c>
      <c r="AC1028" t="s">
        <v>27</v>
      </c>
      <c r="AD1028" t="s">
        <v>42</v>
      </c>
      <c r="AE1028" t="s">
        <v>25</v>
      </c>
      <c r="AF10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3.125E-2</v>
      </c>
      <c r="AG1028" t="s">
        <v>941</v>
      </c>
      <c r="AH1028">
        <v>65.5</v>
      </c>
      <c r="AI1028" t="s">
        <v>939</v>
      </c>
      <c r="AJ1028">
        <v>4</v>
      </c>
      <c r="AK10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MIN(AJ1028/8, 1) +
  Merge1[[#This Row],[index_defensive_effort]],
  2
)</f>
        <v>1.1299999999999999</v>
      </c>
    </row>
    <row r="1029" spans="1:37" x14ac:dyDescent="0.25">
      <c r="A1029" t="s">
        <v>404</v>
      </c>
      <c r="B1029" t="s">
        <v>405</v>
      </c>
      <c r="C1029">
        <v>27</v>
      </c>
      <c r="D1029" t="s">
        <v>22</v>
      </c>
      <c r="E1029">
        <v>72</v>
      </c>
      <c r="F1029">
        <v>202</v>
      </c>
      <c r="G1029" t="s">
        <v>228</v>
      </c>
      <c r="H1029">
        <v>2020</v>
      </c>
      <c r="I1029" t="s">
        <v>33</v>
      </c>
      <c r="J1029">
        <v>17</v>
      </c>
      <c r="K1029">
        <v>2</v>
      </c>
      <c r="L1029">
        <v>2</v>
      </c>
      <c r="M1029">
        <v>0</v>
      </c>
      <c r="N1029">
        <v>2</v>
      </c>
      <c r="O1029">
        <v>0</v>
      </c>
      <c r="P1029">
        <v>0</v>
      </c>
      <c r="Q1029">
        <v>0</v>
      </c>
      <c r="R1029">
        <v>0</v>
      </c>
      <c r="S1029">
        <v>47</v>
      </c>
      <c r="T1029">
        <v>46</v>
      </c>
      <c r="U1029" s="5">
        <f>IF(Merge1[[#This Row],[team_defense_snaps]]=0, "", Merge1[[#This Row],[defense_snaps]] / Merge1[[#This Row],[team_defense_snaps]])</f>
        <v>1</v>
      </c>
      <c r="V1029">
        <v>46</v>
      </c>
      <c r="W1029">
        <v>1</v>
      </c>
      <c r="X1029" s="5" t="s">
        <v>193</v>
      </c>
      <c r="Y1029">
        <v>3</v>
      </c>
      <c r="Z1029">
        <v>0</v>
      </c>
      <c r="AA1029" t="s">
        <v>25</v>
      </c>
      <c r="AB1029" t="s">
        <v>26</v>
      </c>
      <c r="AC1029" t="s">
        <v>27</v>
      </c>
      <c r="AD1029" t="s">
        <v>42</v>
      </c>
      <c r="AE1029" t="s">
        <v>25</v>
      </c>
      <c r="AF10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6.3829787234042548E-2</v>
      </c>
      <c r="AG1029" t="s">
        <v>941</v>
      </c>
      <c r="AH1029">
        <v>52</v>
      </c>
      <c r="AI1029" t="s">
        <v>939</v>
      </c>
      <c r="AJ1029">
        <v>5</v>
      </c>
      <c r="AK10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MIN(AJ1029/8, 1) +
  Merge1[[#This Row],[index_defensive_effort]],
  2
)</f>
        <v>1.29</v>
      </c>
    </row>
    <row r="1030" spans="1:37" x14ac:dyDescent="0.25">
      <c r="A1030" t="s">
        <v>404</v>
      </c>
      <c r="B1030" t="s">
        <v>405</v>
      </c>
      <c r="C1030">
        <v>27</v>
      </c>
      <c r="D1030" t="s">
        <v>22</v>
      </c>
      <c r="E1030">
        <v>72</v>
      </c>
      <c r="F1030">
        <v>202</v>
      </c>
      <c r="G1030" t="s">
        <v>228</v>
      </c>
      <c r="H1030">
        <v>2020</v>
      </c>
      <c r="I1030" t="s">
        <v>24</v>
      </c>
      <c r="J1030">
        <v>18</v>
      </c>
      <c r="K1030">
        <v>6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79</v>
      </c>
      <c r="T1030">
        <v>77</v>
      </c>
      <c r="U1030" s="5">
        <f>IF(Merge1[[#This Row],[team_defense_snaps]]=0, "", Merge1[[#This Row],[defense_snaps]] / Merge1[[#This Row],[team_defense_snaps]])</f>
        <v>1</v>
      </c>
      <c r="V1030">
        <v>77</v>
      </c>
      <c r="W1030">
        <v>2</v>
      </c>
      <c r="X1030" s="5" t="s">
        <v>167</v>
      </c>
      <c r="Y1030">
        <v>3</v>
      </c>
      <c r="Z1030">
        <v>0</v>
      </c>
      <c r="AA1030" t="s">
        <v>25</v>
      </c>
      <c r="AB1030" t="s">
        <v>26</v>
      </c>
      <c r="AC1030" t="s">
        <v>27</v>
      </c>
      <c r="AD1030" t="s">
        <v>42</v>
      </c>
      <c r="AE1030" t="s">
        <v>25</v>
      </c>
      <c r="AF10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7.5949367088607597E-2</v>
      </c>
      <c r="AG1030" t="s">
        <v>941</v>
      </c>
      <c r="AH1030">
        <v>56.5</v>
      </c>
      <c r="AI1030" t="s">
        <v>939</v>
      </c>
      <c r="AJ1030">
        <v>6</v>
      </c>
      <c r="AK10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MIN(AJ1030/8, 1) +
  Merge1[[#This Row],[index_defensive_effort]],
  2
)</f>
        <v>1.63</v>
      </c>
    </row>
    <row r="1031" spans="1:37" x14ac:dyDescent="0.25">
      <c r="A1031" t="s">
        <v>404</v>
      </c>
      <c r="B1031" t="s">
        <v>405</v>
      </c>
      <c r="C1031">
        <v>27</v>
      </c>
      <c r="D1031" t="s">
        <v>22</v>
      </c>
      <c r="E1031">
        <v>72</v>
      </c>
      <c r="F1031">
        <v>202</v>
      </c>
      <c r="G1031" t="s">
        <v>228</v>
      </c>
      <c r="H1031">
        <v>2020</v>
      </c>
      <c r="I1031" t="s">
        <v>33</v>
      </c>
      <c r="J1031">
        <v>12</v>
      </c>
      <c r="K1031">
        <v>3</v>
      </c>
      <c r="L1031">
        <v>1</v>
      </c>
      <c r="M1031">
        <v>0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71</v>
      </c>
      <c r="T1031">
        <v>71</v>
      </c>
      <c r="U1031" s="5">
        <f>IF(Merge1[[#This Row],[team_defense_snaps]]=0, "", Merge1[[#This Row],[defense_snaps]] / Merge1[[#This Row],[team_defense_snaps]])</f>
        <v>0.94666666666666666</v>
      </c>
      <c r="V1031">
        <v>75</v>
      </c>
      <c r="W1031">
        <v>0</v>
      </c>
      <c r="X1031" s="5" t="s">
        <v>29</v>
      </c>
      <c r="Y1031">
        <v>3</v>
      </c>
      <c r="Z1031">
        <v>0</v>
      </c>
      <c r="AA1031" t="s">
        <v>25</v>
      </c>
      <c r="AB1031" t="s">
        <v>26</v>
      </c>
      <c r="AC1031" t="s">
        <v>27</v>
      </c>
      <c r="AD1031" t="s">
        <v>42</v>
      </c>
      <c r="AE1031" t="s">
        <v>25</v>
      </c>
      <c r="AF10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4.9295774647887321E-2</v>
      </c>
      <c r="AG1031" t="s">
        <v>941</v>
      </c>
      <c r="AH1031">
        <v>46</v>
      </c>
      <c r="AI1031" t="s">
        <v>938</v>
      </c>
      <c r="AJ1031">
        <v>1</v>
      </c>
      <c r="AK10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MIN(AJ1031/8, 1) +
  Merge1[[#This Row],[index_defensive_effort]],
  2
)</f>
        <v>0.77</v>
      </c>
    </row>
    <row r="1032" spans="1:37" x14ac:dyDescent="0.25">
      <c r="A1032" t="s">
        <v>398</v>
      </c>
      <c r="B1032" t="s">
        <v>399</v>
      </c>
      <c r="C1032">
        <v>25</v>
      </c>
      <c r="D1032" t="s">
        <v>56</v>
      </c>
      <c r="E1032">
        <v>73</v>
      </c>
      <c r="F1032">
        <v>199</v>
      </c>
      <c r="G1032" t="s">
        <v>259</v>
      </c>
      <c r="H1032">
        <v>2020</v>
      </c>
      <c r="I1032" t="s">
        <v>33</v>
      </c>
      <c r="J1032">
        <v>7</v>
      </c>
      <c r="K1032">
        <v>3</v>
      </c>
      <c r="L1032">
        <v>1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28</v>
      </c>
      <c r="T1032">
        <v>28</v>
      </c>
      <c r="U1032" s="5">
        <f>IF(Merge1[[#This Row],[team_defense_snaps]]=0, "", Merge1[[#This Row],[defense_snaps]] / Merge1[[#This Row],[team_defense_snaps]])</f>
        <v>0.4</v>
      </c>
      <c r="V1032">
        <v>70</v>
      </c>
      <c r="W1032">
        <v>0</v>
      </c>
      <c r="X1032" s="5" t="s">
        <v>29</v>
      </c>
      <c r="Y1032">
        <v>4</v>
      </c>
      <c r="Z1032">
        <v>0</v>
      </c>
      <c r="AA1032" t="s">
        <v>25</v>
      </c>
      <c r="AB1032" t="s">
        <v>36</v>
      </c>
      <c r="AC1032" t="s">
        <v>147</v>
      </c>
      <c r="AD1032" t="s">
        <v>28</v>
      </c>
      <c r="AE1032" t="s">
        <v>25</v>
      </c>
      <c r="AF10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1032" t="s">
        <v>942</v>
      </c>
      <c r="AH1032">
        <v>66</v>
      </c>
      <c r="AI1032" t="s">
        <v>939</v>
      </c>
      <c r="AJ1032">
        <v>1</v>
      </c>
      <c r="AK10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MIN(AJ1032/8, 1) +
  Merge1[[#This Row],[index_defensive_effort]],
  2
)</f>
        <v>0.65</v>
      </c>
    </row>
    <row r="1033" spans="1:37" x14ac:dyDescent="0.25">
      <c r="A1033" t="s">
        <v>406</v>
      </c>
      <c r="B1033" t="s">
        <v>407</v>
      </c>
      <c r="C1033">
        <v>24</v>
      </c>
      <c r="D1033" t="s">
        <v>56</v>
      </c>
      <c r="E1033">
        <v>71</v>
      </c>
      <c r="F1033">
        <v>192</v>
      </c>
      <c r="G1033" t="s">
        <v>144</v>
      </c>
      <c r="H1033">
        <v>2020</v>
      </c>
      <c r="I1033" t="s">
        <v>33</v>
      </c>
      <c r="J1033">
        <v>1</v>
      </c>
      <c r="K1033">
        <v>9</v>
      </c>
      <c r="L1033">
        <v>6</v>
      </c>
      <c r="M1033">
        <v>3</v>
      </c>
      <c r="N1033">
        <v>9</v>
      </c>
      <c r="O1033">
        <v>0</v>
      </c>
      <c r="P1033">
        <v>0</v>
      </c>
      <c r="Q1033">
        <v>0</v>
      </c>
      <c r="R1033">
        <v>1</v>
      </c>
      <c r="S1033">
        <v>83</v>
      </c>
      <c r="T1033">
        <v>82</v>
      </c>
      <c r="U1033" s="5">
        <f>IF(Merge1[[#This Row],[team_defense_snaps]]=0, "", Merge1[[#This Row],[defense_snaps]] / Merge1[[#This Row],[team_defense_snaps]])</f>
        <v>0.82</v>
      </c>
      <c r="V1033">
        <v>100</v>
      </c>
      <c r="W1033">
        <v>1</v>
      </c>
      <c r="X1033" s="5" t="s">
        <v>193</v>
      </c>
      <c r="Y1033">
        <v>2</v>
      </c>
      <c r="Z1033">
        <v>0</v>
      </c>
      <c r="AA1033" t="s">
        <v>25</v>
      </c>
      <c r="AB1033" t="s">
        <v>26</v>
      </c>
      <c r="AC1033" t="s">
        <v>27</v>
      </c>
      <c r="AD1033" t="s">
        <v>42</v>
      </c>
      <c r="AE1033" t="s">
        <v>25</v>
      </c>
      <c r="AF10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0.18674698795180722</v>
      </c>
      <c r="AG1033" t="s">
        <v>941</v>
      </c>
      <c r="AH1033">
        <v>76.5</v>
      </c>
      <c r="AI1033" t="s">
        <v>939</v>
      </c>
      <c r="AJ1033">
        <v>2</v>
      </c>
      <c r="AK10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MIN(AJ1033/8, 1) +
  Merge1[[#This Row],[index_defensive_effort]],
  2
)</f>
        <v>0.84</v>
      </c>
    </row>
    <row r="1034" spans="1:37" x14ac:dyDescent="0.25">
      <c r="A1034" t="s">
        <v>406</v>
      </c>
      <c r="B1034" t="s">
        <v>407</v>
      </c>
      <c r="C1034">
        <v>24</v>
      </c>
      <c r="D1034" t="s">
        <v>56</v>
      </c>
      <c r="E1034">
        <v>71</v>
      </c>
      <c r="F1034">
        <v>192</v>
      </c>
      <c r="G1034" t="s">
        <v>144</v>
      </c>
      <c r="H1034">
        <v>2020</v>
      </c>
      <c r="I1034" t="s">
        <v>33</v>
      </c>
      <c r="J1034">
        <v>2</v>
      </c>
      <c r="K1034">
        <v>1</v>
      </c>
      <c r="L1034">
        <v>1</v>
      </c>
      <c r="M1034">
        <v>1</v>
      </c>
      <c r="N1034">
        <v>2</v>
      </c>
      <c r="O1034">
        <v>0</v>
      </c>
      <c r="P1034">
        <v>1</v>
      </c>
      <c r="Q1034">
        <v>0</v>
      </c>
      <c r="R1034">
        <v>0</v>
      </c>
      <c r="S1034">
        <v>64</v>
      </c>
      <c r="T1034">
        <v>63</v>
      </c>
      <c r="U1034" s="5">
        <f>IF(Merge1[[#This Row],[team_defense_snaps]]=0, "", Merge1[[#This Row],[defense_snaps]] / Merge1[[#This Row],[team_defense_snaps]])</f>
        <v>0.94029850746268662</v>
      </c>
      <c r="V1034">
        <v>67</v>
      </c>
      <c r="W1034">
        <v>1</v>
      </c>
      <c r="X1034" s="5" t="s">
        <v>193</v>
      </c>
      <c r="Y1034">
        <v>2</v>
      </c>
      <c r="Z1034">
        <v>0</v>
      </c>
      <c r="AA1034" t="s">
        <v>25</v>
      </c>
      <c r="AB1034" t="s">
        <v>26</v>
      </c>
      <c r="AC1034" t="s">
        <v>27</v>
      </c>
      <c r="AD1034" t="s">
        <v>42</v>
      </c>
      <c r="AE1034" t="s">
        <v>25</v>
      </c>
      <c r="AF10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1034" t="s">
        <v>941</v>
      </c>
      <c r="AH1034">
        <v>61.5</v>
      </c>
      <c r="AI1034" t="s">
        <v>939</v>
      </c>
      <c r="AJ1034">
        <v>3</v>
      </c>
      <c r="AK10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MIN(AJ1034/8, 1) +
  Merge1[[#This Row],[index_defensive_effort]],
  2
)</f>
        <v>0.84</v>
      </c>
    </row>
    <row r="1035" spans="1:37" x14ac:dyDescent="0.25">
      <c r="A1035" t="s">
        <v>406</v>
      </c>
      <c r="B1035" t="s">
        <v>407</v>
      </c>
      <c r="C1035">
        <v>24</v>
      </c>
      <c r="D1035" t="s">
        <v>56</v>
      </c>
      <c r="E1035">
        <v>71</v>
      </c>
      <c r="F1035">
        <v>192</v>
      </c>
      <c r="G1035" t="s">
        <v>144</v>
      </c>
      <c r="H1035">
        <v>2020</v>
      </c>
      <c r="I1035" t="s">
        <v>33</v>
      </c>
      <c r="J1035">
        <v>3</v>
      </c>
      <c r="K1035">
        <v>0</v>
      </c>
      <c r="L1035">
        <v>1</v>
      </c>
      <c r="M1035">
        <v>0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9</v>
      </c>
      <c r="T1035">
        <v>9</v>
      </c>
      <c r="U1035" s="5">
        <f>IF(Merge1[[#This Row],[team_defense_snaps]]=0, "", Merge1[[#This Row],[defense_snaps]] / Merge1[[#This Row],[team_defense_snaps]])</f>
        <v>0.16666666666666666</v>
      </c>
      <c r="V1035">
        <v>54</v>
      </c>
      <c r="W1035">
        <v>0</v>
      </c>
      <c r="X1035" s="5" t="s">
        <v>29</v>
      </c>
      <c r="Y1035">
        <v>2</v>
      </c>
      <c r="Z1035">
        <v>0</v>
      </c>
      <c r="AA1035" t="s">
        <v>25</v>
      </c>
      <c r="AB1035" t="s">
        <v>26</v>
      </c>
      <c r="AC1035" t="s">
        <v>27</v>
      </c>
      <c r="AD1035" t="s">
        <v>42</v>
      </c>
      <c r="AE1035" t="s">
        <v>25</v>
      </c>
      <c r="AF10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1035" t="s">
        <v>941</v>
      </c>
      <c r="AH1035">
        <v>67.5</v>
      </c>
      <c r="AI1035" t="s">
        <v>939</v>
      </c>
      <c r="AJ1035">
        <v>1</v>
      </c>
      <c r="AK10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MIN(AJ1035/8, 1) +
  Merge1[[#This Row],[index_defensive_effort]],
  2
)</f>
        <v>0.57999999999999996</v>
      </c>
    </row>
    <row r="1036" spans="1:37" x14ac:dyDescent="0.25">
      <c r="A1036" t="s">
        <v>406</v>
      </c>
      <c r="B1036" t="s">
        <v>407</v>
      </c>
      <c r="C1036">
        <v>24</v>
      </c>
      <c r="D1036" t="s">
        <v>56</v>
      </c>
      <c r="E1036">
        <v>71</v>
      </c>
      <c r="F1036">
        <v>192</v>
      </c>
      <c r="G1036" t="s">
        <v>144</v>
      </c>
      <c r="H1036">
        <v>2020</v>
      </c>
      <c r="I1036" t="s">
        <v>33</v>
      </c>
      <c r="J1036">
        <v>6</v>
      </c>
      <c r="K1036">
        <v>7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61</v>
      </c>
      <c r="T1036">
        <v>60</v>
      </c>
      <c r="U1036" s="5">
        <f>IF(Merge1[[#This Row],[team_defense_snaps]]=0, "", Merge1[[#This Row],[defense_snaps]] / Merge1[[#This Row],[team_defense_snaps]])</f>
        <v>1</v>
      </c>
      <c r="V1036">
        <v>60</v>
      </c>
      <c r="W1036">
        <v>1</v>
      </c>
      <c r="X1036" s="5" t="s">
        <v>193</v>
      </c>
      <c r="Y1036">
        <v>2</v>
      </c>
      <c r="Z1036">
        <v>0</v>
      </c>
      <c r="AA1036" t="s">
        <v>25</v>
      </c>
      <c r="AB1036" t="s">
        <v>36</v>
      </c>
      <c r="AC1036" t="s">
        <v>91</v>
      </c>
      <c r="AD1036" t="s">
        <v>42</v>
      </c>
      <c r="AE1036" t="s">
        <v>25</v>
      </c>
      <c r="AF10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0.11475409836065574</v>
      </c>
      <c r="AG1036" t="s">
        <v>941</v>
      </c>
      <c r="AH1036">
        <v>57</v>
      </c>
      <c r="AI1036" t="s">
        <v>939</v>
      </c>
      <c r="AJ1036">
        <v>2</v>
      </c>
      <c r="AK10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MIN(AJ1036/8, 1) +
  Merge1[[#This Row],[index_defensive_effort]],
  2
)</f>
        <v>0.76</v>
      </c>
    </row>
    <row r="1037" spans="1:37" x14ac:dyDescent="0.25">
      <c r="A1037" t="s">
        <v>406</v>
      </c>
      <c r="B1037" t="s">
        <v>407</v>
      </c>
      <c r="C1037">
        <v>24</v>
      </c>
      <c r="D1037" t="s">
        <v>56</v>
      </c>
      <c r="E1037">
        <v>71</v>
      </c>
      <c r="F1037">
        <v>192</v>
      </c>
      <c r="G1037" t="s">
        <v>144</v>
      </c>
      <c r="H1037">
        <v>2020</v>
      </c>
      <c r="I1037" t="s">
        <v>33</v>
      </c>
      <c r="J1037">
        <v>7</v>
      </c>
      <c r="K1037">
        <v>3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2</v>
      </c>
      <c r="R1037">
        <v>0</v>
      </c>
      <c r="S1037">
        <v>41</v>
      </c>
      <c r="T1037">
        <v>41</v>
      </c>
      <c r="U1037" s="5">
        <f>IF(Merge1[[#This Row],[team_defense_snaps]]=0, "", Merge1[[#This Row],[defense_snaps]] / Merge1[[#This Row],[team_defense_snaps]])</f>
        <v>0.78846153846153844</v>
      </c>
      <c r="V1037">
        <v>52</v>
      </c>
      <c r="W1037">
        <v>0</v>
      </c>
      <c r="X1037" s="5" t="s">
        <v>29</v>
      </c>
      <c r="Y1037">
        <v>2</v>
      </c>
      <c r="Z1037">
        <v>0</v>
      </c>
      <c r="AA1037" t="s">
        <v>25</v>
      </c>
      <c r="AB1037" t="s">
        <v>26</v>
      </c>
      <c r="AC1037" t="s">
        <v>27</v>
      </c>
      <c r="AD1037" t="s">
        <v>42</v>
      </c>
      <c r="AE1037" t="s">
        <v>25</v>
      </c>
      <c r="AF10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0.26829268292682928</v>
      </c>
      <c r="AG1037" t="s">
        <v>941</v>
      </c>
      <c r="AH1037">
        <v>70.5</v>
      </c>
      <c r="AI1037" t="s">
        <v>939</v>
      </c>
      <c r="AJ1037">
        <v>3</v>
      </c>
      <c r="AK10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MIN(AJ1037/8, 1) +
  Merge1[[#This Row],[index_defensive_effort]],
  2
)</f>
        <v>1.04</v>
      </c>
    </row>
    <row r="1038" spans="1:37" x14ac:dyDescent="0.25">
      <c r="A1038" t="s">
        <v>406</v>
      </c>
      <c r="B1038" t="s">
        <v>407</v>
      </c>
      <c r="C1038">
        <v>24</v>
      </c>
      <c r="D1038" t="s">
        <v>56</v>
      </c>
      <c r="E1038">
        <v>71</v>
      </c>
      <c r="F1038">
        <v>192</v>
      </c>
      <c r="G1038" t="s">
        <v>144</v>
      </c>
      <c r="H1038">
        <v>2020</v>
      </c>
      <c r="I1038" t="s">
        <v>33</v>
      </c>
      <c r="J1038">
        <v>8</v>
      </c>
      <c r="K1038">
        <v>7</v>
      </c>
      <c r="L1038">
        <v>3</v>
      </c>
      <c r="M1038">
        <v>1</v>
      </c>
      <c r="N1038">
        <v>4</v>
      </c>
      <c r="O1038">
        <v>0</v>
      </c>
      <c r="P1038">
        <v>1</v>
      </c>
      <c r="Q1038">
        <v>0</v>
      </c>
      <c r="R1038">
        <v>0</v>
      </c>
      <c r="S1038">
        <v>68</v>
      </c>
      <c r="T1038">
        <v>68</v>
      </c>
      <c r="U1038" s="5">
        <f>IF(Merge1[[#This Row],[team_defense_snaps]]=0, "", Merge1[[#This Row],[defense_snaps]] / Merge1[[#This Row],[team_defense_snaps]])</f>
        <v>1</v>
      </c>
      <c r="V1038">
        <v>68</v>
      </c>
      <c r="W1038">
        <v>0</v>
      </c>
      <c r="X1038" s="5" t="s">
        <v>29</v>
      </c>
      <c r="Y1038">
        <v>2</v>
      </c>
      <c r="Z1038">
        <v>0</v>
      </c>
      <c r="AA1038" t="s">
        <v>25</v>
      </c>
      <c r="AB1038" t="s">
        <v>26</v>
      </c>
      <c r="AC1038" t="s">
        <v>27</v>
      </c>
      <c r="AD1038" t="s">
        <v>42</v>
      </c>
      <c r="AE1038" t="s">
        <v>25</v>
      </c>
      <c r="AF10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0.16176470588235295</v>
      </c>
      <c r="AG1038" t="s">
        <v>941</v>
      </c>
      <c r="AH1038">
        <v>64.5</v>
      </c>
      <c r="AI1038" t="s">
        <v>939</v>
      </c>
      <c r="AJ1038">
        <v>4</v>
      </c>
      <c r="AK10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MIN(AJ1038/8, 1) +
  Merge1[[#This Row],[index_defensive_effort]],
  2
)</f>
        <v>1.06</v>
      </c>
    </row>
    <row r="1039" spans="1:37" x14ac:dyDescent="0.25">
      <c r="A1039" t="s">
        <v>406</v>
      </c>
      <c r="B1039" t="s">
        <v>407</v>
      </c>
      <c r="C1039">
        <v>24</v>
      </c>
      <c r="D1039" t="s">
        <v>56</v>
      </c>
      <c r="E1039">
        <v>71</v>
      </c>
      <c r="F1039">
        <v>192</v>
      </c>
      <c r="G1039" t="s">
        <v>144</v>
      </c>
      <c r="H1039">
        <v>2020</v>
      </c>
      <c r="I1039" t="s">
        <v>33</v>
      </c>
      <c r="J1039">
        <v>9</v>
      </c>
      <c r="K1039">
        <v>3</v>
      </c>
      <c r="L1039">
        <v>2</v>
      </c>
      <c r="M1039">
        <v>0</v>
      </c>
      <c r="N1039">
        <v>2</v>
      </c>
      <c r="O1039">
        <v>0</v>
      </c>
      <c r="P1039">
        <v>0</v>
      </c>
      <c r="Q1039">
        <v>0</v>
      </c>
      <c r="R1039">
        <v>0</v>
      </c>
      <c r="S1039">
        <v>66</v>
      </c>
      <c r="T1039">
        <v>66</v>
      </c>
      <c r="U1039" s="5">
        <f>IF(Merge1[[#This Row],[team_defense_snaps]]=0, "", Merge1[[#This Row],[defense_snaps]] / Merge1[[#This Row],[team_defense_snaps]])</f>
        <v>1</v>
      </c>
      <c r="V1039">
        <v>66</v>
      </c>
      <c r="W1039">
        <v>0</v>
      </c>
      <c r="X1039" s="5" t="s">
        <v>29</v>
      </c>
      <c r="Y1039">
        <v>2</v>
      </c>
      <c r="Z1039">
        <v>0</v>
      </c>
      <c r="AA1039" t="s">
        <v>25</v>
      </c>
      <c r="AB1039" t="s">
        <v>26</v>
      </c>
      <c r="AC1039" t="s">
        <v>27</v>
      </c>
      <c r="AD1039" t="s">
        <v>42</v>
      </c>
      <c r="AE1039" t="s">
        <v>25</v>
      </c>
      <c r="AF10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6.0606060606060608E-2</v>
      </c>
      <c r="AG1039" t="s">
        <v>941</v>
      </c>
      <c r="AH1039">
        <v>75</v>
      </c>
      <c r="AI1039" t="s">
        <v>939</v>
      </c>
      <c r="AJ1039">
        <v>5</v>
      </c>
      <c r="AK10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MIN(AJ1039/8, 1) +
  Merge1[[#This Row],[index_defensive_effort]],
  2
)</f>
        <v>1.0900000000000001</v>
      </c>
    </row>
    <row r="1040" spans="1:37" x14ac:dyDescent="0.25">
      <c r="A1040" t="s">
        <v>406</v>
      </c>
      <c r="B1040" t="s">
        <v>407</v>
      </c>
      <c r="C1040">
        <v>24</v>
      </c>
      <c r="D1040" t="s">
        <v>56</v>
      </c>
      <c r="E1040">
        <v>71</v>
      </c>
      <c r="F1040">
        <v>192</v>
      </c>
      <c r="G1040" t="s">
        <v>144</v>
      </c>
      <c r="H1040">
        <v>2020</v>
      </c>
      <c r="I1040" t="s">
        <v>33</v>
      </c>
      <c r="J1040">
        <v>10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58</v>
      </c>
      <c r="T1040">
        <v>58</v>
      </c>
      <c r="U1040" s="5">
        <f>IF(Merge1[[#This Row],[team_defense_snaps]]=0, "", Merge1[[#This Row],[defense_snaps]] / Merge1[[#This Row],[team_defense_snaps]])</f>
        <v>0.98305084745762716</v>
      </c>
      <c r="V1040">
        <v>59</v>
      </c>
      <c r="W1040">
        <v>0</v>
      </c>
      <c r="X1040" s="5" t="s">
        <v>29</v>
      </c>
      <c r="Y1040">
        <v>2</v>
      </c>
      <c r="Z1040">
        <v>0</v>
      </c>
      <c r="AA1040" t="s">
        <v>25</v>
      </c>
      <c r="AB1040" t="s">
        <v>26</v>
      </c>
      <c r="AC1040" t="s">
        <v>27</v>
      </c>
      <c r="AD1040" t="s">
        <v>42</v>
      </c>
      <c r="AE1040" t="s">
        <v>25</v>
      </c>
      <c r="AF10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1.7241379310344827E-2</v>
      </c>
      <c r="AG1040" t="s">
        <v>941</v>
      </c>
      <c r="AH1040">
        <v>78</v>
      </c>
      <c r="AI1040" t="s">
        <v>939</v>
      </c>
      <c r="AJ1040">
        <v>1</v>
      </c>
      <c r="AK10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MIN(AJ1040/8, 1) +
  Merge1[[#This Row],[index_defensive_effort]],
  2
)</f>
        <v>0.54</v>
      </c>
    </row>
    <row r="1041" spans="1:37" x14ac:dyDescent="0.25">
      <c r="A1041" t="s">
        <v>406</v>
      </c>
      <c r="B1041" t="s">
        <v>407</v>
      </c>
      <c r="C1041">
        <v>24</v>
      </c>
      <c r="D1041" t="s">
        <v>56</v>
      </c>
      <c r="E1041">
        <v>71</v>
      </c>
      <c r="F1041">
        <v>192</v>
      </c>
      <c r="G1041" t="s">
        <v>144</v>
      </c>
      <c r="H1041">
        <v>2020</v>
      </c>
      <c r="I1041" t="s">
        <v>33</v>
      </c>
      <c r="J1041">
        <v>12</v>
      </c>
      <c r="K1041">
        <v>3</v>
      </c>
      <c r="L1041">
        <v>1</v>
      </c>
      <c r="M1041">
        <v>1</v>
      </c>
      <c r="N1041">
        <v>2</v>
      </c>
      <c r="O1041">
        <v>0</v>
      </c>
      <c r="P1041">
        <v>0</v>
      </c>
      <c r="Q1041">
        <v>0</v>
      </c>
      <c r="R1041">
        <v>0</v>
      </c>
      <c r="S1041">
        <v>52</v>
      </c>
      <c r="T1041">
        <v>35</v>
      </c>
      <c r="U1041" s="5">
        <f>IF(Merge1[[#This Row],[team_defense_snaps]]=0, "", Merge1[[#This Row],[defense_snaps]] / Merge1[[#This Row],[team_defense_snaps]])</f>
        <v>0.56451612903225812</v>
      </c>
      <c r="V1041">
        <v>62</v>
      </c>
      <c r="W1041">
        <v>17</v>
      </c>
      <c r="X1041" s="5" t="s">
        <v>79</v>
      </c>
      <c r="Y1041">
        <v>2</v>
      </c>
      <c r="Z1041">
        <v>0</v>
      </c>
      <c r="AA1041" t="s">
        <v>25</v>
      </c>
      <c r="AB1041" t="s">
        <v>26</v>
      </c>
      <c r="AC1041" t="s">
        <v>27</v>
      </c>
      <c r="AD1041" t="s">
        <v>28</v>
      </c>
      <c r="AE1041" t="s">
        <v>25</v>
      </c>
      <c r="AF10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7.6923076923076927E-2</v>
      </c>
      <c r="AG1041" t="s">
        <v>941</v>
      </c>
      <c r="AH1041">
        <v>69</v>
      </c>
      <c r="AI1041" t="s">
        <v>938</v>
      </c>
      <c r="AJ1041">
        <v>1</v>
      </c>
      <c r="AK10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MIN(AJ1041/8, 1) +
  Merge1[[#This Row],[index_defensive_effort]],
  2
)</f>
        <v>0.6</v>
      </c>
    </row>
    <row r="1042" spans="1:37" x14ac:dyDescent="0.25">
      <c r="A1042" t="s">
        <v>406</v>
      </c>
      <c r="B1042" t="s">
        <v>407</v>
      </c>
      <c r="C1042">
        <v>24</v>
      </c>
      <c r="D1042" t="s">
        <v>56</v>
      </c>
      <c r="E1042">
        <v>71</v>
      </c>
      <c r="F1042">
        <v>192</v>
      </c>
      <c r="G1042" t="s">
        <v>144</v>
      </c>
      <c r="H1042">
        <v>2020</v>
      </c>
      <c r="I1042" t="s">
        <v>33</v>
      </c>
      <c r="J1042">
        <v>15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34</v>
      </c>
      <c r="T1042">
        <v>5</v>
      </c>
      <c r="U1042" s="5">
        <f>IF(Merge1[[#This Row],[team_defense_snaps]]=0, "", Merge1[[#This Row],[defense_snaps]] / Merge1[[#This Row],[team_defense_snaps]])</f>
        <v>8.6206896551724144E-2</v>
      </c>
      <c r="V1042">
        <v>58</v>
      </c>
      <c r="W1042">
        <v>29</v>
      </c>
      <c r="X1042" s="5" t="s">
        <v>95</v>
      </c>
      <c r="Y1042">
        <v>2</v>
      </c>
      <c r="Z1042">
        <v>0</v>
      </c>
      <c r="AA1042" t="s">
        <v>25</v>
      </c>
      <c r="AB1042" t="s">
        <v>36</v>
      </c>
      <c r="AC1042" t="s">
        <v>147</v>
      </c>
      <c r="AD1042" t="s">
        <v>28</v>
      </c>
      <c r="AE1042" t="s">
        <v>25</v>
      </c>
      <c r="AF10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2.9411764705882353E-2</v>
      </c>
      <c r="AG1042" t="s">
        <v>941</v>
      </c>
      <c r="AH1042">
        <v>66</v>
      </c>
      <c r="AI1042" t="s">
        <v>939</v>
      </c>
      <c r="AJ1042">
        <v>1</v>
      </c>
      <c r="AK10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MIN(AJ1042/8, 1) +
  Merge1[[#This Row],[index_defensive_effort]],
  2
)</f>
        <v>0.55000000000000004</v>
      </c>
    </row>
    <row r="1043" spans="1:37" x14ac:dyDescent="0.25">
      <c r="A1043" t="s">
        <v>408</v>
      </c>
      <c r="B1043" t="s">
        <v>409</v>
      </c>
      <c r="C1043">
        <v>26</v>
      </c>
      <c r="D1043" t="s">
        <v>22</v>
      </c>
      <c r="E1043">
        <v>71</v>
      </c>
      <c r="F1043">
        <v>199</v>
      </c>
      <c r="G1043" t="s">
        <v>157</v>
      </c>
      <c r="H1043">
        <v>2020</v>
      </c>
      <c r="I1043" t="s">
        <v>33</v>
      </c>
      <c r="J1043">
        <v>1</v>
      </c>
      <c r="K1043">
        <v>3</v>
      </c>
      <c r="L1043">
        <v>4</v>
      </c>
      <c r="M1043">
        <v>1</v>
      </c>
      <c r="N1043">
        <v>5</v>
      </c>
      <c r="O1043">
        <v>0</v>
      </c>
      <c r="P1043">
        <v>1</v>
      </c>
      <c r="Q1043">
        <v>0</v>
      </c>
      <c r="R1043">
        <v>0</v>
      </c>
      <c r="S1043">
        <v>68</v>
      </c>
      <c r="T1043">
        <v>67</v>
      </c>
      <c r="U1043" s="5">
        <f>IF(Merge1[[#This Row],[team_defense_snaps]]=0, "", Merge1[[#This Row],[defense_snaps]] / Merge1[[#This Row],[team_defense_snaps]])</f>
        <v>0.95714285714285718</v>
      </c>
      <c r="V1043">
        <v>70</v>
      </c>
      <c r="W1043">
        <v>1</v>
      </c>
      <c r="X1043" s="5" t="s">
        <v>193</v>
      </c>
      <c r="Y1043">
        <v>4</v>
      </c>
      <c r="Z1043">
        <v>0</v>
      </c>
      <c r="AA1043" t="s">
        <v>25</v>
      </c>
      <c r="AB1043" t="s">
        <v>26</v>
      </c>
      <c r="AC1043" t="s">
        <v>27</v>
      </c>
      <c r="AD1043" t="s">
        <v>42</v>
      </c>
      <c r="AE1043" t="s">
        <v>25</v>
      </c>
      <c r="AF10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0.11029411764705882</v>
      </c>
      <c r="AG1043" t="s">
        <v>942</v>
      </c>
      <c r="AH1043">
        <v>80.5</v>
      </c>
      <c r="AI1043" t="s">
        <v>939</v>
      </c>
      <c r="AJ1043">
        <v>2</v>
      </c>
      <c r="AK10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MIN(AJ1043/8, 1) +
  Merge1[[#This Row],[index_defensive_effort]],
  2
)</f>
        <v>0.96</v>
      </c>
    </row>
    <row r="1044" spans="1:37" x14ac:dyDescent="0.25">
      <c r="A1044" t="s">
        <v>408</v>
      </c>
      <c r="B1044" t="s">
        <v>409</v>
      </c>
      <c r="C1044">
        <v>26</v>
      </c>
      <c r="D1044" t="s">
        <v>22</v>
      </c>
      <c r="E1044">
        <v>71</v>
      </c>
      <c r="F1044">
        <v>199</v>
      </c>
      <c r="G1044" t="s">
        <v>157</v>
      </c>
      <c r="H1044">
        <v>2020</v>
      </c>
      <c r="I1044" t="s">
        <v>33</v>
      </c>
      <c r="J1044">
        <v>2</v>
      </c>
      <c r="K1044">
        <v>3</v>
      </c>
      <c r="L1044">
        <v>4</v>
      </c>
      <c r="M1044">
        <v>0</v>
      </c>
      <c r="N1044">
        <v>4</v>
      </c>
      <c r="O1044">
        <v>0</v>
      </c>
      <c r="P1044">
        <v>0</v>
      </c>
      <c r="Q1044">
        <v>0</v>
      </c>
      <c r="R1044">
        <v>0</v>
      </c>
      <c r="S1044">
        <v>59</v>
      </c>
      <c r="T1044">
        <v>59</v>
      </c>
      <c r="U1044" s="5">
        <f>IF(Merge1[[#This Row],[team_defense_snaps]]=0, "", Merge1[[#This Row],[defense_snaps]] / Merge1[[#This Row],[team_defense_snaps]])</f>
        <v>0.90769230769230769</v>
      </c>
      <c r="V1044">
        <v>65</v>
      </c>
      <c r="W1044">
        <v>0</v>
      </c>
      <c r="X1044" s="5" t="s">
        <v>29</v>
      </c>
      <c r="Y1044">
        <v>4</v>
      </c>
      <c r="Z1044">
        <v>0</v>
      </c>
      <c r="AA1044" t="s">
        <v>25</v>
      </c>
      <c r="AB1044" t="s">
        <v>26</v>
      </c>
      <c r="AC1044" t="s">
        <v>27</v>
      </c>
      <c r="AD1044" t="s">
        <v>42</v>
      </c>
      <c r="AE1044" t="s">
        <v>25</v>
      </c>
      <c r="AF10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8.4745762711864403E-2</v>
      </c>
      <c r="AG1044" t="s">
        <v>942</v>
      </c>
      <c r="AH1044">
        <v>73</v>
      </c>
      <c r="AI1044" t="s">
        <v>939</v>
      </c>
      <c r="AJ1044">
        <v>3</v>
      </c>
      <c r="AK10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MIN(AJ1044/8, 1) +
  Merge1[[#This Row],[index_defensive_effort]],
  2
)</f>
        <v>1.06</v>
      </c>
    </row>
    <row r="1045" spans="1:37" x14ac:dyDescent="0.25">
      <c r="A1045" t="s">
        <v>408</v>
      </c>
      <c r="B1045" t="s">
        <v>409</v>
      </c>
      <c r="C1045">
        <v>26</v>
      </c>
      <c r="D1045" t="s">
        <v>22</v>
      </c>
      <c r="E1045">
        <v>71</v>
      </c>
      <c r="F1045">
        <v>199</v>
      </c>
      <c r="G1045" t="s">
        <v>157</v>
      </c>
      <c r="H1045">
        <v>2020</v>
      </c>
      <c r="I1045" t="s">
        <v>33</v>
      </c>
      <c r="J1045">
        <v>3</v>
      </c>
      <c r="K1045">
        <v>6</v>
      </c>
      <c r="L1045">
        <v>0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2</v>
      </c>
      <c r="S1045">
        <v>73</v>
      </c>
      <c r="T1045">
        <v>73</v>
      </c>
      <c r="U1045" s="5">
        <f>IF(Merge1[[#This Row],[team_defense_snaps]]=0, "", Merge1[[#This Row],[defense_snaps]] / Merge1[[#This Row],[team_defense_snaps]])</f>
        <v>0.90123456790123457</v>
      </c>
      <c r="V1045">
        <v>81</v>
      </c>
      <c r="W1045">
        <v>0</v>
      </c>
      <c r="X1045" s="5" t="s">
        <v>29</v>
      </c>
      <c r="Y1045">
        <v>4</v>
      </c>
      <c r="Z1045">
        <v>0</v>
      </c>
      <c r="AA1045" t="s">
        <v>25</v>
      </c>
      <c r="AB1045" t="s">
        <v>26</v>
      </c>
      <c r="AC1045" t="s">
        <v>27</v>
      </c>
      <c r="AD1045" t="s">
        <v>42</v>
      </c>
      <c r="AE1045" t="s">
        <v>25</v>
      </c>
      <c r="AF10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0.16438356164383561</v>
      </c>
      <c r="AG1045" t="s">
        <v>942</v>
      </c>
      <c r="AH1045">
        <v>74.5</v>
      </c>
      <c r="AI1045" t="s">
        <v>939</v>
      </c>
      <c r="AJ1045">
        <v>4</v>
      </c>
      <c r="AK10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MIN(AJ1045/8, 1) +
  Merge1[[#This Row],[index_defensive_effort]],
  2
)</f>
        <v>1.26</v>
      </c>
    </row>
    <row r="1046" spans="1:37" x14ac:dyDescent="0.25">
      <c r="A1046" t="s">
        <v>408</v>
      </c>
      <c r="B1046" t="s">
        <v>409</v>
      </c>
      <c r="C1046">
        <v>26</v>
      </c>
      <c r="D1046" t="s">
        <v>22</v>
      </c>
      <c r="E1046">
        <v>71</v>
      </c>
      <c r="F1046">
        <v>199</v>
      </c>
      <c r="G1046" t="s">
        <v>157</v>
      </c>
      <c r="H1046">
        <v>2020</v>
      </c>
      <c r="I1046" t="s">
        <v>33</v>
      </c>
      <c r="J1046">
        <v>4</v>
      </c>
      <c r="K1046">
        <v>3</v>
      </c>
      <c r="L1046">
        <v>0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66</v>
      </c>
      <c r="T1046">
        <v>66</v>
      </c>
      <c r="U1046" s="5">
        <f>IF(Merge1[[#This Row],[team_defense_snaps]]=0, "", Merge1[[#This Row],[defense_snaps]] / Merge1[[#This Row],[team_defense_snaps]])</f>
        <v>0.9850746268656716</v>
      </c>
      <c r="V1046">
        <v>67</v>
      </c>
      <c r="W1046">
        <v>0</v>
      </c>
      <c r="X1046" s="5" t="s">
        <v>29</v>
      </c>
      <c r="Y1046">
        <v>4</v>
      </c>
      <c r="Z1046">
        <v>0</v>
      </c>
      <c r="AA1046" t="s">
        <v>25</v>
      </c>
      <c r="AB1046" t="s">
        <v>26</v>
      </c>
      <c r="AC1046" t="s">
        <v>27</v>
      </c>
      <c r="AD1046" t="s">
        <v>42</v>
      </c>
      <c r="AE1046" t="s">
        <v>25</v>
      </c>
      <c r="AF10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7.575757575757576E-2</v>
      </c>
      <c r="AG1046" t="s">
        <v>942</v>
      </c>
      <c r="AH1046">
        <v>76</v>
      </c>
      <c r="AI1046" t="s">
        <v>939</v>
      </c>
      <c r="AJ1046">
        <v>5</v>
      </c>
      <c r="AK10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MIN(AJ1046/8, 1) +
  Merge1[[#This Row],[index_defensive_effort]],
  2
)</f>
        <v>1.3</v>
      </c>
    </row>
    <row r="1047" spans="1:37" x14ac:dyDescent="0.25">
      <c r="A1047" t="s">
        <v>408</v>
      </c>
      <c r="B1047" t="s">
        <v>409</v>
      </c>
      <c r="C1047">
        <v>26</v>
      </c>
      <c r="D1047" t="s">
        <v>22</v>
      </c>
      <c r="E1047">
        <v>71</v>
      </c>
      <c r="F1047">
        <v>199</v>
      </c>
      <c r="G1047" t="s">
        <v>157</v>
      </c>
      <c r="H1047">
        <v>2020</v>
      </c>
      <c r="I1047" t="s">
        <v>33</v>
      </c>
      <c r="J1047">
        <v>5</v>
      </c>
      <c r="K1047">
        <v>2</v>
      </c>
      <c r="L1047">
        <v>4</v>
      </c>
      <c r="M1047">
        <v>2</v>
      </c>
      <c r="N1047">
        <v>6</v>
      </c>
      <c r="O1047">
        <v>0</v>
      </c>
      <c r="P1047">
        <v>0</v>
      </c>
      <c r="Q1047">
        <v>0</v>
      </c>
      <c r="R1047">
        <v>0</v>
      </c>
      <c r="S1047">
        <v>75</v>
      </c>
      <c r="T1047">
        <v>75</v>
      </c>
      <c r="U1047" s="5">
        <f>IF(Merge1[[#This Row],[team_defense_snaps]]=0, "", Merge1[[#This Row],[defense_snaps]] / Merge1[[#This Row],[team_defense_snaps]])</f>
        <v>0.98684210526315785</v>
      </c>
      <c r="V1047">
        <v>76</v>
      </c>
      <c r="W1047">
        <v>0</v>
      </c>
      <c r="X1047" s="5" t="s">
        <v>29</v>
      </c>
      <c r="Y1047">
        <v>4</v>
      </c>
      <c r="Z1047">
        <v>0</v>
      </c>
      <c r="AA1047" t="s">
        <v>25</v>
      </c>
      <c r="AB1047" t="s">
        <v>26</v>
      </c>
      <c r="AC1047" t="s">
        <v>27</v>
      </c>
      <c r="AD1047" t="s">
        <v>42</v>
      </c>
      <c r="AE1047" t="s">
        <v>25</v>
      </c>
      <c r="AF10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1047" t="s">
        <v>942</v>
      </c>
      <c r="AH1047">
        <v>70</v>
      </c>
      <c r="AI1047" t="s">
        <v>939</v>
      </c>
      <c r="AJ1047">
        <v>6</v>
      </c>
      <c r="AK10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MIN(AJ1047/8, 1) +
  Merge1[[#This Row],[index_defensive_effort]],
  2
)</f>
        <v>1.42</v>
      </c>
    </row>
    <row r="1048" spans="1:37" x14ac:dyDescent="0.25">
      <c r="A1048" t="s">
        <v>408</v>
      </c>
      <c r="B1048" t="s">
        <v>409</v>
      </c>
      <c r="C1048">
        <v>26</v>
      </c>
      <c r="D1048" t="s">
        <v>22</v>
      </c>
      <c r="E1048">
        <v>71</v>
      </c>
      <c r="F1048">
        <v>199</v>
      </c>
      <c r="G1048" t="s">
        <v>157</v>
      </c>
      <c r="H1048">
        <v>2020</v>
      </c>
      <c r="I1048" t="s">
        <v>33</v>
      </c>
      <c r="J1048">
        <v>6</v>
      </c>
      <c r="K1048">
        <v>3</v>
      </c>
      <c r="L1048">
        <v>2</v>
      </c>
      <c r="M1048">
        <v>2</v>
      </c>
      <c r="N1048">
        <v>4</v>
      </c>
      <c r="O1048">
        <v>0</v>
      </c>
      <c r="P1048">
        <v>0</v>
      </c>
      <c r="Q1048">
        <v>0</v>
      </c>
      <c r="R1048">
        <v>0</v>
      </c>
      <c r="S1048">
        <v>75</v>
      </c>
      <c r="T1048">
        <v>75</v>
      </c>
      <c r="U1048" s="5">
        <f>IF(Merge1[[#This Row],[team_defense_snaps]]=0, "", Merge1[[#This Row],[defense_snaps]] / Merge1[[#This Row],[team_defense_snaps]])</f>
        <v>1</v>
      </c>
      <c r="V1048">
        <v>75</v>
      </c>
      <c r="W1048">
        <v>0</v>
      </c>
      <c r="X1048" s="5" t="s">
        <v>29</v>
      </c>
      <c r="Y1048">
        <v>4</v>
      </c>
      <c r="Z1048">
        <v>0</v>
      </c>
      <c r="AA1048" t="s">
        <v>25</v>
      </c>
      <c r="AB1048" t="s">
        <v>26</v>
      </c>
      <c r="AC1048" t="s">
        <v>27</v>
      </c>
      <c r="AD1048" t="s">
        <v>42</v>
      </c>
      <c r="AE1048" t="s">
        <v>25</v>
      </c>
      <c r="AF10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1048" t="s">
        <v>942</v>
      </c>
      <c r="AH1048">
        <v>68.5</v>
      </c>
      <c r="AI1048" t="s">
        <v>939</v>
      </c>
      <c r="AJ1048">
        <v>7</v>
      </c>
      <c r="AK10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MIN(AJ1048/8, 1) +
  Merge1[[#This Row],[index_defensive_effort]],
  2
)</f>
        <v>1.54</v>
      </c>
    </row>
    <row r="1049" spans="1:37" x14ac:dyDescent="0.25">
      <c r="A1049" t="s">
        <v>408</v>
      </c>
      <c r="B1049" t="s">
        <v>409</v>
      </c>
      <c r="C1049">
        <v>26</v>
      </c>
      <c r="D1049" t="s">
        <v>22</v>
      </c>
      <c r="E1049">
        <v>71</v>
      </c>
      <c r="F1049">
        <v>199</v>
      </c>
      <c r="G1049" t="s">
        <v>157</v>
      </c>
      <c r="H1049">
        <v>2020</v>
      </c>
      <c r="I1049" t="s">
        <v>33</v>
      </c>
      <c r="J1049">
        <v>7</v>
      </c>
      <c r="K1049">
        <v>4</v>
      </c>
      <c r="L1049">
        <v>2</v>
      </c>
      <c r="M1049">
        <v>0</v>
      </c>
      <c r="N1049">
        <v>2</v>
      </c>
      <c r="O1049">
        <v>0</v>
      </c>
      <c r="P1049">
        <v>0</v>
      </c>
      <c r="Q1049">
        <v>0</v>
      </c>
      <c r="R1049">
        <v>0</v>
      </c>
      <c r="S1049">
        <v>62</v>
      </c>
      <c r="T1049">
        <v>62</v>
      </c>
      <c r="U1049" s="5">
        <f>IF(Merge1[[#This Row],[team_defense_snaps]]=0, "", Merge1[[#This Row],[defense_snaps]] / Merge1[[#This Row],[team_defense_snaps]])</f>
        <v>1</v>
      </c>
      <c r="V1049">
        <v>62</v>
      </c>
      <c r="W1049">
        <v>0</v>
      </c>
      <c r="X1049" s="5" t="s">
        <v>29</v>
      </c>
      <c r="Y1049">
        <v>4</v>
      </c>
      <c r="Z1049">
        <v>0</v>
      </c>
      <c r="AA1049" t="s">
        <v>25</v>
      </c>
      <c r="AB1049" t="s">
        <v>26</v>
      </c>
      <c r="AC1049" t="s">
        <v>27</v>
      </c>
      <c r="AD1049" t="s">
        <v>42</v>
      </c>
      <c r="AE1049" t="s">
        <v>25</v>
      </c>
      <c r="AF10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8.0645161290322578E-2</v>
      </c>
      <c r="AG1049" t="s">
        <v>942</v>
      </c>
      <c r="AH1049">
        <v>71.5</v>
      </c>
      <c r="AI1049" t="s">
        <v>939</v>
      </c>
      <c r="AJ1049">
        <v>1</v>
      </c>
      <c r="AK10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MIN(AJ1049/8, 1) +
  Merge1[[#This Row],[index_defensive_effort]],
  2
)</f>
        <v>0.81</v>
      </c>
    </row>
    <row r="1050" spans="1:37" x14ac:dyDescent="0.25">
      <c r="A1050" t="s">
        <v>408</v>
      </c>
      <c r="B1050" t="s">
        <v>409</v>
      </c>
      <c r="C1050">
        <v>26</v>
      </c>
      <c r="D1050" t="s">
        <v>22</v>
      </c>
      <c r="E1050">
        <v>71</v>
      </c>
      <c r="F1050">
        <v>199</v>
      </c>
      <c r="G1050" t="s">
        <v>157</v>
      </c>
      <c r="H1050">
        <v>2020</v>
      </c>
      <c r="I1050" t="s">
        <v>33</v>
      </c>
      <c r="J1050">
        <v>9</v>
      </c>
      <c r="K1050">
        <v>2</v>
      </c>
      <c r="L1050">
        <v>1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69</v>
      </c>
      <c r="T1050">
        <v>69</v>
      </c>
      <c r="U1050" s="5">
        <f>IF(Merge1[[#This Row],[team_defense_snaps]]=0, "", Merge1[[#This Row],[defense_snaps]] / Merge1[[#This Row],[team_defense_snaps]])</f>
        <v>0.98571428571428577</v>
      </c>
      <c r="V1050">
        <v>70</v>
      </c>
      <c r="W1050">
        <v>0</v>
      </c>
      <c r="X1050" s="5" t="s">
        <v>29</v>
      </c>
      <c r="Y1050">
        <v>4</v>
      </c>
      <c r="Z1050">
        <v>0</v>
      </c>
      <c r="AA1050" t="s">
        <v>25</v>
      </c>
      <c r="AB1050" t="s">
        <v>26</v>
      </c>
      <c r="AC1050" t="s">
        <v>27</v>
      </c>
      <c r="AD1050" t="s">
        <v>42</v>
      </c>
      <c r="AE1050" t="s">
        <v>25</v>
      </c>
      <c r="AF10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3.6231884057971016E-2</v>
      </c>
      <c r="AG1050" t="s">
        <v>942</v>
      </c>
      <c r="AH1050">
        <v>86.5</v>
      </c>
      <c r="AI1050" t="s">
        <v>939</v>
      </c>
      <c r="AJ1050">
        <v>2</v>
      </c>
      <c r="AK10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MIN(AJ1050/8, 1) +
  Merge1[[#This Row],[index_defensive_effort]],
  2
)</f>
        <v>0.89</v>
      </c>
    </row>
    <row r="1051" spans="1:37" x14ac:dyDescent="0.25">
      <c r="A1051" t="s">
        <v>408</v>
      </c>
      <c r="B1051" t="s">
        <v>409</v>
      </c>
      <c r="C1051">
        <v>26</v>
      </c>
      <c r="D1051" t="s">
        <v>22</v>
      </c>
      <c r="E1051">
        <v>71</v>
      </c>
      <c r="F1051">
        <v>199</v>
      </c>
      <c r="G1051" t="s">
        <v>157</v>
      </c>
      <c r="H1051">
        <v>2020</v>
      </c>
      <c r="I1051" t="s">
        <v>33</v>
      </c>
      <c r="J1051">
        <v>10</v>
      </c>
      <c r="K1051">
        <v>3</v>
      </c>
      <c r="L1051">
        <v>1</v>
      </c>
      <c r="M1051">
        <v>0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65</v>
      </c>
      <c r="T1051">
        <v>65</v>
      </c>
      <c r="U1051" s="5">
        <f>IF(Merge1[[#This Row],[team_defense_snaps]]=0, "", Merge1[[#This Row],[defense_snaps]] / Merge1[[#This Row],[team_defense_snaps]])</f>
        <v>1</v>
      </c>
      <c r="V1051">
        <v>65</v>
      </c>
      <c r="W1051">
        <v>0</v>
      </c>
      <c r="X1051" s="5" t="s">
        <v>29</v>
      </c>
      <c r="Y1051">
        <v>4</v>
      </c>
      <c r="Z1051">
        <v>0</v>
      </c>
      <c r="AA1051" t="s">
        <v>25</v>
      </c>
      <c r="AB1051" t="s">
        <v>26</v>
      </c>
      <c r="AC1051" t="s">
        <v>27</v>
      </c>
      <c r="AD1051" t="s">
        <v>42</v>
      </c>
      <c r="AE1051" t="s">
        <v>25</v>
      </c>
      <c r="AF10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5.3846153846153849E-2</v>
      </c>
      <c r="AG1051" t="s">
        <v>942</v>
      </c>
      <c r="AH1051">
        <v>83.5</v>
      </c>
      <c r="AI1051" t="s">
        <v>939</v>
      </c>
      <c r="AJ1051">
        <v>3</v>
      </c>
      <c r="AK10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MIN(AJ1051/8, 1) +
  Merge1[[#This Row],[index_defensive_effort]],
  2
)</f>
        <v>1.03</v>
      </c>
    </row>
    <row r="1052" spans="1:37" x14ac:dyDescent="0.25">
      <c r="A1052" t="s">
        <v>408</v>
      </c>
      <c r="B1052" t="s">
        <v>409</v>
      </c>
      <c r="C1052">
        <v>26</v>
      </c>
      <c r="D1052" t="s">
        <v>22</v>
      </c>
      <c r="E1052">
        <v>71</v>
      </c>
      <c r="F1052">
        <v>199</v>
      </c>
      <c r="G1052" t="s">
        <v>157</v>
      </c>
      <c r="H1052">
        <v>2020</v>
      </c>
      <c r="I1052" t="s">
        <v>33</v>
      </c>
      <c r="J1052">
        <v>11</v>
      </c>
      <c r="K1052">
        <v>3</v>
      </c>
      <c r="L1052">
        <v>1</v>
      </c>
      <c r="M1052">
        <v>0</v>
      </c>
      <c r="N1052">
        <v>1</v>
      </c>
      <c r="O1052">
        <v>0</v>
      </c>
      <c r="P1052">
        <v>1</v>
      </c>
      <c r="Q1052">
        <v>0</v>
      </c>
      <c r="R1052">
        <v>0</v>
      </c>
      <c r="S1052">
        <v>69</v>
      </c>
      <c r="T1052">
        <v>69</v>
      </c>
      <c r="U1052" s="5">
        <f>IF(Merge1[[#This Row],[team_defense_snaps]]=0, "", Merge1[[#This Row],[defense_snaps]] / Merge1[[#This Row],[team_defense_snaps]])</f>
        <v>0.92</v>
      </c>
      <c r="V1052">
        <v>75</v>
      </c>
      <c r="W1052">
        <v>0</v>
      </c>
      <c r="X1052" s="5" t="s">
        <v>29</v>
      </c>
      <c r="Y1052">
        <v>4</v>
      </c>
      <c r="Z1052">
        <v>0</v>
      </c>
      <c r="AA1052" t="s">
        <v>25</v>
      </c>
      <c r="AB1052" t="s">
        <v>26</v>
      </c>
      <c r="AC1052" t="s">
        <v>27</v>
      </c>
      <c r="AD1052" t="s">
        <v>42</v>
      </c>
      <c r="AE1052" t="s">
        <v>25</v>
      </c>
      <c r="AF10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7.9710144927536225E-2</v>
      </c>
      <c r="AG1052" t="s">
        <v>942</v>
      </c>
      <c r="AH1052">
        <v>88</v>
      </c>
      <c r="AI1052" t="s">
        <v>939</v>
      </c>
      <c r="AJ1052">
        <v>4</v>
      </c>
      <c r="AK10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MIN(AJ1052/8, 1) +
  Merge1[[#This Row],[index_defensive_effort]],
  2
)</f>
        <v>1.18</v>
      </c>
    </row>
    <row r="1053" spans="1:37" x14ac:dyDescent="0.25">
      <c r="A1053" t="s">
        <v>408</v>
      </c>
      <c r="B1053" t="s">
        <v>409</v>
      </c>
      <c r="C1053">
        <v>26</v>
      </c>
      <c r="D1053" t="s">
        <v>22</v>
      </c>
      <c r="E1053">
        <v>71</v>
      </c>
      <c r="F1053">
        <v>199</v>
      </c>
      <c r="G1053" t="s">
        <v>157</v>
      </c>
      <c r="H1053">
        <v>2020</v>
      </c>
      <c r="I1053" t="s">
        <v>33</v>
      </c>
      <c r="J1053">
        <v>12</v>
      </c>
      <c r="K1053">
        <v>1</v>
      </c>
      <c r="L1053">
        <v>2</v>
      </c>
      <c r="M1053">
        <v>1</v>
      </c>
      <c r="N1053">
        <v>3</v>
      </c>
      <c r="O1053">
        <v>0</v>
      </c>
      <c r="P1053">
        <v>0</v>
      </c>
      <c r="Q1053">
        <v>0</v>
      </c>
      <c r="R1053">
        <v>0</v>
      </c>
      <c r="S1053">
        <v>81</v>
      </c>
      <c r="T1053">
        <v>78</v>
      </c>
      <c r="U1053" s="5">
        <f>IF(Merge1[[#This Row],[team_defense_snaps]]=0, "", Merge1[[#This Row],[defense_snaps]] / Merge1[[#This Row],[team_defense_snaps]])</f>
        <v>0.95121951219512191</v>
      </c>
      <c r="V1053">
        <v>82</v>
      </c>
      <c r="W1053">
        <v>3</v>
      </c>
      <c r="X1053" s="5" t="s">
        <v>38</v>
      </c>
      <c r="Y1053">
        <v>4</v>
      </c>
      <c r="Z1053">
        <v>0</v>
      </c>
      <c r="AA1053" t="s">
        <v>25</v>
      </c>
      <c r="AB1053" t="s">
        <v>26</v>
      </c>
      <c r="AC1053" t="s">
        <v>27</v>
      </c>
      <c r="AD1053" t="s">
        <v>42</v>
      </c>
      <c r="AE1053" t="s">
        <v>25</v>
      </c>
      <c r="AF10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3.0864197530864196E-2</v>
      </c>
      <c r="AG1053" t="s">
        <v>942</v>
      </c>
      <c r="AH1053">
        <v>79</v>
      </c>
      <c r="AI1053" t="s">
        <v>939</v>
      </c>
      <c r="AJ1053">
        <v>5</v>
      </c>
      <c r="AK10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MIN(AJ1053/8, 1) +
  Merge1[[#This Row],[index_defensive_effort]],
  2
)</f>
        <v>1.26</v>
      </c>
    </row>
    <row r="1054" spans="1:37" x14ac:dyDescent="0.25">
      <c r="A1054" t="s">
        <v>408</v>
      </c>
      <c r="B1054" t="s">
        <v>409</v>
      </c>
      <c r="C1054">
        <v>26</v>
      </c>
      <c r="D1054" t="s">
        <v>22</v>
      </c>
      <c r="E1054">
        <v>71</v>
      </c>
      <c r="F1054">
        <v>199</v>
      </c>
      <c r="G1054" t="s">
        <v>157</v>
      </c>
      <c r="H1054">
        <v>2020</v>
      </c>
      <c r="I1054" t="s">
        <v>33</v>
      </c>
      <c r="J1054">
        <v>13</v>
      </c>
      <c r="K1054">
        <v>1</v>
      </c>
      <c r="L1054">
        <v>2</v>
      </c>
      <c r="M1054">
        <v>0</v>
      </c>
      <c r="N1054">
        <v>2</v>
      </c>
      <c r="O1054">
        <v>0</v>
      </c>
      <c r="P1054">
        <v>0</v>
      </c>
      <c r="Q1054">
        <v>0</v>
      </c>
      <c r="R1054">
        <v>0</v>
      </c>
      <c r="S1054">
        <v>73</v>
      </c>
      <c r="T1054">
        <v>69</v>
      </c>
      <c r="U1054" s="5">
        <f>IF(Merge1[[#This Row],[team_defense_snaps]]=0, "", Merge1[[#This Row],[defense_snaps]] / Merge1[[#This Row],[team_defense_snaps]])</f>
        <v>1</v>
      </c>
      <c r="V1054">
        <v>69</v>
      </c>
      <c r="W1054">
        <v>4</v>
      </c>
      <c r="X1054" s="5" t="s">
        <v>212</v>
      </c>
      <c r="Y1054">
        <v>4</v>
      </c>
      <c r="Z1054">
        <v>0</v>
      </c>
      <c r="AA1054" t="s">
        <v>25</v>
      </c>
      <c r="AB1054" t="s">
        <v>26</v>
      </c>
      <c r="AC1054" t="s">
        <v>27</v>
      </c>
      <c r="AD1054" t="s">
        <v>42</v>
      </c>
      <c r="AE1054" t="s">
        <v>25</v>
      </c>
      <c r="AF10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2.7397260273972601E-2</v>
      </c>
      <c r="AG1054" t="s">
        <v>942</v>
      </c>
      <c r="AH1054">
        <v>67</v>
      </c>
      <c r="AI1054" t="s">
        <v>939</v>
      </c>
      <c r="AJ1054">
        <v>6</v>
      </c>
      <c r="AK10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MIN(AJ1054/8, 1) +
  Merge1[[#This Row],[index_defensive_effort]],
  2
)</f>
        <v>1.38</v>
      </c>
    </row>
    <row r="1055" spans="1:37" x14ac:dyDescent="0.25">
      <c r="A1055" t="s">
        <v>408</v>
      </c>
      <c r="B1055" t="s">
        <v>409</v>
      </c>
      <c r="C1055">
        <v>26</v>
      </c>
      <c r="D1055" t="s">
        <v>22</v>
      </c>
      <c r="E1055">
        <v>71</v>
      </c>
      <c r="F1055">
        <v>199</v>
      </c>
      <c r="G1055" t="s">
        <v>157</v>
      </c>
      <c r="H1055">
        <v>2020</v>
      </c>
      <c r="I1055" t="s">
        <v>33</v>
      </c>
      <c r="J1055">
        <v>14</v>
      </c>
      <c r="K1055">
        <v>16</v>
      </c>
      <c r="L1055">
        <v>1</v>
      </c>
      <c r="M1055">
        <v>0</v>
      </c>
      <c r="N1055">
        <v>1</v>
      </c>
      <c r="O1055">
        <v>8</v>
      </c>
      <c r="P1055">
        <v>9</v>
      </c>
      <c r="Q1055">
        <v>0</v>
      </c>
      <c r="R1055">
        <v>0</v>
      </c>
      <c r="S1055">
        <v>69</v>
      </c>
      <c r="T1055">
        <v>60</v>
      </c>
      <c r="U1055" s="5">
        <f>IF(Merge1[[#This Row],[team_defense_snaps]]=0, "", Merge1[[#This Row],[defense_snaps]] / Merge1[[#This Row],[team_defense_snaps]])</f>
        <v>1</v>
      </c>
      <c r="V1055">
        <v>60</v>
      </c>
      <c r="W1055">
        <v>9</v>
      </c>
      <c r="X1055" s="5" t="s">
        <v>70</v>
      </c>
      <c r="Y1055">
        <v>4</v>
      </c>
      <c r="Z1055">
        <v>0</v>
      </c>
      <c r="AA1055" t="s">
        <v>25</v>
      </c>
      <c r="AB1055" t="s">
        <v>26</v>
      </c>
      <c r="AC1055" t="s">
        <v>27</v>
      </c>
      <c r="AD1055" t="s">
        <v>42</v>
      </c>
      <c r="AE1055" t="s">
        <v>25</v>
      </c>
      <c r="AF10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0.84782608695652173</v>
      </c>
      <c r="AG1055" t="s">
        <v>942</v>
      </c>
      <c r="AH1055">
        <v>82</v>
      </c>
      <c r="AI1055" t="s">
        <v>939</v>
      </c>
      <c r="AJ1055">
        <v>7</v>
      </c>
      <c r="AK10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MIN(AJ1055/8, 1) +
  Merge1[[#This Row],[index_defensive_effort]],
  2
)</f>
        <v>2.3199999999999998</v>
      </c>
    </row>
    <row r="1056" spans="1:37" x14ac:dyDescent="0.25">
      <c r="A1056" t="s">
        <v>408</v>
      </c>
      <c r="B1056" t="s">
        <v>409</v>
      </c>
      <c r="C1056">
        <v>26</v>
      </c>
      <c r="D1056" t="s">
        <v>22</v>
      </c>
      <c r="E1056">
        <v>71</v>
      </c>
      <c r="F1056">
        <v>199</v>
      </c>
      <c r="G1056" t="s">
        <v>157</v>
      </c>
      <c r="H1056">
        <v>2020</v>
      </c>
      <c r="I1056" t="s">
        <v>33</v>
      </c>
      <c r="J1056">
        <v>15</v>
      </c>
      <c r="K1056">
        <v>2</v>
      </c>
      <c r="L1056">
        <v>3</v>
      </c>
      <c r="M1056">
        <v>3</v>
      </c>
      <c r="N1056">
        <v>6</v>
      </c>
      <c r="O1056">
        <v>0</v>
      </c>
      <c r="P1056">
        <v>0</v>
      </c>
      <c r="Q1056">
        <v>0</v>
      </c>
      <c r="R1056">
        <v>0</v>
      </c>
      <c r="S1056">
        <v>56</v>
      </c>
      <c r="T1056">
        <v>54</v>
      </c>
      <c r="U1056" s="5">
        <f>IF(Merge1[[#This Row],[team_defense_snaps]]=0, "", Merge1[[#This Row],[defense_snaps]] / Merge1[[#This Row],[team_defense_snaps]])</f>
        <v>0.98181818181818181</v>
      </c>
      <c r="V1056">
        <v>55</v>
      </c>
      <c r="W1056">
        <v>2</v>
      </c>
      <c r="X1056" s="5" t="s">
        <v>250</v>
      </c>
      <c r="Y1056">
        <v>4</v>
      </c>
      <c r="Z1056">
        <v>0</v>
      </c>
      <c r="AA1056" t="s">
        <v>25</v>
      </c>
      <c r="AB1056" t="s">
        <v>26</v>
      </c>
      <c r="AC1056" t="s">
        <v>27</v>
      </c>
      <c r="AD1056" t="s">
        <v>42</v>
      </c>
      <c r="AE1056" t="s">
        <v>25</v>
      </c>
      <c r="AF10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8.9285714285714288E-2</v>
      </c>
      <c r="AG1056" t="s">
        <v>942</v>
      </c>
      <c r="AH1056">
        <v>85</v>
      </c>
      <c r="AI1056" t="s">
        <v>939</v>
      </c>
      <c r="AJ1056">
        <v>1</v>
      </c>
      <c r="AK10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MIN(AJ1056/8, 1) +
  Merge1[[#This Row],[index_defensive_effort]],
  2
)</f>
        <v>0.81</v>
      </c>
    </row>
    <row r="1057" spans="1:37" x14ac:dyDescent="0.25">
      <c r="A1057" t="s">
        <v>410</v>
      </c>
      <c r="B1057" t="s">
        <v>411</v>
      </c>
      <c r="C1057">
        <v>28</v>
      </c>
      <c r="D1057" t="s">
        <v>22</v>
      </c>
      <c r="E1057">
        <v>73</v>
      </c>
      <c r="F1057">
        <v>210</v>
      </c>
      <c r="G1057" t="s">
        <v>203</v>
      </c>
      <c r="H1057">
        <v>2020</v>
      </c>
      <c r="I1057" t="s">
        <v>33</v>
      </c>
      <c r="J1057">
        <v>1</v>
      </c>
      <c r="K1057">
        <v>2</v>
      </c>
      <c r="L1057">
        <v>3</v>
      </c>
      <c r="M1057">
        <v>3</v>
      </c>
      <c r="N1057">
        <v>6</v>
      </c>
      <c r="O1057">
        <v>0</v>
      </c>
      <c r="P1057">
        <v>0</v>
      </c>
      <c r="Q1057">
        <v>0</v>
      </c>
      <c r="R1057">
        <v>0</v>
      </c>
      <c r="S1057">
        <v>58</v>
      </c>
      <c r="T1057">
        <v>54</v>
      </c>
      <c r="U1057" s="5">
        <f>IF(Merge1[[#This Row],[team_defense_snaps]]=0, "", Merge1[[#This Row],[defense_snaps]] / Merge1[[#This Row],[team_defense_snaps]])</f>
        <v>0.83076923076923082</v>
      </c>
      <c r="V1057">
        <v>65</v>
      </c>
      <c r="W1057">
        <v>4</v>
      </c>
      <c r="X1057" s="5" t="s">
        <v>139</v>
      </c>
      <c r="Y1057">
        <v>5</v>
      </c>
      <c r="Z1057">
        <v>0</v>
      </c>
      <c r="AA1057" t="s">
        <v>25</v>
      </c>
      <c r="AB1057" t="s">
        <v>26</v>
      </c>
      <c r="AC1057" t="s">
        <v>27</v>
      </c>
      <c r="AD1057" t="s">
        <v>28</v>
      </c>
      <c r="AE1057" t="s">
        <v>25</v>
      </c>
      <c r="AF10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8.6206896551724144E-2</v>
      </c>
      <c r="AG1057" t="s">
        <v>941</v>
      </c>
      <c r="AH1057">
        <v>74.5</v>
      </c>
      <c r="AI1057" t="s">
        <v>939</v>
      </c>
      <c r="AJ1057">
        <v>2</v>
      </c>
      <c r="AK10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MIN(AJ1057/8, 1) +
  Merge1[[#This Row],[index_defensive_effort]],
  2
)</f>
        <v>0.94</v>
      </c>
    </row>
    <row r="1058" spans="1:37" x14ac:dyDescent="0.25">
      <c r="A1058" t="s">
        <v>410</v>
      </c>
      <c r="B1058" t="s">
        <v>411</v>
      </c>
      <c r="C1058">
        <v>28</v>
      </c>
      <c r="D1058" t="s">
        <v>22</v>
      </c>
      <c r="E1058">
        <v>73</v>
      </c>
      <c r="F1058">
        <v>210</v>
      </c>
      <c r="G1058" t="s">
        <v>203</v>
      </c>
      <c r="H1058">
        <v>2020</v>
      </c>
      <c r="I1058" t="s">
        <v>33</v>
      </c>
      <c r="J1058">
        <v>2</v>
      </c>
      <c r="K1058">
        <v>1</v>
      </c>
      <c r="L1058">
        <v>1</v>
      </c>
      <c r="M1058">
        <v>0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43</v>
      </c>
      <c r="T1058">
        <v>37</v>
      </c>
      <c r="U1058" s="5">
        <f>IF(Merge1[[#This Row],[team_defense_snaps]]=0, "", Merge1[[#This Row],[defense_snaps]] / Merge1[[#This Row],[team_defense_snaps]])</f>
        <v>0.59677419354838712</v>
      </c>
      <c r="V1058">
        <v>62</v>
      </c>
      <c r="W1058">
        <v>6</v>
      </c>
      <c r="X1058" s="5" t="s">
        <v>58</v>
      </c>
      <c r="Y1058">
        <v>5</v>
      </c>
      <c r="Z1058">
        <v>0</v>
      </c>
      <c r="AA1058" t="s">
        <v>25</v>
      </c>
      <c r="AB1058" t="s">
        <v>26</v>
      </c>
      <c r="AC1058" t="s">
        <v>27</v>
      </c>
      <c r="AD1058" t="s">
        <v>28</v>
      </c>
      <c r="AE1058" t="s">
        <v>25</v>
      </c>
      <c r="AF10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3.4883720930232558E-2</v>
      </c>
      <c r="AG1058" t="s">
        <v>941</v>
      </c>
      <c r="AH1058">
        <v>82</v>
      </c>
      <c r="AI1058" t="s">
        <v>939</v>
      </c>
      <c r="AJ1058">
        <v>3</v>
      </c>
      <c r="AK10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MIN(AJ1058/8, 1) +
  Merge1[[#This Row],[index_defensive_effort]],
  2
)</f>
        <v>1.01</v>
      </c>
    </row>
    <row r="1059" spans="1:37" x14ac:dyDescent="0.25">
      <c r="A1059" t="s">
        <v>410</v>
      </c>
      <c r="B1059" t="s">
        <v>411</v>
      </c>
      <c r="C1059">
        <v>28</v>
      </c>
      <c r="D1059" t="s">
        <v>22</v>
      </c>
      <c r="E1059">
        <v>73</v>
      </c>
      <c r="F1059">
        <v>210</v>
      </c>
      <c r="G1059" t="s">
        <v>203</v>
      </c>
      <c r="H1059">
        <v>2020</v>
      </c>
      <c r="I1059" t="s">
        <v>33</v>
      </c>
      <c r="J1059">
        <v>3</v>
      </c>
      <c r="K1059">
        <v>2</v>
      </c>
      <c r="L1059">
        <v>3</v>
      </c>
      <c r="M1059">
        <v>0</v>
      </c>
      <c r="N1059">
        <v>3</v>
      </c>
      <c r="O1059">
        <v>0</v>
      </c>
      <c r="P1059">
        <v>1</v>
      </c>
      <c r="Q1059">
        <v>0</v>
      </c>
      <c r="R1059">
        <v>0</v>
      </c>
      <c r="S1059">
        <v>50</v>
      </c>
      <c r="T1059">
        <v>48</v>
      </c>
      <c r="U1059" s="5">
        <f>IF(Merge1[[#This Row],[team_defense_snaps]]=0, "", Merge1[[#This Row],[defense_snaps]] / Merge1[[#This Row],[team_defense_snaps]])</f>
        <v>0.71641791044776115</v>
      </c>
      <c r="V1059">
        <v>67</v>
      </c>
      <c r="W1059">
        <v>2</v>
      </c>
      <c r="X1059" s="5" t="s">
        <v>250</v>
      </c>
      <c r="Y1059">
        <v>5</v>
      </c>
      <c r="Z1059">
        <v>0</v>
      </c>
      <c r="AA1059" t="s">
        <v>25</v>
      </c>
      <c r="AB1059" t="s">
        <v>26</v>
      </c>
      <c r="AC1059" t="s">
        <v>27</v>
      </c>
      <c r="AD1059" t="s">
        <v>42</v>
      </c>
      <c r="AE1059" t="s">
        <v>25</v>
      </c>
      <c r="AF10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</v>
      </c>
      <c r="AG1059" t="s">
        <v>941</v>
      </c>
      <c r="AH1059">
        <v>76</v>
      </c>
      <c r="AI1059" t="s">
        <v>939</v>
      </c>
      <c r="AJ1059">
        <v>4</v>
      </c>
      <c r="AK10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MIN(AJ1059/8, 1) +
  Merge1[[#This Row],[index_defensive_effort]],
  2
)</f>
        <v>1.21</v>
      </c>
    </row>
    <row r="1060" spans="1:37" x14ac:dyDescent="0.25">
      <c r="A1060" t="s">
        <v>410</v>
      </c>
      <c r="B1060" t="s">
        <v>411</v>
      </c>
      <c r="C1060">
        <v>28</v>
      </c>
      <c r="D1060" t="s">
        <v>22</v>
      </c>
      <c r="E1060">
        <v>73</v>
      </c>
      <c r="F1060">
        <v>210</v>
      </c>
      <c r="G1060" t="s">
        <v>203</v>
      </c>
      <c r="H1060">
        <v>2020</v>
      </c>
      <c r="I1060" t="s">
        <v>33</v>
      </c>
      <c r="J1060">
        <v>4</v>
      </c>
      <c r="K1060">
        <v>6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52</v>
      </c>
      <c r="T1060">
        <v>50</v>
      </c>
      <c r="U1060" s="5">
        <f>IF(Merge1[[#This Row],[team_defense_snaps]]=0, "", Merge1[[#This Row],[defense_snaps]] / Merge1[[#This Row],[team_defense_snaps]])</f>
        <v>0.78125</v>
      </c>
      <c r="V1060">
        <v>64</v>
      </c>
      <c r="W1060">
        <v>2</v>
      </c>
      <c r="X1060" s="5" t="s">
        <v>167</v>
      </c>
      <c r="Y1060">
        <v>5</v>
      </c>
      <c r="Z1060">
        <v>0</v>
      </c>
      <c r="AA1060" t="s">
        <v>25</v>
      </c>
      <c r="AB1060" t="s">
        <v>26</v>
      </c>
      <c r="AC1060" t="s">
        <v>27</v>
      </c>
      <c r="AD1060" t="s">
        <v>42</v>
      </c>
      <c r="AE1060" t="s">
        <v>25</v>
      </c>
      <c r="AF10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0.11538461538461539</v>
      </c>
      <c r="AG1060" t="s">
        <v>941</v>
      </c>
      <c r="AH1060">
        <v>77.5</v>
      </c>
      <c r="AI1060" t="s">
        <v>939</v>
      </c>
      <c r="AJ1060">
        <v>5</v>
      </c>
      <c r="AK10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MIN(AJ1060/8, 1) +
  Merge1[[#This Row],[index_defensive_effort]],
  2
)</f>
        <v>1.34</v>
      </c>
    </row>
    <row r="1061" spans="1:37" x14ac:dyDescent="0.25">
      <c r="A1061" t="s">
        <v>410</v>
      </c>
      <c r="B1061" t="s">
        <v>411</v>
      </c>
      <c r="C1061">
        <v>28</v>
      </c>
      <c r="D1061" t="s">
        <v>22</v>
      </c>
      <c r="E1061">
        <v>73</v>
      </c>
      <c r="F1061">
        <v>210</v>
      </c>
      <c r="G1061" t="s">
        <v>203</v>
      </c>
      <c r="H1061">
        <v>2020</v>
      </c>
      <c r="I1061" t="s">
        <v>33</v>
      </c>
      <c r="J1061">
        <v>5</v>
      </c>
      <c r="K1061">
        <v>4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55</v>
      </c>
      <c r="T1061">
        <v>55</v>
      </c>
      <c r="U1061" s="5">
        <f>IF(Merge1[[#This Row],[team_defense_snaps]]=0, "", Merge1[[#This Row],[defense_snaps]] / Merge1[[#This Row],[team_defense_snaps]])</f>
        <v>0.859375</v>
      </c>
      <c r="V1061">
        <v>64</v>
      </c>
      <c r="W1061">
        <v>0</v>
      </c>
      <c r="X1061" s="5" t="s">
        <v>29</v>
      </c>
      <c r="Y1061">
        <v>5</v>
      </c>
      <c r="Z1061">
        <v>0</v>
      </c>
      <c r="AA1061" t="s">
        <v>25</v>
      </c>
      <c r="AB1061" t="s">
        <v>26</v>
      </c>
      <c r="AC1061" t="s">
        <v>27</v>
      </c>
      <c r="AD1061" t="s">
        <v>42</v>
      </c>
      <c r="AE1061" t="s">
        <v>25</v>
      </c>
      <c r="AF10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7.2727272727272724E-2</v>
      </c>
      <c r="AG1061" t="s">
        <v>941</v>
      </c>
      <c r="AH1061">
        <v>80.5</v>
      </c>
      <c r="AI1061" t="s">
        <v>939</v>
      </c>
      <c r="AJ1061">
        <v>6</v>
      </c>
      <c r="AK10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MIN(AJ1061/8, 1) +
  Merge1[[#This Row],[index_defensive_effort]],
  2
)</f>
        <v>1.42</v>
      </c>
    </row>
    <row r="1062" spans="1:37" x14ac:dyDescent="0.25">
      <c r="A1062" t="s">
        <v>410</v>
      </c>
      <c r="B1062" t="s">
        <v>411</v>
      </c>
      <c r="C1062">
        <v>28</v>
      </c>
      <c r="D1062" t="s">
        <v>22</v>
      </c>
      <c r="E1062">
        <v>73</v>
      </c>
      <c r="F1062">
        <v>210</v>
      </c>
      <c r="G1062" t="s">
        <v>203</v>
      </c>
      <c r="H1062">
        <v>2020</v>
      </c>
      <c r="I1062" t="s">
        <v>33</v>
      </c>
      <c r="J1062">
        <v>6</v>
      </c>
      <c r="K1062">
        <v>7</v>
      </c>
      <c r="L1062">
        <v>2</v>
      </c>
      <c r="M1062">
        <v>0</v>
      </c>
      <c r="N1062">
        <v>2</v>
      </c>
      <c r="O1062">
        <v>0</v>
      </c>
      <c r="P1062">
        <v>1</v>
      </c>
      <c r="Q1062">
        <v>0</v>
      </c>
      <c r="R1062">
        <v>0</v>
      </c>
      <c r="S1062">
        <v>71</v>
      </c>
      <c r="T1062">
        <v>71</v>
      </c>
      <c r="U1062" s="5">
        <f>IF(Merge1[[#This Row],[team_defense_snaps]]=0, "", Merge1[[#This Row],[defense_snaps]] / Merge1[[#This Row],[team_defense_snaps]])</f>
        <v>0.71</v>
      </c>
      <c r="V1062">
        <v>100</v>
      </c>
      <c r="W1062">
        <v>0</v>
      </c>
      <c r="X1062" s="5" t="s">
        <v>29</v>
      </c>
      <c r="Y1062">
        <v>5</v>
      </c>
      <c r="Z1062">
        <v>0</v>
      </c>
      <c r="AA1062" t="s">
        <v>25</v>
      </c>
      <c r="AB1062" t="s">
        <v>26</v>
      </c>
      <c r="AC1062" t="s">
        <v>27</v>
      </c>
      <c r="AD1062" t="s">
        <v>42</v>
      </c>
      <c r="AE1062" t="s">
        <v>25</v>
      </c>
      <c r="AF10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0.14084507042253522</v>
      </c>
      <c r="AG1062" t="s">
        <v>941</v>
      </c>
      <c r="AH1062">
        <v>85</v>
      </c>
      <c r="AI1062" t="s">
        <v>939</v>
      </c>
      <c r="AJ1062">
        <v>1</v>
      </c>
      <c r="AK10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MIN(AJ1062/8, 1) +
  Merge1[[#This Row],[index_defensive_effort]],
  2
)</f>
        <v>0.87</v>
      </c>
    </row>
    <row r="1063" spans="1:37" x14ac:dyDescent="0.25">
      <c r="A1063" t="s">
        <v>410</v>
      </c>
      <c r="B1063" t="s">
        <v>411</v>
      </c>
      <c r="C1063">
        <v>28</v>
      </c>
      <c r="D1063" t="s">
        <v>22</v>
      </c>
      <c r="E1063">
        <v>73</v>
      </c>
      <c r="F1063">
        <v>210</v>
      </c>
      <c r="G1063" t="s">
        <v>203</v>
      </c>
      <c r="H1063">
        <v>2020</v>
      </c>
      <c r="I1063" t="s">
        <v>33</v>
      </c>
      <c r="J1063">
        <v>8</v>
      </c>
      <c r="K1063">
        <v>7</v>
      </c>
      <c r="L1063">
        <v>2</v>
      </c>
      <c r="M1063">
        <v>0</v>
      </c>
      <c r="N1063">
        <v>2</v>
      </c>
      <c r="O1063">
        <v>0</v>
      </c>
      <c r="P1063">
        <v>3</v>
      </c>
      <c r="Q1063">
        <v>2</v>
      </c>
      <c r="R1063">
        <v>0</v>
      </c>
      <c r="S1063">
        <v>87</v>
      </c>
      <c r="T1063">
        <v>87</v>
      </c>
      <c r="U1063" s="5">
        <f>IF(Merge1[[#This Row],[team_defense_snaps]]=0, "", Merge1[[#This Row],[defense_snaps]] / Merge1[[#This Row],[team_defense_snaps]])</f>
        <v>0.90625</v>
      </c>
      <c r="V1063">
        <v>96</v>
      </c>
      <c r="W1063">
        <v>0</v>
      </c>
      <c r="X1063" s="5" t="s">
        <v>29</v>
      </c>
      <c r="Y1063">
        <v>5</v>
      </c>
      <c r="Z1063">
        <v>0</v>
      </c>
      <c r="AA1063" t="s">
        <v>25</v>
      </c>
      <c r="AB1063" t="s">
        <v>26</v>
      </c>
      <c r="AC1063" t="s">
        <v>27</v>
      </c>
      <c r="AD1063" t="s">
        <v>42</v>
      </c>
      <c r="AE1063" t="s">
        <v>25</v>
      </c>
      <c r="AF10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0.25287356321839083</v>
      </c>
      <c r="AG1063" t="s">
        <v>941</v>
      </c>
      <c r="AH1063">
        <v>83.5</v>
      </c>
      <c r="AI1063" t="s">
        <v>939</v>
      </c>
      <c r="AJ1063">
        <v>2</v>
      </c>
      <c r="AK10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MIN(AJ1063/8, 1) +
  Merge1[[#This Row],[index_defensive_effort]],
  2
)</f>
        <v>1.1000000000000001</v>
      </c>
    </row>
    <row r="1064" spans="1:37" x14ac:dyDescent="0.25">
      <c r="A1064" t="s">
        <v>410</v>
      </c>
      <c r="B1064" t="s">
        <v>411</v>
      </c>
      <c r="C1064">
        <v>28</v>
      </c>
      <c r="D1064" t="s">
        <v>22</v>
      </c>
      <c r="E1064">
        <v>73</v>
      </c>
      <c r="F1064">
        <v>210</v>
      </c>
      <c r="G1064" t="s">
        <v>203</v>
      </c>
      <c r="H1064">
        <v>2020</v>
      </c>
      <c r="I1064" t="s">
        <v>33</v>
      </c>
      <c r="J1064">
        <v>9</v>
      </c>
      <c r="K1064">
        <v>6</v>
      </c>
      <c r="L1064">
        <v>0</v>
      </c>
      <c r="M1064">
        <v>0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69</v>
      </c>
      <c r="T1064">
        <v>69</v>
      </c>
      <c r="U1064" s="5">
        <f>IF(Merge1[[#This Row],[team_defense_snaps]]=0, "", Merge1[[#This Row],[defense_snaps]] / Merge1[[#This Row],[team_defense_snaps]])</f>
        <v>1</v>
      </c>
      <c r="V1064">
        <v>69</v>
      </c>
      <c r="W1064">
        <v>0</v>
      </c>
      <c r="X1064" s="5" t="s">
        <v>29</v>
      </c>
      <c r="Y1064">
        <v>5</v>
      </c>
      <c r="Z1064">
        <v>0</v>
      </c>
      <c r="AA1064" t="s">
        <v>25</v>
      </c>
      <c r="AB1064" t="s">
        <v>26</v>
      </c>
      <c r="AC1064" t="s">
        <v>27</v>
      </c>
      <c r="AD1064" t="s">
        <v>42</v>
      </c>
      <c r="AE1064" t="s">
        <v>25</v>
      </c>
      <c r="AF10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0.11594202898550725</v>
      </c>
      <c r="AG1064" t="s">
        <v>941</v>
      </c>
      <c r="AH1064">
        <v>70</v>
      </c>
      <c r="AI1064" t="s">
        <v>939</v>
      </c>
      <c r="AJ1064">
        <v>3</v>
      </c>
      <c r="AK10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MIN(AJ1064/8, 1) +
  Merge1[[#This Row],[index_defensive_effort]],
  2
)</f>
        <v>1.0900000000000001</v>
      </c>
    </row>
    <row r="1065" spans="1:37" x14ac:dyDescent="0.25">
      <c r="A1065" t="s">
        <v>410</v>
      </c>
      <c r="B1065" t="s">
        <v>411</v>
      </c>
      <c r="C1065">
        <v>28</v>
      </c>
      <c r="D1065" t="s">
        <v>22</v>
      </c>
      <c r="E1065">
        <v>73</v>
      </c>
      <c r="F1065">
        <v>210</v>
      </c>
      <c r="G1065" t="s">
        <v>203</v>
      </c>
      <c r="H1065">
        <v>2020</v>
      </c>
      <c r="I1065" t="s">
        <v>33</v>
      </c>
      <c r="J1065">
        <v>10</v>
      </c>
      <c r="K1065">
        <v>4</v>
      </c>
      <c r="L1065">
        <v>2</v>
      </c>
      <c r="M1065">
        <v>1</v>
      </c>
      <c r="N1065">
        <v>3</v>
      </c>
      <c r="O1065">
        <v>0</v>
      </c>
      <c r="P1065">
        <v>2</v>
      </c>
      <c r="Q1065">
        <v>0</v>
      </c>
      <c r="R1065">
        <v>0</v>
      </c>
      <c r="S1065">
        <v>60</v>
      </c>
      <c r="T1065">
        <v>60</v>
      </c>
      <c r="U1065" s="5">
        <f>IF(Merge1[[#This Row],[team_defense_snaps]]=0, "", Merge1[[#This Row],[defense_snaps]] / Merge1[[#This Row],[team_defense_snaps]])</f>
        <v>0.9375</v>
      </c>
      <c r="V1065">
        <v>64</v>
      </c>
      <c r="W1065">
        <v>0</v>
      </c>
      <c r="X1065" s="5" t="s">
        <v>29</v>
      </c>
      <c r="Y1065">
        <v>5</v>
      </c>
      <c r="Z1065">
        <v>0</v>
      </c>
      <c r="AA1065" t="s">
        <v>25</v>
      </c>
      <c r="AB1065" t="s">
        <v>26</v>
      </c>
      <c r="AC1065" t="s">
        <v>27</v>
      </c>
      <c r="AD1065" t="s">
        <v>42</v>
      </c>
      <c r="AE1065" t="s">
        <v>25</v>
      </c>
      <c r="AF10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0.15833333333333333</v>
      </c>
      <c r="AG1065" t="s">
        <v>941</v>
      </c>
      <c r="AH1065">
        <v>73</v>
      </c>
      <c r="AI1065" t="s">
        <v>939</v>
      </c>
      <c r="AJ1065">
        <v>4</v>
      </c>
      <c r="AK10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MIN(AJ1065/8, 1) +
  Merge1[[#This Row],[index_defensive_effort]],
  2
)</f>
        <v>1.26</v>
      </c>
    </row>
    <row r="1066" spans="1:37" x14ac:dyDescent="0.25">
      <c r="A1066" t="s">
        <v>410</v>
      </c>
      <c r="B1066" t="s">
        <v>411</v>
      </c>
      <c r="C1066">
        <v>28</v>
      </c>
      <c r="D1066" t="s">
        <v>22</v>
      </c>
      <c r="E1066">
        <v>73</v>
      </c>
      <c r="F1066">
        <v>210</v>
      </c>
      <c r="G1066" t="s">
        <v>203</v>
      </c>
      <c r="H1066">
        <v>2020</v>
      </c>
      <c r="I1066" t="s">
        <v>33</v>
      </c>
      <c r="J1066">
        <v>11</v>
      </c>
      <c r="K1066">
        <v>7</v>
      </c>
      <c r="L1066">
        <v>3</v>
      </c>
      <c r="M1066">
        <v>0</v>
      </c>
      <c r="N1066">
        <v>3</v>
      </c>
      <c r="O1066">
        <v>0</v>
      </c>
      <c r="P1066">
        <v>0</v>
      </c>
      <c r="Q1066">
        <v>0</v>
      </c>
      <c r="R1066">
        <v>0</v>
      </c>
      <c r="S1066">
        <v>59</v>
      </c>
      <c r="T1066">
        <v>59</v>
      </c>
      <c r="U1066" s="5">
        <f>IF(Merge1[[#This Row],[team_defense_snaps]]=0, "", Merge1[[#This Row],[defense_snaps]] / Merge1[[#This Row],[team_defense_snaps]])</f>
        <v>0.88059701492537312</v>
      </c>
      <c r="V1066">
        <v>67</v>
      </c>
      <c r="W1066">
        <v>0</v>
      </c>
      <c r="X1066" s="5" t="s">
        <v>29</v>
      </c>
      <c r="Y1066">
        <v>5</v>
      </c>
      <c r="Z1066">
        <v>0</v>
      </c>
      <c r="AA1066" t="s">
        <v>25</v>
      </c>
      <c r="AB1066" t="s">
        <v>26</v>
      </c>
      <c r="AC1066" t="s">
        <v>27</v>
      </c>
      <c r="AD1066" t="s">
        <v>42</v>
      </c>
      <c r="AE1066" t="s">
        <v>25</v>
      </c>
      <c r="AF10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0.1440677966101695</v>
      </c>
      <c r="AG1066" t="s">
        <v>941</v>
      </c>
      <c r="AH1066">
        <v>65.5</v>
      </c>
      <c r="AI1066" t="s">
        <v>939</v>
      </c>
      <c r="AJ1066">
        <v>5</v>
      </c>
      <c r="AK10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MIN(AJ1066/8, 1) +
  Merge1[[#This Row],[index_defensive_effort]],
  2
)</f>
        <v>1.37</v>
      </c>
    </row>
    <row r="1067" spans="1:37" x14ac:dyDescent="0.25">
      <c r="A1067" t="s">
        <v>410</v>
      </c>
      <c r="B1067" t="s">
        <v>411</v>
      </c>
      <c r="C1067">
        <v>28</v>
      </c>
      <c r="D1067" t="s">
        <v>22</v>
      </c>
      <c r="E1067">
        <v>73</v>
      </c>
      <c r="F1067">
        <v>210</v>
      </c>
      <c r="G1067" t="s">
        <v>203</v>
      </c>
      <c r="H1067">
        <v>2020</v>
      </c>
      <c r="I1067" t="s">
        <v>33</v>
      </c>
      <c r="J1067">
        <v>12</v>
      </c>
      <c r="K1067">
        <v>2</v>
      </c>
      <c r="L1067">
        <v>1</v>
      </c>
      <c r="M1067">
        <v>1</v>
      </c>
      <c r="N1067">
        <v>2</v>
      </c>
      <c r="O1067">
        <v>0</v>
      </c>
      <c r="P1067">
        <v>0</v>
      </c>
      <c r="Q1067">
        <v>0</v>
      </c>
      <c r="R1067">
        <v>0</v>
      </c>
      <c r="S1067">
        <v>52</v>
      </c>
      <c r="T1067">
        <v>52</v>
      </c>
      <c r="U1067" s="5">
        <f>IF(Merge1[[#This Row],[team_defense_snaps]]=0, "", Merge1[[#This Row],[defense_snaps]] / Merge1[[#This Row],[team_defense_snaps]])</f>
        <v>0.94545454545454544</v>
      </c>
      <c r="V1067">
        <v>55</v>
      </c>
      <c r="W1067">
        <v>0</v>
      </c>
      <c r="X1067" s="5" t="s">
        <v>29</v>
      </c>
      <c r="Y1067">
        <v>5</v>
      </c>
      <c r="Z1067">
        <v>0</v>
      </c>
      <c r="AA1067" t="s">
        <v>25</v>
      </c>
      <c r="AB1067" t="s">
        <v>26</v>
      </c>
      <c r="AC1067" t="s">
        <v>27</v>
      </c>
      <c r="AD1067" t="s">
        <v>42</v>
      </c>
      <c r="AE1067" t="s">
        <v>25</v>
      </c>
      <c r="AF10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5.7692307692307696E-2</v>
      </c>
      <c r="AG1067" t="s">
        <v>941</v>
      </c>
      <c r="AH1067">
        <v>67</v>
      </c>
      <c r="AI1067" t="s">
        <v>939</v>
      </c>
      <c r="AJ1067">
        <v>6</v>
      </c>
      <c r="AK10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MIN(AJ1067/8, 1) +
  Merge1[[#This Row],[index_defensive_effort]],
  2
)</f>
        <v>1.41</v>
      </c>
    </row>
    <row r="1068" spans="1:37" x14ac:dyDescent="0.25">
      <c r="A1068" t="s">
        <v>410</v>
      </c>
      <c r="B1068" t="s">
        <v>411</v>
      </c>
      <c r="C1068">
        <v>28</v>
      </c>
      <c r="D1068" t="s">
        <v>22</v>
      </c>
      <c r="E1068">
        <v>73</v>
      </c>
      <c r="F1068">
        <v>210</v>
      </c>
      <c r="G1068" t="s">
        <v>203</v>
      </c>
      <c r="H1068">
        <v>2020</v>
      </c>
      <c r="I1068" t="s">
        <v>33</v>
      </c>
      <c r="J1068">
        <v>13</v>
      </c>
      <c r="K1068">
        <v>3</v>
      </c>
      <c r="L1068">
        <v>1</v>
      </c>
      <c r="M1068">
        <v>0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41</v>
      </c>
      <c r="T1068">
        <v>41</v>
      </c>
      <c r="U1068" s="5">
        <f>IF(Merge1[[#This Row],[team_defense_snaps]]=0, "", Merge1[[#This Row],[defense_snaps]] / Merge1[[#This Row],[team_defense_snaps]])</f>
        <v>0.78846153846153844</v>
      </c>
      <c r="V1068">
        <v>52</v>
      </c>
      <c r="W1068">
        <v>0</v>
      </c>
      <c r="X1068" s="5" t="s">
        <v>29</v>
      </c>
      <c r="Y1068">
        <v>5</v>
      </c>
      <c r="Z1068">
        <v>0</v>
      </c>
      <c r="AA1068" t="s">
        <v>25</v>
      </c>
      <c r="AB1068" t="s">
        <v>26</v>
      </c>
      <c r="AC1068" t="s">
        <v>27</v>
      </c>
      <c r="AD1068" t="s">
        <v>42</v>
      </c>
      <c r="AE1068" t="s">
        <v>25</v>
      </c>
      <c r="AF10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8.5365853658536592E-2</v>
      </c>
      <c r="AG1068" t="s">
        <v>941</v>
      </c>
      <c r="AH1068">
        <v>71.5</v>
      </c>
      <c r="AI1068" t="s">
        <v>939</v>
      </c>
      <c r="AJ1068">
        <v>7</v>
      </c>
      <c r="AK10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MIN(AJ1068/8, 1) +
  Merge1[[#This Row],[index_defensive_effort]],
  2
)</f>
        <v>1.56</v>
      </c>
    </row>
    <row r="1069" spans="1:37" x14ac:dyDescent="0.25">
      <c r="A1069" t="s">
        <v>410</v>
      </c>
      <c r="B1069" t="s">
        <v>411</v>
      </c>
      <c r="C1069">
        <v>28</v>
      </c>
      <c r="D1069" t="s">
        <v>22</v>
      </c>
      <c r="E1069">
        <v>73</v>
      </c>
      <c r="F1069">
        <v>210</v>
      </c>
      <c r="G1069" t="s">
        <v>203</v>
      </c>
      <c r="H1069">
        <v>2020</v>
      </c>
      <c r="I1069" t="s">
        <v>33</v>
      </c>
      <c r="J1069">
        <v>14</v>
      </c>
      <c r="K1069">
        <v>5</v>
      </c>
      <c r="L1069">
        <v>4</v>
      </c>
      <c r="M1069">
        <v>0</v>
      </c>
      <c r="N1069">
        <v>4</v>
      </c>
      <c r="O1069">
        <v>0</v>
      </c>
      <c r="P1069">
        <v>1</v>
      </c>
      <c r="Q1069">
        <v>2</v>
      </c>
      <c r="R1069">
        <v>0</v>
      </c>
      <c r="S1069">
        <v>62</v>
      </c>
      <c r="T1069">
        <v>62</v>
      </c>
      <c r="U1069" s="5">
        <f>IF(Merge1[[#This Row],[team_defense_snaps]]=0, "", Merge1[[#This Row],[defense_snaps]] / Merge1[[#This Row],[team_defense_snaps]])</f>
        <v>1</v>
      </c>
      <c r="V1069">
        <v>62</v>
      </c>
      <c r="W1069">
        <v>0</v>
      </c>
      <c r="X1069" s="5" t="s">
        <v>29</v>
      </c>
      <c r="Y1069">
        <v>5</v>
      </c>
      <c r="Z1069">
        <v>0</v>
      </c>
      <c r="AA1069" t="s">
        <v>25</v>
      </c>
      <c r="AB1069" t="s">
        <v>26</v>
      </c>
      <c r="AC1069" t="s">
        <v>27</v>
      </c>
      <c r="AD1069" t="s">
        <v>42</v>
      </c>
      <c r="AE1069" t="s">
        <v>25</v>
      </c>
      <c r="AF10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0.27419354838709675</v>
      </c>
      <c r="AG1069" t="s">
        <v>941</v>
      </c>
      <c r="AH1069">
        <v>86.5</v>
      </c>
      <c r="AI1069" t="s">
        <v>939</v>
      </c>
      <c r="AJ1069">
        <v>8</v>
      </c>
      <c r="AK10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MIN(AJ1069/8, 1) +
  Merge1[[#This Row],[index_defensive_effort]],
  2
)</f>
        <v>1.87</v>
      </c>
    </row>
    <row r="1070" spans="1:37" x14ac:dyDescent="0.25">
      <c r="A1070" t="s">
        <v>410</v>
      </c>
      <c r="B1070" t="s">
        <v>411</v>
      </c>
      <c r="C1070">
        <v>28</v>
      </c>
      <c r="D1070" t="s">
        <v>22</v>
      </c>
      <c r="E1070">
        <v>73</v>
      </c>
      <c r="F1070">
        <v>210</v>
      </c>
      <c r="G1070" t="s">
        <v>203</v>
      </c>
      <c r="H1070">
        <v>2020</v>
      </c>
      <c r="I1070" t="s">
        <v>33</v>
      </c>
      <c r="J1070">
        <v>15</v>
      </c>
      <c r="K1070">
        <v>0</v>
      </c>
      <c r="L1070">
        <v>3</v>
      </c>
      <c r="M1070">
        <v>0</v>
      </c>
      <c r="N1070">
        <v>3</v>
      </c>
      <c r="O1070">
        <v>0</v>
      </c>
      <c r="P1070">
        <v>0</v>
      </c>
      <c r="Q1070">
        <v>0</v>
      </c>
      <c r="R1070">
        <v>0</v>
      </c>
      <c r="S1070">
        <v>55</v>
      </c>
      <c r="T1070">
        <v>55</v>
      </c>
      <c r="U1070" s="5">
        <f>IF(Merge1[[#This Row],[team_defense_snaps]]=0, "", Merge1[[#This Row],[defense_snaps]] / Merge1[[#This Row],[team_defense_snaps]])</f>
        <v>1</v>
      </c>
      <c r="V1070">
        <v>55</v>
      </c>
      <c r="W1070">
        <v>0</v>
      </c>
      <c r="X1070" s="5" t="s">
        <v>29</v>
      </c>
      <c r="Y1070">
        <v>5</v>
      </c>
      <c r="Z1070">
        <v>0</v>
      </c>
      <c r="AA1070" t="s">
        <v>25</v>
      </c>
      <c r="AB1070" t="s">
        <v>26</v>
      </c>
      <c r="AC1070" t="s">
        <v>27</v>
      </c>
      <c r="AD1070" t="s">
        <v>42</v>
      </c>
      <c r="AE1070" t="s">
        <v>25</v>
      </c>
      <c r="AF10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2.7272727272727271E-2</v>
      </c>
      <c r="AG1070" t="s">
        <v>941</v>
      </c>
      <c r="AH1070">
        <v>68.5</v>
      </c>
      <c r="AI1070" t="s">
        <v>939</v>
      </c>
      <c r="AJ1070">
        <v>9</v>
      </c>
      <c r="AK10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MIN(AJ1070/8, 1) +
  Merge1[[#This Row],[index_defensive_effort]],
  2
)</f>
        <v>1.63</v>
      </c>
    </row>
    <row r="1071" spans="1:37" x14ac:dyDescent="0.25">
      <c r="A1071" t="s">
        <v>410</v>
      </c>
      <c r="B1071" t="s">
        <v>411</v>
      </c>
      <c r="C1071">
        <v>28</v>
      </c>
      <c r="D1071" t="s">
        <v>22</v>
      </c>
      <c r="E1071">
        <v>73</v>
      </c>
      <c r="F1071">
        <v>210</v>
      </c>
      <c r="G1071" t="s">
        <v>203</v>
      </c>
      <c r="H1071">
        <v>2020</v>
      </c>
      <c r="I1071" t="s">
        <v>33</v>
      </c>
      <c r="J1071">
        <v>16</v>
      </c>
      <c r="K1071">
        <v>5</v>
      </c>
      <c r="L1071">
        <v>3</v>
      </c>
      <c r="M1071">
        <v>1</v>
      </c>
      <c r="N1071">
        <v>4</v>
      </c>
      <c r="O1071">
        <v>0</v>
      </c>
      <c r="P1071">
        <v>0</v>
      </c>
      <c r="Q1071">
        <v>0</v>
      </c>
      <c r="R1071">
        <v>0</v>
      </c>
      <c r="S1071">
        <v>64</v>
      </c>
      <c r="T1071">
        <v>64</v>
      </c>
      <c r="U1071" s="5">
        <f>IF(Merge1[[#This Row],[team_defense_snaps]]=0, "", Merge1[[#This Row],[defense_snaps]] / Merge1[[#This Row],[team_defense_snaps]])</f>
        <v>1</v>
      </c>
      <c r="V1071">
        <v>64</v>
      </c>
      <c r="W1071">
        <v>0</v>
      </c>
      <c r="X1071" s="5" t="s">
        <v>29</v>
      </c>
      <c r="Y1071">
        <v>5</v>
      </c>
      <c r="Z1071">
        <v>0</v>
      </c>
      <c r="AA1071" t="s">
        <v>25</v>
      </c>
      <c r="AB1071" t="s">
        <v>26</v>
      </c>
      <c r="AC1071" t="s">
        <v>27</v>
      </c>
      <c r="AD1071" t="s">
        <v>42</v>
      </c>
      <c r="AE1071" t="s">
        <v>25</v>
      </c>
      <c r="AF10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0.109375</v>
      </c>
      <c r="AG1071" t="s">
        <v>941</v>
      </c>
      <c r="AH1071">
        <v>64</v>
      </c>
      <c r="AI1071" t="s">
        <v>939</v>
      </c>
      <c r="AJ1071">
        <v>10</v>
      </c>
      <c r="AK10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MIN(AJ1071/8, 1) +
  Merge1[[#This Row],[index_defensive_effort]],
  2
)</f>
        <v>1.71</v>
      </c>
    </row>
    <row r="1072" spans="1:37" x14ac:dyDescent="0.25">
      <c r="A1072" t="s">
        <v>410</v>
      </c>
      <c r="B1072" t="s">
        <v>411</v>
      </c>
      <c r="C1072">
        <v>28</v>
      </c>
      <c r="D1072" t="s">
        <v>22</v>
      </c>
      <c r="E1072">
        <v>73</v>
      </c>
      <c r="F1072">
        <v>210</v>
      </c>
      <c r="G1072" t="s">
        <v>203</v>
      </c>
      <c r="H1072">
        <v>2020</v>
      </c>
      <c r="I1072" t="s">
        <v>33</v>
      </c>
      <c r="J1072">
        <v>17</v>
      </c>
      <c r="K1072">
        <v>4</v>
      </c>
      <c r="L1072">
        <v>3</v>
      </c>
      <c r="M1072">
        <v>2</v>
      </c>
      <c r="N1072">
        <v>5</v>
      </c>
      <c r="O1072">
        <v>0</v>
      </c>
      <c r="P1072">
        <v>0</v>
      </c>
      <c r="Q1072">
        <v>0</v>
      </c>
      <c r="R1072">
        <v>0</v>
      </c>
      <c r="S1072">
        <v>55</v>
      </c>
      <c r="T1072">
        <v>55</v>
      </c>
      <c r="U1072" s="5">
        <f>IF(Merge1[[#This Row],[team_defense_snaps]]=0, "", Merge1[[#This Row],[defense_snaps]] / Merge1[[#This Row],[team_defense_snaps]])</f>
        <v>0.84615384615384615</v>
      </c>
      <c r="V1072">
        <v>65</v>
      </c>
      <c r="W1072">
        <v>0</v>
      </c>
      <c r="X1072" s="5" t="s">
        <v>29</v>
      </c>
      <c r="Y1072">
        <v>5</v>
      </c>
      <c r="Z1072">
        <v>0</v>
      </c>
      <c r="AA1072" t="s">
        <v>25</v>
      </c>
      <c r="AB1072" t="s">
        <v>26</v>
      </c>
      <c r="AC1072" t="s">
        <v>27</v>
      </c>
      <c r="AD1072" t="s">
        <v>42</v>
      </c>
      <c r="AE1072" t="s">
        <v>25</v>
      </c>
      <c r="AF10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0.11818181818181818</v>
      </c>
      <c r="AG1072" t="s">
        <v>941</v>
      </c>
      <c r="AH1072">
        <v>88</v>
      </c>
      <c r="AI1072" t="s">
        <v>939</v>
      </c>
      <c r="AJ1072">
        <v>1</v>
      </c>
      <c r="AK10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MIN(AJ1072/8, 1) +
  Merge1[[#This Row],[index_defensive_effort]],
  2
)</f>
        <v>0.84</v>
      </c>
    </row>
    <row r="1073" spans="1:37" x14ac:dyDescent="0.25">
      <c r="A1073" t="s">
        <v>402</v>
      </c>
      <c r="B1073" t="s">
        <v>403</v>
      </c>
      <c r="C1073">
        <v>30</v>
      </c>
      <c r="D1073" t="s">
        <v>22</v>
      </c>
      <c r="E1073">
        <v>74</v>
      </c>
      <c r="F1073">
        <v>225</v>
      </c>
      <c r="G1073" t="s">
        <v>166</v>
      </c>
      <c r="H1073">
        <v>2020</v>
      </c>
      <c r="I1073" t="s">
        <v>33</v>
      </c>
      <c r="J1073">
        <v>1</v>
      </c>
      <c r="K1073">
        <v>2</v>
      </c>
      <c r="L1073">
        <v>3</v>
      </c>
      <c r="M1073">
        <v>0</v>
      </c>
      <c r="N1073">
        <v>3</v>
      </c>
      <c r="O1073">
        <v>0</v>
      </c>
      <c r="P1073">
        <v>1</v>
      </c>
      <c r="Q1073">
        <v>0</v>
      </c>
      <c r="R1073">
        <v>0</v>
      </c>
      <c r="S1073">
        <v>83</v>
      </c>
      <c r="T1073">
        <v>65</v>
      </c>
      <c r="U1073" s="5">
        <f>IF(Merge1[[#This Row],[team_defense_snaps]]=0, "", Merge1[[#This Row],[defense_snaps]] / Merge1[[#This Row],[team_defense_snaps]])</f>
        <v>0.97014925373134331</v>
      </c>
      <c r="V1073">
        <v>67</v>
      </c>
      <c r="W1073">
        <v>18</v>
      </c>
      <c r="X1073" s="5" t="s">
        <v>256</v>
      </c>
      <c r="Y1073">
        <v>5</v>
      </c>
      <c r="Z1073">
        <v>0</v>
      </c>
      <c r="AA1073" t="s">
        <v>25</v>
      </c>
      <c r="AB1073" t="s">
        <v>26</v>
      </c>
      <c r="AC1073" t="s">
        <v>27</v>
      </c>
      <c r="AD1073" t="s">
        <v>42</v>
      </c>
      <c r="AE1073" t="s">
        <v>25</v>
      </c>
      <c r="AF10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6.6265060240963861E-2</v>
      </c>
      <c r="AG1073" t="s">
        <v>941</v>
      </c>
      <c r="AH1073">
        <v>75.5</v>
      </c>
      <c r="AI1073" t="s">
        <v>939</v>
      </c>
      <c r="AJ1073">
        <v>2</v>
      </c>
      <c r="AK10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MIN(AJ1073/8, 1) +
  Merge1[[#This Row],[index_defensive_effort]],
  2
)</f>
        <v>0.92</v>
      </c>
    </row>
    <row r="1074" spans="1:37" x14ac:dyDescent="0.25">
      <c r="A1074" t="s">
        <v>402</v>
      </c>
      <c r="B1074" t="s">
        <v>403</v>
      </c>
      <c r="C1074">
        <v>30</v>
      </c>
      <c r="D1074" t="s">
        <v>22</v>
      </c>
      <c r="E1074">
        <v>74</v>
      </c>
      <c r="F1074">
        <v>225</v>
      </c>
      <c r="G1074" t="s">
        <v>166</v>
      </c>
      <c r="H1074">
        <v>2020</v>
      </c>
      <c r="I1074" t="s">
        <v>33</v>
      </c>
      <c r="J1074">
        <v>2</v>
      </c>
      <c r="K1074">
        <v>3</v>
      </c>
      <c r="L1074">
        <v>0</v>
      </c>
      <c r="M1074">
        <v>0</v>
      </c>
      <c r="N1074">
        <v>0</v>
      </c>
      <c r="O1074">
        <v>0</v>
      </c>
      <c r="P1074">
        <v>2</v>
      </c>
      <c r="Q1074">
        <v>0</v>
      </c>
      <c r="R1074">
        <v>0</v>
      </c>
      <c r="S1074">
        <v>70</v>
      </c>
      <c r="T1074">
        <v>55</v>
      </c>
      <c r="U1074" s="5">
        <f>IF(Merge1[[#This Row],[team_defense_snaps]]=0, "", Merge1[[#This Row],[defense_snaps]] / Merge1[[#This Row],[team_defense_snaps]])</f>
        <v>0.91666666666666663</v>
      </c>
      <c r="V1074">
        <v>60</v>
      </c>
      <c r="W1074">
        <v>15</v>
      </c>
      <c r="X1074" s="5" t="s">
        <v>111</v>
      </c>
      <c r="Y1074">
        <v>5</v>
      </c>
      <c r="Z1074">
        <v>0</v>
      </c>
      <c r="AA1074" t="s">
        <v>25</v>
      </c>
      <c r="AB1074" t="s">
        <v>26</v>
      </c>
      <c r="AC1074" t="s">
        <v>27</v>
      </c>
      <c r="AD1074" t="s">
        <v>42</v>
      </c>
      <c r="AE1074" t="s">
        <v>25</v>
      </c>
      <c r="AF10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1074" t="s">
        <v>941</v>
      </c>
      <c r="AH1074">
        <v>90.5</v>
      </c>
      <c r="AI1074" t="s">
        <v>939</v>
      </c>
      <c r="AJ1074">
        <v>3</v>
      </c>
      <c r="AK10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MIN(AJ1074/8, 1) +
  Merge1[[#This Row],[index_defensive_effort]],
  2
)</f>
        <v>1.08</v>
      </c>
    </row>
    <row r="1075" spans="1:37" x14ac:dyDescent="0.25">
      <c r="A1075" t="s">
        <v>402</v>
      </c>
      <c r="B1075" t="s">
        <v>403</v>
      </c>
      <c r="C1075">
        <v>30</v>
      </c>
      <c r="D1075" t="s">
        <v>22</v>
      </c>
      <c r="E1075">
        <v>74</v>
      </c>
      <c r="F1075">
        <v>225</v>
      </c>
      <c r="G1075" t="s">
        <v>166</v>
      </c>
      <c r="H1075">
        <v>2020</v>
      </c>
      <c r="I1075" t="s">
        <v>33</v>
      </c>
      <c r="J1075">
        <v>3</v>
      </c>
      <c r="K1075">
        <v>3</v>
      </c>
      <c r="L1075">
        <v>1</v>
      </c>
      <c r="M1075">
        <v>1</v>
      </c>
      <c r="N1075">
        <v>2</v>
      </c>
      <c r="O1075">
        <v>0</v>
      </c>
      <c r="P1075">
        <v>1</v>
      </c>
      <c r="Q1075">
        <v>0</v>
      </c>
      <c r="R1075">
        <v>0</v>
      </c>
      <c r="S1075">
        <v>74</v>
      </c>
      <c r="T1075">
        <v>59</v>
      </c>
      <c r="U1075" s="5">
        <f>IF(Merge1[[#This Row],[team_defense_snaps]]=0, "", Merge1[[#This Row],[defense_snaps]] / Merge1[[#This Row],[team_defense_snaps]])</f>
        <v>0.85507246376811596</v>
      </c>
      <c r="V1075">
        <v>69</v>
      </c>
      <c r="W1075">
        <v>15</v>
      </c>
      <c r="X1075" s="5" t="s">
        <v>200</v>
      </c>
      <c r="Y1075">
        <v>5</v>
      </c>
      <c r="Z1075">
        <v>0</v>
      </c>
      <c r="AA1075" t="s">
        <v>25</v>
      </c>
      <c r="AB1075" t="s">
        <v>26</v>
      </c>
      <c r="AC1075" t="s">
        <v>27</v>
      </c>
      <c r="AD1075" t="s">
        <v>42</v>
      </c>
      <c r="AE1075" t="s">
        <v>25</v>
      </c>
      <c r="AF10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8.1081081081081086E-2</v>
      </c>
      <c r="AG1075" t="s">
        <v>941</v>
      </c>
      <c r="AH1075">
        <v>83</v>
      </c>
      <c r="AI1075" t="s">
        <v>939</v>
      </c>
      <c r="AJ1075">
        <v>4</v>
      </c>
      <c r="AK10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MIN(AJ1075/8, 1) +
  Merge1[[#This Row],[index_defensive_effort]],
  2
)</f>
        <v>1.18</v>
      </c>
    </row>
    <row r="1076" spans="1:37" x14ac:dyDescent="0.25">
      <c r="A1076" t="s">
        <v>402</v>
      </c>
      <c r="B1076" t="s">
        <v>403</v>
      </c>
      <c r="C1076">
        <v>30</v>
      </c>
      <c r="D1076" t="s">
        <v>22</v>
      </c>
      <c r="E1076">
        <v>74</v>
      </c>
      <c r="F1076">
        <v>225</v>
      </c>
      <c r="G1076" t="s">
        <v>166</v>
      </c>
      <c r="H1076">
        <v>2020</v>
      </c>
      <c r="I1076" t="s">
        <v>33</v>
      </c>
      <c r="J1076">
        <v>4</v>
      </c>
      <c r="K1076">
        <v>6</v>
      </c>
      <c r="L1076">
        <v>2</v>
      </c>
      <c r="M1076">
        <v>0</v>
      </c>
      <c r="N1076">
        <v>2</v>
      </c>
      <c r="O1076">
        <v>0</v>
      </c>
      <c r="P1076">
        <v>1</v>
      </c>
      <c r="Q1076">
        <v>0</v>
      </c>
      <c r="R1076">
        <v>0</v>
      </c>
      <c r="S1076">
        <v>75</v>
      </c>
      <c r="T1076">
        <v>60</v>
      </c>
      <c r="U1076" s="5">
        <f>IF(Merge1[[#This Row],[team_defense_snaps]]=0, "", Merge1[[#This Row],[defense_snaps]] / Merge1[[#This Row],[team_defense_snaps]])</f>
        <v>0.967741935483871</v>
      </c>
      <c r="V1076">
        <v>62</v>
      </c>
      <c r="W1076">
        <v>15</v>
      </c>
      <c r="X1076" s="5" t="s">
        <v>189</v>
      </c>
      <c r="Y1076">
        <v>5</v>
      </c>
      <c r="Z1076">
        <v>0</v>
      </c>
      <c r="AA1076" t="s">
        <v>25</v>
      </c>
      <c r="AB1076" t="s">
        <v>26</v>
      </c>
      <c r="AC1076" t="s">
        <v>27</v>
      </c>
      <c r="AD1076" t="s">
        <v>42</v>
      </c>
      <c r="AE1076" t="s">
        <v>25</v>
      </c>
      <c r="AF10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</v>
      </c>
      <c r="AG1076" t="s">
        <v>941</v>
      </c>
      <c r="AH1076">
        <v>81.5</v>
      </c>
      <c r="AI1076" t="s">
        <v>939</v>
      </c>
      <c r="AJ1076">
        <v>5</v>
      </c>
      <c r="AK10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MIN(AJ1076/8, 1) +
  Merge1[[#This Row],[index_defensive_effort]],
  2
)</f>
        <v>1.35</v>
      </c>
    </row>
    <row r="1077" spans="1:37" x14ac:dyDescent="0.25">
      <c r="A1077" t="s">
        <v>402</v>
      </c>
      <c r="B1077" t="s">
        <v>403</v>
      </c>
      <c r="C1077">
        <v>30</v>
      </c>
      <c r="D1077" t="s">
        <v>22</v>
      </c>
      <c r="E1077">
        <v>74</v>
      </c>
      <c r="F1077">
        <v>225</v>
      </c>
      <c r="G1077" t="s">
        <v>166</v>
      </c>
      <c r="H1077">
        <v>2020</v>
      </c>
      <c r="I1077" t="s">
        <v>33</v>
      </c>
      <c r="J1077">
        <v>5</v>
      </c>
      <c r="K1077">
        <v>3</v>
      </c>
      <c r="L1077">
        <v>0</v>
      </c>
      <c r="M1077">
        <v>0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58</v>
      </c>
      <c r="T1077">
        <v>41</v>
      </c>
      <c r="U1077" s="5">
        <f>IF(Merge1[[#This Row],[team_defense_snaps]]=0, "", Merge1[[#This Row],[defense_snaps]] / Merge1[[#This Row],[team_defense_snaps]])</f>
        <v>0.55405405405405406</v>
      </c>
      <c r="V1077">
        <v>74</v>
      </c>
      <c r="W1077">
        <v>17</v>
      </c>
      <c r="X1077" s="5" t="s">
        <v>182</v>
      </c>
      <c r="Y1077">
        <v>5</v>
      </c>
      <c r="Z1077">
        <v>0</v>
      </c>
      <c r="AA1077" t="s">
        <v>25</v>
      </c>
      <c r="AB1077" t="s">
        <v>26</v>
      </c>
      <c r="AC1077" t="s">
        <v>27</v>
      </c>
      <c r="AD1077" t="s">
        <v>42</v>
      </c>
      <c r="AE1077" t="s">
        <v>25</v>
      </c>
      <c r="AF10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8.6206896551724144E-2</v>
      </c>
      <c r="AG1077" t="s">
        <v>941</v>
      </c>
      <c r="AH1077">
        <v>74</v>
      </c>
      <c r="AI1077" t="s">
        <v>939</v>
      </c>
      <c r="AJ1077">
        <v>1</v>
      </c>
      <c r="AK10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MIN(AJ1077/8, 1) +
  Merge1[[#This Row],[index_defensive_effort]],
  2
)</f>
        <v>0.81</v>
      </c>
    </row>
    <row r="1078" spans="1:37" x14ac:dyDescent="0.25">
      <c r="A1078" t="s">
        <v>402</v>
      </c>
      <c r="B1078" t="s">
        <v>403</v>
      </c>
      <c r="C1078">
        <v>30</v>
      </c>
      <c r="D1078" t="s">
        <v>22</v>
      </c>
      <c r="E1078">
        <v>74</v>
      </c>
      <c r="F1078">
        <v>225</v>
      </c>
      <c r="G1078" t="s">
        <v>166</v>
      </c>
      <c r="H1078">
        <v>2020</v>
      </c>
      <c r="I1078" t="s">
        <v>33</v>
      </c>
      <c r="J1078">
        <v>7</v>
      </c>
      <c r="K1078">
        <v>6</v>
      </c>
      <c r="L1078">
        <v>1</v>
      </c>
      <c r="M1078">
        <v>1</v>
      </c>
      <c r="N1078">
        <v>2</v>
      </c>
      <c r="O1078">
        <v>0</v>
      </c>
      <c r="P1078">
        <v>0</v>
      </c>
      <c r="Q1078">
        <v>0</v>
      </c>
      <c r="R1078">
        <v>2</v>
      </c>
      <c r="S1078">
        <v>87</v>
      </c>
      <c r="T1078">
        <v>72</v>
      </c>
      <c r="U1078" s="5">
        <f>IF(Merge1[[#This Row],[team_defense_snaps]]=0, "", Merge1[[#This Row],[defense_snaps]] / Merge1[[#This Row],[team_defense_snaps]])</f>
        <v>1</v>
      </c>
      <c r="V1078">
        <v>72</v>
      </c>
      <c r="W1078">
        <v>15</v>
      </c>
      <c r="X1078" s="5" t="s">
        <v>200</v>
      </c>
      <c r="Y1078">
        <v>5</v>
      </c>
      <c r="Z1078">
        <v>0</v>
      </c>
      <c r="AA1078" t="s">
        <v>25</v>
      </c>
      <c r="AB1078" t="s">
        <v>26</v>
      </c>
      <c r="AC1078" t="s">
        <v>27</v>
      </c>
      <c r="AD1078" t="s">
        <v>42</v>
      </c>
      <c r="AE1078" t="s">
        <v>25</v>
      </c>
      <c r="AF10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0.12643678160919541</v>
      </c>
      <c r="AG1078" t="s">
        <v>941</v>
      </c>
      <c r="AH1078">
        <v>92</v>
      </c>
      <c r="AI1078" t="s">
        <v>939</v>
      </c>
      <c r="AJ1078">
        <v>2</v>
      </c>
      <c r="AK10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MIN(AJ1078/8, 1) +
  Merge1[[#This Row],[index_defensive_effort]],
  2
)</f>
        <v>0.98</v>
      </c>
    </row>
    <row r="1079" spans="1:37" x14ac:dyDescent="0.25">
      <c r="A1079" t="s">
        <v>402</v>
      </c>
      <c r="B1079" t="s">
        <v>403</v>
      </c>
      <c r="C1079">
        <v>30</v>
      </c>
      <c r="D1079" t="s">
        <v>22</v>
      </c>
      <c r="E1079">
        <v>74</v>
      </c>
      <c r="F1079">
        <v>225</v>
      </c>
      <c r="G1079" t="s">
        <v>166</v>
      </c>
      <c r="H1079">
        <v>2020</v>
      </c>
      <c r="I1079" t="s">
        <v>33</v>
      </c>
      <c r="J1079">
        <v>8</v>
      </c>
      <c r="K1079">
        <v>1</v>
      </c>
      <c r="L1079">
        <v>1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59</v>
      </c>
      <c r="T1079">
        <v>49</v>
      </c>
      <c r="U1079" s="5">
        <f>IF(Merge1[[#This Row],[team_defense_snaps]]=0, "", Merge1[[#This Row],[defense_snaps]] / Merge1[[#This Row],[team_defense_snaps]])</f>
        <v>1</v>
      </c>
      <c r="V1079">
        <v>49</v>
      </c>
      <c r="W1079">
        <v>10</v>
      </c>
      <c r="X1079" s="5" t="s">
        <v>111</v>
      </c>
      <c r="Y1079">
        <v>5</v>
      </c>
      <c r="Z1079">
        <v>0</v>
      </c>
      <c r="AA1079" t="s">
        <v>25</v>
      </c>
      <c r="AB1079" t="s">
        <v>26</v>
      </c>
      <c r="AC1079" t="s">
        <v>27</v>
      </c>
      <c r="AD1079" t="s">
        <v>42</v>
      </c>
      <c r="AE1079" t="s">
        <v>25</v>
      </c>
      <c r="AF10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2.5423728813559324E-2</v>
      </c>
      <c r="AG1079" t="s">
        <v>941</v>
      </c>
      <c r="AH1079">
        <v>77</v>
      </c>
      <c r="AI1079" t="s">
        <v>939</v>
      </c>
      <c r="AJ1079">
        <v>3</v>
      </c>
      <c r="AK10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MIN(AJ1079/8, 1) +
  Merge1[[#This Row],[index_defensive_effort]],
  2
)</f>
        <v>1</v>
      </c>
    </row>
    <row r="1080" spans="1:37" x14ac:dyDescent="0.25">
      <c r="A1080" t="s">
        <v>402</v>
      </c>
      <c r="B1080" t="s">
        <v>403</v>
      </c>
      <c r="C1080">
        <v>30</v>
      </c>
      <c r="D1080" t="s">
        <v>22</v>
      </c>
      <c r="E1080">
        <v>74</v>
      </c>
      <c r="F1080">
        <v>225</v>
      </c>
      <c r="G1080" t="s">
        <v>166</v>
      </c>
      <c r="H1080">
        <v>2020</v>
      </c>
      <c r="I1080" t="s">
        <v>33</v>
      </c>
      <c r="J1080">
        <v>9</v>
      </c>
      <c r="K1080">
        <v>2</v>
      </c>
      <c r="L1080">
        <v>2</v>
      </c>
      <c r="M1080">
        <v>0</v>
      </c>
      <c r="N1080">
        <v>2</v>
      </c>
      <c r="O1080">
        <v>0</v>
      </c>
      <c r="P1080">
        <v>0</v>
      </c>
      <c r="Q1080">
        <v>0</v>
      </c>
      <c r="R1080">
        <v>0</v>
      </c>
      <c r="S1080">
        <v>87</v>
      </c>
      <c r="T1080">
        <v>67</v>
      </c>
      <c r="U1080" s="5">
        <f>IF(Merge1[[#This Row],[team_defense_snaps]]=0, "", Merge1[[#This Row],[defense_snaps]] / Merge1[[#This Row],[team_defense_snaps]])</f>
        <v>0.84810126582278478</v>
      </c>
      <c r="V1080">
        <v>79</v>
      </c>
      <c r="W1080">
        <v>20</v>
      </c>
      <c r="X1080" s="5" t="s">
        <v>100</v>
      </c>
      <c r="Y1080">
        <v>5</v>
      </c>
      <c r="Z1080">
        <v>0</v>
      </c>
      <c r="AA1080" t="s">
        <v>25</v>
      </c>
      <c r="AB1080" t="s">
        <v>26</v>
      </c>
      <c r="AC1080" t="s">
        <v>27</v>
      </c>
      <c r="AD1080" t="s">
        <v>42</v>
      </c>
      <c r="AE1080" t="s">
        <v>25</v>
      </c>
      <c r="AF10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3.4482758620689655E-2</v>
      </c>
      <c r="AG1080" t="s">
        <v>941</v>
      </c>
      <c r="AH1080">
        <v>89</v>
      </c>
      <c r="AI1080" t="s">
        <v>939</v>
      </c>
      <c r="AJ1080">
        <v>4</v>
      </c>
      <c r="AK10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MIN(AJ1080/8, 1) +
  Merge1[[#This Row],[index_defensive_effort]],
  2
)</f>
        <v>1.1299999999999999</v>
      </c>
    </row>
    <row r="1081" spans="1:37" x14ac:dyDescent="0.25">
      <c r="A1081" t="s">
        <v>402</v>
      </c>
      <c r="B1081" t="s">
        <v>403</v>
      </c>
      <c r="C1081">
        <v>30</v>
      </c>
      <c r="D1081" t="s">
        <v>22</v>
      </c>
      <c r="E1081">
        <v>74</v>
      </c>
      <c r="F1081">
        <v>225</v>
      </c>
      <c r="G1081" t="s">
        <v>166</v>
      </c>
      <c r="H1081">
        <v>2020</v>
      </c>
      <c r="I1081" t="s">
        <v>33</v>
      </c>
      <c r="J1081">
        <v>10</v>
      </c>
      <c r="K1081">
        <v>2</v>
      </c>
      <c r="L1081">
        <v>3</v>
      </c>
      <c r="M1081">
        <v>1</v>
      </c>
      <c r="N1081">
        <v>4</v>
      </c>
      <c r="O1081">
        <v>0</v>
      </c>
      <c r="P1081">
        <v>0</v>
      </c>
      <c r="Q1081">
        <v>0</v>
      </c>
      <c r="R1081">
        <v>0</v>
      </c>
      <c r="S1081">
        <v>54</v>
      </c>
      <c r="T1081">
        <v>39</v>
      </c>
      <c r="U1081" s="5">
        <f>IF(Merge1[[#This Row],[team_defense_snaps]]=0, "", Merge1[[#This Row],[defense_snaps]] / Merge1[[#This Row],[team_defense_snaps]])</f>
        <v>0.54929577464788737</v>
      </c>
      <c r="V1081">
        <v>71</v>
      </c>
      <c r="W1081">
        <v>15</v>
      </c>
      <c r="X1081" s="5" t="s">
        <v>52</v>
      </c>
      <c r="Y1081">
        <v>5</v>
      </c>
      <c r="Z1081">
        <v>0</v>
      </c>
      <c r="AA1081" t="s">
        <v>25</v>
      </c>
      <c r="AB1081" t="s">
        <v>26</v>
      </c>
      <c r="AC1081" t="s">
        <v>27</v>
      </c>
      <c r="AD1081" t="s">
        <v>42</v>
      </c>
      <c r="AE1081" t="s">
        <v>25</v>
      </c>
      <c r="AF10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7.407407407407407E-2</v>
      </c>
      <c r="AG1081" t="s">
        <v>941</v>
      </c>
      <c r="AH1081">
        <v>80</v>
      </c>
      <c r="AI1081" t="s">
        <v>939</v>
      </c>
      <c r="AJ1081">
        <v>5</v>
      </c>
      <c r="AK10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MIN(AJ1081/8, 1) +
  Merge1[[#This Row],[index_defensive_effort]],
  2
)</f>
        <v>1.3</v>
      </c>
    </row>
    <row r="1082" spans="1:37" x14ac:dyDescent="0.25">
      <c r="A1082" t="s">
        <v>402</v>
      </c>
      <c r="B1082" t="s">
        <v>403</v>
      </c>
      <c r="C1082">
        <v>30</v>
      </c>
      <c r="D1082" t="s">
        <v>22</v>
      </c>
      <c r="E1082">
        <v>74</v>
      </c>
      <c r="F1082">
        <v>225</v>
      </c>
      <c r="G1082" t="s">
        <v>166</v>
      </c>
      <c r="H1082">
        <v>2020</v>
      </c>
      <c r="I1082" t="s">
        <v>33</v>
      </c>
      <c r="J1082">
        <v>11</v>
      </c>
      <c r="K1082">
        <v>2</v>
      </c>
      <c r="L1082">
        <v>0</v>
      </c>
      <c r="M1082">
        <v>0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43</v>
      </c>
      <c r="T1082">
        <v>24</v>
      </c>
      <c r="U1082" s="5">
        <f>IF(Merge1[[#This Row],[team_defense_snaps]]=0, "", Merge1[[#This Row],[defense_snaps]] / Merge1[[#This Row],[team_defense_snaps]])</f>
        <v>0.30769230769230771</v>
      </c>
      <c r="V1082">
        <v>78</v>
      </c>
      <c r="W1082">
        <v>19</v>
      </c>
      <c r="X1082" s="5" t="s">
        <v>87</v>
      </c>
      <c r="Y1082">
        <v>5</v>
      </c>
      <c r="Z1082">
        <v>0</v>
      </c>
      <c r="AA1082" t="s">
        <v>25</v>
      </c>
      <c r="AB1082" t="s">
        <v>26</v>
      </c>
      <c r="AC1082" t="s">
        <v>27</v>
      </c>
      <c r="AD1082" t="s">
        <v>28</v>
      </c>
      <c r="AE1082" t="s">
        <v>25</v>
      </c>
      <c r="AF10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9.3023255813953487E-2</v>
      </c>
      <c r="AG1082" t="s">
        <v>941</v>
      </c>
      <c r="AH1082">
        <v>95</v>
      </c>
      <c r="AI1082" t="s">
        <v>939</v>
      </c>
      <c r="AJ1082">
        <v>1</v>
      </c>
      <c r="AK10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MIN(AJ1082/8, 1) +
  Merge1[[#This Row],[index_defensive_effort]],
  2
)</f>
        <v>0.82</v>
      </c>
    </row>
    <row r="1083" spans="1:37" x14ac:dyDescent="0.25">
      <c r="A1083" t="s">
        <v>402</v>
      </c>
      <c r="B1083" t="s">
        <v>403</v>
      </c>
      <c r="C1083">
        <v>30</v>
      </c>
      <c r="D1083" t="s">
        <v>22</v>
      </c>
      <c r="E1083">
        <v>74</v>
      </c>
      <c r="F1083">
        <v>225</v>
      </c>
      <c r="G1083" t="s">
        <v>166</v>
      </c>
      <c r="H1083">
        <v>2020</v>
      </c>
      <c r="I1083" t="s">
        <v>33</v>
      </c>
      <c r="J1083">
        <v>13</v>
      </c>
      <c r="K1083">
        <v>5</v>
      </c>
      <c r="L1083">
        <v>1</v>
      </c>
      <c r="M1083">
        <v>1</v>
      </c>
      <c r="N1083">
        <v>2</v>
      </c>
      <c r="O1083">
        <v>0</v>
      </c>
      <c r="P1083">
        <v>1</v>
      </c>
      <c r="Q1083">
        <v>0</v>
      </c>
      <c r="R1083">
        <v>0</v>
      </c>
      <c r="S1083">
        <v>80</v>
      </c>
      <c r="T1083">
        <v>62</v>
      </c>
      <c r="U1083" s="5">
        <f>IF(Merge1[[#This Row],[team_defense_snaps]]=0, "", Merge1[[#This Row],[defense_snaps]] / Merge1[[#This Row],[team_defense_snaps]])</f>
        <v>0.92537313432835822</v>
      </c>
      <c r="V1083">
        <v>67</v>
      </c>
      <c r="W1083">
        <v>18</v>
      </c>
      <c r="X1083" s="5" t="s">
        <v>100</v>
      </c>
      <c r="Y1083">
        <v>5</v>
      </c>
      <c r="Z1083">
        <v>0</v>
      </c>
      <c r="AA1083" t="s">
        <v>25</v>
      </c>
      <c r="AB1083" t="s">
        <v>26</v>
      </c>
      <c r="AC1083" t="s">
        <v>27</v>
      </c>
      <c r="AD1083" t="s">
        <v>42</v>
      </c>
      <c r="AE1083" t="s">
        <v>25</v>
      </c>
      <c r="AF10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1083" t="s">
        <v>941</v>
      </c>
      <c r="AH1083">
        <v>84.5</v>
      </c>
      <c r="AI1083" t="s">
        <v>939</v>
      </c>
      <c r="AJ1083">
        <v>2</v>
      </c>
      <c r="AK10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MIN(AJ1083/8, 1) +
  Merge1[[#This Row],[index_defensive_effort]],
  2
)</f>
        <v>0.95</v>
      </c>
    </row>
    <row r="1084" spans="1:37" x14ac:dyDescent="0.25">
      <c r="A1084" t="s">
        <v>402</v>
      </c>
      <c r="B1084" t="s">
        <v>403</v>
      </c>
      <c r="C1084">
        <v>30</v>
      </c>
      <c r="D1084" t="s">
        <v>22</v>
      </c>
      <c r="E1084">
        <v>74</v>
      </c>
      <c r="F1084">
        <v>225</v>
      </c>
      <c r="G1084" t="s">
        <v>166</v>
      </c>
      <c r="H1084">
        <v>2020</v>
      </c>
      <c r="I1084" t="s">
        <v>33</v>
      </c>
      <c r="J1084">
        <v>14</v>
      </c>
      <c r="K1084">
        <v>0</v>
      </c>
      <c r="L1084">
        <v>4</v>
      </c>
      <c r="M1084">
        <v>0</v>
      </c>
      <c r="N1084">
        <v>4</v>
      </c>
      <c r="O1084">
        <v>0</v>
      </c>
      <c r="P1084">
        <v>0</v>
      </c>
      <c r="Q1084">
        <v>0</v>
      </c>
      <c r="R1084">
        <v>0</v>
      </c>
      <c r="S1084">
        <v>77</v>
      </c>
      <c r="T1084">
        <v>61</v>
      </c>
      <c r="U1084" s="5">
        <f>IF(Merge1[[#This Row],[team_defense_snaps]]=0, "", Merge1[[#This Row],[defense_snaps]] / Merge1[[#This Row],[team_defense_snaps]])</f>
        <v>1</v>
      </c>
      <c r="V1084">
        <v>61</v>
      </c>
      <c r="W1084">
        <v>16</v>
      </c>
      <c r="X1084" s="5" t="s">
        <v>182</v>
      </c>
      <c r="Y1084">
        <v>5</v>
      </c>
      <c r="Z1084">
        <v>0</v>
      </c>
      <c r="AA1084" t="s">
        <v>25</v>
      </c>
      <c r="AB1084" t="s">
        <v>26</v>
      </c>
      <c r="AC1084" t="s">
        <v>27</v>
      </c>
      <c r="AD1084" t="s">
        <v>42</v>
      </c>
      <c r="AE1084" t="s">
        <v>25</v>
      </c>
      <c r="AF10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2.5974025974025976E-2</v>
      </c>
      <c r="AG1084" t="s">
        <v>941</v>
      </c>
      <c r="AH1084">
        <v>86</v>
      </c>
      <c r="AI1084" t="s">
        <v>939</v>
      </c>
      <c r="AJ1084">
        <v>3</v>
      </c>
      <c r="AK10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MIN(AJ1084/8, 1) +
  Merge1[[#This Row],[index_defensive_effort]],
  2
)</f>
        <v>1</v>
      </c>
    </row>
    <row r="1085" spans="1:37" x14ac:dyDescent="0.25">
      <c r="A1085" t="s">
        <v>402</v>
      </c>
      <c r="B1085" t="s">
        <v>403</v>
      </c>
      <c r="C1085">
        <v>30</v>
      </c>
      <c r="D1085" t="s">
        <v>22</v>
      </c>
      <c r="E1085">
        <v>74</v>
      </c>
      <c r="F1085">
        <v>225</v>
      </c>
      <c r="G1085" t="s">
        <v>166</v>
      </c>
      <c r="H1085">
        <v>2020</v>
      </c>
      <c r="I1085" t="s">
        <v>33</v>
      </c>
      <c r="J1085">
        <v>15</v>
      </c>
      <c r="K1085">
        <v>5</v>
      </c>
      <c r="L1085">
        <v>0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82</v>
      </c>
      <c r="T1085">
        <v>66</v>
      </c>
      <c r="U1085" s="5">
        <f>IF(Merge1[[#This Row],[team_defense_snaps]]=0, "", Merge1[[#This Row],[defense_snaps]] / Merge1[[#This Row],[team_defense_snaps]])</f>
        <v>1</v>
      </c>
      <c r="V1085">
        <v>66</v>
      </c>
      <c r="W1085">
        <v>16</v>
      </c>
      <c r="X1085" s="5" t="s">
        <v>232</v>
      </c>
      <c r="Y1085">
        <v>5</v>
      </c>
      <c r="Z1085">
        <v>0</v>
      </c>
      <c r="AA1085" t="s">
        <v>25</v>
      </c>
      <c r="AB1085" t="s">
        <v>26</v>
      </c>
      <c r="AC1085" t="s">
        <v>27</v>
      </c>
      <c r="AD1085" t="s">
        <v>42</v>
      </c>
      <c r="AE1085" t="s">
        <v>25</v>
      </c>
      <c r="AF10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8.5365853658536592E-2</v>
      </c>
      <c r="AG1085" t="s">
        <v>941</v>
      </c>
      <c r="AH1085">
        <v>93.5</v>
      </c>
      <c r="AI1085" t="s">
        <v>939</v>
      </c>
      <c r="AJ1085">
        <v>1</v>
      </c>
      <c r="AK10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MIN(AJ1085/8, 1) +
  Merge1[[#This Row],[index_defensive_effort]],
  2
)</f>
        <v>0.81</v>
      </c>
    </row>
    <row r="1086" spans="1:37" x14ac:dyDescent="0.25">
      <c r="A1086" t="s">
        <v>400</v>
      </c>
      <c r="B1086" t="s">
        <v>401</v>
      </c>
      <c r="C1086">
        <v>22</v>
      </c>
      <c r="D1086" t="s">
        <v>56</v>
      </c>
      <c r="E1086">
        <v>70</v>
      </c>
      <c r="F1086">
        <v>190</v>
      </c>
      <c r="G1086" t="s">
        <v>67</v>
      </c>
      <c r="H1086">
        <v>2020</v>
      </c>
      <c r="I1086" t="s">
        <v>33</v>
      </c>
      <c r="J1086">
        <v>1</v>
      </c>
      <c r="K1086">
        <v>6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56</v>
      </c>
      <c r="T1086">
        <v>45</v>
      </c>
      <c r="U1086" s="5">
        <f>IF(Merge1[[#This Row],[team_defense_snaps]]=0, "", Merge1[[#This Row],[defense_snaps]] / Merge1[[#This Row],[team_defense_snaps]])</f>
        <v>0.55555555555555558</v>
      </c>
      <c r="V1086">
        <v>81</v>
      </c>
      <c r="W1086">
        <v>11</v>
      </c>
      <c r="X1086" s="5" t="s">
        <v>260</v>
      </c>
      <c r="Y1086">
        <v>0</v>
      </c>
      <c r="Z1086">
        <v>0</v>
      </c>
      <c r="AA1086" t="s">
        <v>25</v>
      </c>
      <c r="AB1086" t="s">
        <v>26</v>
      </c>
      <c r="AC1086" t="s">
        <v>27</v>
      </c>
      <c r="AD1086" t="s">
        <v>28</v>
      </c>
      <c r="AE1086" t="s">
        <v>25</v>
      </c>
      <c r="AF10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0.10714285714285714</v>
      </c>
      <c r="AG1086" t="s">
        <v>941</v>
      </c>
      <c r="AH1086">
        <v>66</v>
      </c>
      <c r="AI1086" t="s">
        <v>939</v>
      </c>
      <c r="AJ1086">
        <v>2</v>
      </c>
      <c r="AK10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MIN(AJ1086/8, 1) +
  Merge1[[#This Row],[index_defensive_effort]],
  2
)</f>
        <v>0.86</v>
      </c>
    </row>
    <row r="1087" spans="1:37" x14ac:dyDescent="0.25">
      <c r="A1087" t="s">
        <v>400</v>
      </c>
      <c r="B1087" t="s">
        <v>401</v>
      </c>
      <c r="C1087">
        <v>22</v>
      </c>
      <c r="D1087" t="s">
        <v>56</v>
      </c>
      <c r="E1087">
        <v>70</v>
      </c>
      <c r="F1087">
        <v>190</v>
      </c>
      <c r="G1087" t="s">
        <v>67</v>
      </c>
      <c r="H1087">
        <v>2020</v>
      </c>
      <c r="I1087" t="s">
        <v>33</v>
      </c>
      <c r="J1087">
        <v>2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53</v>
      </c>
      <c r="T1087">
        <v>47</v>
      </c>
      <c r="U1087" s="5">
        <f>IF(Merge1[[#This Row],[team_defense_snaps]]=0, "", Merge1[[#This Row],[defense_snaps]] / Merge1[[#This Row],[team_defense_snaps]])</f>
        <v>0.72307692307692306</v>
      </c>
      <c r="V1087">
        <v>65</v>
      </c>
      <c r="W1087">
        <v>6</v>
      </c>
      <c r="X1087" s="5" t="s">
        <v>293</v>
      </c>
      <c r="Y1087">
        <v>0</v>
      </c>
      <c r="Z1087">
        <v>0</v>
      </c>
      <c r="AA1087" t="s">
        <v>25</v>
      </c>
      <c r="AB1087" t="s">
        <v>26</v>
      </c>
      <c r="AC1087" t="s">
        <v>27</v>
      </c>
      <c r="AD1087" t="s">
        <v>28</v>
      </c>
      <c r="AE1087" t="s">
        <v>25</v>
      </c>
      <c r="AF10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1.8867924528301886E-2</v>
      </c>
      <c r="AG1087" t="s">
        <v>941</v>
      </c>
      <c r="AH1087">
        <v>67.5</v>
      </c>
      <c r="AI1087" t="s">
        <v>939</v>
      </c>
      <c r="AJ1087">
        <v>1</v>
      </c>
      <c r="AK10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MIN(AJ1087/8, 1) +
  Merge1[[#This Row],[index_defensive_effort]],
  2
)</f>
        <v>0.64</v>
      </c>
    </row>
    <row r="1088" spans="1:37" x14ac:dyDescent="0.25">
      <c r="A1088" t="s">
        <v>400</v>
      </c>
      <c r="B1088" t="s">
        <v>401</v>
      </c>
      <c r="C1088">
        <v>22</v>
      </c>
      <c r="D1088" t="s">
        <v>56</v>
      </c>
      <c r="E1088">
        <v>70</v>
      </c>
      <c r="F1088">
        <v>190</v>
      </c>
      <c r="G1088" t="s">
        <v>67</v>
      </c>
      <c r="H1088">
        <v>2020</v>
      </c>
      <c r="I1088" t="s">
        <v>33</v>
      </c>
      <c r="J1088">
        <v>4</v>
      </c>
      <c r="K1088">
        <v>3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45</v>
      </c>
      <c r="T1088">
        <v>37</v>
      </c>
      <c r="U1088" s="5">
        <f>IF(Merge1[[#This Row],[team_defense_snaps]]=0, "", Merge1[[#This Row],[defense_snaps]] / Merge1[[#This Row],[team_defense_snaps]])</f>
        <v>0.48051948051948051</v>
      </c>
      <c r="V1088">
        <v>77</v>
      </c>
      <c r="W1088">
        <v>8</v>
      </c>
      <c r="X1088" s="5" t="s">
        <v>133</v>
      </c>
      <c r="Y1088">
        <v>0</v>
      </c>
      <c r="Z1088">
        <v>0</v>
      </c>
      <c r="AA1088" t="s">
        <v>25</v>
      </c>
      <c r="AB1088" t="s">
        <v>26</v>
      </c>
      <c r="AC1088" t="s">
        <v>27</v>
      </c>
      <c r="AD1088" t="s">
        <v>42</v>
      </c>
      <c r="AE1088" t="s">
        <v>25</v>
      </c>
      <c r="AF10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1088" t="s">
        <v>941</v>
      </c>
      <c r="AH1088">
        <v>76.5</v>
      </c>
      <c r="AI1088" t="s">
        <v>939</v>
      </c>
      <c r="AJ1088">
        <v>1</v>
      </c>
      <c r="AK10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MIN(AJ1088/8, 1) +
  Merge1[[#This Row],[index_defensive_effort]],
  2
)</f>
        <v>0.69</v>
      </c>
    </row>
    <row r="1089" spans="1:37" x14ac:dyDescent="0.25">
      <c r="A1089" t="s">
        <v>400</v>
      </c>
      <c r="B1089" t="s">
        <v>401</v>
      </c>
      <c r="C1089">
        <v>22</v>
      </c>
      <c r="D1089" t="s">
        <v>56</v>
      </c>
      <c r="E1089">
        <v>70</v>
      </c>
      <c r="F1089">
        <v>190</v>
      </c>
      <c r="G1089" t="s">
        <v>67</v>
      </c>
      <c r="H1089">
        <v>2020</v>
      </c>
      <c r="I1089" t="s">
        <v>33</v>
      </c>
      <c r="J1089">
        <v>8</v>
      </c>
      <c r="K1089">
        <v>2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28</v>
      </c>
      <c r="T1089">
        <v>15</v>
      </c>
      <c r="U1089" s="5">
        <f>IF(Merge1[[#This Row],[team_defense_snaps]]=0, "", Merge1[[#This Row],[defense_snaps]] / Merge1[[#This Row],[team_defense_snaps]])</f>
        <v>0.16853932584269662</v>
      </c>
      <c r="V1089">
        <v>89</v>
      </c>
      <c r="W1089">
        <v>13</v>
      </c>
      <c r="X1089" s="5" t="s">
        <v>210</v>
      </c>
      <c r="Y1089">
        <v>0</v>
      </c>
      <c r="Z1089">
        <v>0</v>
      </c>
      <c r="AA1089" t="s">
        <v>25</v>
      </c>
      <c r="AB1089" t="s">
        <v>26</v>
      </c>
      <c r="AC1089" t="s">
        <v>27</v>
      </c>
      <c r="AD1089" t="s">
        <v>28</v>
      </c>
      <c r="AE1089" t="s">
        <v>25</v>
      </c>
      <c r="AF10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1089" t="s">
        <v>941</v>
      </c>
      <c r="AH1089">
        <v>61.5</v>
      </c>
      <c r="AI1089" t="s">
        <v>939</v>
      </c>
      <c r="AJ1089">
        <v>2</v>
      </c>
      <c r="AK10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MIN(AJ1089/8, 1) +
  Merge1[[#This Row],[index_defensive_effort]],
  2
)</f>
        <v>0.82</v>
      </c>
    </row>
    <row r="1090" spans="1:37" x14ac:dyDescent="0.25">
      <c r="A1090" t="s">
        <v>400</v>
      </c>
      <c r="B1090" t="s">
        <v>401</v>
      </c>
      <c r="C1090">
        <v>22</v>
      </c>
      <c r="D1090" t="s">
        <v>56</v>
      </c>
      <c r="E1090">
        <v>70</v>
      </c>
      <c r="F1090">
        <v>190</v>
      </c>
      <c r="G1090" t="s">
        <v>67</v>
      </c>
      <c r="H1090">
        <v>2020</v>
      </c>
      <c r="I1090" t="s">
        <v>33</v>
      </c>
      <c r="J1090">
        <v>9</v>
      </c>
      <c r="K1090">
        <v>6</v>
      </c>
      <c r="L1090">
        <v>0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53</v>
      </c>
      <c r="T1090">
        <v>48</v>
      </c>
      <c r="U1090" s="5">
        <f>IF(Merge1[[#This Row],[team_defense_snaps]]=0, "", Merge1[[#This Row],[defense_snaps]] / Merge1[[#This Row],[team_defense_snaps]])</f>
        <v>0.676056338028169</v>
      </c>
      <c r="V1090">
        <v>71</v>
      </c>
      <c r="W1090">
        <v>5</v>
      </c>
      <c r="X1090" s="5" t="s">
        <v>168</v>
      </c>
      <c r="Y1090">
        <v>0</v>
      </c>
      <c r="Z1090">
        <v>0</v>
      </c>
      <c r="AA1090" t="s">
        <v>25</v>
      </c>
      <c r="AB1090" t="s">
        <v>26</v>
      </c>
      <c r="AC1090" t="s">
        <v>27</v>
      </c>
      <c r="AD1090" t="s">
        <v>28</v>
      </c>
      <c r="AE1090" t="s">
        <v>25</v>
      </c>
      <c r="AF10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0.15094339622641509</v>
      </c>
      <c r="AG1090" t="s">
        <v>941</v>
      </c>
      <c r="AH1090">
        <v>64.5</v>
      </c>
      <c r="AI1090" t="s">
        <v>939</v>
      </c>
      <c r="AJ1090">
        <v>3</v>
      </c>
      <c r="AK10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MIN(AJ1090/8, 1) +
  Merge1[[#This Row],[index_defensive_effort]],
  2
)</f>
        <v>1.03</v>
      </c>
    </row>
    <row r="1091" spans="1:37" x14ac:dyDescent="0.25">
      <c r="A1091" t="s">
        <v>400</v>
      </c>
      <c r="B1091" t="s">
        <v>401</v>
      </c>
      <c r="C1091">
        <v>22</v>
      </c>
      <c r="D1091" t="s">
        <v>56</v>
      </c>
      <c r="E1091">
        <v>70</v>
      </c>
      <c r="F1091">
        <v>190</v>
      </c>
      <c r="G1091" t="s">
        <v>67</v>
      </c>
      <c r="H1091">
        <v>2020</v>
      </c>
      <c r="I1091" t="s">
        <v>33</v>
      </c>
      <c r="J1091">
        <v>10</v>
      </c>
      <c r="K1091">
        <v>2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48</v>
      </c>
      <c r="T1091">
        <v>43</v>
      </c>
      <c r="U1091" s="5">
        <f>IF(Merge1[[#This Row],[team_defense_snaps]]=0, "", Merge1[[#This Row],[defense_snaps]] / Merge1[[#This Row],[team_defense_snaps]])</f>
        <v>0.59722222222222221</v>
      </c>
      <c r="V1091">
        <v>72</v>
      </c>
      <c r="W1091">
        <v>5</v>
      </c>
      <c r="X1091" s="5" t="s">
        <v>124</v>
      </c>
      <c r="Y1091">
        <v>0</v>
      </c>
      <c r="Z1091">
        <v>0</v>
      </c>
      <c r="AA1091" t="s">
        <v>25</v>
      </c>
      <c r="AB1091" t="s">
        <v>26</v>
      </c>
      <c r="AC1091" t="s">
        <v>27</v>
      </c>
      <c r="AD1091" t="s">
        <v>42</v>
      </c>
      <c r="AE1091" t="s">
        <v>25</v>
      </c>
      <c r="AF10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1091" t="s">
        <v>941</v>
      </c>
      <c r="AH1091">
        <v>63</v>
      </c>
      <c r="AI1091" t="s">
        <v>939</v>
      </c>
      <c r="AJ1091">
        <v>4</v>
      </c>
      <c r="AK10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MIN(AJ1091/8, 1) +
  Merge1[[#This Row],[index_defensive_effort]],
  2
)</f>
        <v>1.04</v>
      </c>
    </row>
    <row r="1092" spans="1:37" x14ac:dyDescent="0.25">
      <c r="A1092" t="s">
        <v>400</v>
      </c>
      <c r="B1092" t="s">
        <v>401</v>
      </c>
      <c r="C1092">
        <v>22</v>
      </c>
      <c r="D1092" t="s">
        <v>56</v>
      </c>
      <c r="E1092">
        <v>70</v>
      </c>
      <c r="F1092">
        <v>190</v>
      </c>
      <c r="G1092" t="s">
        <v>67</v>
      </c>
      <c r="H1092">
        <v>2020</v>
      </c>
      <c r="I1092" t="s">
        <v>33</v>
      </c>
      <c r="J1092">
        <v>11</v>
      </c>
      <c r="K1092">
        <v>2</v>
      </c>
      <c r="L1092">
        <v>1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54</v>
      </c>
      <c r="T1092">
        <v>54</v>
      </c>
      <c r="U1092" s="5">
        <f>IF(Merge1[[#This Row],[team_defense_snaps]]=0, "", Merge1[[#This Row],[defense_snaps]] / Merge1[[#This Row],[team_defense_snaps]])</f>
        <v>0.83076923076923082</v>
      </c>
      <c r="V1092">
        <v>65</v>
      </c>
      <c r="W1092">
        <v>0</v>
      </c>
      <c r="X1092" s="5" t="s">
        <v>29</v>
      </c>
      <c r="Y1092">
        <v>0</v>
      </c>
      <c r="Z1092">
        <v>0</v>
      </c>
      <c r="AA1092" t="s">
        <v>25</v>
      </c>
      <c r="AB1092" t="s">
        <v>26</v>
      </c>
      <c r="AC1092" t="s">
        <v>27</v>
      </c>
      <c r="AD1092" t="s">
        <v>28</v>
      </c>
      <c r="AE1092" t="s">
        <v>25</v>
      </c>
      <c r="AF10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4.6296296296296294E-2</v>
      </c>
      <c r="AG1092" t="s">
        <v>941</v>
      </c>
      <c r="AH1092">
        <v>73.5</v>
      </c>
      <c r="AI1092" t="s">
        <v>939</v>
      </c>
      <c r="AJ1092">
        <v>5</v>
      </c>
      <c r="AK10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MIN(AJ1092/8, 1) +
  Merge1[[#This Row],[index_defensive_effort]],
  2
)</f>
        <v>1.17</v>
      </c>
    </row>
    <row r="1093" spans="1:37" x14ac:dyDescent="0.25">
      <c r="A1093" t="s">
        <v>400</v>
      </c>
      <c r="B1093" t="s">
        <v>401</v>
      </c>
      <c r="C1093">
        <v>22</v>
      </c>
      <c r="D1093" t="s">
        <v>56</v>
      </c>
      <c r="E1093">
        <v>70</v>
      </c>
      <c r="F1093">
        <v>190</v>
      </c>
      <c r="G1093" t="s">
        <v>67</v>
      </c>
      <c r="H1093">
        <v>2020</v>
      </c>
      <c r="I1093" t="s">
        <v>33</v>
      </c>
      <c r="J1093">
        <v>12</v>
      </c>
      <c r="K1093">
        <v>3</v>
      </c>
      <c r="L1093">
        <v>1</v>
      </c>
      <c r="M1093">
        <v>0</v>
      </c>
      <c r="N1093">
        <v>1</v>
      </c>
      <c r="O1093">
        <v>0</v>
      </c>
      <c r="P1093">
        <v>0</v>
      </c>
      <c r="Q1093">
        <v>2</v>
      </c>
      <c r="R1093">
        <v>0</v>
      </c>
      <c r="S1093">
        <v>26</v>
      </c>
      <c r="T1093">
        <v>26</v>
      </c>
      <c r="U1093" s="5">
        <f>IF(Merge1[[#This Row],[team_defense_snaps]]=0, "", Merge1[[#This Row],[defense_snaps]] / Merge1[[#This Row],[team_defense_snaps]])</f>
        <v>0.40625</v>
      </c>
      <c r="V1093">
        <v>64</v>
      </c>
      <c r="W1093">
        <v>0</v>
      </c>
      <c r="X1093" s="5" t="s">
        <v>29</v>
      </c>
      <c r="Y1093">
        <v>0</v>
      </c>
      <c r="Z1093">
        <v>0</v>
      </c>
      <c r="AA1093" t="s">
        <v>25</v>
      </c>
      <c r="AB1093" t="s">
        <v>26</v>
      </c>
      <c r="AC1093" t="s">
        <v>27</v>
      </c>
      <c r="AD1093" t="s">
        <v>28</v>
      </c>
      <c r="AE1093" t="s">
        <v>25</v>
      </c>
      <c r="AF10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0.44230769230769229</v>
      </c>
      <c r="AG1093" t="s">
        <v>941</v>
      </c>
      <c r="AH1093">
        <v>78</v>
      </c>
      <c r="AI1093" t="s">
        <v>939</v>
      </c>
      <c r="AJ1093">
        <v>1</v>
      </c>
      <c r="AK10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MIN(AJ1093/8, 1) +
  Merge1[[#This Row],[index_defensive_effort]],
  2
)</f>
        <v>1.07</v>
      </c>
    </row>
    <row r="1094" spans="1:37" x14ac:dyDescent="0.25">
      <c r="A1094" t="s">
        <v>412</v>
      </c>
      <c r="B1094" t="s">
        <v>413</v>
      </c>
      <c r="C1094">
        <v>26</v>
      </c>
      <c r="D1094" t="s">
        <v>56</v>
      </c>
      <c r="E1094">
        <v>72</v>
      </c>
      <c r="F1094">
        <v>200</v>
      </c>
      <c r="G1094" t="s">
        <v>286</v>
      </c>
      <c r="H1094">
        <v>2020</v>
      </c>
      <c r="I1094" t="s">
        <v>33</v>
      </c>
      <c r="J1094">
        <v>1</v>
      </c>
      <c r="K1094">
        <v>2</v>
      </c>
      <c r="L1094">
        <v>1</v>
      </c>
      <c r="M1094">
        <v>0</v>
      </c>
      <c r="N1094">
        <v>1</v>
      </c>
      <c r="O1094">
        <v>0</v>
      </c>
      <c r="P1094">
        <v>0</v>
      </c>
      <c r="Q1094">
        <v>2</v>
      </c>
      <c r="R1094">
        <v>0</v>
      </c>
      <c r="S1094">
        <v>40</v>
      </c>
      <c r="T1094">
        <v>31</v>
      </c>
      <c r="U1094" s="5">
        <f>IF(Merge1[[#This Row],[team_defense_snaps]]=0, "", Merge1[[#This Row],[defense_snaps]] / Merge1[[#This Row],[team_defense_snaps]])</f>
        <v>0.44927536231884058</v>
      </c>
      <c r="V1094">
        <v>69</v>
      </c>
      <c r="W1094">
        <v>9</v>
      </c>
      <c r="X1094" s="5" t="s">
        <v>136</v>
      </c>
      <c r="Y1094">
        <v>3</v>
      </c>
      <c r="Z1094">
        <v>0</v>
      </c>
      <c r="AA1094" t="s">
        <v>25</v>
      </c>
      <c r="AB1094" t="s">
        <v>26</v>
      </c>
      <c r="AC1094" t="s">
        <v>27</v>
      </c>
      <c r="AD1094" t="s">
        <v>28</v>
      </c>
      <c r="AE1094" t="s">
        <v>25</v>
      </c>
      <c r="AF10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0.26250000000000001</v>
      </c>
      <c r="AG1094" t="s">
        <v>941</v>
      </c>
      <c r="AH1094">
        <v>72.5</v>
      </c>
      <c r="AI1094" t="s">
        <v>939</v>
      </c>
      <c r="AJ1094">
        <v>1</v>
      </c>
      <c r="AK10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MIN(AJ1094/8, 1) +
  Merge1[[#This Row],[index_defensive_effort]],
  2
)</f>
        <v>0.99</v>
      </c>
    </row>
    <row r="1095" spans="1:37" x14ac:dyDescent="0.25">
      <c r="A1095" t="s">
        <v>412</v>
      </c>
      <c r="B1095" t="s">
        <v>413</v>
      </c>
      <c r="C1095">
        <v>26</v>
      </c>
      <c r="D1095" t="s">
        <v>56</v>
      </c>
      <c r="E1095">
        <v>72</v>
      </c>
      <c r="F1095">
        <v>200</v>
      </c>
      <c r="G1095" t="s">
        <v>286</v>
      </c>
      <c r="H1095">
        <v>2020</v>
      </c>
      <c r="I1095" t="s">
        <v>33</v>
      </c>
      <c r="J1095">
        <v>1</v>
      </c>
      <c r="K1095">
        <v>2</v>
      </c>
      <c r="L1095">
        <v>1</v>
      </c>
      <c r="M1095">
        <v>0</v>
      </c>
      <c r="N1095">
        <v>1</v>
      </c>
      <c r="O1095">
        <v>0</v>
      </c>
      <c r="P1095">
        <v>0</v>
      </c>
      <c r="Q1095">
        <v>2</v>
      </c>
      <c r="R1095">
        <v>0</v>
      </c>
      <c r="S1095">
        <v>40</v>
      </c>
      <c r="T1095">
        <v>31</v>
      </c>
      <c r="U1095" s="5">
        <f>IF(Merge1[[#This Row],[team_defense_snaps]]=0, "", Merge1[[#This Row],[defense_snaps]] / Merge1[[#This Row],[team_defense_snaps]])</f>
        <v>0.44927536231884058</v>
      </c>
      <c r="V1095">
        <v>69</v>
      </c>
      <c r="W1095">
        <v>9</v>
      </c>
      <c r="X1095" s="5" t="s">
        <v>136</v>
      </c>
      <c r="Y1095">
        <v>3</v>
      </c>
      <c r="Z1095">
        <v>0</v>
      </c>
      <c r="AA1095" t="s">
        <v>25</v>
      </c>
      <c r="AB1095" t="s">
        <v>26</v>
      </c>
      <c r="AC1095" t="s">
        <v>27</v>
      </c>
      <c r="AD1095" t="s">
        <v>28</v>
      </c>
      <c r="AE1095" t="s">
        <v>25</v>
      </c>
      <c r="AF10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0.26250000000000001</v>
      </c>
      <c r="AG1095" t="s">
        <v>941</v>
      </c>
      <c r="AH1095">
        <v>69.5</v>
      </c>
      <c r="AI1095" t="s">
        <v>939</v>
      </c>
      <c r="AJ1095">
        <v>2</v>
      </c>
      <c r="AK10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MIN(AJ1095/8, 1) +
  Merge1[[#This Row],[index_defensive_effort]],
  2
)</f>
        <v>1.1100000000000001</v>
      </c>
    </row>
    <row r="1096" spans="1:37" x14ac:dyDescent="0.25">
      <c r="A1096" t="s">
        <v>412</v>
      </c>
      <c r="B1096" t="s">
        <v>413</v>
      </c>
      <c r="C1096">
        <v>26</v>
      </c>
      <c r="D1096" t="s">
        <v>56</v>
      </c>
      <c r="E1096">
        <v>72</v>
      </c>
      <c r="F1096">
        <v>200</v>
      </c>
      <c r="G1096" t="s">
        <v>286</v>
      </c>
      <c r="H1096">
        <v>2020</v>
      </c>
      <c r="I1096" t="s">
        <v>33</v>
      </c>
      <c r="J1096">
        <v>2</v>
      </c>
      <c r="K1096">
        <v>1</v>
      </c>
      <c r="L1096">
        <v>1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51</v>
      </c>
      <c r="T1096">
        <v>41</v>
      </c>
      <c r="U1096" s="5">
        <f>IF(Merge1[[#This Row],[team_defense_snaps]]=0, "", Merge1[[#This Row],[defense_snaps]] / Merge1[[#This Row],[team_defense_snaps]])</f>
        <v>0.53246753246753242</v>
      </c>
      <c r="V1096">
        <v>77</v>
      </c>
      <c r="W1096">
        <v>10</v>
      </c>
      <c r="X1096" s="5" t="s">
        <v>134</v>
      </c>
      <c r="Y1096">
        <v>3</v>
      </c>
      <c r="Z1096">
        <v>0</v>
      </c>
      <c r="AA1096" t="s">
        <v>25</v>
      </c>
      <c r="AB1096" t="s">
        <v>26</v>
      </c>
      <c r="AC1096" t="s">
        <v>27</v>
      </c>
      <c r="AD1096" t="s">
        <v>42</v>
      </c>
      <c r="AE1096" t="s">
        <v>25</v>
      </c>
      <c r="AF10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2.9411764705882353E-2</v>
      </c>
      <c r="AG1096" t="s">
        <v>941</v>
      </c>
      <c r="AH1096">
        <v>74</v>
      </c>
      <c r="AI1096" t="s">
        <v>939</v>
      </c>
      <c r="AJ1096">
        <v>1</v>
      </c>
      <c r="AK10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MIN(AJ1096/8, 1) +
  Merge1[[#This Row],[index_defensive_effort]],
  2
)</f>
        <v>0.75</v>
      </c>
    </row>
    <row r="1097" spans="1:37" x14ac:dyDescent="0.25">
      <c r="A1097" t="s">
        <v>412</v>
      </c>
      <c r="B1097" t="s">
        <v>413</v>
      </c>
      <c r="C1097">
        <v>26</v>
      </c>
      <c r="D1097" t="s">
        <v>56</v>
      </c>
      <c r="E1097">
        <v>72</v>
      </c>
      <c r="F1097">
        <v>200</v>
      </c>
      <c r="G1097" t="s">
        <v>286</v>
      </c>
      <c r="H1097">
        <v>2020</v>
      </c>
      <c r="I1097" t="s">
        <v>33</v>
      </c>
      <c r="J1097">
        <v>2</v>
      </c>
      <c r="K1097">
        <v>1</v>
      </c>
      <c r="L1097">
        <v>1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51</v>
      </c>
      <c r="T1097">
        <v>41</v>
      </c>
      <c r="U1097" s="5">
        <f>IF(Merge1[[#This Row],[team_defense_snaps]]=0, "", Merge1[[#This Row],[defense_snaps]] / Merge1[[#This Row],[team_defense_snaps]])</f>
        <v>0.53246753246753242</v>
      </c>
      <c r="V1097">
        <v>77</v>
      </c>
      <c r="W1097">
        <v>10</v>
      </c>
      <c r="X1097" s="5" t="s">
        <v>134</v>
      </c>
      <c r="Y1097">
        <v>3</v>
      </c>
      <c r="Z1097">
        <v>0</v>
      </c>
      <c r="AA1097" t="s">
        <v>25</v>
      </c>
      <c r="AB1097" t="s">
        <v>26</v>
      </c>
      <c r="AC1097" t="s">
        <v>27</v>
      </c>
      <c r="AD1097" t="s">
        <v>42</v>
      </c>
      <c r="AE1097" t="s">
        <v>25</v>
      </c>
      <c r="AF10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2.9411764705882353E-2</v>
      </c>
      <c r="AG1097" t="s">
        <v>941</v>
      </c>
      <c r="AH1097">
        <v>50</v>
      </c>
      <c r="AI1097" t="s">
        <v>939</v>
      </c>
      <c r="AJ1097">
        <v>1</v>
      </c>
      <c r="AK10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MIN(AJ1097/8, 1) +
  Merge1[[#This Row],[index_defensive_effort]],
  2
)</f>
        <v>0.75</v>
      </c>
    </row>
    <row r="1098" spans="1:37" x14ac:dyDescent="0.25">
      <c r="A1098" t="s">
        <v>412</v>
      </c>
      <c r="B1098" t="s">
        <v>413</v>
      </c>
      <c r="C1098">
        <v>26</v>
      </c>
      <c r="D1098" t="s">
        <v>56</v>
      </c>
      <c r="E1098">
        <v>72</v>
      </c>
      <c r="F1098">
        <v>200</v>
      </c>
      <c r="G1098" t="s">
        <v>286</v>
      </c>
      <c r="H1098">
        <v>2020</v>
      </c>
      <c r="I1098" t="s">
        <v>33</v>
      </c>
      <c r="J1098">
        <v>4</v>
      </c>
      <c r="K1098">
        <v>1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14</v>
      </c>
      <c r="T1098">
        <v>0</v>
      </c>
      <c r="U1098" s="5">
        <f>IF(Merge1[[#This Row],[team_defense_snaps]]=0, "", Merge1[[#This Row],[defense_snaps]] / Merge1[[#This Row],[team_defense_snaps]])</f>
        <v>0</v>
      </c>
      <c r="V1098">
        <v>57</v>
      </c>
      <c r="W1098">
        <v>14</v>
      </c>
      <c r="X1098" s="5" t="s">
        <v>52</v>
      </c>
      <c r="Y1098">
        <v>3</v>
      </c>
      <c r="Z1098">
        <v>0</v>
      </c>
      <c r="AA1098" t="s">
        <v>25</v>
      </c>
      <c r="AB1098" t="s">
        <v>26</v>
      </c>
      <c r="AC1098" t="s">
        <v>27</v>
      </c>
      <c r="AD1098" t="s">
        <v>28</v>
      </c>
      <c r="AE1098" t="s">
        <v>25</v>
      </c>
      <c r="AF10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1098" t="s">
        <v>941</v>
      </c>
      <c r="AH1098">
        <v>59</v>
      </c>
      <c r="AI1098" t="s">
        <v>939</v>
      </c>
      <c r="AJ1098">
        <v>1</v>
      </c>
      <c r="AK10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MIN(AJ1098/8, 1) +
  Merge1[[#This Row],[index_defensive_effort]],
  2
)</f>
        <v>0.8</v>
      </c>
    </row>
    <row r="1099" spans="1:37" x14ac:dyDescent="0.25">
      <c r="A1099" t="s">
        <v>412</v>
      </c>
      <c r="B1099" t="s">
        <v>413</v>
      </c>
      <c r="C1099">
        <v>26</v>
      </c>
      <c r="D1099" t="s">
        <v>56</v>
      </c>
      <c r="E1099">
        <v>72</v>
      </c>
      <c r="F1099">
        <v>200</v>
      </c>
      <c r="G1099" t="s">
        <v>286</v>
      </c>
      <c r="H1099">
        <v>2020</v>
      </c>
      <c r="I1099" t="s">
        <v>33</v>
      </c>
      <c r="J1099">
        <v>4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14</v>
      </c>
      <c r="T1099">
        <v>0</v>
      </c>
      <c r="U1099" s="5">
        <f>IF(Merge1[[#This Row],[team_defense_snaps]]=0, "", Merge1[[#This Row],[defense_snaps]] / Merge1[[#This Row],[team_defense_snaps]])</f>
        <v>0</v>
      </c>
      <c r="V1099">
        <v>57</v>
      </c>
      <c r="W1099">
        <v>14</v>
      </c>
      <c r="X1099" s="5" t="s">
        <v>52</v>
      </c>
      <c r="Y1099">
        <v>3</v>
      </c>
      <c r="Z1099">
        <v>0</v>
      </c>
      <c r="AA1099" t="s">
        <v>25</v>
      </c>
      <c r="AB1099" t="s">
        <v>26</v>
      </c>
      <c r="AC1099" t="s">
        <v>27</v>
      </c>
      <c r="AD1099" t="s">
        <v>28</v>
      </c>
      <c r="AE1099" t="s">
        <v>25</v>
      </c>
      <c r="AF10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1099" t="s">
        <v>941</v>
      </c>
      <c r="AH1099">
        <v>69.5</v>
      </c>
      <c r="AI1099" t="s">
        <v>939</v>
      </c>
      <c r="AJ1099">
        <v>1</v>
      </c>
      <c r="AK10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MIN(AJ1099/8, 1) +
  Merge1[[#This Row],[index_defensive_effort]],
  2
)</f>
        <v>0.8</v>
      </c>
    </row>
    <row r="1100" spans="1:37" x14ac:dyDescent="0.25">
      <c r="A1100" t="s">
        <v>412</v>
      </c>
      <c r="B1100" t="s">
        <v>413</v>
      </c>
      <c r="C1100">
        <v>26</v>
      </c>
      <c r="D1100" t="s">
        <v>56</v>
      </c>
      <c r="E1100">
        <v>72</v>
      </c>
      <c r="F1100">
        <v>200</v>
      </c>
      <c r="G1100" t="s">
        <v>286</v>
      </c>
      <c r="H1100">
        <v>2020</v>
      </c>
      <c r="I1100" t="s">
        <v>33</v>
      </c>
      <c r="J1100">
        <v>11</v>
      </c>
      <c r="K1100">
        <v>4</v>
      </c>
      <c r="L1100">
        <v>0</v>
      </c>
      <c r="M1100">
        <v>0</v>
      </c>
      <c r="N1100">
        <v>0</v>
      </c>
      <c r="O1100">
        <v>0</v>
      </c>
      <c r="P1100">
        <v>2</v>
      </c>
      <c r="Q1100">
        <v>2</v>
      </c>
      <c r="R1100">
        <v>0</v>
      </c>
      <c r="S1100">
        <v>20</v>
      </c>
      <c r="T1100">
        <v>11</v>
      </c>
      <c r="U1100" s="5">
        <f>IF(Merge1[[#This Row],[team_defense_snaps]]=0, "", Merge1[[#This Row],[defense_snaps]] / Merge1[[#This Row],[team_defense_snaps]])</f>
        <v>0.15942028985507245</v>
      </c>
      <c r="V1100">
        <v>69</v>
      </c>
      <c r="W1100">
        <v>9</v>
      </c>
      <c r="X1100" s="5" t="s">
        <v>123</v>
      </c>
      <c r="Y1100">
        <v>3</v>
      </c>
      <c r="Z1100">
        <v>0</v>
      </c>
      <c r="AA1100" t="s">
        <v>25</v>
      </c>
      <c r="AB1100" t="s">
        <v>26</v>
      </c>
      <c r="AC1100" t="s">
        <v>27</v>
      </c>
      <c r="AD1100" t="s">
        <v>28</v>
      </c>
      <c r="AE1100" t="s">
        <v>25</v>
      </c>
      <c r="AF11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0.8</v>
      </c>
      <c r="AG1100" t="s">
        <v>941</v>
      </c>
      <c r="AH1100">
        <v>72.5</v>
      </c>
      <c r="AI1100" t="s">
        <v>939</v>
      </c>
      <c r="AJ1100">
        <v>1</v>
      </c>
      <c r="AK11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MIN(AJ1100/8, 1) +
  Merge1[[#This Row],[index_defensive_effort]],
  2
)</f>
        <v>1.53</v>
      </c>
    </row>
    <row r="1101" spans="1:37" x14ac:dyDescent="0.25">
      <c r="A1101" t="s">
        <v>412</v>
      </c>
      <c r="B1101" t="s">
        <v>413</v>
      </c>
      <c r="C1101">
        <v>26</v>
      </c>
      <c r="D1101" t="s">
        <v>56</v>
      </c>
      <c r="E1101">
        <v>72</v>
      </c>
      <c r="F1101">
        <v>200</v>
      </c>
      <c r="G1101" t="s">
        <v>286</v>
      </c>
      <c r="H1101">
        <v>2020</v>
      </c>
      <c r="I1101" t="s">
        <v>33</v>
      </c>
      <c r="J1101">
        <v>11</v>
      </c>
      <c r="K1101">
        <v>4</v>
      </c>
      <c r="L1101">
        <v>0</v>
      </c>
      <c r="M1101">
        <v>0</v>
      </c>
      <c r="N1101">
        <v>0</v>
      </c>
      <c r="O1101">
        <v>0</v>
      </c>
      <c r="P1101">
        <v>2</v>
      </c>
      <c r="Q1101">
        <v>2</v>
      </c>
      <c r="R1101">
        <v>0</v>
      </c>
      <c r="S1101">
        <v>20</v>
      </c>
      <c r="T1101">
        <v>11</v>
      </c>
      <c r="U1101" s="5">
        <f>IF(Merge1[[#This Row],[team_defense_snaps]]=0, "", Merge1[[#This Row],[defense_snaps]] / Merge1[[#This Row],[team_defense_snaps]])</f>
        <v>0.15942028985507245</v>
      </c>
      <c r="V1101">
        <v>69</v>
      </c>
      <c r="W1101">
        <v>9</v>
      </c>
      <c r="X1101" s="5" t="s">
        <v>123</v>
      </c>
      <c r="Y1101">
        <v>3</v>
      </c>
      <c r="Z1101">
        <v>0</v>
      </c>
      <c r="AA1101" t="s">
        <v>25</v>
      </c>
      <c r="AB1101" t="s">
        <v>26</v>
      </c>
      <c r="AC1101" t="s">
        <v>27</v>
      </c>
      <c r="AD1101" t="s">
        <v>28</v>
      </c>
      <c r="AE1101" t="s">
        <v>25</v>
      </c>
      <c r="AF11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0.8</v>
      </c>
      <c r="AG1101" t="s">
        <v>941</v>
      </c>
      <c r="AH1101">
        <v>74</v>
      </c>
      <c r="AI1101" t="s">
        <v>939</v>
      </c>
      <c r="AJ1101">
        <v>1</v>
      </c>
      <c r="AK11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MIN(AJ1101/8, 1) +
  Merge1[[#This Row],[index_defensive_effort]],
  2
)</f>
        <v>1.53</v>
      </c>
    </row>
    <row r="1102" spans="1:37" x14ac:dyDescent="0.25">
      <c r="A1102" t="s">
        <v>412</v>
      </c>
      <c r="B1102" t="s">
        <v>413</v>
      </c>
      <c r="C1102">
        <v>26</v>
      </c>
      <c r="D1102" t="s">
        <v>56</v>
      </c>
      <c r="E1102">
        <v>72</v>
      </c>
      <c r="F1102">
        <v>200</v>
      </c>
      <c r="G1102" t="s">
        <v>286</v>
      </c>
      <c r="H1102">
        <v>2020</v>
      </c>
      <c r="I1102" t="s">
        <v>33</v>
      </c>
      <c r="J1102">
        <v>17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50</v>
      </c>
      <c r="T1102">
        <v>35</v>
      </c>
      <c r="U1102" s="5">
        <f>IF(Merge1[[#This Row],[team_defense_snaps]]=0, "", Merge1[[#This Row],[defense_snaps]] / Merge1[[#This Row],[team_defense_snaps]])</f>
        <v>0.50724637681159424</v>
      </c>
      <c r="V1102">
        <v>69</v>
      </c>
      <c r="W1102">
        <v>15</v>
      </c>
      <c r="X1102" s="5" t="s">
        <v>276</v>
      </c>
      <c r="Y1102">
        <v>3</v>
      </c>
      <c r="Z1102">
        <v>0</v>
      </c>
      <c r="AA1102" t="s">
        <v>25</v>
      </c>
      <c r="AB1102" t="s">
        <v>26</v>
      </c>
      <c r="AC1102" t="s">
        <v>27</v>
      </c>
      <c r="AD1102" t="s">
        <v>28</v>
      </c>
      <c r="AE1102" t="s">
        <v>25</v>
      </c>
      <c r="AF11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0.02</v>
      </c>
      <c r="AG1102" t="s">
        <v>941</v>
      </c>
      <c r="AH1102">
        <v>59</v>
      </c>
      <c r="AI1102" t="s">
        <v>939</v>
      </c>
      <c r="AJ1102">
        <v>1</v>
      </c>
      <c r="AK11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MIN(AJ1102/8, 1) +
  Merge1[[#This Row],[index_defensive_effort]],
  2
)</f>
        <v>0.75</v>
      </c>
    </row>
    <row r="1103" spans="1:37" x14ac:dyDescent="0.25">
      <c r="A1103" t="s">
        <v>412</v>
      </c>
      <c r="B1103" t="s">
        <v>413</v>
      </c>
      <c r="C1103">
        <v>26</v>
      </c>
      <c r="D1103" t="s">
        <v>56</v>
      </c>
      <c r="E1103">
        <v>72</v>
      </c>
      <c r="F1103">
        <v>200</v>
      </c>
      <c r="G1103" t="s">
        <v>286</v>
      </c>
      <c r="H1103">
        <v>2020</v>
      </c>
      <c r="I1103" t="s">
        <v>33</v>
      </c>
      <c r="J1103">
        <v>17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50</v>
      </c>
      <c r="T1103">
        <v>35</v>
      </c>
      <c r="U1103" s="5">
        <f>IF(Merge1[[#This Row],[team_defense_snaps]]=0, "", Merge1[[#This Row],[defense_snaps]] / Merge1[[#This Row],[team_defense_snaps]])</f>
        <v>0.50724637681159424</v>
      </c>
      <c r="V1103">
        <v>69</v>
      </c>
      <c r="W1103">
        <v>15</v>
      </c>
      <c r="X1103" s="5" t="s">
        <v>276</v>
      </c>
      <c r="Y1103">
        <v>3</v>
      </c>
      <c r="Z1103">
        <v>0</v>
      </c>
      <c r="AA1103" t="s">
        <v>25</v>
      </c>
      <c r="AB1103" t="s">
        <v>26</v>
      </c>
      <c r="AC1103" t="s">
        <v>27</v>
      </c>
      <c r="AD1103" t="s">
        <v>28</v>
      </c>
      <c r="AE1103" t="s">
        <v>25</v>
      </c>
      <c r="AF11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0.02</v>
      </c>
      <c r="AG1103" t="s">
        <v>941</v>
      </c>
      <c r="AH1103">
        <v>50</v>
      </c>
      <c r="AI1103" t="s">
        <v>939</v>
      </c>
      <c r="AJ1103">
        <v>1</v>
      </c>
      <c r="AK11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MIN(AJ1103/8, 1) +
  Merge1[[#This Row],[index_defensive_effort]],
  2
)</f>
        <v>0.75</v>
      </c>
    </row>
    <row r="1104" spans="1:37" x14ac:dyDescent="0.25">
      <c r="A1104" t="s">
        <v>418</v>
      </c>
      <c r="B1104" t="s">
        <v>419</v>
      </c>
      <c r="C1104">
        <v>30</v>
      </c>
      <c r="D1104" t="s">
        <v>22</v>
      </c>
      <c r="E1104">
        <v>76</v>
      </c>
      <c r="F1104">
        <v>227</v>
      </c>
      <c r="G1104" t="s">
        <v>117</v>
      </c>
      <c r="H1104">
        <v>2020</v>
      </c>
      <c r="I1104" t="s">
        <v>33</v>
      </c>
      <c r="J1104">
        <v>4</v>
      </c>
      <c r="K1104">
        <v>5</v>
      </c>
      <c r="L1104">
        <v>1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43</v>
      </c>
      <c r="T1104">
        <v>43</v>
      </c>
      <c r="U1104" s="5">
        <f>IF(Merge1[[#This Row],[team_defense_snaps]]=0, "", Merge1[[#This Row],[defense_snaps]] / Merge1[[#This Row],[team_defense_snaps]])</f>
        <v>0.66153846153846152</v>
      </c>
      <c r="V1104">
        <v>65</v>
      </c>
      <c r="W1104">
        <v>0</v>
      </c>
      <c r="X1104" s="5" t="s">
        <v>29</v>
      </c>
      <c r="Y1104">
        <v>8</v>
      </c>
      <c r="Z1104">
        <v>0</v>
      </c>
      <c r="AA1104" t="s">
        <v>25</v>
      </c>
      <c r="AB1104" t="s">
        <v>26</v>
      </c>
      <c r="AC1104" t="s">
        <v>27</v>
      </c>
      <c r="AD1104" t="s">
        <v>28</v>
      </c>
      <c r="AE1104" t="s">
        <v>25</v>
      </c>
      <c r="AF11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0.12790697674418605</v>
      </c>
      <c r="AG1104" t="s">
        <v>942</v>
      </c>
      <c r="AH1104">
        <v>65.5</v>
      </c>
      <c r="AI1104" t="s">
        <v>939</v>
      </c>
      <c r="AJ1104">
        <v>1</v>
      </c>
      <c r="AK11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MIN(AJ1104/8, 1) +
  Merge1[[#This Row],[index_defensive_effort]],
  2
)</f>
        <v>0.85</v>
      </c>
    </row>
    <row r="1105" spans="1:37" x14ac:dyDescent="0.25">
      <c r="A1105" t="s">
        <v>422</v>
      </c>
      <c r="B1105" t="s">
        <v>423</v>
      </c>
      <c r="C1105">
        <v>27</v>
      </c>
      <c r="D1105" t="s">
        <v>22</v>
      </c>
      <c r="E1105">
        <v>73</v>
      </c>
      <c r="F1105">
        <v>202</v>
      </c>
      <c r="G1105" t="s">
        <v>424</v>
      </c>
      <c r="H1105">
        <v>2020</v>
      </c>
      <c r="I1105" t="s">
        <v>33</v>
      </c>
      <c r="J1105">
        <v>9</v>
      </c>
      <c r="K1105">
        <v>0</v>
      </c>
      <c r="L1105">
        <v>1</v>
      </c>
      <c r="M1105">
        <v>1</v>
      </c>
      <c r="N1105">
        <v>2</v>
      </c>
      <c r="O1105">
        <v>0</v>
      </c>
      <c r="P1105">
        <v>0</v>
      </c>
      <c r="Q1105">
        <v>0</v>
      </c>
      <c r="R1105">
        <v>0</v>
      </c>
      <c r="S1105">
        <v>26</v>
      </c>
      <c r="T1105">
        <v>4</v>
      </c>
      <c r="U1105" s="5">
        <f>IF(Merge1[[#This Row],[team_defense_snaps]]=0, "", Merge1[[#This Row],[defense_snaps]] / Merge1[[#This Row],[team_defense_snaps]])</f>
        <v>5.9701492537313432E-2</v>
      </c>
      <c r="V1105">
        <v>67</v>
      </c>
      <c r="W1105">
        <v>22</v>
      </c>
      <c r="X1105" s="5" t="s">
        <v>44</v>
      </c>
      <c r="Y1105">
        <v>2</v>
      </c>
      <c r="Z1105">
        <v>0</v>
      </c>
      <c r="AA1105" t="s">
        <v>25</v>
      </c>
      <c r="AB1105" t="s">
        <v>26</v>
      </c>
      <c r="AC1105" t="s">
        <v>27</v>
      </c>
      <c r="AD1105" t="s">
        <v>28</v>
      </c>
      <c r="AE1105" t="s">
        <v>25</v>
      </c>
      <c r="AF11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3.8461538461538464E-2</v>
      </c>
      <c r="AG1105" t="s">
        <v>942</v>
      </c>
      <c r="AH1105">
        <v>60</v>
      </c>
      <c r="AI1105" t="s">
        <v>939</v>
      </c>
      <c r="AJ1105">
        <v>1</v>
      </c>
      <c r="AK11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MIN(AJ1105/8, 1) +
  Merge1[[#This Row],[index_defensive_effort]],
  2
)</f>
        <v>0.66</v>
      </c>
    </row>
    <row r="1106" spans="1:37" x14ac:dyDescent="0.25">
      <c r="A1106" t="s">
        <v>416</v>
      </c>
      <c r="B1106" t="s">
        <v>417</v>
      </c>
      <c r="C1106">
        <v>24</v>
      </c>
      <c r="D1106" t="s">
        <v>56</v>
      </c>
      <c r="E1106">
        <v>69</v>
      </c>
      <c r="F1106">
        <v>191</v>
      </c>
      <c r="G1106" t="s">
        <v>28</v>
      </c>
      <c r="H1106">
        <v>2020</v>
      </c>
      <c r="I1106" t="s">
        <v>33</v>
      </c>
      <c r="J1106">
        <v>17</v>
      </c>
      <c r="K1106">
        <v>6</v>
      </c>
      <c r="L1106">
        <v>1</v>
      </c>
      <c r="M1106">
        <v>0</v>
      </c>
      <c r="N1106">
        <v>1</v>
      </c>
      <c r="O1106">
        <v>0</v>
      </c>
      <c r="P1106">
        <v>1</v>
      </c>
      <c r="Q1106">
        <v>2</v>
      </c>
      <c r="R1106">
        <v>0</v>
      </c>
      <c r="S1106">
        <v>48</v>
      </c>
      <c r="T1106">
        <v>39</v>
      </c>
      <c r="U1106" s="5">
        <f>IF(Merge1[[#This Row],[team_defense_snaps]]=0, "", Merge1[[#This Row],[defense_snaps]] / Merge1[[#This Row],[team_defense_snaps]])</f>
        <v>0.62903225806451613</v>
      </c>
      <c r="V1106">
        <v>62</v>
      </c>
      <c r="W1106">
        <v>9</v>
      </c>
      <c r="X1106" s="5" t="s">
        <v>57</v>
      </c>
      <c r="Y1106">
        <v>2</v>
      </c>
      <c r="Z1106">
        <v>0</v>
      </c>
      <c r="AA1106" t="s">
        <v>25</v>
      </c>
      <c r="AB1106" t="s">
        <v>26</v>
      </c>
      <c r="AC1106" t="s">
        <v>27</v>
      </c>
      <c r="AD1106" t="s">
        <v>28</v>
      </c>
      <c r="AE1106" t="s">
        <v>25</v>
      </c>
      <c r="AF11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0.34375</v>
      </c>
      <c r="AG1106" t="s">
        <v>942</v>
      </c>
      <c r="AH1106">
        <v>61</v>
      </c>
      <c r="AI1106" t="s">
        <v>939</v>
      </c>
      <c r="AJ1106">
        <v>1</v>
      </c>
      <c r="AK11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MIN(AJ1106/8, 1) +
  Merge1[[#This Row],[index_defensive_effort]],
  2
)</f>
        <v>0.97</v>
      </c>
    </row>
    <row r="1107" spans="1:37" x14ac:dyDescent="0.25">
      <c r="A1107" t="s">
        <v>414</v>
      </c>
      <c r="B1107" t="s">
        <v>415</v>
      </c>
      <c r="C1107">
        <v>23</v>
      </c>
      <c r="D1107" t="s">
        <v>22</v>
      </c>
      <c r="E1107">
        <v>70</v>
      </c>
      <c r="F1107">
        <v>190</v>
      </c>
      <c r="G1107" t="s">
        <v>150</v>
      </c>
      <c r="H1107">
        <v>2020</v>
      </c>
      <c r="I1107" t="s">
        <v>33</v>
      </c>
      <c r="J1107">
        <v>16</v>
      </c>
      <c r="K1107">
        <v>2</v>
      </c>
      <c r="L1107">
        <v>2</v>
      </c>
      <c r="M1107">
        <v>0</v>
      </c>
      <c r="N1107">
        <v>2</v>
      </c>
      <c r="O1107">
        <v>0</v>
      </c>
      <c r="P1107">
        <v>0</v>
      </c>
      <c r="Q1107">
        <v>0</v>
      </c>
      <c r="R1107">
        <v>0</v>
      </c>
      <c r="S1107">
        <v>49</v>
      </c>
      <c r="T1107">
        <v>42</v>
      </c>
      <c r="U1107" s="5">
        <f>IF(Merge1[[#This Row],[team_defense_snaps]]=0, "", Merge1[[#This Row],[defense_snaps]] / Merge1[[#This Row],[team_defense_snaps]])</f>
        <v>0.59154929577464788</v>
      </c>
      <c r="V1107">
        <v>71</v>
      </c>
      <c r="W1107">
        <v>7</v>
      </c>
      <c r="X1107" s="5" t="s">
        <v>132</v>
      </c>
      <c r="Y1107">
        <v>0</v>
      </c>
      <c r="Z1107">
        <v>0</v>
      </c>
      <c r="AA1107" t="s">
        <v>25</v>
      </c>
      <c r="AB1107" t="s">
        <v>26</v>
      </c>
      <c r="AC1107" t="s">
        <v>27</v>
      </c>
      <c r="AD1107" t="s">
        <v>28</v>
      </c>
      <c r="AE1107" t="s">
        <v>25</v>
      </c>
      <c r="AF11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6.1224489795918366E-2</v>
      </c>
      <c r="AG1107" t="s">
        <v>943</v>
      </c>
      <c r="AH1107">
        <v>49</v>
      </c>
      <c r="AI1107" t="s">
        <v>939</v>
      </c>
      <c r="AJ1107">
        <v>2</v>
      </c>
      <c r="AK11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MIN(AJ1107/8, 1) +
  Merge1[[#This Row],[index_defensive_effort]],
  2
)</f>
        <v>0.81</v>
      </c>
    </row>
    <row r="1108" spans="1:37" x14ac:dyDescent="0.25">
      <c r="A1108" t="s">
        <v>414</v>
      </c>
      <c r="B1108" t="s">
        <v>415</v>
      </c>
      <c r="C1108">
        <v>23</v>
      </c>
      <c r="D1108" t="s">
        <v>22</v>
      </c>
      <c r="E1108">
        <v>70</v>
      </c>
      <c r="F1108">
        <v>190</v>
      </c>
      <c r="G1108" t="s">
        <v>150</v>
      </c>
      <c r="H1108">
        <v>2020</v>
      </c>
      <c r="I1108" t="s">
        <v>33</v>
      </c>
      <c r="J1108">
        <v>17</v>
      </c>
      <c r="K1108">
        <v>4</v>
      </c>
      <c r="L1108">
        <v>2</v>
      </c>
      <c r="M1108">
        <v>0</v>
      </c>
      <c r="N1108">
        <v>2</v>
      </c>
      <c r="O1108">
        <v>0</v>
      </c>
      <c r="P1108">
        <v>0</v>
      </c>
      <c r="Q1108">
        <v>0</v>
      </c>
      <c r="R1108">
        <v>0</v>
      </c>
      <c r="S1108">
        <v>48</v>
      </c>
      <c r="T1108">
        <v>40</v>
      </c>
      <c r="U1108" s="5">
        <f>IF(Merge1[[#This Row],[team_defense_snaps]]=0, "", Merge1[[#This Row],[defense_snaps]] / Merge1[[#This Row],[team_defense_snaps]])</f>
        <v>0.63492063492063489</v>
      </c>
      <c r="V1108">
        <v>63</v>
      </c>
      <c r="W1108">
        <v>8</v>
      </c>
      <c r="X1108" s="5" t="s">
        <v>108</v>
      </c>
      <c r="Y1108">
        <v>0</v>
      </c>
      <c r="Z1108">
        <v>0</v>
      </c>
      <c r="AA1108" t="s">
        <v>25</v>
      </c>
      <c r="AB1108" t="s">
        <v>26</v>
      </c>
      <c r="AC1108" t="s">
        <v>27</v>
      </c>
      <c r="AD1108" t="s">
        <v>42</v>
      </c>
      <c r="AE1108" t="s">
        <v>25</v>
      </c>
      <c r="AF11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0.10416666666666667</v>
      </c>
      <c r="AG1108" t="s">
        <v>943</v>
      </c>
      <c r="AH1108">
        <v>50.5</v>
      </c>
      <c r="AI1108" t="s">
        <v>939</v>
      </c>
      <c r="AJ1108">
        <v>1</v>
      </c>
      <c r="AK11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MIN(AJ1108/8, 1) +
  Merge1[[#This Row],[index_defensive_effort]],
  2
)</f>
        <v>0.73</v>
      </c>
    </row>
    <row r="1109" spans="1:37" x14ac:dyDescent="0.25">
      <c r="A1109" t="s">
        <v>420</v>
      </c>
      <c r="B1109" t="s">
        <v>421</v>
      </c>
      <c r="C1109">
        <v>26</v>
      </c>
      <c r="D1109" t="s">
        <v>56</v>
      </c>
      <c r="E1109">
        <v>74</v>
      </c>
      <c r="F1109">
        <v>195</v>
      </c>
      <c r="G1109" t="s">
        <v>180</v>
      </c>
      <c r="H1109">
        <v>2020</v>
      </c>
      <c r="I1109" t="s">
        <v>33</v>
      </c>
      <c r="J1109">
        <v>13</v>
      </c>
      <c r="K1109">
        <v>3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22</v>
      </c>
      <c r="T1109">
        <v>22</v>
      </c>
      <c r="U1109" s="5">
        <f>IF(Merge1[[#This Row],[team_defense_snaps]]=0, "", Merge1[[#This Row],[defense_snaps]] / Merge1[[#This Row],[team_defense_snaps]])</f>
        <v>0.2391304347826087</v>
      </c>
      <c r="V1109">
        <v>92</v>
      </c>
      <c r="W1109">
        <v>0</v>
      </c>
      <c r="X1109" s="5" t="s">
        <v>29</v>
      </c>
      <c r="Y1109">
        <v>3</v>
      </c>
      <c r="Z1109">
        <v>0</v>
      </c>
      <c r="AA1109" t="s">
        <v>25</v>
      </c>
      <c r="AB1109" t="s">
        <v>26</v>
      </c>
      <c r="AC1109" t="s">
        <v>27</v>
      </c>
      <c r="AD1109" t="s">
        <v>42</v>
      </c>
      <c r="AE1109" t="s">
        <v>25</v>
      </c>
      <c r="AF11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0.13636363636363635</v>
      </c>
      <c r="AG1109" t="s">
        <v>941</v>
      </c>
      <c r="AH1109">
        <v>66.5</v>
      </c>
      <c r="AI1109" t="s">
        <v>938</v>
      </c>
      <c r="AJ1109">
        <v>2</v>
      </c>
      <c r="AK11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MIN(AJ1109/8, 1) +
  Merge1[[#This Row],[index_defensive_effort]],
  2
)</f>
        <v>0.89</v>
      </c>
    </row>
    <row r="1110" spans="1:37" x14ac:dyDescent="0.25">
      <c r="A1110" t="s">
        <v>420</v>
      </c>
      <c r="B1110" t="s">
        <v>421</v>
      </c>
      <c r="C1110">
        <v>26</v>
      </c>
      <c r="D1110" t="s">
        <v>56</v>
      </c>
      <c r="E1110">
        <v>74</v>
      </c>
      <c r="F1110">
        <v>195</v>
      </c>
      <c r="G1110" t="s">
        <v>180</v>
      </c>
      <c r="H1110">
        <v>2020</v>
      </c>
      <c r="I1110" t="s">
        <v>33</v>
      </c>
      <c r="J1110">
        <v>14</v>
      </c>
      <c r="K1110">
        <v>2</v>
      </c>
      <c r="L1110">
        <v>1</v>
      </c>
      <c r="M1110">
        <v>0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46</v>
      </c>
      <c r="T1110">
        <v>46</v>
      </c>
      <c r="U1110" s="5">
        <f>IF(Merge1[[#This Row],[team_defense_snaps]]=0, "", Merge1[[#This Row],[defense_snaps]] / Merge1[[#This Row],[team_defense_snaps]])</f>
        <v>0.68656716417910446</v>
      </c>
      <c r="V1110">
        <v>67</v>
      </c>
      <c r="W1110">
        <v>0</v>
      </c>
      <c r="X1110" s="5" t="s">
        <v>29</v>
      </c>
      <c r="Y1110">
        <v>3</v>
      </c>
      <c r="Z1110">
        <v>0</v>
      </c>
      <c r="AA1110" t="s">
        <v>25</v>
      </c>
      <c r="AB1110" t="s">
        <v>36</v>
      </c>
      <c r="AC1110" t="s">
        <v>147</v>
      </c>
      <c r="AD1110" t="s">
        <v>28</v>
      </c>
      <c r="AE1110" t="s">
        <v>25</v>
      </c>
      <c r="AF11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5.434782608695652E-2</v>
      </c>
      <c r="AG1110" t="s">
        <v>941</v>
      </c>
      <c r="AH1110">
        <v>62</v>
      </c>
      <c r="AI1110" t="s">
        <v>939</v>
      </c>
      <c r="AJ1110">
        <v>3</v>
      </c>
      <c r="AK11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MIN(AJ1110/8, 1) +
  Merge1[[#This Row],[index_defensive_effort]],
  2
)</f>
        <v>0.93</v>
      </c>
    </row>
    <row r="1111" spans="1:37" x14ac:dyDescent="0.25">
      <c r="A1111" t="s">
        <v>420</v>
      </c>
      <c r="B1111" t="s">
        <v>421</v>
      </c>
      <c r="C1111">
        <v>26</v>
      </c>
      <c r="D1111" t="s">
        <v>56</v>
      </c>
      <c r="E1111">
        <v>74</v>
      </c>
      <c r="F1111">
        <v>195</v>
      </c>
      <c r="G1111" t="s">
        <v>180</v>
      </c>
      <c r="H1111">
        <v>2020</v>
      </c>
      <c r="I1111" t="s">
        <v>33</v>
      </c>
      <c r="J1111">
        <v>15</v>
      </c>
      <c r="K1111">
        <v>2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66</v>
      </c>
      <c r="T1111">
        <v>66</v>
      </c>
      <c r="U1111" s="5">
        <f>IF(Merge1[[#This Row],[team_defense_snaps]]=0, "", Merge1[[#This Row],[defense_snaps]] / Merge1[[#This Row],[team_defense_snaps]])</f>
        <v>0.9850746268656716</v>
      </c>
      <c r="V1111">
        <v>67</v>
      </c>
      <c r="W1111">
        <v>0</v>
      </c>
      <c r="X1111" s="5" t="s">
        <v>29</v>
      </c>
      <c r="Y1111">
        <v>3</v>
      </c>
      <c r="Z1111">
        <v>0</v>
      </c>
      <c r="AA1111" t="s">
        <v>25</v>
      </c>
      <c r="AB1111" t="s">
        <v>26</v>
      </c>
      <c r="AC1111" t="s">
        <v>27</v>
      </c>
      <c r="AD1111" t="s">
        <v>42</v>
      </c>
      <c r="AE1111" t="s">
        <v>25</v>
      </c>
      <c r="AF11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3.0303030303030304E-2</v>
      </c>
      <c r="AG1111" t="s">
        <v>941</v>
      </c>
      <c r="AH1111">
        <v>68</v>
      </c>
      <c r="AI1111" t="s">
        <v>939</v>
      </c>
      <c r="AJ1111">
        <v>4</v>
      </c>
      <c r="AK11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MIN(AJ1111/8, 1) +
  Merge1[[#This Row],[index_defensive_effort]],
  2
)</f>
        <v>1.03</v>
      </c>
    </row>
    <row r="1112" spans="1:37" x14ac:dyDescent="0.25">
      <c r="A1112" t="s">
        <v>420</v>
      </c>
      <c r="B1112" t="s">
        <v>421</v>
      </c>
      <c r="C1112">
        <v>26</v>
      </c>
      <c r="D1112" t="s">
        <v>56</v>
      </c>
      <c r="E1112">
        <v>74</v>
      </c>
      <c r="F1112">
        <v>195</v>
      </c>
      <c r="G1112" t="s">
        <v>180</v>
      </c>
      <c r="H1112">
        <v>2020</v>
      </c>
      <c r="I1112" t="s">
        <v>33</v>
      </c>
      <c r="J1112">
        <v>16</v>
      </c>
      <c r="K1112">
        <v>10</v>
      </c>
      <c r="L1112">
        <v>0</v>
      </c>
      <c r="M1112">
        <v>0</v>
      </c>
      <c r="N1112">
        <v>0</v>
      </c>
      <c r="O1112">
        <v>0</v>
      </c>
      <c r="P1112">
        <v>2</v>
      </c>
      <c r="Q1112">
        <v>0</v>
      </c>
      <c r="R1112">
        <v>0</v>
      </c>
      <c r="S1112">
        <v>71</v>
      </c>
      <c r="T1112">
        <v>71</v>
      </c>
      <c r="U1112" s="5">
        <f>IF(Merge1[[#This Row],[team_defense_snaps]]=0, "", Merge1[[#This Row],[defense_snaps]] / Merge1[[#This Row],[team_defense_snaps]])</f>
        <v>0.98611111111111116</v>
      </c>
      <c r="V1112">
        <v>72</v>
      </c>
      <c r="W1112">
        <v>0</v>
      </c>
      <c r="X1112" s="5" t="s">
        <v>29</v>
      </c>
      <c r="Y1112">
        <v>3</v>
      </c>
      <c r="Z1112">
        <v>0</v>
      </c>
      <c r="AA1112" t="s">
        <v>25</v>
      </c>
      <c r="AB1112" t="s">
        <v>26</v>
      </c>
      <c r="AC1112" t="s">
        <v>27</v>
      </c>
      <c r="AD1112" t="s">
        <v>42</v>
      </c>
      <c r="AE1112" t="s">
        <v>25</v>
      </c>
      <c r="AF11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0.19718309859154928</v>
      </c>
      <c r="AG1112" t="s">
        <v>941</v>
      </c>
      <c r="AH1112">
        <v>65</v>
      </c>
      <c r="AI1112" t="s">
        <v>939</v>
      </c>
      <c r="AJ1112">
        <v>5</v>
      </c>
      <c r="AK11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MIN(AJ1112/8, 1) +
  Merge1[[#This Row],[index_defensive_effort]],
  2
)</f>
        <v>1.32</v>
      </c>
    </row>
    <row r="1113" spans="1:37" x14ac:dyDescent="0.25">
      <c r="A1113" t="s">
        <v>420</v>
      </c>
      <c r="B1113" t="s">
        <v>421</v>
      </c>
      <c r="C1113">
        <v>26</v>
      </c>
      <c r="D1113" t="s">
        <v>56</v>
      </c>
      <c r="E1113">
        <v>74</v>
      </c>
      <c r="F1113">
        <v>195</v>
      </c>
      <c r="G1113" t="s">
        <v>180</v>
      </c>
      <c r="H1113">
        <v>2020</v>
      </c>
      <c r="I1113" t="s">
        <v>33</v>
      </c>
      <c r="J1113">
        <v>17</v>
      </c>
      <c r="K1113">
        <v>3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43</v>
      </c>
      <c r="T1113">
        <v>43</v>
      </c>
      <c r="U1113" s="5">
        <f>IF(Merge1[[#This Row],[team_defense_snaps]]=0, "", Merge1[[#This Row],[defense_snaps]] / Merge1[[#This Row],[team_defense_snaps]])</f>
        <v>0.63235294117647056</v>
      </c>
      <c r="V1113">
        <v>68</v>
      </c>
      <c r="W1113">
        <v>0</v>
      </c>
      <c r="X1113" s="5" t="s">
        <v>29</v>
      </c>
      <c r="Y1113">
        <v>3</v>
      </c>
      <c r="Z1113">
        <v>0</v>
      </c>
      <c r="AA1113" t="s">
        <v>25</v>
      </c>
      <c r="AB1113" t="s">
        <v>26</v>
      </c>
      <c r="AC1113" t="s">
        <v>27</v>
      </c>
      <c r="AD1113" t="s">
        <v>42</v>
      </c>
      <c r="AE1113" t="s">
        <v>25</v>
      </c>
      <c r="AF11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6.9767441860465115E-2</v>
      </c>
      <c r="AG1113" t="s">
        <v>941</v>
      </c>
      <c r="AH1113">
        <v>63.5</v>
      </c>
      <c r="AI1113" t="s">
        <v>939</v>
      </c>
      <c r="AJ1113">
        <v>1</v>
      </c>
      <c r="AK11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MIN(AJ1113/8, 1) +
  Merge1[[#This Row],[index_defensive_effort]],
  2
)</f>
        <v>0.69</v>
      </c>
    </row>
    <row r="1114" spans="1:37" x14ac:dyDescent="0.25">
      <c r="A1114" t="s">
        <v>427</v>
      </c>
      <c r="B1114" t="s">
        <v>428</v>
      </c>
      <c r="C1114">
        <v>22</v>
      </c>
      <c r="D1114" t="s">
        <v>56</v>
      </c>
      <c r="E1114">
        <v>72</v>
      </c>
      <c r="F1114">
        <v>192</v>
      </c>
      <c r="G1114" t="s">
        <v>117</v>
      </c>
      <c r="H1114">
        <v>2020</v>
      </c>
      <c r="I1114" t="s">
        <v>33</v>
      </c>
      <c r="J1114">
        <v>6</v>
      </c>
      <c r="K1114">
        <v>4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52</v>
      </c>
      <c r="T1114">
        <v>37</v>
      </c>
      <c r="U1114" s="5">
        <f>IF(Merge1[[#This Row],[team_defense_snaps]]=0, "", Merge1[[#This Row],[defense_snaps]] / Merge1[[#This Row],[team_defense_snaps]])</f>
        <v>0.4567901234567901</v>
      </c>
      <c r="V1114">
        <v>81</v>
      </c>
      <c r="W1114">
        <v>15</v>
      </c>
      <c r="X1114" s="5" t="s">
        <v>112</v>
      </c>
      <c r="Y1114">
        <v>0</v>
      </c>
      <c r="Z1114">
        <v>0</v>
      </c>
      <c r="AA1114" t="s">
        <v>25</v>
      </c>
      <c r="AB1114" t="s">
        <v>26</v>
      </c>
      <c r="AC1114" t="s">
        <v>27</v>
      </c>
      <c r="AD1114" t="s">
        <v>28</v>
      </c>
      <c r="AE1114" t="s">
        <v>25</v>
      </c>
      <c r="AF11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7.6923076923076927E-2</v>
      </c>
      <c r="AG1114" t="s">
        <v>942</v>
      </c>
      <c r="AH1114">
        <v>62.5</v>
      </c>
      <c r="AI1114" t="s">
        <v>939</v>
      </c>
      <c r="AJ1114">
        <v>1</v>
      </c>
      <c r="AK11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MIN(AJ1114/8, 1) +
  Merge1[[#This Row],[index_defensive_effort]],
  2
)</f>
        <v>0.6</v>
      </c>
    </row>
    <row r="1115" spans="1:37" x14ac:dyDescent="0.25">
      <c r="A1115" t="s">
        <v>427</v>
      </c>
      <c r="B1115" t="s">
        <v>428</v>
      </c>
      <c r="C1115">
        <v>22</v>
      </c>
      <c r="D1115" t="s">
        <v>56</v>
      </c>
      <c r="E1115">
        <v>72</v>
      </c>
      <c r="F1115">
        <v>192</v>
      </c>
      <c r="G1115" t="s">
        <v>117</v>
      </c>
      <c r="H1115">
        <v>2020</v>
      </c>
      <c r="I1115" t="s">
        <v>33</v>
      </c>
      <c r="J1115">
        <v>8</v>
      </c>
      <c r="K1115">
        <v>2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39</v>
      </c>
      <c r="T1115">
        <v>29</v>
      </c>
      <c r="U1115" s="5">
        <f>IF(Merge1[[#This Row],[team_defense_snaps]]=0, "", Merge1[[#This Row],[defense_snaps]] / Merge1[[#This Row],[team_defense_snaps]])</f>
        <v>0.39189189189189189</v>
      </c>
      <c r="V1115">
        <v>74</v>
      </c>
      <c r="W1115">
        <v>10</v>
      </c>
      <c r="X1115" s="5" t="s">
        <v>53</v>
      </c>
      <c r="Y1115">
        <v>0</v>
      </c>
      <c r="Z1115">
        <v>0</v>
      </c>
      <c r="AA1115" t="s">
        <v>25</v>
      </c>
      <c r="AB1115" t="s">
        <v>26</v>
      </c>
      <c r="AC1115" t="s">
        <v>27</v>
      </c>
      <c r="AD1115" t="s">
        <v>28</v>
      </c>
      <c r="AE1115" t="s">
        <v>25</v>
      </c>
      <c r="AF11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5.128205128205128E-2</v>
      </c>
      <c r="AG1115" t="s">
        <v>942</v>
      </c>
      <c r="AH1115">
        <v>46</v>
      </c>
      <c r="AI1115" t="s">
        <v>939</v>
      </c>
      <c r="AJ1115">
        <v>1</v>
      </c>
      <c r="AK11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MIN(AJ1115/8, 1) +
  Merge1[[#This Row],[index_defensive_effort]],
  2
)</f>
        <v>0.57999999999999996</v>
      </c>
    </row>
    <row r="1116" spans="1:37" x14ac:dyDescent="0.25">
      <c r="A1116" t="s">
        <v>427</v>
      </c>
      <c r="B1116" t="s">
        <v>428</v>
      </c>
      <c r="C1116">
        <v>22</v>
      </c>
      <c r="D1116" t="s">
        <v>56</v>
      </c>
      <c r="E1116">
        <v>72</v>
      </c>
      <c r="F1116">
        <v>192</v>
      </c>
      <c r="G1116" t="s">
        <v>117</v>
      </c>
      <c r="H1116">
        <v>2020</v>
      </c>
      <c r="I1116" t="s">
        <v>33</v>
      </c>
      <c r="J1116">
        <v>13</v>
      </c>
      <c r="K1116">
        <v>2</v>
      </c>
      <c r="L1116">
        <v>1</v>
      </c>
      <c r="M1116">
        <v>0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27</v>
      </c>
      <c r="T1116">
        <v>21</v>
      </c>
      <c r="U1116" s="5">
        <f>IF(Merge1[[#This Row],[team_defense_snaps]]=0, "", Merge1[[#This Row],[defense_snaps]] / Merge1[[#This Row],[team_defense_snaps]])</f>
        <v>0.29577464788732394</v>
      </c>
      <c r="V1116">
        <v>71</v>
      </c>
      <c r="W1116">
        <v>6</v>
      </c>
      <c r="X1116" s="5" t="s">
        <v>181</v>
      </c>
      <c r="Y1116">
        <v>0</v>
      </c>
      <c r="Z1116">
        <v>0</v>
      </c>
      <c r="AA1116" t="s">
        <v>25</v>
      </c>
      <c r="AB1116" t="s">
        <v>26</v>
      </c>
      <c r="AC1116" t="s">
        <v>27</v>
      </c>
      <c r="AD1116" t="s">
        <v>28</v>
      </c>
      <c r="AE1116" t="s">
        <v>25</v>
      </c>
      <c r="AF11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9.2592592592592587E-2</v>
      </c>
      <c r="AG1116" t="s">
        <v>942</v>
      </c>
      <c r="AH1116">
        <v>47.5</v>
      </c>
      <c r="AI1116" t="s">
        <v>939</v>
      </c>
      <c r="AJ1116">
        <v>1</v>
      </c>
      <c r="AK11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MIN(AJ1116/8, 1) +
  Merge1[[#This Row],[index_defensive_effort]],
  2
)</f>
        <v>0.62</v>
      </c>
    </row>
    <row r="1117" spans="1:37" x14ac:dyDescent="0.25">
      <c r="A1117" t="s">
        <v>427</v>
      </c>
      <c r="B1117" t="s">
        <v>428</v>
      </c>
      <c r="C1117">
        <v>22</v>
      </c>
      <c r="D1117" t="s">
        <v>56</v>
      </c>
      <c r="E1117">
        <v>72</v>
      </c>
      <c r="F1117">
        <v>192</v>
      </c>
      <c r="G1117" t="s">
        <v>117</v>
      </c>
      <c r="H1117">
        <v>2020</v>
      </c>
      <c r="I1117" t="s">
        <v>33</v>
      </c>
      <c r="J1117">
        <v>16</v>
      </c>
      <c r="K1117">
        <v>2</v>
      </c>
      <c r="L1117">
        <v>1</v>
      </c>
      <c r="M1117">
        <v>0</v>
      </c>
      <c r="N1117">
        <v>1</v>
      </c>
      <c r="O1117">
        <v>0</v>
      </c>
      <c r="P1117">
        <v>0</v>
      </c>
      <c r="Q1117">
        <v>2</v>
      </c>
      <c r="R1117">
        <v>0</v>
      </c>
      <c r="S1117">
        <v>34</v>
      </c>
      <c r="T1117">
        <v>16</v>
      </c>
      <c r="U1117" s="5">
        <f>IF(Merge1[[#This Row],[team_defense_snaps]]=0, "", Merge1[[#This Row],[defense_snaps]] / Merge1[[#This Row],[team_defense_snaps]])</f>
        <v>0.21052631578947367</v>
      </c>
      <c r="V1117">
        <v>76</v>
      </c>
      <c r="W1117">
        <v>18</v>
      </c>
      <c r="X1117" s="5" t="s">
        <v>189</v>
      </c>
      <c r="Y1117">
        <v>0</v>
      </c>
      <c r="Z1117">
        <v>0</v>
      </c>
      <c r="AA1117" t="s">
        <v>25</v>
      </c>
      <c r="AB1117" t="s">
        <v>26</v>
      </c>
      <c r="AC1117" t="s">
        <v>27</v>
      </c>
      <c r="AD1117" t="s">
        <v>28</v>
      </c>
      <c r="AE1117" t="s">
        <v>25</v>
      </c>
      <c r="AF11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0.30882352941176472</v>
      </c>
      <c r="AG1117" t="s">
        <v>942</v>
      </c>
      <c r="AH1117">
        <v>52</v>
      </c>
      <c r="AI1117" t="s">
        <v>939</v>
      </c>
      <c r="AJ1117">
        <v>2</v>
      </c>
      <c r="AK11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MIN(AJ1117/8, 1) +
  Merge1[[#This Row],[index_defensive_effort]],
  2
)</f>
        <v>0.96</v>
      </c>
    </row>
    <row r="1118" spans="1:37" x14ac:dyDescent="0.25">
      <c r="A1118" t="s">
        <v>427</v>
      </c>
      <c r="B1118" t="s">
        <v>428</v>
      </c>
      <c r="C1118">
        <v>22</v>
      </c>
      <c r="D1118" t="s">
        <v>56</v>
      </c>
      <c r="E1118">
        <v>72</v>
      </c>
      <c r="F1118">
        <v>192</v>
      </c>
      <c r="G1118" t="s">
        <v>117</v>
      </c>
      <c r="H1118">
        <v>2020</v>
      </c>
      <c r="I1118" t="s">
        <v>33</v>
      </c>
      <c r="J1118">
        <v>17</v>
      </c>
      <c r="K1118">
        <v>1</v>
      </c>
      <c r="L1118">
        <v>1</v>
      </c>
      <c r="M1118">
        <v>1</v>
      </c>
      <c r="N1118">
        <v>2</v>
      </c>
      <c r="O1118">
        <v>0</v>
      </c>
      <c r="P1118">
        <v>0</v>
      </c>
      <c r="Q1118">
        <v>0</v>
      </c>
      <c r="R1118">
        <v>0</v>
      </c>
      <c r="S1118">
        <v>69</v>
      </c>
      <c r="T1118">
        <v>57</v>
      </c>
      <c r="U1118" s="5">
        <f>IF(Merge1[[#This Row],[team_defense_snaps]]=0, "", Merge1[[#This Row],[defense_snaps]] / Merge1[[#This Row],[team_defense_snaps]])</f>
        <v>0.98275862068965514</v>
      </c>
      <c r="V1118">
        <v>58</v>
      </c>
      <c r="W1118">
        <v>12</v>
      </c>
      <c r="X1118" s="5" t="s">
        <v>221</v>
      </c>
      <c r="Y1118">
        <v>0</v>
      </c>
      <c r="Z1118">
        <v>0</v>
      </c>
      <c r="AA1118" t="s">
        <v>25</v>
      </c>
      <c r="AB1118" t="s">
        <v>26</v>
      </c>
      <c r="AC1118" t="s">
        <v>27</v>
      </c>
      <c r="AD1118" t="s">
        <v>42</v>
      </c>
      <c r="AE1118" t="s">
        <v>25</v>
      </c>
      <c r="AF11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2.8985507246376812E-2</v>
      </c>
      <c r="AG1118" t="s">
        <v>942</v>
      </c>
      <c r="AH1118">
        <v>59.5</v>
      </c>
      <c r="AI1118" t="s">
        <v>939</v>
      </c>
      <c r="AJ1118">
        <v>1</v>
      </c>
      <c r="AK11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MIN(AJ1118/8, 1) +
  Merge1[[#This Row],[index_defensive_effort]],
  2
)</f>
        <v>0.55000000000000004</v>
      </c>
    </row>
    <row r="1119" spans="1:37" x14ac:dyDescent="0.25">
      <c r="A1119" t="s">
        <v>433</v>
      </c>
      <c r="B1119" t="s">
        <v>434</v>
      </c>
      <c r="C1119">
        <v>31</v>
      </c>
      <c r="D1119" t="s">
        <v>22</v>
      </c>
      <c r="E1119">
        <v>74</v>
      </c>
      <c r="F1119">
        <v>209</v>
      </c>
      <c r="G1119" t="s">
        <v>117</v>
      </c>
      <c r="H1119">
        <v>2020</v>
      </c>
      <c r="I1119" t="s">
        <v>33</v>
      </c>
      <c r="J1119">
        <v>1</v>
      </c>
      <c r="K1119">
        <v>4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85</v>
      </c>
      <c r="T1119">
        <v>78</v>
      </c>
      <c r="U1119" s="5">
        <f>IF(Merge1[[#This Row],[team_defense_snaps]]=0, "", Merge1[[#This Row],[defense_snaps]] / Merge1[[#This Row],[team_defense_snaps]])</f>
        <v>1</v>
      </c>
      <c r="V1119">
        <v>78</v>
      </c>
      <c r="W1119">
        <v>7</v>
      </c>
      <c r="X1119" s="5" t="s">
        <v>136</v>
      </c>
      <c r="Y1119">
        <v>8</v>
      </c>
      <c r="Z1119">
        <v>0</v>
      </c>
      <c r="AA1119" t="s">
        <v>25</v>
      </c>
      <c r="AB1119" t="s">
        <v>26</v>
      </c>
      <c r="AC1119" t="s">
        <v>27</v>
      </c>
      <c r="AD1119" t="s">
        <v>42</v>
      </c>
      <c r="AE1119" t="s">
        <v>25</v>
      </c>
      <c r="AF11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7.0588235294117646E-2</v>
      </c>
      <c r="AG1119" t="s">
        <v>942</v>
      </c>
      <c r="AH1119">
        <v>46</v>
      </c>
      <c r="AI1119" t="s">
        <v>939</v>
      </c>
      <c r="AJ1119">
        <v>2</v>
      </c>
      <c r="AK11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MIN(AJ1119/8, 1) +
  Merge1[[#This Row],[index_defensive_effort]],
  2
)</f>
        <v>0.92</v>
      </c>
    </row>
    <row r="1120" spans="1:37" x14ac:dyDescent="0.25">
      <c r="A1120" t="s">
        <v>433</v>
      </c>
      <c r="B1120" t="s">
        <v>434</v>
      </c>
      <c r="C1120">
        <v>31</v>
      </c>
      <c r="D1120" t="s">
        <v>22</v>
      </c>
      <c r="E1120">
        <v>74</v>
      </c>
      <c r="F1120">
        <v>209</v>
      </c>
      <c r="G1120" t="s">
        <v>117</v>
      </c>
      <c r="H1120">
        <v>2020</v>
      </c>
      <c r="I1120" t="s">
        <v>33</v>
      </c>
      <c r="J1120">
        <v>2</v>
      </c>
      <c r="K1120">
        <v>4</v>
      </c>
      <c r="L1120">
        <v>2</v>
      </c>
      <c r="M1120">
        <v>2</v>
      </c>
      <c r="N1120">
        <v>4</v>
      </c>
      <c r="O1120">
        <v>0</v>
      </c>
      <c r="P1120">
        <v>0</v>
      </c>
      <c r="Q1120">
        <v>1</v>
      </c>
      <c r="R1120">
        <v>0</v>
      </c>
      <c r="S1120">
        <v>76</v>
      </c>
      <c r="T1120">
        <v>70</v>
      </c>
      <c r="U1120" s="5">
        <f>IF(Merge1[[#This Row],[team_defense_snaps]]=0, "", Merge1[[#This Row],[defense_snaps]] / Merge1[[#This Row],[team_defense_snaps]])</f>
        <v>0.95890410958904104</v>
      </c>
      <c r="V1120">
        <v>73</v>
      </c>
      <c r="W1120">
        <v>6</v>
      </c>
      <c r="X1120" s="5" t="s">
        <v>133</v>
      </c>
      <c r="Y1120">
        <v>8</v>
      </c>
      <c r="Z1120">
        <v>0</v>
      </c>
      <c r="AA1120" t="s">
        <v>25</v>
      </c>
      <c r="AB1120" t="s">
        <v>26</v>
      </c>
      <c r="AC1120" t="s">
        <v>27</v>
      </c>
      <c r="AD1120" t="s">
        <v>42</v>
      </c>
      <c r="AE1120" t="s">
        <v>25</v>
      </c>
      <c r="AF11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0.13157894736842105</v>
      </c>
      <c r="AG1120" t="s">
        <v>942</v>
      </c>
      <c r="AH1120">
        <v>53.5</v>
      </c>
      <c r="AI1120" t="s">
        <v>939</v>
      </c>
      <c r="AJ1120">
        <v>3</v>
      </c>
      <c r="AK11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MIN(AJ1120/8, 1) +
  Merge1[[#This Row],[index_defensive_effort]],
  2
)</f>
        <v>1.1100000000000001</v>
      </c>
    </row>
    <row r="1121" spans="1:37" x14ac:dyDescent="0.25">
      <c r="A1121" t="s">
        <v>433</v>
      </c>
      <c r="B1121" t="s">
        <v>434</v>
      </c>
      <c r="C1121">
        <v>31</v>
      </c>
      <c r="D1121" t="s">
        <v>22</v>
      </c>
      <c r="E1121">
        <v>74</v>
      </c>
      <c r="F1121">
        <v>209</v>
      </c>
      <c r="G1121" t="s">
        <v>117</v>
      </c>
      <c r="H1121">
        <v>2020</v>
      </c>
      <c r="I1121" t="s">
        <v>33</v>
      </c>
      <c r="J1121">
        <v>3</v>
      </c>
      <c r="K1121">
        <v>3</v>
      </c>
      <c r="L1121">
        <v>9</v>
      </c>
      <c r="M1121">
        <v>2</v>
      </c>
      <c r="N1121">
        <v>11</v>
      </c>
      <c r="O1121">
        <v>0</v>
      </c>
      <c r="P1121">
        <v>1</v>
      </c>
      <c r="Q1121">
        <v>2</v>
      </c>
      <c r="R1121">
        <v>0</v>
      </c>
      <c r="S1121">
        <v>82</v>
      </c>
      <c r="T1121">
        <v>75</v>
      </c>
      <c r="U1121" s="5">
        <f>IF(Merge1[[#This Row],[team_defense_snaps]]=0, "", Merge1[[#This Row],[defense_snaps]] / Merge1[[#This Row],[team_defense_snaps]])</f>
        <v>1</v>
      </c>
      <c r="V1121">
        <v>75</v>
      </c>
      <c r="W1121">
        <v>7</v>
      </c>
      <c r="X1121" s="5" t="s">
        <v>293</v>
      </c>
      <c r="Y1121">
        <v>8</v>
      </c>
      <c r="Z1121">
        <v>0</v>
      </c>
      <c r="AA1121" t="s">
        <v>25</v>
      </c>
      <c r="AB1121" t="s">
        <v>26</v>
      </c>
      <c r="AC1121" t="s">
        <v>27</v>
      </c>
      <c r="AD1121" t="s">
        <v>42</v>
      </c>
      <c r="AE1121" t="s">
        <v>25</v>
      </c>
      <c r="AF11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0.22560975609756098</v>
      </c>
      <c r="AG1121" t="s">
        <v>942</v>
      </c>
      <c r="AH1121">
        <v>62.5</v>
      </c>
      <c r="AI1121" t="s">
        <v>939</v>
      </c>
      <c r="AJ1121">
        <v>4</v>
      </c>
      <c r="AK11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MIN(AJ1121/8, 1) +
  Merge1[[#This Row],[index_defensive_effort]],
  2
)</f>
        <v>1.33</v>
      </c>
    </row>
    <row r="1122" spans="1:37" x14ac:dyDescent="0.25">
      <c r="A1122" t="s">
        <v>433</v>
      </c>
      <c r="B1122" t="s">
        <v>434</v>
      </c>
      <c r="C1122">
        <v>31</v>
      </c>
      <c r="D1122" t="s">
        <v>22</v>
      </c>
      <c r="E1122">
        <v>74</v>
      </c>
      <c r="F1122">
        <v>209</v>
      </c>
      <c r="G1122" t="s">
        <v>117</v>
      </c>
      <c r="H1122">
        <v>2020</v>
      </c>
      <c r="I1122" t="s">
        <v>33</v>
      </c>
      <c r="J1122">
        <v>4</v>
      </c>
      <c r="K1122">
        <v>0</v>
      </c>
      <c r="L1122">
        <v>3</v>
      </c>
      <c r="M1122">
        <v>1</v>
      </c>
      <c r="N1122">
        <v>4</v>
      </c>
      <c r="O1122">
        <v>0</v>
      </c>
      <c r="P1122">
        <v>0</v>
      </c>
      <c r="Q1122">
        <v>0</v>
      </c>
      <c r="R1122">
        <v>0</v>
      </c>
      <c r="S1122">
        <v>26</v>
      </c>
      <c r="T1122">
        <v>25</v>
      </c>
      <c r="U1122" s="5">
        <f>IF(Merge1[[#This Row],[team_defense_snaps]]=0, "", Merge1[[#This Row],[defense_snaps]] / Merge1[[#This Row],[team_defense_snaps]])</f>
        <v>0.38461538461538464</v>
      </c>
      <c r="V1122">
        <v>65</v>
      </c>
      <c r="W1122">
        <v>1</v>
      </c>
      <c r="X1122" s="5" t="s">
        <v>303</v>
      </c>
      <c r="Y1122">
        <v>8</v>
      </c>
      <c r="Z1122">
        <v>0</v>
      </c>
      <c r="AA1122" t="s">
        <v>25</v>
      </c>
      <c r="AB1122" t="s">
        <v>26</v>
      </c>
      <c r="AC1122" t="s">
        <v>27</v>
      </c>
      <c r="AD1122" t="s">
        <v>42</v>
      </c>
      <c r="AE1122" t="s">
        <v>25</v>
      </c>
      <c r="AF11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7.6923076923076927E-2</v>
      </c>
      <c r="AG1122" t="s">
        <v>942</v>
      </c>
      <c r="AH1122">
        <v>55</v>
      </c>
      <c r="AI1122" t="s">
        <v>939</v>
      </c>
      <c r="AJ1122">
        <v>5</v>
      </c>
      <c r="AK11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MIN(AJ1122/8, 1) +
  Merge1[[#This Row],[index_defensive_effort]],
  2
)</f>
        <v>1.3</v>
      </c>
    </row>
    <row r="1123" spans="1:37" x14ac:dyDescent="0.25">
      <c r="A1123" t="s">
        <v>433</v>
      </c>
      <c r="B1123" t="s">
        <v>434</v>
      </c>
      <c r="C1123">
        <v>31</v>
      </c>
      <c r="D1123" t="s">
        <v>22</v>
      </c>
      <c r="E1123">
        <v>74</v>
      </c>
      <c r="F1123">
        <v>209</v>
      </c>
      <c r="G1123" t="s">
        <v>117</v>
      </c>
      <c r="H1123">
        <v>2020</v>
      </c>
      <c r="I1123" t="s">
        <v>33</v>
      </c>
      <c r="J1123">
        <v>5</v>
      </c>
      <c r="K1123">
        <v>1</v>
      </c>
      <c r="L1123">
        <v>1</v>
      </c>
      <c r="M1123">
        <v>0</v>
      </c>
      <c r="N1123">
        <v>1</v>
      </c>
      <c r="O1123">
        <v>0</v>
      </c>
      <c r="P1123">
        <v>1</v>
      </c>
      <c r="Q1123">
        <v>0</v>
      </c>
      <c r="R1123">
        <v>0</v>
      </c>
      <c r="S1123">
        <v>57</v>
      </c>
      <c r="T1123">
        <v>54</v>
      </c>
      <c r="U1123" s="5">
        <f>IF(Merge1[[#This Row],[team_defense_snaps]]=0, "", Merge1[[#This Row],[defense_snaps]] / Merge1[[#This Row],[team_defense_snaps]])</f>
        <v>1</v>
      </c>
      <c r="V1123">
        <v>54</v>
      </c>
      <c r="W1123">
        <v>3</v>
      </c>
      <c r="X1123" s="5" t="s">
        <v>251</v>
      </c>
      <c r="Y1123">
        <v>8</v>
      </c>
      <c r="Z1123">
        <v>0</v>
      </c>
      <c r="AA1123" t="s">
        <v>25</v>
      </c>
      <c r="AB1123" t="s">
        <v>26</v>
      </c>
      <c r="AC1123" t="s">
        <v>27</v>
      </c>
      <c r="AD1123" t="s">
        <v>42</v>
      </c>
      <c r="AE1123" t="s">
        <v>25</v>
      </c>
      <c r="AF11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6.1403508771929821E-2</v>
      </c>
      <c r="AG1123" t="s">
        <v>942</v>
      </c>
      <c r="AH1123">
        <v>52</v>
      </c>
      <c r="AI1123" t="s">
        <v>939</v>
      </c>
      <c r="AJ1123">
        <v>6</v>
      </c>
      <c r="AK11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MIN(AJ1123/8, 1) +
  Merge1[[#This Row],[index_defensive_effort]],
  2
)</f>
        <v>1.41</v>
      </c>
    </row>
    <row r="1124" spans="1:37" x14ac:dyDescent="0.25">
      <c r="A1124" t="s">
        <v>433</v>
      </c>
      <c r="B1124" t="s">
        <v>434</v>
      </c>
      <c r="C1124">
        <v>31</v>
      </c>
      <c r="D1124" t="s">
        <v>22</v>
      </c>
      <c r="E1124">
        <v>74</v>
      </c>
      <c r="F1124">
        <v>209</v>
      </c>
      <c r="G1124" t="s">
        <v>117</v>
      </c>
      <c r="H1124">
        <v>2020</v>
      </c>
      <c r="I1124" t="s">
        <v>33</v>
      </c>
      <c r="J1124">
        <v>6</v>
      </c>
      <c r="K1124">
        <v>2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87</v>
      </c>
      <c r="T1124">
        <v>79</v>
      </c>
      <c r="U1124" s="5">
        <f>IF(Merge1[[#This Row],[team_defense_snaps]]=0, "", Merge1[[#This Row],[defense_snaps]] / Merge1[[#This Row],[team_defense_snaps]])</f>
        <v>0.97530864197530864</v>
      </c>
      <c r="V1124">
        <v>81</v>
      </c>
      <c r="W1124">
        <v>8</v>
      </c>
      <c r="X1124" s="5" t="s">
        <v>113</v>
      </c>
      <c r="Y1124">
        <v>8</v>
      </c>
      <c r="Z1124">
        <v>0</v>
      </c>
      <c r="AA1124" t="s">
        <v>25</v>
      </c>
      <c r="AB1124" t="s">
        <v>26</v>
      </c>
      <c r="AC1124" t="s">
        <v>27</v>
      </c>
      <c r="AD1124" t="s">
        <v>42</v>
      </c>
      <c r="AE1124" t="s">
        <v>25</v>
      </c>
      <c r="AF11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2.2988505747126436E-2</v>
      </c>
      <c r="AG1124" t="s">
        <v>942</v>
      </c>
      <c r="AH1124">
        <v>50.5</v>
      </c>
      <c r="AI1124" t="s">
        <v>939</v>
      </c>
      <c r="AJ1124">
        <v>1</v>
      </c>
      <c r="AK11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MIN(AJ1124/8, 1) +
  Merge1[[#This Row],[index_defensive_effort]],
  2
)</f>
        <v>0.75</v>
      </c>
    </row>
    <row r="1125" spans="1:37" x14ac:dyDescent="0.25">
      <c r="A1125" t="s">
        <v>433</v>
      </c>
      <c r="B1125" t="s">
        <v>434</v>
      </c>
      <c r="C1125">
        <v>31</v>
      </c>
      <c r="D1125" t="s">
        <v>22</v>
      </c>
      <c r="E1125">
        <v>74</v>
      </c>
      <c r="F1125">
        <v>209</v>
      </c>
      <c r="G1125" t="s">
        <v>117</v>
      </c>
      <c r="H1125">
        <v>2020</v>
      </c>
      <c r="I1125" t="s">
        <v>33</v>
      </c>
      <c r="J1125">
        <v>8</v>
      </c>
      <c r="K1125">
        <v>5</v>
      </c>
      <c r="L1125">
        <v>3</v>
      </c>
      <c r="M1125">
        <v>2</v>
      </c>
      <c r="N1125">
        <v>5</v>
      </c>
      <c r="O1125">
        <v>0</v>
      </c>
      <c r="P1125">
        <v>0</v>
      </c>
      <c r="Q1125">
        <v>0</v>
      </c>
      <c r="R1125">
        <v>0</v>
      </c>
      <c r="S1125">
        <v>76</v>
      </c>
      <c r="T1125">
        <v>74</v>
      </c>
      <c r="U1125" s="5">
        <f>IF(Merge1[[#This Row],[team_defense_snaps]]=0, "", Merge1[[#This Row],[defense_snaps]] / Merge1[[#This Row],[team_defense_snaps]])</f>
        <v>1</v>
      </c>
      <c r="V1125">
        <v>74</v>
      </c>
      <c r="W1125">
        <v>2</v>
      </c>
      <c r="X1125" s="5" t="s">
        <v>35</v>
      </c>
      <c r="Y1125">
        <v>8</v>
      </c>
      <c r="Z1125">
        <v>0</v>
      </c>
      <c r="AA1125" t="s">
        <v>25</v>
      </c>
      <c r="AB1125" t="s">
        <v>26</v>
      </c>
      <c r="AC1125" t="s">
        <v>27</v>
      </c>
      <c r="AD1125" t="s">
        <v>42</v>
      </c>
      <c r="AE1125" t="s">
        <v>25</v>
      </c>
      <c r="AF11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9.8684210526315791E-2</v>
      </c>
      <c r="AG1125" t="s">
        <v>942</v>
      </c>
      <c r="AH1125">
        <v>70</v>
      </c>
      <c r="AI1125" t="s">
        <v>939</v>
      </c>
      <c r="AJ1125">
        <v>2</v>
      </c>
      <c r="AK11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MIN(AJ1125/8, 1) +
  Merge1[[#This Row],[index_defensive_effort]],
  2
)</f>
        <v>0.95</v>
      </c>
    </row>
    <row r="1126" spans="1:37" x14ac:dyDescent="0.25">
      <c r="A1126" t="s">
        <v>433</v>
      </c>
      <c r="B1126" t="s">
        <v>434</v>
      </c>
      <c r="C1126">
        <v>31</v>
      </c>
      <c r="D1126" t="s">
        <v>22</v>
      </c>
      <c r="E1126">
        <v>74</v>
      </c>
      <c r="F1126">
        <v>209</v>
      </c>
      <c r="G1126" t="s">
        <v>117</v>
      </c>
      <c r="H1126">
        <v>2020</v>
      </c>
      <c r="I1126" t="s">
        <v>33</v>
      </c>
      <c r="J1126">
        <v>9</v>
      </c>
      <c r="K1126">
        <v>7</v>
      </c>
      <c r="L1126">
        <v>3</v>
      </c>
      <c r="M1126">
        <v>0</v>
      </c>
      <c r="N1126">
        <v>3</v>
      </c>
      <c r="O1126">
        <v>0</v>
      </c>
      <c r="P1126">
        <v>2</v>
      </c>
      <c r="Q1126">
        <v>2</v>
      </c>
      <c r="R1126">
        <v>0</v>
      </c>
      <c r="S1126">
        <v>80</v>
      </c>
      <c r="T1126">
        <v>75</v>
      </c>
      <c r="U1126" s="5">
        <f>IF(Merge1[[#This Row],[team_defense_snaps]]=0, "", Merge1[[#This Row],[defense_snaps]] / Merge1[[#This Row],[team_defense_snaps]])</f>
        <v>1</v>
      </c>
      <c r="V1126">
        <v>75</v>
      </c>
      <c r="W1126">
        <v>5</v>
      </c>
      <c r="X1126" s="5" t="s">
        <v>181</v>
      </c>
      <c r="Y1126">
        <v>8</v>
      </c>
      <c r="Z1126">
        <v>0</v>
      </c>
      <c r="AA1126" t="s">
        <v>25</v>
      </c>
      <c r="AB1126" t="s">
        <v>26</v>
      </c>
      <c r="AC1126" t="s">
        <v>27</v>
      </c>
      <c r="AD1126" t="s">
        <v>42</v>
      </c>
      <c r="AE1126" t="s">
        <v>25</v>
      </c>
      <c r="AF11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0.25624999999999998</v>
      </c>
      <c r="AG1126" t="s">
        <v>942</v>
      </c>
      <c r="AH1126">
        <v>67</v>
      </c>
      <c r="AI1126" t="s">
        <v>939</v>
      </c>
      <c r="AJ1126">
        <v>3</v>
      </c>
      <c r="AK11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MIN(AJ1126/8, 1) +
  Merge1[[#This Row],[index_defensive_effort]],
  2
)</f>
        <v>1.23</v>
      </c>
    </row>
    <row r="1127" spans="1:37" x14ac:dyDescent="0.25">
      <c r="A1127" t="s">
        <v>433</v>
      </c>
      <c r="B1127" t="s">
        <v>434</v>
      </c>
      <c r="C1127">
        <v>31</v>
      </c>
      <c r="D1127" t="s">
        <v>22</v>
      </c>
      <c r="E1127">
        <v>74</v>
      </c>
      <c r="F1127">
        <v>209</v>
      </c>
      <c r="G1127" t="s">
        <v>117</v>
      </c>
      <c r="H1127">
        <v>2020</v>
      </c>
      <c r="I1127" t="s">
        <v>33</v>
      </c>
      <c r="J1127">
        <v>10</v>
      </c>
      <c r="K1127">
        <v>2</v>
      </c>
      <c r="L1127">
        <v>0</v>
      </c>
      <c r="M1127">
        <v>0</v>
      </c>
      <c r="N1127">
        <v>0</v>
      </c>
      <c r="O1127">
        <v>0</v>
      </c>
      <c r="P1127">
        <v>1</v>
      </c>
      <c r="Q1127">
        <v>2</v>
      </c>
      <c r="R1127">
        <v>0</v>
      </c>
      <c r="S1127">
        <v>52</v>
      </c>
      <c r="T1127">
        <v>50</v>
      </c>
      <c r="U1127" s="5">
        <f>IF(Merge1[[#This Row],[team_defense_snaps]]=0, "", Merge1[[#This Row],[defense_snaps]] / Merge1[[#This Row],[team_defense_snaps]])</f>
        <v>1</v>
      </c>
      <c r="V1127">
        <v>50</v>
      </c>
      <c r="W1127">
        <v>2</v>
      </c>
      <c r="X1127" s="5" t="s">
        <v>167</v>
      </c>
      <c r="Y1127">
        <v>8</v>
      </c>
      <c r="Z1127">
        <v>0</v>
      </c>
      <c r="AA1127" t="s">
        <v>25</v>
      </c>
      <c r="AB1127" t="s">
        <v>26</v>
      </c>
      <c r="AC1127" t="s">
        <v>27</v>
      </c>
      <c r="AD1127" t="s">
        <v>42</v>
      </c>
      <c r="AE1127" t="s">
        <v>25</v>
      </c>
      <c r="AF11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0.23076923076923078</v>
      </c>
      <c r="AG1127" t="s">
        <v>942</v>
      </c>
      <c r="AH1127">
        <v>56.5</v>
      </c>
      <c r="AI1127" t="s">
        <v>939</v>
      </c>
      <c r="AJ1127">
        <v>4</v>
      </c>
      <c r="AK11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MIN(AJ1127/8, 1) +
  Merge1[[#This Row],[index_defensive_effort]],
  2
)</f>
        <v>1.33</v>
      </c>
    </row>
    <row r="1128" spans="1:37" x14ac:dyDescent="0.25">
      <c r="A1128" t="s">
        <v>433</v>
      </c>
      <c r="B1128" t="s">
        <v>434</v>
      </c>
      <c r="C1128">
        <v>31</v>
      </c>
      <c r="D1128" t="s">
        <v>22</v>
      </c>
      <c r="E1128">
        <v>74</v>
      </c>
      <c r="F1128">
        <v>209</v>
      </c>
      <c r="G1128" t="s">
        <v>117</v>
      </c>
      <c r="H1128">
        <v>2020</v>
      </c>
      <c r="I1128" t="s">
        <v>33</v>
      </c>
      <c r="J1128">
        <v>11</v>
      </c>
      <c r="K1128">
        <v>4</v>
      </c>
      <c r="L1128">
        <v>4</v>
      </c>
      <c r="M1128">
        <v>0</v>
      </c>
      <c r="N1128">
        <v>4</v>
      </c>
      <c r="O1128">
        <v>0</v>
      </c>
      <c r="P1128">
        <v>0</v>
      </c>
      <c r="Q1128">
        <v>0</v>
      </c>
      <c r="R1128">
        <v>0</v>
      </c>
      <c r="S1128">
        <v>70</v>
      </c>
      <c r="T1128">
        <v>66</v>
      </c>
      <c r="U1128" s="5">
        <f>IF(Merge1[[#This Row],[team_defense_snaps]]=0, "", Merge1[[#This Row],[defense_snaps]] / Merge1[[#This Row],[team_defense_snaps]])</f>
        <v>1</v>
      </c>
      <c r="V1128">
        <v>66</v>
      </c>
      <c r="W1128">
        <v>4</v>
      </c>
      <c r="X1128" s="5" t="s">
        <v>168</v>
      </c>
      <c r="Y1128">
        <v>8</v>
      </c>
      <c r="Z1128">
        <v>0</v>
      </c>
      <c r="AA1128" t="s">
        <v>25</v>
      </c>
      <c r="AB1128" t="s">
        <v>26</v>
      </c>
      <c r="AC1128" t="s">
        <v>27</v>
      </c>
      <c r="AD1128" t="s">
        <v>42</v>
      </c>
      <c r="AE1128" t="s">
        <v>25</v>
      </c>
      <c r="AF11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8.5714285714285715E-2</v>
      </c>
      <c r="AG1128" t="s">
        <v>942</v>
      </c>
      <c r="AH1128">
        <v>65.5</v>
      </c>
      <c r="AI1128" t="s">
        <v>939</v>
      </c>
      <c r="AJ1128">
        <v>5</v>
      </c>
      <c r="AK11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MIN(AJ1128/8, 1) +
  Merge1[[#This Row],[index_defensive_effort]],
  2
)</f>
        <v>1.31</v>
      </c>
    </row>
    <row r="1129" spans="1:37" x14ac:dyDescent="0.25">
      <c r="A1129" t="s">
        <v>433</v>
      </c>
      <c r="B1129" t="s">
        <v>434</v>
      </c>
      <c r="C1129">
        <v>31</v>
      </c>
      <c r="D1129" t="s">
        <v>22</v>
      </c>
      <c r="E1129">
        <v>74</v>
      </c>
      <c r="F1129">
        <v>209</v>
      </c>
      <c r="G1129" t="s">
        <v>117</v>
      </c>
      <c r="H1129">
        <v>2020</v>
      </c>
      <c r="I1129" t="s">
        <v>33</v>
      </c>
      <c r="J1129">
        <v>12</v>
      </c>
      <c r="K1129">
        <v>3</v>
      </c>
      <c r="L1129">
        <v>4</v>
      </c>
      <c r="M1129">
        <v>1</v>
      </c>
      <c r="N1129">
        <v>5</v>
      </c>
      <c r="O1129">
        <v>0</v>
      </c>
      <c r="P1129">
        <v>1</v>
      </c>
      <c r="Q1129">
        <v>0</v>
      </c>
      <c r="R1129">
        <v>0</v>
      </c>
      <c r="S1129">
        <v>72</v>
      </c>
      <c r="T1129">
        <v>65</v>
      </c>
      <c r="U1129" s="5">
        <f>IF(Merge1[[#This Row],[team_defense_snaps]]=0, "", Merge1[[#This Row],[defense_snaps]] / Merge1[[#This Row],[team_defense_snaps]])</f>
        <v>0.98484848484848486</v>
      </c>
      <c r="V1129">
        <v>66</v>
      </c>
      <c r="W1129">
        <v>7</v>
      </c>
      <c r="X1129" s="5" t="s">
        <v>133</v>
      </c>
      <c r="Y1129">
        <v>8</v>
      </c>
      <c r="Z1129">
        <v>0</v>
      </c>
      <c r="AA1129" t="s">
        <v>25</v>
      </c>
      <c r="AB1129" t="s">
        <v>26</v>
      </c>
      <c r="AC1129" t="s">
        <v>27</v>
      </c>
      <c r="AD1129" t="s">
        <v>42</v>
      </c>
      <c r="AE1129" t="s">
        <v>25</v>
      </c>
      <c r="AF11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0.10416666666666667</v>
      </c>
      <c r="AG1129" t="s">
        <v>942</v>
      </c>
      <c r="AH1129">
        <v>68.5</v>
      </c>
      <c r="AI1129" t="s">
        <v>939</v>
      </c>
      <c r="AJ1129">
        <v>6</v>
      </c>
      <c r="AK11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MIN(AJ1129/8, 1) +
  Merge1[[#This Row],[index_defensive_effort]],
  2
)</f>
        <v>1.45</v>
      </c>
    </row>
    <row r="1130" spans="1:37" x14ac:dyDescent="0.25">
      <c r="A1130" t="s">
        <v>433</v>
      </c>
      <c r="B1130" t="s">
        <v>434</v>
      </c>
      <c r="C1130">
        <v>31</v>
      </c>
      <c r="D1130" t="s">
        <v>22</v>
      </c>
      <c r="E1130">
        <v>74</v>
      </c>
      <c r="F1130">
        <v>209</v>
      </c>
      <c r="G1130" t="s">
        <v>117</v>
      </c>
      <c r="H1130">
        <v>2020</v>
      </c>
      <c r="I1130" t="s">
        <v>33</v>
      </c>
      <c r="J1130">
        <v>13</v>
      </c>
      <c r="K1130">
        <v>6</v>
      </c>
      <c r="L1130">
        <v>4</v>
      </c>
      <c r="M1130">
        <v>0</v>
      </c>
      <c r="N1130">
        <v>4</v>
      </c>
      <c r="O1130">
        <v>3</v>
      </c>
      <c r="P1130">
        <v>5</v>
      </c>
      <c r="Q1130">
        <v>2</v>
      </c>
      <c r="R1130">
        <v>0</v>
      </c>
      <c r="S1130">
        <v>75</v>
      </c>
      <c r="T1130">
        <v>71</v>
      </c>
      <c r="U1130" s="5">
        <f>IF(Merge1[[#This Row],[team_defense_snaps]]=0, "", Merge1[[#This Row],[defense_snaps]] / Merge1[[#This Row],[team_defense_snaps]])</f>
        <v>1</v>
      </c>
      <c r="V1130">
        <v>71</v>
      </c>
      <c r="W1130">
        <v>4</v>
      </c>
      <c r="X1130" s="5" t="s">
        <v>251</v>
      </c>
      <c r="Y1130">
        <v>8</v>
      </c>
      <c r="Z1130">
        <v>0</v>
      </c>
      <c r="AA1130" t="s">
        <v>25</v>
      </c>
      <c r="AB1130" t="s">
        <v>26</v>
      </c>
      <c r="AC1130" t="s">
        <v>27</v>
      </c>
      <c r="AD1130" t="s">
        <v>42</v>
      </c>
      <c r="AE1130" t="s">
        <v>25</v>
      </c>
      <c r="AF11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0.46666666666666667</v>
      </c>
      <c r="AG1130" t="s">
        <v>942</v>
      </c>
      <c r="AH1130">
        <v>47.5</v>
      </c>
      <c r="AI1130" t="s">
        <v>939</v>
      </c>
      <c r="AJ1130">
        <v>7</v>
      </c>
      <c r="AK11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MIN(AJ1130/8, 1) +
  Merge1[[#This Row],[index_defensive_effort]],
  2
)</f>
        <v>1.94</v>
      </c>
    </row>
    <row r="1131" spans="1:37" x14ac:dyDescent="0.25">
      <c r="A1131" t="s">
        <v>433</v>
      </c>
      <c r="B1131" t="s">
        <v>434</v>
      </c>
      <c r="C1131">
        <v>31</v>
      </c>
      <c r="D1131" t="s">
        <v>22</v>
      </c>
      <c r="E1131">
        <v>74</v>
      </c>
      <c r="F1131">
        <v>209</v>
      </c>
      <c r="G1131" t="s">
        <v>117</v>
      </c>
      <c r="H1131">
        <v>2020</v>
      </c>
      <c r="I1131" t="s">
        <v>33</v>
      </c>
      <c r="J1131">
        <v>14</v>
      </c>
      <c r="K1131">
        <v>3</v>
      </c>
      <c r="L1131">
        <v>3</v>
      </c>
      <c r="M1131">
        <v>0</v>
      </c>
      <c r="N1131">
        <v>3</v>
      </c>
      <c r="O1131">
        <v>0</v>
      </c>
      <c r="P1131">
        <v>1</v>
      </c>
      <c r="Q1131">
        <v>0</v>
      </c>
      <c r="R1131">
        <v>0</v>
      </c>
      <c r="S1131">
        <v>56</v>
      </c>
      <c r="T1131">
        <v>51</v>
      </c>
      <c r="U1131" s="5">
        <f>IF(Merge1[[#This Row],[team_defense_snaps]]=0, "", Merge1[[#This Row],[defense_snaps]] / Merge1[[#This Row],[team_defense_snaps]])</f>
        <v>1</v>
      </c>
      <c r="V1131">
        <v>51</v>
      </c>
      <c r="W1131">
        <v>5</v>
      </c>
      <c r="X1131" s="5" t="s">
        <v>132</v>
      </c>
      <c r="Y1131">
        <v>8</v>
      </c>
      <c r="Z1131">
        <v>0</v>
      </c>
      <c r="AA1131" t="s">
        <v>25</v>
      </c>
      <c r="AB1131" t="s">
        <v>26</v>
      </c>
      <c r="AC1131" t="s">
        <v>27</v>
      </c>
      <c r="AD1131" t="s">
        <v>42</v>
      </c>
      <c r="AE1131" t="s">
        <v>25</v>
      </c>
      <c r="AF11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0.11607142857142858</v>
      </c>
      <c r="AG1131" t="s">
        <v>942</v>
      </c>
      <c r="AH1131">
        <v>49</v>
      </c>
      <c r="AI1131" t="s">
        <v>939</v>
      </c>
      <c r="AJ1131">
        <v>8</v>
      </c>
      <c r="AK11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MIN(AJ1131/8, 1) +
  Merge1[[#This Row],[index_defensive_effort]],
  2
)</f>
        <v>1.72</v>
      </c>
    </row>
    <row r="1132" spans="1:37" x14ac:dyDescent="0.25">
      <c r="A1132" t="s">
        <v>433</v>
      </c>
      <c r="B1132" t="s">
        <v>434</v>
      </c>
      <c r="C1132">
        <v>31</v>
      </c>
      <c r="D1132" t="s">
        <v>22</v>
      </c>
      <c r="E1132">
        <v>74</v>
      </c>
      <c r="F1132">
        <v>209</v>
      </c>
      <c r="G1132" t="s">
        <v>117</v>
      </c>
      <c r="H1132">
        <v>2020</v>
      </c>
      <c r="I1132" t="s">
        <v>33</v>
      </c>
      <c r="J1132">
        <v>15</v>
      </c>
      <c r="K1132">
        <v>1</v>
      </c>
      <c r="L1132">
        <v>2</v>
      </c>
      <c r="M1132">
        <v>0</v>
      </c>
      <c r="N1132">
        <v>2</v>
      </c>
      <c r="O1132">
        <v>0</v>
      </c>
      <c r="P1132">
        <v>0</v>
      </c>
      <c r="Q1132">
        <v>0</v>
      </c>
      <c r="R1132">
        <v>0</v>
      </c>
      <c r="S1132">
        <v>71</v>
      </c>
      <c r="T1132">
        <v>64</v>
      </c>
      <c r="U1132" s="5">
        <f>IF(Merge1[[#This Row],[team_defense_snaps]]=0, "", Merge1[[#This Row],[defense_snaps]] / Merge1[[#This Row],[team_defense_snaps]])</f>
        <v>0.98461538461538467</v>
      </c>
      <c r="V1132">
        <v>65</v>
      </c>
      <c r="W1132">
        <v>7</v>
      </c>
      <c r="X1132" s="5" t="s">
        <v>133</v>
      </c>
      <c r="Y1132">
        <v>8</v>
      </c>
      <c r="Z1132">
        <v>0</v>
      </c>
      <c r="AA1132" t="s">
        <v>25</v>
      </c>
      <c r="AB1132" t="s">
        <v>26</v>
      </c>
      <c r="AC1132" t="s">
        <v>27</v>
      </c>
      <c r="AD1132" t="s">
        <v>42</v>
      </c>
      <c r="AE1132" t="s">
        <v>25</v>
      </c>
      <c r="AF11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2.8169014084507043E-2</v>
      </c>
      <c r="AG1132" t="s">
        <v>942</v>
      </c>
      <c r="AH1132">
        <v>64</v>
      </c>
      <c r="AI1132" t="s">
        <v>939</v>
      </c>
      <c r="AJ1132">
        <v>9</v>
      </c>
      <c r="AK11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MIN(AJ1132/8, 1) +
  Merge1[[#This Row],[index_defensive_effort]],
  2
)</f>
        <v>1.63</v>
      </c>
    </row>
    <row r="1133" spans="1:37" x14ac:dyDescent="0.25">
      <c r="A1133" t="s">
        <v>433</v>
      </c>
      <c r="B1133" t="s">
        <v>434</v>
      </c>
      <c r="C1133">
        <v>31</v>
      </c>
      <c r="D1133" t="s">
        <v>22</v>
      </c>
      <c r="E1133">
        <v>74</v>
      </c>
      <c r="F1133">
        <v>209</v>
      </c>
      <c r="G1133" t="s">
        <v>117</v>
      </c>
      <c r="H1133">
        <v>2020</v>
      </c>
      <c r="I1133" t="s">
        <v>33</v>
      </c>
      <c r="J1133">
        <v>16</v>
      </c>
      <c r="K1133">
        <v>5</v>
      </c>
      <c r="L1133">
        <v>3</v>
      </c>
      <c r="M1133">
        <v>0</v>
      </c>
      <c r="N1133">
        <v>3</v>
      </c>
      <c r="O1133">
        <v>0</v>
      </c>
      <c r="P1133">
        <v>0</v>
      </c>
      <c r="Q1133">
        <v>0</v>
      </c>
      <c r="R1133">
        <v>0</v>
      </c>
      <c r="S1133">
        <v>83</v>
      </c>
      <c r="T1133">
        <v>75</v>
      </c>
      <c r="U1133" s="5">
        <f>IF(Merge1[[#This Row],[team_defense_snaps]]=0, "", Merge1[[#This Row],[defense_snaps]] / Merge1[[#This Row],[team_defense_snaps]])</f>
        <v>0.98684210526315785</v>
      </c>
      <c r="V1133">
        <v>76</v>
      </c>
      <c r="W1133">
        <v>8</v>
      </c>
      <c r="X1133" s="5" t="s">
        <v>137</v>
      </c>
      <c r="Y1133">
        <v>8</v>
      </c>
      <c r="Z1133">
        <v>0</v>
      </c>
      <c r="AA1133" t="s">
        <v>25</v>
      </c>
      <c r="AB1133" t="s">
        <v>26</v>
      </c>
      <c r="AC1133" t="s">
        <v>27</v>
      </c>
      <c r="AD1133" t="s">
        <v>42</v>
      </c>
      <c r="AE1133" t="s">
        <v>25</v>
      </c>
      <c r="AF11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7.8313253012048195E-2</v>
      </c>
      <c r="AG1133" t="s">
        <v>942</v>
      </c>
      <c r="AH1133">
        <v>59.5</v>
      </c>
      <c r="AI1133" t="s">
        <v>939</v>
      </c>
      <c r="AJ1133">
        <v>10</v>
      </c>
      <c r="AK11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MIN(AJ1133/8, 1) +
  Merge1[[#This Row],[index_defensive_effort]],
  2
)</f>
        <v>1.68</v>
      </c>
    </row>
    <row r="1134" spans="1:37" x14ac:dyDescent="0.25">
      <c r="A1134" t="s">
        <v>433</v>
      </c>
      <c r="B1134" t="s">
        <v>434</v>
      </c>
      <c r="C1134">
        <v>31</v>
      </c>
      <c r="D1134" t="s">
        <v>22</v>
      </c>
      <c r="E1134">
        <v>74</v>
      </c>
      <c r="F1134">
        <v>209</v>
      </c>
      <c r="G1134" t="s">
        <v>117</v>
      </c>
      <c r="H1134">
        <v>2020</v>
      </c>
      <c r="I1134" t="s">
        <v>33</v>
      </c>
      <c r="J1134">
        <v>17</v>
      </c>
      <c r="K1134">
        <v>9</v>
      </c>
      <c r="L1134">
        <v>2</v>
      </c>
      <c r="M1134">
        <v>1</v>
      </c>
      <c r="N1134">
        <v>3</v>
      </c>
      <c r="O1134">
        <v>0</v>
      </c>
      <c r="P1134">
        <v>0</v>
      </c>
      <c r="Q1134">
        <v>2</v>
      </c>
      <c r="R1134">
        <v>0</v>
      </c>
      <c r="S1134">
        <v>62</v>
      </c>
      <c r="T1134">
        <v>58</v>
      </c>
      <c r="U1134" s="5">
        <f>IF(Merge1[[#This Row],[team_defense_snaps]]=0, "", Merge1[[#This Row],[defense_snaps]] / Merge1[[#This Row],[team_defense_snaps]])</f>
        <v>1</v>
      </c>
      <c r="V1134">
        <v>58</v>
      </c>
      <c r="W1134">
        <v>4</v>
      </c>
      <c r="X1134" s="5" t="s">
        <v>209</v>
      </c>
      <c r="Y1134">
        <v>8</v>
      </c>
      <c r="Z1134">
        <v>0</v>
      </c>
      <c r="AA1134" t="s">
        <v>25</v>
      </c>
      <c r="AB1134" t="s">
        <v>26</v>
      </c>
      <c r="AC1134" t="s">
        <v>27</v>
      </c>
      <c r="AD1134" t="s">
        <v>42</v>
      </c>
      <c r="AE1134" t="s">
        <v>25</v>
      </c>
      <c r="AF11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0.29838709677419356</v>
      </c>
      <c r="AG1134" t="s">
        <v>942</v>
      </c>
      <c r="AH1134">
        <v>58</v>
      </c>
      <c r="AI1134" t="s">
        <v>939</v>
      </c>
      <c r="AJ1134">
        <v>1</v>
      </c>
      <c r="AK11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MIN(AJ1134/8, 1) +
  Merge1[[#This Row],[index_defensive_effort]],
  2
)</f>
        <v>1.02</v>
      </c>
    </row>
    <row r="1135" spans="1:37" x14ac:dyDescent="0.25">
      <c r="A1135" t="s">
        <v>425</v>
      </c>
      <c r="B1135" t="s">
        <v>426</v>
      </c>
      <c r="C1135">
        <v>23</v>
      </c>
      <c r="D1135" t="s">
        <v>22</v>
      </c>
      <c r="E1135">
        <v>71</v>
      </c>
      <c r="F1135">
        <v>204</v>
      </c>
      <c r="G1135" t="s">
        <v>41</v>
      </c>
      <c r="H1135">
        <v>2020</v>
      </c>
      <c r="I1135" t="s">
        <v>33</v>
      </c>
      <c r="J1135">
        <v>7</v>
      </c>
      <c r="K1135">
        <v>2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2</v>
      </c>
      <c r="S1135">
        <v>15</v>
      </c>
      <c r="T1135">
        <v>6</v>
      </c>
      <c r="U1135" s="5">
        <f>IF(Merge1[[#This Row],[team_defense_snaps]]=0, "", Merge1[[#This Row],[defense_snaps]] / Merge1[[#This Row],[team_defense_snaps]])</f>
        <v>8.8235294117647065E-2</v>
      </c>
      <c r="V1135">
        <v>68</v>
      </c>
      <c r="W1135">
        <v>9</v>
      </c>
      <c r="X1135" s="5" t="s">
        <v>138</v>
      </c>
      <c r="Y1135">
        <v>0</v>
      </c>
      <c r="Z1135">
        <v>0</v>
      </c>
      <c r="AA1135" t="s">
        <v>25</v>
      </c>
      <c r="AB1135" t="s">
        <v>26</v>
      </c>
      <c r="AC1135" t="s">
        <v>27</v>
      </c>
      <c r="AD1135" t="s">
        <v>28</v>
      </c>
      <c r="AE1135" t="s">
        <v>25</v>
      </c>
      <c r="AF11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</v>
      </c>
      <c r="AG1135" t="s">
        <v>943</v>
      </c>
      <c r="AH1135">
        <v>56</v>
      </c>
      <c r="AI1135" t="s">
        <v>939</v>
      </c>
      <c r="AJ1135">
        <v>1</v>
      </c>
      <c r="AK11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MIN(AJ1135/8, 1) +
  Merge1[[#This Row],[index_defensive_effort]],
  2
)</f>
        <v>1.03</v>
      </c>
    </row>
    <row r="1136" spans="1:37" x14ac:dyDescent="0.25">
      <c r="A1136" t="s">
        <v>425</v>
      </c>
      <c r="B1136" t="s">
        <v>426</v>
      </c>
      <c r="C1136">
        <v>23</v>
      </c>
      <c r="D1136" t="s">
        <v>22</v>
      </c>
      <c r="E1136">
        <v>71</v>
      </c>
      <c r="F1136">
        <v>204</v>
      </c>
      <c r="G1136" t="s">
        <v>41</v>
      </c>
      <c r="H1136">
        <v>2020</v>
      </c>
      <c r="I1136" t="s">
        <v>33</v>
      </c>
      <c r="J1136">
        <v>9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25</v>
      </c>
      <c r="T1136">
        <v>13</v>
      </c>
      <c r="U1136" s="5">
        <f>IF(Merge1[[#This Row],[team_defense_snaps]]=0, "", Merge1[[#This Row],[defense_snaps]] / Merge1[[#This Row],[team_defense_snaps]])</f>
        <v>0.22807017543859648</v>
      </c>
      <c r="V1136">
        <v>57</v>
      </c>
      <c r="W1136">
        <v>12</v>
      </c>
      <c r="X1136" s="5" t="s">
        <v>243</v>
      </c>
      <c r="Y1136">
        <v>0</v>
      </c>
      <c r="Z1136">
        <v>0</v>
      </c>
      <c r="AA1136" t="s">
        <v>25</v>
      </c>
      <c r="AB1136" t="s">
        <v>26</v>
      </c>
      <c r="AC1136" t="s">
        <v>27</v>
      </c>
      <c r="AD1136" t="s">
        <v>28</v>
      </c>
      <c r="AE1136" t="s">
        <v>25</v>
      </c>
      <c r="AF11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0.04</v>
      </c>
      <c r="AG1136" t="s">
        <v>943</v>
      </c>
      <c r="AH1136">
        <v>53</v>
      </c>
      <c r="AI1136" t="s">
        <v>939</v>
      </c>
      <c r="AJ1136">
        <v>1</v>
      </c>
      <c r="AK11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MIN(AJ1136/8, 1) +
  Merge1[[#This Row],[index_defensive_effort]],
  2
)</f>
        <v>0.67</v>
      </c>
    </row>
    <row r="1137" spans="1:37" x14ac:dyDescent="0.25">
      <c r="A1137" t="s">
        <v>431</v>
      </c>
      <c r="B1137" t="s">
        <v>432</v>
      </c>
      <c r="C1137">
        <v>23</v>
      </c>
      <c r="D1137" t="s">
        <v>56</v>
      </c>
      <c r="E1137">
        <v>74</v>
      </c>
      <c r="F1137">
        <v>190</v>
      </c>
      <c r="G1137" t="s">
        <v>23</v>
      </c>
      <c r="H1137">
        <v>2020</v>
      </c>
      <c r="I1137" t="s">
        <v>33</v>
      </c>
      <c r="J1137">
        <v>16</v>
      </c>
      <c r="K1137">
        <v>5</v>
      </c>
      <c r="L1137">
        <v>0</v>
      </c>
      <c r="M1137">
        <v>0</v>
      </c>
      <c r="N1137">
        <v>0</v>
      </c>
      <c r="O1137">
        <v>0</v>
      </c>
      <c r="P1137">
        <v>2</v>
      </c>
      <c r="Q1137">
        <v>2</v>
      </c>
      <c r="R1137">
        <v>0</v>
      </c>
      <c r="S1137">
        <v>29</v>
      </c>
      <c r="T1137">
        <v>15</v>
      </c>
      <c r="U1137" s="5">
        <f>IF(Merge1[[#This Row],[team_defense_snaps]]=0, "", Merge1[[#This Row],[defense_snaps]] / Merge1[[#This Row],[team_defense_snaps]])</f>
        <v>0.27777777777777779</v>
      </c>
      <c r="V1137">
        <v>54</v>
      </c>
      <c r="W1137">
        <v>14</v>
      </c>
      <c r="X1137" s="5" t="s">
        <v>231</v>
      </c>
      <c r="Y1137">
        <v>1</v>
      </c>
      <c r="Z1137">
        <v>0</v>
      </c>
      <c r="AA1137" t="s">
        <v>25</v>
      </c>
      <c r="AB1137" t="s">
        <v>26</v>
      </c>
      <c r="AC1137" t="s">
        <v>27</v>
      </c>
      <c r="AD1137" t="s">
        <v>28</v>
      </c>
      <c r="AE1137" t="s">
        <v>25</v>
      </c>
      <c r="AF11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0.58620689655172409</v>
      </c>
      <c r="AG1137" t="s">
        <v>941</v>
      </c>
      <c r="AH1137">
        <v>63.5</v>
      </c>
      <c r="AI1137" t="s">
        <v>939</v>
      </c>
      <c r="AJ1137">
        <v>1</v>
      </c>
      <c r="AK11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MIN(AJ1137/8, 1) +
  Merge1[[#This Row],[index_defensive_effort]],
  2
)</f>
        <v>1.1100000000000001</v>
      </c>
    </row>
    <row r="1138" spans="1:37" x14ac:dyDescent="0.25">
      <c r="A1138" t="s">
        <v>429</v>
      </c>
      <c r="B1138" t="s">
        <v>430</v>
      </c>
      <c r="C1138">
        <v>23</v>
      </c>
      <c r="D1138" t="s">
        <v>56</v>
      </c>
      <c r="E1138">
        <v>74</v>
      </c>
      <c r="F1138">
        <v>196</v>
      </c>
      <c r="G1138" t="s">
        <v>117</v>
      </c>
      <c r="H1138">
        <v>2020</v>
      </c>
      <c r="I1138" t="s">
        <v>33</v>
      </c>
      <c r="J1138">
        <v>1</v>
      </c>
      <c r="K1138">
        <v>7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60</v>
      </c>
      <c r="T1138">
        <v>59</v>
      </c>
      <c r="U1138" s="5">
        <f>IF(Merge1[[#This Row],[team_defense_snaps]]=0, "", Merge1[[#This Row],[defense_snaps]] / Merge1[[#This Row],[team_defense_snaps]])</f>
        <v>0.75641025641025639</v>
      </c>
      <c r="V1138">
        <v>78</v>
      </c>
      <c r="W1138">
        <v>1</v>
      </c>
      <c r="X1138" s="5" t="s">
        <v>193</v>
      </c>
      <c r="Y1138">
        <v>2</v>
      </c>
      <c r="Z1138">
        <v>0</v>
      </c>
      <c r="AA1138" t="s">
        <v>25</v>
      </c>
      <c r="AB1138" t="s">
        <v>26</v>
      </c>
      <c r="AC1138" t="s">
        <v>27</v>
      </c>
      <c r="AD1138" t="s">
        <v>28</v>
      </c>
      <c r="AE1138" t="s">
        <v>25</v>
      </c>
      <c r="AF11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0.11666666666666667</v>
      </c>
      <c r="AG1138" t="s">
        <v>942</v>
      </c>
      <c r="AH1138">
        <v>65.5</v>
      </c>
      <c r="AI1138" t="s">
        <v>939</v>
      </c>
      <c r="AJ1138">
        <v>2</v>
      </c>
      <c r="AK11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MIN(AJ1138/8, 1) +
  Merge1[[#This Row],[index_defensive_effort]],
  2
)</f>
        <v>0.77</v>
      </c>
    </row>
    <row r="1139" spans="1:37" x14ac:dyDescent="0.25">
      <c r="A1139" t="s">
        <v>429</v>
      </c>
      <c r="B1139" t="s">
        <v>430</v>
      </c>
      <c r="C1139">
        <v>23</v>
      </c>
      <c r="D1139" t="s">
        <v>56</v>
      </c>
      <c r="E1139">
        <v>74</v>
      </c>
      <c r="F1139">
        <v>196</v>
      </c>
      <c r="G1139" t="s">
        <v>117</v>
      </c>
      <c r="H1139">
        <v>2020</v>
      </c>
      <c r="I1139" t="s">
        <v>33</v>
      </c>
      <c r="J1139">
        <v>2</v>
      </c>
      <c r="K1139">
        <v>7</v>
      </c>
      <c r="L1139">
        <v>1</v>
      </c>
      <c r="M1139">
        <v>1</v>
      </c>
      <c r="N1139">
        <v>2</v>
      </c>
      <c r="O1139">
        <v>2</v>
      </c>
      <c r="P1139">
        <v>0</v>
      </c>
      <c r="Q1139">
        <v>0</v>
      </c>
      <c r="R1139">
        <v>0</v>
      </c>
      <c r="S1139">
        <v>72</v>
      </c>
      <c r="T1139">
        <v>70</v>
      </c>
      <c r="U1139" s="5">
        <f>IF(Merge1[[#This Row],[team_defense_snaps]]=0, "", Merge1[[#This Row],[defense_snaps]] / Merge1[[#This Row],[team_defense_snaps]])</f>
        <v>0.95890410958904104</v>
      </c>
      <c r="V1139">
        <v>73</v>
      </c>
      <c r="W1139">
        <v>2</v>
      </c>
      <c r="X1139" s="5" t="s">
        <v>167</v>
      </c>
      <c r="Y1139">
        <v>2</v>
      </c>
      <c r="Z1139">
        <v>0</v>
      </c>
      <c r="AA1139" t="s">
        <v>25</v>
      </c>
      <c r="AB1139" t="s">
        <v>26</v>
      </c>
      <c r="AC1139" t="s">
        <v>27</v>
      </c>
      <c r="AD1139" t="s">
        <v>42</v>
      </c>
      <c r="AE1139" t="s">
        <v>25</v>
      </c>
      <c r="AF11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0.19444444444444445</v>
      </c>
      <c r="AG1139" t="s">
        <v>942</v>
      </c>
      <c r="AH1139">
        <v>68.5</v>
      </c>
      <c r="AI1139" t="s">
        <v>939</v>
      </c>
      <c r="AJ1139">
        <v>3</v>
      </c>
      <c r="AK11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MIN(AJ1139/8, 1) +
  Merge1[[#This Row],[index_defensive_effort]],
  2
)</f>
        <v>0.97</v>
      </c>
    </row>
    <row r="1140" spans="1:37" x14ac:dyDescent="0.25">
      <c r="A1140" t="s">
        <v>429</v>
      </c>
      <c r="B1140" t="s">
        <v>430</v>
      </c>
      <c r="C1140">
        <v>23</v>
      </c>
      <c r="D1140" t="s">
        <v>56</v>
      </c>
      <c r="E1140">
        <v>74</v>
      </c>
      <c r="F1140">
        <v>196</v>
      </c>
      <c r="G1140" t="s">
        <v>117</v>
      </c>
      <c r="H1140">
        <v>2020</v>
      </c>
      <c r="I1140" t="s">
        <v>33</v>
      </c>
      <c r="J1140">
        <v>3</v>
      </c>
      <c r="K1140">
        <v>4</v>
      </c>
      <c r="L1140">
        <v>3</v>
      </c>
      <c r="M1140">
        <v>0</v>
      </c>
      <c r="N1140">
        <v>3</v>
      </c>
      <c r="O1140">
        <v>0</v>
      </c>
      <c r="P1140">
        <v>0</v>
      </c>
      <c r="Q1140">
        <v>0</v>
      </c>
      <c r="R1140">
        <v>0</v>
      </c>
      <c r="S1140">
        <v>83</v>
      </c>
      <c r="T1140">
        <v>75</v>
      </c>
      <c r="U1140" s="5">
        <f>IF(Merge1[[#This Row],[team_defense_snaps]]=0, "", Merge1[[#This Row],[defense_snaps]] / Merge1[[#This Row],[team_defense_snaps]])</f>
        <v>1</v>
      </c>
      <c r="V1140">
        <v>75</v>
      </c>
      <c r="W1140">
        <v>8</v>
      </c>
      <c r="X1140" s="5" t="s">
        <v>133</v>
      </c>
      <c r="Y1140">
        <v>2</v>
      </c>
      <c r="Z1140">
        <v>0</v>
      </c>
      <c r="AA1140" t="s">
        <v>25</v>
      </c>
      <c r="AB1140" t="s">
        <v>26</v>
      </c>
      <c r="AC1140" t="s">
        <v>27</v>
      </c>
      <c r="AD1140" t="s">
        <v>42</v>
      </c>
      <c r="AE1140" t="s">
        <v>25</v>
      </c>
      <c r="AF11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6.6265060240963861E-2</v>
      </c>
      <c r="AG1140" t="s">
        <v>942</v>
      </c>
      <c r="AH1140">
        <v>67</v>
      </c>
      <c r="AI1140" t="s">
        <v>939</v>
      </c>
      <c r="AJ1140">
        <v>4</v>
      </c>
      <c r="AK11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MIN(AJ1140/8, 1) +
  Merge1[[#This Row],[index_defensive_effort]],
  2
)</f>
        <v>0.97</v>
      </c>
    </row>
    <row r="1141" spans="1:37" x14ac:dyDescent="0.25">
      <c r="A1141" t="s">
        <v>429</v>
      </c>
      <c r="B1141" t="s">
        <v>430</v>
      </c>
      <c r="C1141">
        <v>23</v>
      </c>
      <c r="D1141" t="s">
        <v>56</v>
      </c>
      <c r="E1141">
        <v>74</v>
      </c>
      <c r="F1141">
        <v>196</v>
      </c>
      <c r="G1141" t="s">
        <v>117</v>
      </c>
      <c r="H1141">
        <v>2020</v>
      </c>
      <c r="I1141" t="s">
        <v>33</v>
      </c>
      <c r="J1141">
        <v>4</v>
      </c>
      <c r="K1141">
        <v>1</v>
      </c>
      <c r="L1141">
        <v>2</v>
      </c>
      <c r="M1141">
        <v>1</v>
      </c>
      <c r="N1141">
        <v>3</v>
      </c>
      <c r="O1141">
        <v>0</v>
      </c>
      <c r="P1141">
        <v>0</v>
      </c>
      <c r="Q1141">
        <v>0</v>
      </c>
      <c r="R1141">
        <v>0</v>
      </c>
      <c r="S1141">
        <v>55</v>
      </c>
      <c r="T1141">
        <v>51</v>
      </c>
      <c r="U1141" s="5">
        <f>IF(Merge1[[#This Row],[team_defense_snaps]]=0, "", Merge1[[#This Row],[defense_snaps]] / Merge1[[#This Row],[team_defense_snaps]])</f>
        <v>0.7846153846153846</v>
      </c>
      <c r="V1141">
        <v>65</v>
      </c>
      <c r="W1141">
        <v>4</v>
      </c>
      <c r="X1141" s="5" t="s">
        <v>209</v>
      </c>
      <c r="Y1141">
        <v>2</v>
      </c>
      <c r="Z1141">
        <v>0</v>
      </c>
      <c r="AA1141" t="s">
        <v>25</v>
      </c>
      <c r="AB1141" t="s">
        <v>26</v>
      </c>
      <c r="AC1141" t="s">
        <v>27</v>
      </c>
      <c r="AD1141" t="s">
        <v>28</v>
      </c>
      <c r="AE1141" t="s">
        <v>25</v>
      </c>
      <c r="AF11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G1141" t="s">
        <v>942</v>
      </c>
      <c r="AH1141">
        <v>70</v>
      </c>
      <c r="AI1141" t="s">
        <v>939</v>
      </c>
      <c r="AJ1141">
        <v>1</v>
      </c>
      <c r="AK11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MIN(AJ1141/8, 1) +
  Merge1[[#This Row],[index_defensive_effort]],
  2
)</f>
        <v>0.56999999999999995</v>
      </c>
    </row>
    <row r="1142" spans="1:37" x14ac:dyDescent="0.25">
      <c r="A1142" t="s">
        <v>441</v>
      </c>
      <c r="B1142" t="s">
        <v>442</v>
      </c>
      <c r="C1142">
        <v>24</v>
      </c>
      <c r="D1142" t="s">
        <v>56</v>
      </c>
      <c r="E1142">
        <v>73</v>
      </c>
      <c r="F1142">
        <v>188</v>
      </c>
      <c r="G1142" t="s">
        <v>94</v>
      </c>
      <c r="H1142">
        <v>2020</v>
      </c>
      <c r="I1142" t="s">
        <v>33</v>
      </c>
      <c r="J1142">
        <v>2</v>
      </c>
      <c r="K1142">
        <v>0</v>
      </c>
      <c r="L1142">
        <v>1</v>
      </c>
      <c r="M1142">
        <v>1</v>
      </c>
      <c r="N1142">
        <v>2</v>
      </c>
      <c r="O1142">
        <v>0</v>
      </c>
      <c r="P1142">
        <v>0</v>
      </c>
      <c r="Q1142">
        <v>0</v>
      </c>
      <c r="R1142">
        <v>0</v>
      </c>
      <c r="S1142">
        <v>40</v>
      </c>
      <c r="T1142">
        <v>36</v>
      </c>
      <c r="U1142" s="5">
        <f>IF(Merge1[[#This Row],[team_defense_snaps]]=0, "", Merge1[[#This Row],[defense_snaps]] / Merge1[[#This Row],[team_defense_snaps]])</f>
        <v>0.54545454545454541</v>
      </c>
      <c r="V1142">
        <v>66</v>
      </c>
      <c r="W1142">
        <v>4</v>
      </c>
      <c r="X1142" s="5" t="s">
        <v>181</v>
      </c>
      <c r="Y1142">
        <v>2</v>
      </c>
      <c r="Z1142">
        <v>0</v>
      </c>
      <c r="AA1142" t="s">
        <v>25</v>
      </c>
      <c r="AB1142" t="s">
        <v>26</v>
      </c>
      <c r="AC1142" t="s">
        <v>27</v>
      </c>
      <c r="AD1142" t="s">
        <v>28</v>
      </c>
      <c r="AE1142" t="s">
        <v>25</v>
      </c>
      <c r="AF11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2.5000000000000001E-2</v>
      </c>
      <c r="AG1142" t="s">
        <v>942</v>
      </c>
      <c r="AH1142">
        <v>55.5</v>
      </c>
      <c r="AI1142" t="s">
        <v>939</v>
      </c>
      <c r="AJ1142">
        <v>2</v>
      </c>
      <c r="AK11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MIN(AJ1142/8, 1) +
  Merge1[[#This Row],[index_defensive_effort]],
  2
)</f>
        <v>0.68</v>
      </c>
    </row>
    <row r="1143" spans="1:37" x14ac:dyDescent="0.25">
      <c r="A1143" t="s">
        <v>441</v>
      </c>
      <c r="B1143" t="s">
        <v>442</v>
      </c>
      <c r="C1143">
        <v>24</v>
      </c>
      <c r="D1143" t="s">
        <v>56</v>
      </c>
      <c r="E1143">
        <v>73</v>
      </c>
      <c r="F1143">
        <v>188</v>
      </c>
      <c r="G1143" t="s">
        <v>94</v>
      </c>
      <c r="H1143">
        <v>2020</v>
      </c>
      <c r="I1143" t="s">
        <v>33</v>
      </c>
      <c r="J1143">
        <v>3</v>
      </c>
      <c r="K1143">
        <v>3</v>
      </c>
      <c r="L1143">
        <v>5</v>
      </c>
      <c r="M1143">
        <v>4</v>
      </c>
      <c r="N1143">
        <v>9</v>
      </c>
      <c r="O1143">
        <v>0</v>
      </c>
      <c r="P1143">
        <v>2</v>
      </c>
      <c r="Q1143">
        <v>0</v>
      </c>
      <c r="R1143">
        <v>0</v>
      </c>
      <c r="S1143">
        <v>59</v>
      </c>
      <c r="T1143">
        <v>59</v>
      </c>
      <c r="U1143" s="5">
        <f>IF(Merge1[[#This Row],[team_defense_snaps]]=0, "", Merge1[[#This Row],[defense_snaps]] / Merge1[[#This Row],[team_defense_snaps]])</f>
        <v>0.71951219512195119</v>
      </c>
      <c r="V1143">
        <v>82</v>
      </c>
      <c r="W1143">
        <v>0</v>
      </c>
      <c r="X1143" s="5" t="s">
        <v>29</v>
      </c>
      <c r="Y1143">
        <v>2</v>
      </c>
      <c r="Z1143">
        <v>0</v>
      </c>
      <c r="AA1143" t="s">
        <v>25</v>
      </c>
      <c r="AB1143" t="s">
        <v>26</v>
      </c>
      <c r="AC1143" t="s">
        <v>27</v>
      </c>
      <c r="AD1143" t="s">
        <v>42</v>
      </c>
      <c r="AE1143" t="s">
        <v>25</v>
      </c>
      <c r="AF11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0.19491525423728814</v>
      </c>
      <c r="AG1143" t="s">
        <v>942</v>
      </c>
      <c r="AH1143">
        <v>70.5</v>
      </c>
      <c r="AI1143" t="s">
        <v>939</v>
      </c>
      <c r="AJ1143">
        <v>3</v>
      </c>
      <c r="AK11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MIN(AJ1143/8, 1) +
  Merge1[[#This Row],[index_defensive_effort]],
  2
)</f>
        <v>0.97</v>
      </c>
    </row>
    <row r="1144" spans="1:37" x14ac:dyDescent="0.25">
      <c r="A1144" t="s">
        <v>441</v>
      </c>
      <c r="B1144" t="s">
        <v>442</v>
      </c>
      <c r="C1144">
        <v>24</v>
      </c>
      <c r="D1144" t="s">
        <v>56</v>
      </c>
      <c r="E1144">
        <v>73</v>
      </c>
      <c r="F1144">
        <v>188</v>
      </c>
      <c r="G1144" t="s">
        <v>94</v>
      </c>
      <c r="H1144">
        <v>2020</v>
      </c>
      <c r="I1144" t="s">
        <v>33</v>
      </c>
      <c r="J1144">
        <v>4</v>
      </c>
      <c r="K1144">
        <v>1</v>
      </c>
      <c r="L1144">
        <v>1</v>
      </c>
      <c r="M1144">
        <v>0</v>
      </c>
      <c r="N1144">
        <v>1</v>
      </c>
      <c r="O1144">
        <v>0</v>
      </c>
      <c r="P1144">
        <v>0</v>
      </c>
      <c r="Q1144">
        <v>0</v>
      </c>
      <c r="R1144">
        <v>2</v>
      </c>
      <c r="S1144">
        <v>21</v>
      </c>
      <c r="T1144">
        <v>15</v>
      </c>
      <c r="U1144" s="5">
        <f>IF(Merge1[[#This Row],[team_defense_snaps]]=0, "", Merge1[[#This Row],[defense_snaps]] / Merge1[[#This Row],[team_defense_snaps]])</f>
        <v>0.25862068965517243</v>
      </c>
      <c r="V1144">
        <v>58</v>
      </c>
      <c r="W1144">
        <v>6</v>
      </c>
      <c r="X1144" s="5" t="s">
        <v>137</v>
      </c>
      <c r="Y1144">
        <v>2</v>
      </c>
      <c r="Z1144">
        <v>0</v>
      </c>
      <c r="AA1144" t="s">
        <v>25</v>
      </c>
      <c r="AB1144" t="s">
        <v>26</v>
      </c>
      <c r="AC1144" t="s">
        <v>27</v>
      </c>
      <c r="AD1144" t="s">
        <v>42</v>
      </c>
      <c r="AE1144" t="s">
        <v>25</v>
      </c>
      <c r="AF11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0.26190476190476192</v>
      </c>
      <c r="AG1144" t="s">
        <v>942</v>
      </c>
      <c r="AH1144">
        <v>58.5</v>
      </c>
      <c r="AI1144" t="s">
        <v>939</v>
      </c>
      <c r="AJ1144">
        <v>1</v>
      </c>
      <c r="AK11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MIN(AJ1144/8, 1) +
  Merge1[[#This Row],[index_defensive_effort]],
  2
)</f>
        <v>0.79</v>
      </c>
    </row>
    <row r="1145" spans="1:37" x14ac:dyDescent="0.25">
      <c r="A1145" t="s">
        <v>441</v>
      </c>
      <c r="B1145" t="s">
        <v>442</v>
      </c>
      <c r="C1145">
        <v>24</v>
      </c>
      <c r="D1145" t="s">
        <v>56</v>
      </c>
      <c r="E1145">
        <v>73</v>
      </c>
      <c r="F1145">
        <v>188</v>
      </c>
      <c r="G1145" t="s">
        <v>94</v>
      </c>
      <c r="H1145">
        <v>2020</v>
      </c>
      <c r="I1145" t="s">
        <v>33</v>
      </c>
      <c r="J1145">
        <v>8</v>
      </c>
      <c r="K1145">
        <v>4</v>
      </c>
      <c r="L1145">
        <v>4</v>
      </c>
      <c r="M1145">
        <v>1</v>
      </c>
      <c r="N1145">
        <v>5</v>
      </c>
      <c r="O1145">
        <v>0</v>
      </c>
      <c r="P1145">
        <v>0</v>
      </c>
      <c r="Q1145">
        <v>0</v>
      </c>
      <c r="R1145">
        <v>0</v>
      </c>
      <c r="S1145">
        <v>73</v>
      </c>
      <c r="T1145">
        <v>70</v>
      </c>
      <c r="U1145" s="5">
        <f>IF(Merge1[[#This Row],[team_defense_snaps]]=0, "", Merge1[[#This Row],[defense_snaps]] / Merge1[[#This Row],[team_defense_snaps]])</f>
        <v>1</v>
      </c>
      <c r="V1145">
        <v>70</v>
      </c>
      <c r="W1145">
        <v>3</v>
      </c>
      <c r="X1145" s="5" t="s">
        <v>35</v>
      </c>
      <c r="Y1145">
        <v>2</v>
      </c>
      <c r="Z1145">
        <v>0</v>
      </c>
      <c r="AA1145" t="s">
        <v>25</v>
      </c>
      <c r="AB1145" t="s">
        <v>26</v>
      </c>
      <c r="AC1145" t="s">
        <v>27</v>
      </c>
      <c r="AD1145" t="s">
        <v>42</v>
      </c>
      <c r="AE1145" t="s">
        <v>25</v>
      </c>
      <c r="AF11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8.9041095890410954E-2</v>
      </c>
      <c r="AG1145" t="s">
        <v>942</v>
      </c>
      <c r="AH1145">
        <v>51</v>
      </c>
      <c r="AI1145" t="s">
        <v>939</v>
      </c>
      <c r="AJ1145">
        <v>2</v>
      </c>
      <c r="AK11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MIN(AJ1145/8, 1) +
  Merge1[[#This Row],[index_defensive_effort]],
  2
)</f>
        <v>0.74</v>
      </c>
    </row>
    <row r="1146" spans="1:37" x14ac:dyDescent="0.25">
      <c r="A1146" t="s">
        <v>441</v>
      </c>
      <c r="B1146" t="s">
        <v>442</v>
      </c>
      <c r="C1146">
        <v>24</v>
      </c>
      <c r="D1146" t="s">
        <v>56</v>
      </c>
      <c r="E1146">
        <v>73</v>
      </c>
      <c r="F1146">
        <v>188</v>
      </c>
      <c r="G1146" t="s">
        <v>94</v>
      </c>
      <c r="H1146">
        <v>2020</v>
      </c>
      <c r="I1146" t="s">
        <v>33</v>
      </c>
      <c r="J1146">
        <v>9</v>
      </c>
      <c r="K1146">
        <v>4</v>
      </c>
      <c r="L1146">
        <v>4</v>
      </c>
      <c r="M1146">
        <v>0</v>
      </c>
      <c r="N1146">
        <v>4</v>
      </c>
      <c r="O1146">
        <v>3</v>
      </c>
      <c r="P1146">
        <v>3</v>
      </c>
      <c r="Q1146">
        <v>0</v>
      </c>
      <c r="R1146">
        <v>0</v>
      </c>
      <c r="S1146">
        <v>56</v>
      </c>
      <c r="T1146">
        <v>54</v>
      </c>
      <c r="U1146" s="5">
        <f>IF(Merge1[[#This Row],[team_defense_snaps]]=0, "", Merge1[[#This Row],[defense_snaps]] / Merge1[[#This Row],[team_defense_snaps]])</f>
        <v>1</v>
      </c>
      <c r="V1146">
        <v>54</v>
      </c>
      <c r="W1146">
        <v>2</v>
      </c>
      <c r="X1146" s="5" t="s">
        <v>167</v>
      </c>
      <c r="Y1146">
        <v>2</v>
      </c>
      <c r="Z1146">
        <v>0</v>
      </c>
      <c r="AA1146" t="s">
        <v>25</v>
      </c>
      <c r="AB1146" t="s">
        <v>26</v>
      </c>
      <c r="AC1146" t="s">
        <v>27</v>
      </c>
      <c r="AD1146" t="s">
        <v>42</v>
      </c>
      <c r="AE1146" t="s">
        <v>25</v>
      </c>
      <c r="AF11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0.375</v>
      </c>
      <c r="AG1146" t="s">
        <v>942</v>
      </c>
      <c r="AH1146">
        <v>61.5</v>
      </c>
      <c r="AI1146" t="s">
        <v>939</v>
      </c>
      <c r="AJ1146">
        <v>3</v>
      </c>
      <c r="AK11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MIN(AJ1146/8, 1) +
  Merge1[[#This Row],[index_defensive_effort]],
  2
)</f>
        <v>1.1499999999999999</v>
      </c>
    </row>
    <row r="1147" spans="1:37" x14ac:dyDescent="0.25">
      <c r="A1147" t="s">
        <v>441</v>
      </c>
      <c r="B1147" t="s">
        <v>442</v>
      </c>
      <c r="C1147">
        <v>24</v>
      </c>
      <c r="D1147" t="s">
        <v>56</v>
      </c>
      <c r="E1147">
        <v>73</v>
      </c>
      <c r="F1147">
        <v>188</v>
      </c>
      <c r="G1147" t="s">
        <v>94</v>
      </c>
      <c r="H1147">
        <v>2020</v>
      </c>
      <c r="I1147" t="s">
        <v>33</v>
      </c>
      <c r="J1147">
        <v>10</v>
      </c>
      <c r="K1147">
        <v>1</v>
      </c>
      <c r="L1147">
        <v>2</v>
      </c>
      <c r="M1147">
        <v>1</v>
      </c>
      <c r="N1147">
        <v>3</v>
      </c>
      <c r="O1147">
        <v>0</v>
      </c>
      <c r="P1147">
        <v>1</v>
      </c>
      <c r="Q1147">
        <v>0</v>
      </c>
      <c r="R1147">
        <v>0</v>
      </c>
      <c r="S1147">
        <v>73</v>
      </c>
      <c r="T1147">
        <v>67</v>
      </c>
      <c r="U1147" s="5">
        <f>IF(Merge1[[#This Row],[team_defense_snaps]]=0, "", Merge1[[#This Row],[defense_snaps]] / Merge1[[#This Row],[team_defense_snaps]])</f>
        <v>1</v>
      </c>
      <c r="V1147">
        <v>67</v>
      </c>
      <c r="W1147">
        <v>6</v>
      </c>
      <c r="X1147" s="5" t="s">
        <v>133</v>
      </c>
      <c r="Y1147">
        <v>2</v>
      </c>
      <c r="Z1147">
        <v>0</v>
      </c>
      <c r="AA1147" t="s">
        <v>25</v>
      </c>
      <c r="AB1147" t="s">
        <v>36</v>
      </c>
      <c r="AC1147" t="s">
        <v>177</v>
      </c>
      <c r="AD1147" t="s">
        <v>42</v>
      </c>
      <c r="AE1147" t="s">
        <v>25</v>
      </c>
      <c r="AF11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6.1643835616438353E-2</v>
      </c>
      <c r="AG1147" t="s">
        <v>942</v>
      </c>
      <c r="AH1147">
        <v>60</v>
      </c>
      <c r="AI1147" t="s">
        <v>939</v>
      </c>
      <c r="AJ1147">
        <v>1</v>
      </c>
      <c r="AK11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MIN(AJ1147/8, 1) +
  Merge1[[#This Row],[index_defensive_effort]],
  2
)</f>
        <v>0.59</v>
      </c>
    </row>
    <row r="1148" spans="1:37" x14ac:dyDescent="0.25">
      <c r="A1148" t="s">
        <v>441</v>
      </c>
      <c r="B1148" t="s">
        <v>442</v>
      </c>
      <c r="C1148">
        <v>24</v>
      </c>
      <c r="D1148" t="s">
        <v>56</v>
      </c>
      <c r="E1148">
        <v>73</v>
      </c>
      <c r="F1148">
        <v>188</v>
      </c>
      <c r="G1148" t="s">
        <v>94</v>
      </c>
      <c r="H1148">
        <v>2020</v>
      </c>
      <c r="I1148" t="s">
        <v>33</v>
      </c>
      <c r="J1148">
        <v>12</v>
      </c>
      <c r="K1148">
        <v>4</v>
      </c>
      <c r="L1148">
        <v>0</v>
      </c>
      <c r="M1148">
        <v>0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58</v>
      </c>
      <c r="T1148">
        <v>49</v>
      </c>
      <c r="U1148" s="5">
        <f>IF(Merge1[[#This Row],[team_defense_snaps]]=0, "", Merge1[[#This Row],[defense_snaps]] / Merge1[[#This Row],[team_defense_snaps]])</f>
        <v>1</v>
      </c>
      <c r="V1148">
        <v>49</v>
      </c>
      <c r="W1148">
        <v>9</v>
      </c>
      <c r="X1148" s="5" t="s">
        <v>314</v>
      </c>
      <c r="Y1148">
        <v>2</v>
      </c>
      <c r="Z1148">
        <v>0</v>
      </c>
      <c r="AA1148" t="s">
        <v>25</v>
      </c>
      <c r="AB1148" t="s">
        <v>26</v>
      </c>
      <c r="AC1148" t="s">
        <v>27</v>
      </c>
      <c r="AD1148" t="s">
        <v>42</v>
      </c>
      <c r="AE1148" t="s">
        <v>25</v>
      </c>
      <c r="AF11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0.10344827586206896</v>
      </c>
      <c r="AG1148" t="s">
        <v>942</v>
      </c>
      <c r="AH1148">
        <v>52.5</v>
      </c>
      <c r="AI1148" t="s">
        <v>939</v>
      </c>
      <c r="AJ1148">
        <v>2</v>
      </c>
      <c r="AK11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MIN(AJ1148/8, 1) +
  Merge1[[#This Row],[index_defensive_effort]],
  2
)</f>
        <v>0.75</v>
      </c>
    </row>
    <row r="1149" spans="1:37" x14ac:dyDescent="0.25">
      <c r="A1149" t="s">
        <v>441</v>
      </c>
      <c r="B1149" t="s">
        <v>442</v>
      </c>
      <c r="C1149">
        <v>24</v>
      </c>
      <c r="D1149" t="s">
        <v>56</v>
      </c>
      <c r="E1149">
        <v>73</v>
      </c>
      <c r="F1149">
        <v>188</v>
      </c>
      <c r="G1149" t="s">
        <v>94</v>
      </c>
      <c r="H1149">
        <v>2020</v>
      </c>
      <c r="I1149" t="s">
        <v>33</v>
      </c>
      <c r="J1149">
        <v>13</v>
      </c>
      <c r="K1149">
        <v>4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79</v>
      </c>
      <c r="T1149">
        <v>72</v>
      </c>
      <c r="U1149" s="5">
        <f>IF(Merge1[[#This Row],[team_defense_snaps]]=0, "", Merge1[[#This Row],[defense_snaps]] / Merge1[[#This Row],[team_defense_snaps]])</f>
        <v>1</v>
      </c>
      <c r="V1149">
        <v>72</v>
      </c>
      <c r="W1149">
        <v>7</v>
      </c>
      <c r="X1149" s="5" t="s">
        <v>113</v>
      </c>
      <c r="Y1149">
        <v>2</v>
      </c>
      <c r="Z1149">
        <v>0</v>
      </c>
      <c r="AA1149" t="s">
        <v>25</v>
      </c>
      <c r="AB1149" t="s">
        <v>26</v>
      </c>
      <c r="AC1149" t="s">
        <v>27</v>
      </c>
      <c r="AD1149" t="s">
        <v>42</v>
      </c>
      <c r="AE1149" t="s">
        <v>25</v>
      </c>
      <c r="AF11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5.0632911392405063E-2</v>
      </c>
      <c r="AG1149" t="s">
        <v>942</v>
      </c>
      <c r="AH1149">
        <v>67.5</v>
      </c>
      <c r="AI1149" t="s">
        <v>939</v>
      </c>
      <c r="AJ1149">
        <v>3</v>
      </c>
      <c r="AK11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MIN(AJ1149/8, 1) +
  Merge1[[#This Row],[index_defensive_effort]],
  2
)</f>
        <v>0.83</v>
      </c>
    </row>
    <row r="1150" spans="1:37" x14ac:dyDescent="0.25">
      <c r="A1150" t="s">
        <v>441</v>
      </c>
      <c r="B1150" t="s">
        <v>442</v>
      </c>
      <c r="C1150">
        <v>24</v>
      </c>
      <c r="D1150" t="s">
        <v>56</v>
      </c>
      <c r="E1150">
        <v>73</v>
      </c>
      <c r="F1150">
        <v>188</v>
      </c>
      <c r="G1150" t="s">
        <v>94</v>
      </c>
      <c r="H1150">
        <v>2020</v>
      </c>
      <c r="I1150" t="s">
        <v>33</v>
      </c>
      <c r="J1150">
        <v>14</v>
      </c>
      <c r="K1150">
        <v>2</v>
      </c>
      <c r="L1150">
        <v>1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89</v>
      </c>
      <c r="T1150">
        <v>79</v>
      </c>
      <c r="U1150" s="5">
        <f>IF(Merge1[[#This Row],[team_defense_snaps]]=0, "", Merge1[[#This Row],[defense_snaps]] / Merge1[[#This Row],[team_defense_snaps]])</f>
        <v>1</v>
      </c>
      <c r="V1150">
        <v>79</v>
      </c>
      <c r="W1150">
        <v>10</v>
      </c>
      <c r="X1150" s="5" t="s">
        <v>134</v>
      </c>
      <c r="Y1150">
        <v>2</v>
      </c>
      <c r="Z1150">
        <v>0</v>
      </c>
      <c r="AA1150" t="s">
        <v>25</v>
      </c>
      <c r="AB1150" t="s">
        <v>26</v>
      </c>
      <c r="AC1150" t="s">
        <v>27</v>
      </c>
      <c r="AD1150" t="s">
        <v>42</v>
      </c>
      <c r="AE1150" t="s">
        <v>25</v>
      </c>
      <c r="AF11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2.8089887640449437E-2</v>
      </c>
      <c r="AG1150" t="s">
        <v>942</v>
      </c>
      <c r="AH1150">
        <v>54</v>
      </c>
      <c r="AI1150" t="s">
        <v>939</v>
      </c>
      <c r="AJ1150">
        <v>4</v>
      </c>
      <c r="AK11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MIN(AJ1150/8, 1) +
  Merge1[[#This Row],[index_defensive_effort]],
  2
)</f>
        <v>0.93</v>
      </c>
    </row>
    <row r="1151" spans="1:37" x14ac:dyDescent="0.25">
      <c r="A1151" t="s">
        <v>441</v>
      </c>
      <c r="B1151" t="s">
        <v>442</v>
      </c>
      <c r="C1151">
        <v>24</v>
      </c>
      <c r="D1151" t="s">
        <v>56</v>
      </c>
      <c r="E1151">
        <v>73</v>
      </c>
      <c r="F1151">
        <v>188</v>
      </c>
      <c r="G1151" t="s">
        <v>94</v>
      </c>
      <c r="H1151">
        <v>2020</v>
      </c>
      <c r="I1151" t="s">
        <v>33</v>
      </c>
      <c r="J1151">
        <v>15</v>
      </c>
      <c r="K1151">
        <v>3</v>
      </c>
      <c r="L1151">
        <v>2</v>
      </c>
      <c r="M1151">
        <v>1</v>
      </c>
      <c r="N1151">
        <v>3</v>
      </c>
      <c r="O1151">
        <v>0</v>
      </c>
      <c r="P1151">
        <v>0</v>
      </c>
      <c r="Q1151">
        <v>0</v>
      </c>
      <c r="R1151">
        <v>0</v>
      </c>
      <c r="S1151">
        <v>67</v>
      </c>
      <c r="T1151">
        <v>61</v>
      </c>
      <c r="U1151" s="5">
        <f>IF(Merge1[[#This Row],[team_defense_snaps]]=0, "", Merge1[[#This Row],[defense_snaps]] / Merge1[[#This Row],[team_defense_snaps]])</f>
        <v>0.953125</v>
      </c>
      <c r="V1151">
        <v>64</v>
      </c>
      <c r="W1151">
        <v>6</v>
      </c>
      <c r="X1151" s="5" t="s">
        <v>123</v>
      </c>
      <c r="Y1151">
        <v>2</v>
      </c>
      <c r="Z1151">
        <v>0</v>
      </c>
      <c r="AA1151" t="s">
        <v>25</v>
      </c>
      <c r="AB1151" t="s">
        <v>26</v>
      </c>
      <c r="AC1151" t="s">
        <v>27</v>
      </c>
      <c r="AD1151" t="s">
        <v>42</v>
      </c>
      <c r="AE1151" t="s">
        <v>25</v>
      </c>
      <c r="AF11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6.7164179104477612E-2</v>
      </c>
      <c r="AG1151" t="s">
        <v>942</v>
      </c>
      <c r="AH1151">
        <v>49.5</v>
      </c>
      <c r="AI1151" t="s">
        <v>939</v>
      </c>
      <c r="AJ1151">
        <v>5</v>
      </c>
      <c r="AK11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MIN(AJ1151/8, 1) +
  Merge1[[#This Row],[index_defensive_effort]],
  2
)</f>
        <v>1.0900000000000001</v>
      </c>
    </row>
    <row r="1152" spans="1:37" x14ac:dyDescent="0.25">
      <c r="A1152" t="s">
        <v>441</v>
      </c>
      <c r="B1152" t="s">
        <v>442</v>
      </c>
      <c r="C1152">
        <v>24</v>
      </c>
      <c r="D1152" t="s">
        <v>56</v>
      </c>
      <c r="E1152">
        <v>73</v>
      </c>
      <c r="F1152">
        <v>188</v>
      </c>
      <c r="G1152" t="s">
        <v>94</v>
      </c>
      <c r="H1152">
        <v>2020</v>
      </c>
      <c r="I1152" t="s">
        <v>33</v>
      </c>
      <c r="J1152">
        <v>16</v>
      </c>
      <c r="K1152">
        <v>0</v>
      </c>
      <c r="L1152">
        <v>1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72</v>
      </c>
      <c r="T1152">
        <v>65</v>
      </c>
      <c r="U1152" s="5">
        <f>IF(Merge1[[#This Row],[team_defense_snaps]]=0, "", Merge1[[#This Row],[defense_snaps]] / Merge1[[#This Row],[team_defense_snaps]])</f>
        <v>0.94202898550724634</v>
      </c>
      <c r="V1152">
        <v>69</v>
      </c>
      <c r="W1152">
        <v>7</v>
      </c>
      <c r="X1152" s="5" t="s">
        <v>138</v>
      </c>
      <c r="Y1152">
        <v>2</v>
      </c>
      <c r="Z1152">
        <v>0</v>
      </c>
      <c r="AA1152" t="s">
        <v>25</v>
      </c>
      <c r="AB1152" t="s">
        <v>26</v>
      </c>
      <c r="AC1152" t="s">
        <v>27</v>
      </c>
      <c r="AD1152" t="s">
        <v>42</v>
      </c>
      <c r="AE1152" t="s">
        <v>25</v>
      </c>
      <c r="AF11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6.9444444444444441E-3</v>
      </c>
      <c r="AG1152" t="s">
        <v>942</v>
      </c>
      <c r="AH1152">
        <v>69</v>
      </c>
      <c r="AI1152" t="s">
        <v>939</v>
      </c>
      <c r="AJ1152">
        <v>1</v>
      </c>
      <c r="AK11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MIN(AJ1152/8, 1) +
  Merge1[[#This Row],[index_defensive_effort]],
  2
)</f>
        <v>0.53</v>
      </c>
    </row>
    <row r="1153" spans="1:37" x14ac:dyDescent="0.25">
      <c r="A1153" t="s">
        <v>435</v>
      </c>
      <c r="B1153" t="s">
        <v>436</v>
      </c>
      <c r="C1153">
        <v>25</v>
      </c>
      <c r="D1153" t="s">
        <v>56</v>
      </c>
      <c r="E1153">
        <v>74</v>
      </c>
      <c r="F1153">
        <v>210</v>
      </c>
      <c r="G1153" t="s">
        <v>166</v>
      </c>
      <c r="H1153">
        <v>2020</v>
      </c>
      <c r="I1153" t="s">
        <v>33</v>
      </c>
      <c r="J1153">
        <v>1</v>
      </c>
      <c r="K1153">
        <v>1</v>
      </c>
      <c r="L1153">
        <v>1</v>
      </c>
      <c r="M1153">
        <v>0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32</v>
      </c>
      <c r="T1153">
        <v>16</v>
      </c>
      <c r="U1153" s="5">
        <f>IF(Merge1[[#This Row],[team_defense_snaps]]=0, "", Merge1[[#This Row],[defense_snaps]] / Merge1[[#This Row],[team_defense_snaps]])</f>
        <v>0.23880597014925373</v>
      </c>
      <c r="V1153">
        <v>67</v>
      </c>
      <c r="W1153">
        <v>16</v>
      </c>
      <c r="X1153" s="5" t="s">
        <v>182</v>
      </c>
      <c r="Y1153">
        <v>1</v>
      </c>
      <c r="Z1153">
        <v>0</v>
      </c>
      <c r="AA1153" t="s">
        <v>25</v>
      </c>
      <c r="AB1153" t="s">
        <v>26</v>
      </c>
      <c r="AC1153" t="s">
        <v>27</v>
      </c>
      <c r="AD1153" t="s">
        <v>28</v>
      </c>
      <c r="AE1153" t="s">
        <v>25</v>
      </c>
      <c r="AF11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4.6875E-2</v>
      </c>
      <c r="AG1153" t="s">
        <v>941</v>
      </c>
      <c r="AH1153">
        <v>80</v>
      </c>
      <c r="AI1153" t="s">
        <v>939</v>
      </c>
      <c r="AJ1153">
        <v>1</v>
      </c>
      <c r="AK11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MIN(AJ1153/8, 1) +
  Merge1[[#This Row],[index_defensive_effort]],
  2
)</f>
        <v>0.56999999999999995</v>
      </c>
    </row>
    <row r="1154" spans="1:37" x14ac:dyDescent="0.25">
      <c r="A1154" t="s">
        <v>435</v>
      </c>
      <c r="B1154" t="s">
        <v>436</v>
      </c>
      <c r="C1154">
        <v>25</v>
      </c>
      <c r="D1154" t="s">
        <v>56</v>
      </c>
      <c r="E1154">
        <v>74</v>
      </c>
      <c r="F1154">
        <v>210</v>
      </c>
      <c r="G1154" t="s">
        <v>166</v>
      </c>
      <c r="H1154">
        <v>2020</v>
      </c>
      <c r="I1154" t="s">
        <v>33</v>
      </c>
      <c r="J1154">
        <v>5</v>
      </c>
      <c r="K1154">
        <v>0</v>
      </c>
      <c r="L1154">
        <v>1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21</v>
      </c>
      <c r="T1154">
        <v>10</v>
      </c>
      <c r="U1154" s="5">
        <f>IF(Merge1[[#This Row],[team_defense_snaps]]=0, "", Merge1[[#This Row],[defense_snaps]] / Merge1[[#This Row],[team_defense_snaps]])</f>
        <v>0.13513513513513514</v>
      </c>
      <c r="V1154">
        <v>74</v>
      </c>
      <c r="W1154">
        <v>11</v>
      </c>
      <c r="X1154" s="5" t="s">
        <v>70</v>
      </c>
      <c r="Y1154">
        <v>1</v>
      </c>
      <c r="Z1154">
        <v>0</v>
      </c>
      <c r="AA1154" t="s">
        <v>25</v>
      </c>
      <c r="AB1154" t="s">
        <v>26</v>
      </c>
      <c r="AC1154" t="s">
        <v>27</v>
      </c>
      <c r="AD1154" t="s">
        <v>28</v>
      </c>
      <c r="AE1154" t="s">
        <v>25</v>
      </c>
      <c r="AF11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2.3809523809523808E-2</v>
      </c>
      <c r="AG1154" t="s">
        <v>941</v>
      </c>
      <c r="AH1154">
        <v>89</v>
      </c>
      <c r="AI1154" t="s">
        <v>939</v>
      </c>
      <c r="AJ1154">
        <v>1</v>
      </c>
      <c r="AK11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MIN(AJ1154/8, 1) +
  Merge1[[#This Row],[index_defensive_effort]],
  2
)</f>
        <v>0.55000000000000004</v>
      </c>
    </row>
    <row r="1155" spans="1:37" x14ac:dyDescent="0.25">
      <c r="A1155" t="s">
        <v>435</v>
      </c>
      <c r="B1155" t="s">
        <v>436</v>
      </c>
      <c r="C1155">
        <v>25</v>
      </c>
      <c r="D1155" t="s">
        <v>56</v>
      </c>
      <c r="E1155">
        <v>74</v>
      </c>
      <c r="F1155">
        <v>210</v>
      </c>
      <c r="G1155" t="s">
        <v>166</v>
      </c>
      <c r="H1155">
        <v>2020</v>
      </c>
      <c r="I1155" t="s">
        <v>33</v>
      </c>
      <c r="J1155">
        <v>9</v>
      </c>
      <c r="K1155">
        <v>3</v>
      </c>
      <c r="L1155">
        <v>3</v>
      </c>
      <c r="M1155">
        <v>2</v>
      </c>
      <c r="N1155">
        <v>5</v>
      </c>
      <c r="O1155">
        <v>0</v>
      </c>
      <c r="P1155">
        <v>1</v>
      </c>
      <c r="Q1155">
        <v>0</v>
      </c>
      <c r="R1155">
        <v>0</v>
      </c>
      <c r="S1155">
        <v>58</v>
      </c>
      <c r="T1155">
        <v>50</v>
      </c>
      <c r="U1155" s="5">
        <f>IF(Merge1[[#This Row],[team_defense_snaps]]=0, "", Merge1[[#This Row],[defense_snaps]] / Merge1[[#This Row],[team_defense_snaps]])</f>
        <v>0.63291139240506333</v>
      </c>
      <c r="V1155">
        <v>79</v>
      </c>
      <c r="W1155">
        <v>8</v>
      </c>
      <c r="X1155" s="5" t="s">
        <v>261</v>
      </c>
      <c r="Y1155">
        <v>1</v>
      </c>
      <c r="Z1155">
        <v>0</v>
      </c>
      <c r="AA1155" t="s">
        <v>25</v>
      </c>
      <c r="AB1155" t="s">
        <v>26</v>
      </c>
      <c r="AC1155" t="s">
        <v>27</v>
      </c>
      <c r="AD1155" t="s">
        <v>28</v>
      </c>
      <c r="AE1155" t="s">
        <v>25</v>
      </c>
      <c r="AF11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0.12931034482758622</v>
      </c>
      <c r="AG1155" t="s">
        <v>941</v>
      </c>
      <c r="AH1155">
        <v>83</v>
      </c>
      <c r="AI1155" t="s">
        <v>939</v>
      </c>
      <c r="AJ1155">
        <v>1</v>
      </c>
      <c r="AK11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MIN(AJ1155/8, 1) +
  Merge1[[#This Row],[index_defensive_effort]],
  2
)</f>
        <v>0.65</v>
      </c>
    </row>
    <row r="1156" spans="1:37" x14ac:dyDescent="0.25">
      <c r="A1156" t="s">
        <v>435</v>
      </c>
      <c r="B1156" t="s">
        <v>436</v>
      </c>
      <c r="C1156">
        <v>25</v>
      </c>
      <c r="D1156" t="s">
        <v>56</v>
      </c>
      <c r="E1156">
        <v>74</v>
      </c>
      <c r="F1156">
        <v>210</v>
      </c>
      <c r="G1156" t="s">
        <v>166</v>
      </c>
      <c r="H1156">
        <v>2020</v>
      </c>
      <c r="I1156" t="s">
        <v>33</v>
      </c>
      <c r="J1156">
        <v>12</v>
      </c>
      <c r="K1156">
        <v>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0</v>
      </c>
      <c r="S1156">
        <v>60</v>
      </c>
      <c r="T1156">
        <v>60</v>
      </c>
      <c r="U1156" s="5">
        <f>IF(Merge1[[#This Row],[team_defense_snaps]]=0, "", Merge1[[#This Row],[defense_snaps]] / Merge1[[#This Row],[team_defense_snaps]])</f>
        <v>0.75</v>
      </c>
      <c r="V1156">
        <v>80</v>
      </c>
      <c r="W1156">
        <v>0</v>
      </c>
      <c r="X1156" s="5" t="s">
        <v>29</v>
      </c>
      <c r="Y1156">
        <v>1</v>
      </c>
      <c r="Z1156">
        <v>0</v>
      </c>
      <c r="AA1156" t="s">
        <v>25</v>
      </c>
      <c r="AB1156" t="s">
        <v>26</v>
      </c>
      <c r="AC1156" t="s">
        <v>27</v>
      </c>
      <c r="AD1156" t="s">
        <v>28</v>
      </c>
      <c r="AE1156" t="s">
        <v>25</v>
      </c>
      <c r="AF11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1156" t="s">
        <v>941</v>
      </c>
      <c r="AH1156">
        <v>72.5</v>
      </c>
      <c r="AI1156" t="s">
        <v>939</v>
      </c>
      <c r="AJ1156">
        <v>1</v>
      </c>
      <c r="AK11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MIN(AJ1156/8, 1) +
  Merge1[[#This Row],[index_defensive_effort]],
  2
)</f>
        <v>0.61</v>
      </c>
    </row>
    <row r="1157" spans="1:37" x14ac:dyDescent="0.25">
      <c r="A1157" t="s">
        <v>435</v>
      </c>
      <c r="B1157" t="s">
        <v>436</v>
      </c>
      <c r="C1157">
        <v>25</v>
      </c>
      <c r="D1157" t="s">
        <v>56</v>
      </c>
      <c r="E1157">
        <v>74</v>
      </c>
      <c r="F1157">
        <v>210</v>
      </c>
      <c r="G1157" t="s">
        <v>166</v>
      </c>
      <c r="H1157">
        <v>2020</v>
      </c>
      <c r="I1157" t="s">
        <v>33</v>
      </c>
      <c r="J1157">
        <v>11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15</v>
      </c>
      <c r="T1157">
        <v>13</v>
      </c>
      <c r="U1157" s="5">
        <f>IF(Merge1[[#This Row],[team_defense_snaps]]=0, "", Merge1[[#This Row],[defense_snaps]] / Merge1[[#This Row],[team_defense_snaps]])</f>
        <v>0.16666666666666666</v>
      </c>
      <c r="V1157">
        <v>78</v>
      </c>
      <c r="W1157">
        <v>2</v>
      </c>
      <c r="X1157" s="5" t="s">
        <v>167</v>
      </c>
      <c r="Y1157">
        <v>1</v>
      </c>
      <c r="Z1157">
        <v>0</v>
      </c>
      <c r="AA1157" t="s">
        <v>25</v>
      </c>
      <c r="AB1157" t="s">
        <v>26</v>
      </c>
      <c r="AC1157" t="s">
        <v>27</v>
      </c>
      <c r="AD1157" t="s">
        <v>42</v>
      </c>
      <c r="AE1157" t="s">
        <v>25</v>
      </c>
      <c r="AF11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1157" t="s">
        <v>941</v>
      </c>
      <c r="AH1157">
        <v>78.5</v>
      </c>
      <c r="AI1157" t="s">
        <v>939</v>
      </c>
      <c r="AJ1157">
        <v>1</v>
      </c>
      <c r="AK11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MIN(AJ1157/8, 1) +
  Merge1[[#This Row],[index_defensive_effort]],
  2
)</f>
        <v>0.59</v>
      </c>
    </row>
    <row r="1158" spans="1:37" x14ac:dyDescent="0.25">
      <c r="A1158" t="s">
        <v>435</v>
      </c>
      <c r="B1158" t="s">
        <v>436</v>
      </c>
      <c r="C1158">
        <v>25</v>
      </c>
      <c r="D1158" t="s">
        <v>56</v>
      </c>
      <c r="E1158">
        <v>74</v>
      </c>
      <c r="F1158">
        <v>210</v>
      </c>
      <c r="G1158" t="s">
        <v>166</v>
      </c>
      <c r="H1158">
        <v>2020</v>
      </c>
      <c r="I1158" t="s">
        <v>33</v>
      </c>
      <c r="J1158">
        <v>16</v>
      </c>
      <c r="K1158">
        <v>1</v>
      </c>
      <c r="L1158">
        <v>1</v>
      </c>
      <c r="M1158">
        <v>0</v>
      </c>
      <c r="N1158">
        <v>1</v>
      </c>
      <c r="O1158">
        <v>0</v>
      </c>
      <c r="P1158">
        <v>2</v>
      </c>
      <c r="Q1158">
        <v>0</v>
      </c>
      <c r="R1158">
        <v>0</v>
      </c>
      <c r="S1158">
        <v>24</v>
      </c>
      <c r="T1158">
        <v>16</v>
      </c>
      <c r="U1158" s="5">
        <f>IF(Merge1[[#This Row],[team_defense_snaps]]=0, "", Merge1[[#This Row],[defense_snaps]] / Merge1[[#This Row],[team_defense_snaps]])</f>
        <v>0.25</v>
      </c>
      <c r="V1158">
        <v>64</v>
      </c>
      <c r="W1158">
        <v>8</v>
      </c>
      <c r="X1158" s="5" t="s">
        <v>139</v>
      </c>
      <c r="Y1158">
        <v>1</v>
      </c>
      <c r="Z1158">
        <v>0</v>
      </c>
      <c r="AA1158" t="s">
        <v>25</v>
      </c>
      <c r="AB1158" t="s">
        <v>26</v>
      </c>
      <c r="AC1158" t="s">
        <v>27</v>
      </c>
      <c r="AD1158" t="s">
        <v>42</v>
      </c>
      <c r="AE1158" t="s">
        <v>25</v>
      </c>
      <c r="AF11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0.22916666666666666</v>
      </c>
      <c r="AG1158" t="s">
        <v>941</v>
      </c>
      <c r="AH1158">
        <v>95</v>
      </c>
      <c r="AI1158" t="s">
        <v>939</v>
      </c>
      <c r="AJ1158">
        <v>1</v>
      </c>
      <c r="AK11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MIN(AJ1158/8, 1) +
  Merge1[[#This Row],[index_defensive_effort]],
  2
)</f>
        <v>0.75</v>
      </c>
    </row>
    <row r="1159" spans="1:37" x14ac:dyDescent="0.25">
      <c r="A1159" t="s">
        <v>437</v>
      </c>
      <c r="B1159" t="s">
        <v>438</v>
      </c>
      <c r="C1159">
        <v>24</v>
      </c>
      <c r="D1159" t="s">
        <v>22</v>
      </c>
      <c r="E1159">
        <v>72</v>
      </c>
      <c r="F1159">
        <v>202</v>
      </c>
      <c r="G1159" t="s">
        <v>173</v>
      </c>
      <c r="H1159">
        <v>2020</v>
      </c>
      <c r="I1159" t="s">
        <v>33</v>
      </c>
      <c r="J1159">
        <v>1</v>
      </c>
      <c r="K1159">
        <v>2</v>
      </c>
      <c r="L1159">
        <v>5</v>
      </c>
      <c r="M1159">
        <v>0</v>
      </c>
      <c r="N1159">
        <v>5</v>
      </c>
      <c r="O1159">
        <v>0</v>
      </c>
      <c r="P1159">
        <v>0</v>
      </c>
      <c r="Q1159">
        <v>0</v>
      </c>
      <c r="R1159">
        <v>0</v>
      </c>
      <c r="S1159">
        <v>69</v>
      </c>
      <c r="T1159">
        <v>62</v>
      </c>
      <c r="U1159" s="5">
        <f>IF(Merge1[[#This Row],[team_defense_snaps]]=0, "", Merge1[[#This Row],[defense_snaps]] / Merge1[[#This Row],[team_defense_snaps]])</f>
        <v>1</v>
      </c>
      <c r="V1159">
        <v>62</v>
      </c>
      <c r="W1159">
        <v>7</v>
      </c>
      <c r="X1159" s="5" t="s">
        <v>133</v>
      </c>
      <c r="Y1159">
        <v>2</v>
      </c>
      <c r="Z1159">
        <v>0</v>
      </c>
      <c r="AA1159" t="s">
        <v>25</v>
      </c>
      <c r="AB1159" t="s">
        <v>26</v>
      </c>
      <c r="AC1159" t="s">
        <v>27</v>
      </c>
      <c r="AD1159" t="s">
        <v>42</v>
      </c>
      <c r="AE1159" t="s">
        <v>25</v>
      </c>
      <c r="AF11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6.5217391304347824E-2</v>
      </c>
      <c r="AG1159" t="s">
        <v>942</v>
      </c>
      <c r="AH1159">
        <v>73.5</v>
      </c>
      <c r="AI1159" t="s">
        <v>939</v>
      </c>
      <c r="AJ1159">
        <v>2</v>
      </c>
      <c r="AK11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MIN(AJ1159/8, 1) +
  Merge1[[#This Row],[index_defensive_effort]],
  2
)</f>
        <v>0.82</v>
      </c>
    </row>
    <row r="1160" spans="1:37" x14ac:dyDescent="0.25">
      <c r="A1160" t="s">
        <v>437</v>
      </c>
      <c r="B1160" t="s">
        <v>438</v>
      </c>
      <c r="C1160">
        <v>24</v>
      </c>
      <c r="D1160" t="s">
        <v>22</v>
      </c>
      <c r="E1160">
        <v>72</v>
      </c>
      <c r="F1160">
        <v>202</v>
      </c>
      <c r="G1160" t="s">
        <v>173</v>
      </c>
      <c r="H1160">
        <v>2020</v>
      </c>
      <c r="I1160" t="s">
        <v>33</v>
      </c>
      <c r="J1160">
        <v>2</v>
      </c>
      <c r="K1160">
        <v>4</v>
      </c>
      <c r="L1160">
        <v>1</v>
      </c>
      <c r="M1160">
        <v>0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90</v>
      </c>
      <c r="T1160">
        <v>82</v>
      </c>
      <c r="U1160" s="5">
        <f>IF(Merge1[[#This Row],[team_defense_snaps]]=0, "", Merge1[[#This Row],[defense_snaps]] / Merge1[[#This Row],[team_defense_snaps]])</f>
        <v>0.98795180722891562</v>
      </c>
      <c r="V1160">
        <v>83</v>
      </c>
      <c r="W1160">
        <v>8</v>
      </c>
      <c r="X1160" s="5" t="s">
        <v>139</v>
      </c>
      <c r="Y1160">
        <v>2</v>
      </c>
      <c r="Z1160">
        <v>0</v>
      </c>
      <c r="AA1160" t="s">
        <v>25</v>
      </c>
      <c r="AB1160" t="s">
        <v>26</v>
      </c>
      <c r="AC1160" t="s">
        <v>27</v>
      </c>
      <c r="AD1160" t="s">
        <v>42</v>
      </c>
      <c r="AE1160" t="s">
        <v>25</v>
      </c>
      <c r="AF11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1160" t="s">
        <v>942</v>
      </c>
      <c r="AH1160">
        <v>76.5</v>
      </c>
      <c r="AI1160" t="s">
        <v>939</v>
      </c>
      <c r="AJ1160">
        <v>3</v>
      </c>
      <c r="AK11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MIN(AJ1160/8, 1) +
  Merge1[[#This Row],[index_defensive_effort]],
  2
)</f>
        <v>0.93</v>
      </c>
    </row>
    <row r="1161" spans="1:37" x14ac:dyDescent="0.25">
      <c r="A1161" t="s">
        <v>437</v>
      </c>
      <c r="B1161" t="s">
        <v>438</v>
      </c>
      <c r="C1161">
        <v>24</v>
      </c>
      <c r="D1161" t="s">
        <v>22</v>
      </c>
      <c r="E1161">
        <v>72</v>
      </c>
      <c r="F1161">
        <v>202</v>
      </c>
      <c r="G1161" t="s">
        <v>173</v>
      </c>
      <c r="H1161">
        <v>2020</v>
      </c>
      <c r="I1161" t="s">
        <v>33</v>
      </c>
      <c r="J1161">
        <v>3</v>
      </c>
      <c r="K1161">
        <v>7</v>
      </c>
      <c r="L1161">
        <v>1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88</v>
      </c>
      <c r="T1161">
        <v>82</v>
      </c>
      <c r="U1161" s="5">
        <f>IF(Merge1[[#This Row],[team_defense_snaps]]=0, "", Merge1[[#This Row],[defense_snaps]] / Merge1[[#This Row],[team_defense_snaps]])</f>
        <v>0.98795180722891562</v>
      </c>
      <c r="V1161">
        <v>83</v>
      </c>
      <c r="W1161">
        <v>6</v>
      </c>
      <c r="X1161" s="5" t="s">
        <v>181</v>
      </c>
      <c r="Y1161">
        <v>2</v>
      </c>
      <c r="Z1161">
        <v>0</v>
      </c>
      <c r="AA1161" t="s">
        <v>25</v>
      </c>
      <c r="AB1161" t="s">
        <v>26</v>
      </c>
      <c r="AC1161" t="s">
        <v>27</v>
      </c>
      <c r="AD1161" t="s">
        <v>42</v>
      </c>
      <c r="AE1161" t="s">
        <v>25</v>
      </c>
      <c r="AF11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8.5227272727272721E-2</v>
      </c>
      <c r="AG1161" t="s">
        <v>942</v>
      </c>
      <c r="AH1161">
        <v>57</v>
      </c>
      <c r="AI1161" t="s">
        <v>939</v>
      </c>
      <c r="AJ1161">
        <v>4</v>
      </c>
      <c r="AK11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MIN(AJ1161/8, 1) +
  Merge1[[#This Row],[index_defensive_effort]],
  2
)</f>
        <v>1.0900000000000001</v>
      </c>
    </row>
    <row r="1162" spans="1:37" x14ac:dyDescent="0.25">
      <c r="A1162" t="s">
        <v>437</v>
      </c>
      <c r="B1162" t="s">
        <v>438</v>
      </c>
      <c r="C1162">
        <v>24</v>
      </c>
      <c r="D1162" t="s">
        <v>22</v>
      </c>
      <c r="E1162">
        <v>72</v>
      </c>
      <c r="F1162">
        <v>202</v>
      </c>
      <c r="G1162" t="s">
        <v>173</v>
      </c>
      <c r="H1162">
        <v>2020</v>
      </c>
      <c r="I1162" t="s">
        <v>33</v>
      </c>
      <c r="J1162">
        <v>4</v>
      </c>
      <c r="K1162">
        <v>3</v>
      </c>
      <c r="L1162">
        <v>1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68</v>
      </c>
      <c r="T1162">
        <v>63</v>
      </c>
      <c r="U1162" s="5">
        <f>IF(Merge1[[#This Row],[team_defense_snaps]]=0, "", Merge1[[#This Row],[defense_snaps]] / Merge1[[#This Row],[team_defense_snaps]])</f>
        <v>0.984375</v>
      </c>
      <c r="V1162">
        <v>64</v>
      </c>
      <c r="W1162">
        <v>5</v>
      </c>
      <c r="X1162" s="5" t="s">
        <v>139</v>
      </c>
      <c r="Y1162">
        <v>2</v>
      </c>
      <c r="Z1162">
        <v>0</v>
      </c>
      <c r="AA1162" t="s">
        <v>25</v>
      </c>
      <c r="AB1162" t="s">
        <v>26</v>
      </c>
      <c r="AC1162" t="s">
        <v>27</v>
      </c>
      <c r="AD1162" t="s">
        <v>42</v>
      </c>
      <c r="AE1162" t="s">
        <v>25</v>
      </c>
      <c r="AF11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5.1470588235294115E-2</v>
      </c>
      <c r="AG1162" t="s">
        <v>942</v>
      </c>
      <c r="AH1162">
        <v>78</v>
      </c>
      <c r="AI1162" t="s">
        <v>939</v>
      </c>
      <c r="AJ1162">
        <v>5</v>
      </c>
      <c r="AK11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MIN(AJ1162/8, 1) +
  Merge1[[#This Row],[index_defensive_effort]],
  2
)</f>
        <v>1.18</v>
      </c>
    </row>
    <row r="1163" spans="1:37" x14ac:dyDescent="0.25">
      <c r="A1163" t="s">
        <v>437</v>
      </c>
      <c r="B1163" t="s">
        <v>438</v>
      </c>
      <c r="C1163">
        <v>24</v>
      </c>
      <c r="D1163" t="s">
        <v>22</v>
      </c>
      <c r="E1163">
        <v>72</v>
      </c>
      <c r="F1163">
        <v>202</v>
      </c>
      <c r="G1163" t="s">
        <v>173</v>
      </c>
      <c r="H1163">
        <v>2020</v>
      </c>
      <c r="I1163" t="s">
        <v>33</v>
      </c>
      <c r="J1163">
        <v>5</v>
      </c>
      <c r="K1163">
        <v>5</v>
      </c>
      <c r="L1163">
        <v>3</v>
      </c>
      <c r="M1163">
        <v>2</v>
      </c>
      <c r="N1163">
        <v>5</v>
      </c>
      <c r="O1163">
        <v>0</v>
      </c>
      <c r="P1163">
        <v>0</v>
      </c>
      <c r="Q1163">
        <v>0</v>
      </c>
      <c r="R1163">
        <v>0</v>
      </c>
      <c r="S1163">
        <v>63</v>
      </c>
      <c r="T1163">
        <v>55</v>
      </c>
      <c r="U1163" s="5">
        <f>IF(Merge1[[#This Row],[team_defense_snaps]]=0, "", Merge1[[#This Row],[defense_snaps]] / Merge1[[#This Row],[team_defense_snaps]])</f>
        <v>0.83333333333333337</v>
      </c>
      <c r="V1163">
        <v>66</v>
      </c>
      <c r="W1163">
        <v>8</v>
      </c>
      <c r="X1163" s="5" t="s">
        <v>314</v>
      </c>
      <c r="Y1163">
        <v>2</v>
      </c>
      <c r="Z1163">
        <v>0</v>
      </c>
      <c r="AA1163" t="s">
        <v>25</v>
      </c>
      <c r="AB1163" t="s">
        <v>26</v>
      </c>
      <c r="AC1163" t="s">
        <v>27</v>
      </c>
      <c r="AD1163" t="s">
        <v>42</v>
      </c>
      <c r="AE1163" t="s">
        <v>25</v>
      </c>
      <c r="AF11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0.11904761904761904</v>
      </c>
      <c r="AG1163" t="s">
        <v>942</v>
      </c>
      <c r="AH1163">
        <v>55.5</v>
      </c>
      <c r="AI1163" t="s">
        <v>939</v>
      </c>
      <c r="AJ1163">
        <v>6</v>
      </c>
      <c r="AK11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MIN(AJ1163/8, 1) +
  Merge1[[#This Row],[index_defensive_effort]],
  2
)</f>
        <v>1.37</v>
      </c>
    </row>
    <row r="1164" spans="1:37" x14ac:dyDescent="0.25">
      <c r="A1164" t="s">
        <v>437</v>
      </c>
      <c r="B1164" t="s">
        <v>438</v>
      </c>
      <c r="C1164">
        <v>24</v>
      </c>
      <c r="D1164" t="s">
        <v>22</v>
      </c>
      <c r="E1164">
        <v>72</v>
      </c>
      <c r="F1164">
        <v>202</v>
      </c>
      <c r="G1164" t="s">
        <v>173</v>
      </c>
      <c r="H1164">
        <v>2020</v>
      </c>
      <c r="I1164" t="s">
        <v>33</v>
      </c>
      <c r="J1164">
        <v>6</v>
      </c>
      <c r="K1164">
        <v>2</v>
      </c>
      <c r="L1164">
        <v>2</v>
      </c>
      <c r="M1164">
        <v>0</v>
      </c>
      <c r="N1164">
        <v>2</v>
      </c>
      <c r="O1164">
        <v>0</v>
      </c>
      <c r="P1164">
        <v>0</v>
      </c>
      <c r="Q1164">
        <v>0</v>
      </c>
      <c r="R1164">
        <v>0</v>
      </c>
      <c r="S1164">
        <v>45</v>
      </c>
      <c r="T1164">
        <v>38</v>
      </c>
      <c r="U1164" s="5">
        <f>IF(Merge1[[#This Row],[team_defense_snaps]]=0, "", Merge1[[#This Row],[defense_snaps]] / Merge1[[#This Row],[team_defense_snaps]])</f>
        <v>0.6785714285714286</v>
      </c>
      <c r="V1164">
        <v>56</v>
      </c>
      <c r="W1164">
        <v>7</v>
      </c>
      <c r="X1164" s="5" t="s">
        <v>135</v>
      </c>
      <c r="Y1164">
        <v>2</v>
      </c>
      <c r="Z1164">
        <v>0</v>
      </c>
      <c r="AA1164" t="s">
        <v>25</v>
      </c>
      <c r="AB1164" t="s">
        <v>26</v>
      </c>
      <c r="AC1164" t="s">
        <v>27</v>
      </c>
      <c r="AD1164" t="s">
        <v>28</v>
      </c>
      <c r="AE1164" t="s">
        <v>25</v>
      </c>
      <c r="AF11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1164" t="s">
        <v>942</v>
      </c>
      <c r="AH1164">
        <v>72</v>
      </c>
      <c r="AI1164" t="s">
        <v>939</v>
      </c>
      <c r="AJ1164">
        <v>7</v>
      </c>
      <c r="AK11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MIN(AJ1164/8, 1) +
  Merge1[[#This Row],[index_defensive_effort]],
  2
)</f>
        <v>1.44</v>
      </c>
    </row>
    <row r="1165" spans="1:37" x14ac:dyDescent="0.25">
      <c r="A1165" t="s">
        <v>437</v>
      </c>
      <c r="B1165" t="s">
        <v>438</v>
      </c>
      <c r="C1165">
        <v>24</v>
      </c>
      <c r="D1165" t="s">
        <v>22</v>
      </c>
      <c r="E1165">
        <v>72</v>
      </c>
      <c r="F1165">
        <v>202</v>
      </c>
      <c r="G1165" t="s">
        <v>173</v>
      </c>
      <c r="H1165">
        <v>2020</v>
      </c>
      <c r="I1165" t="s">
        <v>33</v>
      </c>
      <c r="J1165">
        <v>7</v>
      </c>
      <c r="K1165">
        <v>2</v>
      </c>
      <c r="L1165">
        <v>2</v>
      </c>
      <c r="M1165">
        <v>0</v>
      </c>
      <c r="N1165">
        <v>2</v>
      </c>
      <c r="O1165">
        <v>0</v>
      </c>
      <c r="P1165">
        <v>1</v>
      </c>
      <c r="Q1165">
        <v>0</v>
      </c>
      <c r="R1165">
        <v>0</v>
      </c>
      <c r="S1165">
        <v>53</v>
      </c>
      <c r="T1165">
        <v>44</v>
      </c>
      <c r="U1165" s="5">
        <f>IF(Merge1[[#This Row],[team_defense_snaps]]=0, "", Merge1[[#This Row],[defense_snaps]] / Merge1[[#This Row],[team_defense_snaps]])</f>
        <v>0.72131147540983609</v>
      </c>
      <c r="V1165">
        <v>61</v>
      </c>
      <c r="W1165">
        <v>9</v>
      </c>
      <c r="X1165" s="5" t="s">
        <v>57</v>
      </c>
      <c r="Y1165">
        <v>2</v>
      </c>
      <c r="Z1165">
        <v>0</v>
      </c>
      <c r="AA1165" t="s">
        <v>25</v>
      </c>
      <c r="AB1165" t="s">
        <v>26</v>
      </c>
      <c r="AC1165" t="s">
        <v>27</v>
      </c>
      <c r="AD1165" t="s">
        <v>42</v>
      </c>
      <c r="AE1165" t="s">
        <v>25</v>
      </c>
      <c r="AF11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9.4339622641509441E-2</v>
      </c>
      <c r="AG1165" t="s">
        <v>942</v>
      </c>
      <c r="AH1165">
        <v>60</v>
      </c>
      <c r="AI1165" t="s">
        <v>939</v>
      </c>
      <c r="AJ1165">
        <v>8</v>
      </c>
      <c r="AK11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MIN(AJ1165/8, 1) +
  Merge1[[#This Row],[index_defensive_effort]],
  2
)</f>
        <v>1.59</v>
      </c>
    </row>
    <row r="1166" spans="1:37" x14ac:dyDescent="0.25">
      <c r="A1166" t="s">
        <v>437</v>
      </c>
      <c r="B1166" t="s">
        <v>438</v>
      </c>
      <c r="C1166">
        <v>24</v>
      </c>
      <c r="D1166" t="s">
        <v>22</v>
      </c>
      <c r="E1166">
        <v>72</v>
      </c>
      <c r="F1166">
        <v>202</v>
      </c>
      <c r="G1166" t="s">
        <v>173</v>
      </c>
      <c r="H1166">
        <v>2020</v>
      </c>
      <c r="I1166" t="s">
        <v>33</v>
      </c>
      <c r="J1166">
        <v>8</v>
      </c>
      <c r="K1166">
        <v>6</v>
      </c>
      <c r="L1166">
        <v>0</v>
      </c>
      <c r="M1166">
        <v>0</v>
      </c>
      <c r="N1166">
        <v>0</v>
      </c>
      <c r="O1166">
        <v>4</v>
      </c>
      <c r="P1166">
        <v>5</v>
      </c>
      <c r="Q1166">
        <v>0</v>
      </c>
      <c r="R1166">
        <v>0</v>
      </c>
      <c r="S1166">
        <v>51</v>
      </c>
      <c r="T1166">
        <v>46</v>
      </c>
      <c r="U1166" s="5">
        <f>IF(Merge1[[#This Row],[team_defense_snaps]]=0, "", Merge1[[#This Row],[defense_snaps]] / Merge1[[#This Row],[team_defense_snaps]])</f>
        <v>0.85185185185185186</v>
      </c>
      <c r="V1166">
        <v>54</v>
      </c>
      <c r="W1166">
        <v>5</v>
      </c>
      <c r="X1166" s="5" t="s">
        <v>139</v>
      </c>
      <c r="Y1166">
        <v>2</v>
      </c>
      <c r="Z1166">
        <v>0</v>
      </c>
      <c r="AA1166" t="s">
        <v>25</v>
      </c>
      <c r="AB1166" t="s">
        <v>26</v>
      </c>
      <c r="AC1166" t="s">
        <v>27</v>
      </c>
      <c r="AD1166" t="s">
        <v>42</v>
      </c>
      <c r="AE1166" t="s">
        <v>25</v>
      </c>
      <c r="AF11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0.5490196078431373</v>
      </c>
      <c r="AG1166" t="s">
        <v>942</v>
      </c>
      <c r="AH1166">
        <v>54</v>
      </c>
      <c r="AI1166" t="s">
        <v>939</v>
      </c>
      <c r="AJ1166">
        <v>9</v>
      </c>
      <c r="AK11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MIN(AJ1166/8, 1) +
  Merge1[[#This Row],[index_defensive_effort]],
  2
)</f>
        <v>2.0499999999999998</v>
      </c>
    </row>
    <row r="1167" spans="1:37" x14ac:dyDescent="0.25">
      <c r="A1167" t="s">
        <v>437</v>
      </c>
      <c r="B1167" t="s">
        <v>438</v>
      </c>
      <c r="C1167">
        <v>24</v>
      </c>
      <c r="D1167" t="s">
        <v>22</v>
      </c>
      <c r="E1167">
        <v>72</v>
      </c>
      <c r="F1167">
        <v>202</v>
      </c>
      <c r="G1167" t="s">
        <v>173</v>
      </c>
      <c r="H1167">
        <v>2020</v>
      </c>
      <c r="I1167" t="s">
        <v>33</v>
      </c>
      <c r="J1167">
        <v>9</v>
      </c>
      <c r="K1167">
        <v>4</v>
      </c>
      <c r="L1167">
        <v>0</v>
      </c>
      <c r="M1167">
        <v>0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46</v>
      </c>
      <c r="T1167">
        <v>35</v>
      </c>
      <c r="U1167" s="5">
        <f>IF(Merge1[[#This Row],[team_defense_snaps]]=0, "", Merge1[[#This Row],[defense_snaps]] / Merge1[[#This Row],[team_defense_snaps]])</f>
        <v>0.35</v>
      </c>
      <c r="V1167">
        <v>100</v>
      </c>
      <c r="W1167">
        <v>11</v>
      </c>
      <c r="X1167" s="5" t="s">
        <v>123</v>
      </c>
      <c r="Y1167">
        <v>2</v>
      </c>
      <c r="Z1167">
        <v>0</v>
      </c>
      <c r="AA1167" t="s">
        <v>25</v>
      </c>
      <c r="AB1167" t="s">
        <v>26</v>
      </c>
      <c r="AC1167" t="s">
        <v>27</v>
      </c>
      <c r="AD1167" t="s">
        <v>42</v>
      </c>
      <c r="AE1167" t="s">
        <v>25</v>
      </c>
      <c r="AF11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0.13043478260869565</v>
      </c>
      <c r="AG1167" t="s">
        <v>942</v>
      </c>
      <c r="AH1167">
        <v>58.5</v>
      </c>
      <c r="AI1167" t="s">
        <v>939</v>
      </c>
      <c r="AJ1167">
        <v>1</v>
      </c>
      <c r="AK11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MIN(AJ1167/8, 1) +
  Merge1[[#This Row],[index_defensive_effort]],
  2
)</f>
        <v>0.76</v>
      </c>
    </row>
    <row r="1168" spans="1:37" x14ac:dyDescent="0.25">
      <c r="A1168" t="s">
        <v>437</v>
      </c>
      <c r="B1168" t="s">
        <v>438</v>
      </c>
      <c r="C1168">
        <v>24</v>
      </c>
      <c r="D1168" t="s">
        <v>22</v>
      </c>
      <c r="E1168">
        <v>72</v>
      </c>
      <c r="F1168">
        <v>202</v>
      </c>
      <c r="G1168" t="s">
        <v>173</v>
      </c>
      <c r="H1168">
        <v>2020</v>
      </c>
      <c r="I1168" t="s">
        <v>33</v>
      </c>
      <c r="J1168">
        <v>11</v>
      </c>
      <c r="K1168">
        <v>0</v>
      </c>
      <c r="L1168">
        <v>1</v>
      </c>
      <c r="M1168">
        <v>0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33</v>
      </c>
      <c r="T1168">
        <v>25</v>
      </c>
      <c r="U1168" s="5">
        <f>IF(Merge1[[#This Row],[team_defense_snaps]]=0, "", Merge1[[#This Row],[defense_snaps]] / Merge1[[#This Row],[team_defense_snaps]])</f>
        <v>0.36764705882352944</v>
      </c>
      <c r="V1168">
        <v>68</v>
      </c>
      <c r="W1168">
        <v>8</v>
      </c>
      <c r="X1168" s="5" t="s">
        <v>314</v>
      </c>
      <c r="Y1168">
        <v>2</v>
      </c>
      <c r="Z1168">
        <v>0</v>
      </c>
      <c r="AA1168" t="s">
        <v>25</v>
      </c>
      <c r="AB1168" t="s">
        <v>26</v>
      </c>
      <c r="AC1168" t="s">
        <v>27</v>
      </c>
      <c r="AD1168" t="s">
        <v>28</v>
      </c>
      <c r="AE1168" t="s">
        <v>25</v>
      </c>
      <c r="AF11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1.5151515151515152E-2</v>
      </c>
      <c r="AG1168" t="s">
        <v>942</v>
      </c>
      <c r="AH1168">
        <v>69</v>
      </c>
      <c r="AI1168" t="s">
        <v>939</v>
      </c>
      <c r="AJ1168">
        <v>2</v>
      </c>
      <c r="AK11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MIN(AJ1168/8, 1) +
  Merge1[[#This Row],[index_defensive_effort]],
  2
)</f>
        <v>0.77</v>
      </c>
    </row>
    <row r="1169" spans="1:37" x14ac:dyDescent="0.25">
      <c r="A1169" t="s">
        <v>437</v>
      </c>
      <c r="B1169" t="s">
        <v>438</v>
      </c>
      <c r="C1169">
        <v>24</v>
      </c>
      <c r="D1169" t="s">
        <v>22</v>
      </c>
      <c r="E1169">
        <v>72</v>
      </c>
      <c r="F1169">
        <v>202</v>
      </c>
      <c r="G1169" t="s">
        <v>173</v>
      </c>
      <c r="H1169">
        <v>2020</v>
      </c>
      <c r="I1169" t="s">
        <v>33</v>
      </c>
      <c r="J1169">
        <v>12</v>
      </c>
      <c r="K1169">
        <v>1</v>
      </c>
      <c r="L1169">
        <v>2</v>
      </c>
      <c r="M1169">
        <v>0</v>
      </c>
      <c r="N1169">
        <v>2</v>
      </c>
      <c r="O1169">
        <v>0</v>
      </c>
      <c r="P1169">
        <v>0</v>
      </c>
      <c r="Q1169">
        <v>0</v>
      </c>
      <c r="R1169">
        <v>0</v>
      </c>
      <c r="S1169">
        <v>43</v>
      </c>
      <c r="T1169">
        <v>38</v>
      </c>
      <c r="U1169" s="5">
        <f>IF(Merge1[[#This Row],[team_defense_snaps]]=0, "", Merge1[[#This Row],[defense_snaps]] / Merge1[[#This Row],[team_defense_snaps]])</f>
        <v>0.60317460317460314</v>
      </c>
      <c r="V1169">
        <v>63</v>
      </c>
      <c r="W1169">
        <v>5</v>
      </c>
      <c r="X1169" s="5" t="s">
        <v>168</v>
      </c>
      <c r="Y1169">
        <v>2</v>
      </c>
      <c r="Z1169">
        <v>0</v>
      </c>
      <c r="AA1169" t="s">
        <v>25</v>
      </c>
      <c r="AB1169" t="s">
        <v>26</v>
      </c>
      <c r="AC1169" t="s">
        <v>27</v>
      </c>
      <c r="AD1169" t="s">
        <v>28</v>
      </c>
      <c r="AE1169" t="s">
        <v>25</v>
      </c>
      <c r="AF11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4.6511627906976744E-2</v>
      </c>
      <c r="AG1169" t="s">
        <v>942</v>
      </c>
      <c r="AH1169">
        <v>61.5</v>
      </c>
      <c r="AI1169" t="s">
        <v>939</v>
      </c>
      <c r="AJ1169">
        <v>3</v>
      </c>
      <c r="AK11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MIN(AJ1169/8, 1) +
  Merge1[[#This Row],[index_defensive_effort]],
  2
)</f>
        <v>0.92</v>
      </c>
    </row>
    <row r="1170" spans="1:37" x14ac:dyDescent="0.25">
      <c r="A1170" t="s">
        <v>437</v>
      </c>
      <c r="B1170" t="s">
        <v>438</v>
      </c>
      <c r="C1170">
        <v>24</v>
      </c>
      <c r="D1170" t="s">
        <v>22</v>
      </c>
      <c r="E1170">
        <v>72</v>
      </c>
      <c r="F1170">
        <v>202</v>
      </c>
      <c r="G1170" t="s">
        <v>173</v>
      </c>
      <c r="H1170">
        <v>2020</v>
      </c>
      <c r="I1170" t="s">
        <v>33</v>
      </c>
      <c r="J1170">
        <v>13</v>
      </c>
      <c r="K1170">
        <v>3</v>
      </c>
      <c r="L1170">
        <v>2</v>
      </c>
      <c r="M1170">
        <v>0</v>
      </c>
      <c r="N1170">
        <v>2</v>
      </c>
      <c r="O1170">
        <v>0</v>
      </c>
      <c r="P1170">
        <v>1</v>
      </c>
      <c r="Q1170">
        <v>0</v>
      </c>
      <c r="R1170">
        <v>0</v>
      </c>
      <c r="S1170">
        <v>56</v>
      </c>
      <c r="T1170">
        <v>49</v>
      </c>
      <c r="U1170" s="5">
        <f>IF(Merge1[[#This Row],[team_defense_snaps]]=0, "", Merge1[[#This Row],[defense_snaps]] / Merge1[[#This Row],[team_defense_snaps]])</f>
        <v>0.62820512820512819</v>
      </c>
      <c r="V1170">
        <v>78</v>
      </c>
      <c r="W1170">
        <v>7</v>
      </c>
      <c r="X1170" s="5" t="s">
        <v>136</v>
      </c>
      <c r="Y1170">
        <v>2</v>
      </c>
      <c r="Z1170">
        <v>0</v>
      </c>
      <c r="AA1170" t="s">
        <v>25</v>
      </c>
      <c r="AB1170" t="s">
        <v>26</v>
      </c>
      <c r="AC1170" t="s">
        <v>27</v>
      </c>
      <c r="AD1170" t="s">
        <v>28</v>
      </c>
      <c r="AE1170" t="s">
        <v>25</v>
      </c>
      <c r="AF11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0.10714285714285714</v>
      </c>
      <c r="AG1170" t="s">
        <v>942</v>
      </c>
      <c r="AH1170">
        <v>75</v>
      </c>
      <c r="AI1170" t="s">
        <v>939</v>
      </c>
      <c r="AJ1170">
        <v>4</v>
      </c>
      <c r="AK11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MIN(AJ1170/8, 1) +
  Merge1[[#This Row],[index_defensive_effort]],
  2
)</f>
        <v>1.1100000000000001</v>
      </c>
    </row>
    <row r="1171" spans="1:37" x14ac:dyDescent="0.25">
      <c r="A1171" t="s">
        <v>437</v>
      </c>
      <c r="B1171" t="s">
        <v>438</v>
      </c>
      <c r="C1171">
        <v>24</v>
      </c>
      <c r="D1171" t="s">
        <v>22</v>
      </c>
      <c r="E1171">
        <v>72</v>
      </c>
      <c r="F1171">
        <v>202</v>
      </c>
      <c r="G1171" t="s">
        <v>173</v>
      </c>
      <c r="H1171">
        <v>2020</v>
      </c>
      <c r="I1171" t="s">
        <v>33</v>
      </c>
      <c r="J1171">
        <v>14</v>
      </c>
      <c r="K1171">
        <v>4</v>
      </c>
      <c r="L1171">
        <v>1</v>
      </c>
      <c r="M1171">
        <v>0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64</v>
      </c>
      <c r="T1171">
        <v>57</v>
      </c>
      <c r="U1171" s="5">
        <f>IF(Merge1[[#This Row],[team_defense_snaps]]=0, "", Merge1[[#This Row],[defense_snaps]] / Merge1[[#This Row],[team_defense_snaps]])</f>
        <v>0.78082191780821919</v>
      </c>
      <c r="V1171">
        <v>73</v>
      </c>
      <c r="W1171">
        <v>7</v>
      </c>
      <c r="X1171" s="5" t="s">
        <v>123</v>
      </c>
      <c r="Y1171">
        <v>2</v>
      </c>
      <c r="Z1171">
        <v>0</v>
      </c>
      <c r="AA1171" t="s">
        <v>25</v>
      </c>
      <c r="AB1171" t="s">
        <v>26</v>
      </c>
      <c r="AC1171" t="s">
        <v>27</v>
      </c>
      <c r="AD1171" t="s">
        <v>42</v>
      </c>
      <c r="AE1171" t="s">
        <v>25</v>
      </c>
      <c r="AF11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7.03125E-2</v>
      </c>
      <c r="AG1171" t="s">
        <v>942</v>
      </c>
      <c r="AH1171">
        <v>63</v>
      </c>
      <c r="AI1171" t="s">
        <v>939</v>
      </c>
      <c r="AJ1171">
        <v>5</v>
      </c>
      <c r="AK11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MIN(AJ1171/8, 1) +
  Merge1[[#This Row],[index_defensive_effort]],
  2
)</f>
        <v>1.2</v>
      </c>
    </row>
    <row r="1172" spans="1:37" x14ac:dyDescent="0.25">
      <c r="A1172" t="s">
        <v>437</v>
      </c>
      <c r="B1172" t="s">
        <v>438</v>
      </c>
      <c r="C1172">
        <v>24</v>
      </c>
      <c r="D1172" t="s">
        <v>22</v>
      </c>
      <c r="E1172">
        <v>72</v>
      </c>
      <c r="F1172">
        <v>202</v>
      </c>
      <c r="G1172" t="s">
        <v>173</v>
      </c>
      <c r="H1172">
        <v>2020</v>
      </c>
      <c r="I1172" t="s">
        <v>33</v>
      </c>
      <c r="J1172">
        <v>15</v>
      </c>
      <c r="K1172">
        <v>6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2</v>
      </c>
      <c r="S1172">
        <v>46</v>
      </c>
      <c r="T1172">
        <v>39</v>
      </c>
      <c r="U1172" s="5">
        <f>IF(Merge1[[#This Row],[team_defense_snaps]]=0, "", Merge1[[#This Row],[defense_snaps]] / Merge1[[#This Row],[team_defense_snaps]])</f>
        <v>0.54929577464788737</v>
      </c>
      <c r="V1172">
        <v>71</v>
      </c>
      <c r="W1172">
        <v>7</v>
      </c>
      <c r="X1172" s="5" t="s">
        <v>293</v>
      </c>
      <c r="Y1172">
        <v>2</v>
      </c>
      <c r="Z1172">
        <v>0</v>
      </c>
      <c r="AA1172" t="s">
        <v>25</v>
      </c>
      <c r="AB1172" t="s">
        <v>26</v>
      </c>
      <c r="AC1172" t="s">
        <v>27</v>
      </c>
      <c r="AD1172" t="s">
        <v>42</v>
      </c>
      <c r="AE1172" t="s">
        <v>25</v>
      </c>
      <c r="AF11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0.21739130434782608</v>
      </c>
      <c r="AG1172" t="s">
        <v>942</v>
      </c>
      <c r="AH1172">
        <v>67.5</v>
      </c>
      <c r="AI1172" t="s">
        <v>939</v>
      </c>
      <c r="AJ1172">
        <v>6</v>
      </c>
      <c r="AK11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MIN(AJ1172/8, 1) +
  Merge1[[#This Row],[index_defensive_effort]],
  2
)</f>
        <v>1.47</v>
      </c>
    </row>
    <row r="1173" spans="1:37" x14ac:dyDescent="0.25">
      <c r="A1173" t="s">
        <v>437</v>
      </c>
      <c r="B1173" t="s">
        <v>438</v>
      </c>
      <c r="C1173">
        <v>24</v>
      </c>
      <c r="D1173" t="s">
        <v>22</v>
      </c>
      <c r="E1173">
        <v>72</v>
      </c>
      <c r="F1173">
        <v>202</v>
      </c>
      <c r="G1173" t="s">
        <v>173</v>
      </c>
      <c r="H1173">
        <v>2020</v>
      </c>
      <c r="I1173" t="s">
        <v>33</v>
      </c>
      <c r="J1173">
        <v>16</v>
      </c>
      <c r="K1173">
        <v>3</v>
      </c>
      <c r="L1173">
        <v>0</v>
      </c>
      <c r="M1173">
        <v>0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62</v>
      </c>
      <c r="T1173">
        <v>55</v>
      </c>
      <c r="U1173" s="5">
        <f>IF(Merge1[[#This Row],[team_defense_snaps]]=0, "", Merge1[[#This Row],[defense_snaps]] / Merge1[[#This Row],[team_defense_snaps]])</f>
        <v>0.82089552238805974</v>
      </c>
      <c r="V1173">
        <v>67</v>
      </c>
      <c r="W1173">
        <v>7</v>
      </c>
      <c r="X1173" s="5" t="s">
        <v>108</v>
      </c>
      <c r="Y1173">
        <v>2</v>
      </c>
      <c r="Z1173">
        <v>0</v>
      </c>
      <c r="AA1173" t="s">
        <v>25</v>
      </c>
      <c r="AB1173" t="s">
        <v>26</v>
      </c>
      <c r="AC1173" t="s">
        <v>27</v>
      </c>
      <c r="AD1173" t="s">
        <v>42</v>
      </c>
      <c r="AE1173" t="s">
        <v>25</v>
      </c>
      <c r="AF11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8.0645161290322578E-2</v>
      </c>
      <c r="AG1173" t="s">
        <v>942</v>
      </c>
      <c r="AH1173">
        <v>66</v>
      </c>
      <c r="AI1173" t="s">
        <v>939</v>
      </c>
      <c r="AJ1173">
        <v>7</v>
      </c>
      <c r="AK11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MIN(AJ1173/8, 1) +
  Merge1[[#This Row],[index_defensive_effort]],
  2
)</f>
        <v>1.46</v>
      </c>
    </row>
    <row r="1174" spans="1:37" x14ac:dyDescent="0.25">
      <c r="A1174" t="s">
        <v>437</v>
      </c>
      <c r="B1174" t="s">
        <v>438</v>
      </c>
      <c r="C1174">
        <v>24</v>
      </c>
      <c r="D1174" t="s">
        <v>22</v>
      </c>
      <c r="E1174">
        <v>72</v>
      </c>
      <c r="F1174">
        <v>202</v>
      </c>
      <c r="G1174" t="s">
        <v>173</v>
      </c>
      <c r="H1174">
        <v>2020</v>
      </c>
      <c r="I1174" t="s">
        <v>33</v>
      </c>
      <c r="J1174">
        <v>17</v>
      </c>
      <c r="K1174">
        <v>3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68</v>
      </c>
      <c r="T1174">
        <v>60</v>
      </c>
      <c r="U1174" s="5">
        <f>IF(Merge1[[#This Row],[team_defense_snaps]]=0, "", Merge1[[#This Row],[defense_snaps]] / Merge1[[#This Row],[team_defense_snaps]])</f>
        <v>0.86956521739130432</v>
      </c>
      <c r="V1174">
        <v>69</v>
      </c>
      <c r="W1174">
        <v>8</v>
      </c>
      <c r="X1174" s="5" t="s">
        <v>113</v>
      </c>
      <c r="Y1174">
        <v>2</v>
      </c>
      <c r="Z1174">
        <v>0</v>
      </c>
      <c r="AA1174" t="s">
        <v>25</v>
      </c>
      <c r="AB1174" t="s">
        <v>26</v>
      </c>
      <c r="AC1174" t="s">
        <v>27</v>
      </c>
      <c r="AD1174" t="s">
        <v>42</v>
      </c>
      <c r="AE1174" t="s">
        <v>25</v>
      </c>
      <c r="AF11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4.4117647058823532E-2</v>
      </c>
      <c r="AG1174" t="s">
        <v>942</v>
      </c>
      <c r="AH1174">
        <v>70.5</v>
      </c>
      <c r="AI1174" t="s">
        <v>938</v>
      </c>
      <c r="AJ1174">
        <v>1</v>
      </c>
      <c r="AK11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MIN(AJ1174/8, 1) +
  Merge1[[#This Row],[index_defensive_effort]],
  2
)</f>
        <v>0.67</v>
      </c>
    </row>
    <row r="1175" spans="1:37" x14ac:dyDescent="0.25">
      <c r="A1175" t="s">
        <v>439</v>
      </c>
      <c r="B1175" t="s">
        <v>440</v>
      </c>
      <c r="C1175">
        <v>22</v>
      </c>
      <c r="D1175" t="s">
        <v>56</v>
      </c>
      <c r="E1175">
        <v>70</v>
      </c>
      <c r="F1175">
        <v>176</v>
      </c>
      <c r="G1175" t="s">
        <v>424</v>
      </c>
      <c r="H1175">
        <v>2020</v>
      </c>
      <c r="I1175" t="s">
        <v>33</v>
      </c>
      <c r="J1175">
        <v>2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25</v>
      </c>
      <c r="T1175">
        <v>18</v>
      </c>
      <c r="U1175" s="5">
        <f>IF(Merge1[[#This Row],[team_defense_snaps]]=0, "", Merge1[[#This Row],[defense_snaps]] / Merge1[[#This Row],[team_defense_snaps]])</f>
        <v>0.32727272727272727</v>
      </c>
      <c r="V1175">
        <v>55</v>
      </c>
      <c r="W1175">
        <v>7</v>
      </c>
      <c r="X1175" s="5" t="s">
        <v>261</v>
      </c>
      <c r="Y1175">
        <v>0</v>
      </c>
      <c r="Z1175">
        <v>0</v>
      </c>
      <c r="AA1175" t="s">
        <v>25</v>
      </c>
      <c r="AB1175" t="s">
        <v>36</v>
      </c>
      <c r="AC1175" t="s">
        <v>63</v>
      </c>
      <c r="AD1175" t="s">
        <v>28</v>
      </c>
      <c r="AE1175" t="s">
        <v>25</v>
      </c>
      <c r="AF11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0.04</v>
      </c>
      <c r="AG1175" t="s">
        <v>942</v>
      </c>
      <c r="AH1175">
        <v>70.5</v>
      </c>
      <c r="AI1175" t="s">
        <v>939</v>
      </c>
      <c r="AJ1175">
        <v>2</v>
      </c>
      <c r="AK11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MIN(AJ1175/8, 1) +
  Merge1[[#This Row],[index_defensive_effort]],
  2
)</f>
        <v>0.69</v>
      </c>
    </row>
    <row r="1176" spans="1:37" x14ac:dyDescent="0.25">
      <c r="A1176" t="s">
        <v>439</v>
      </c>
      <c r="B1176" t="s">
        <v>440</v>
      </c>
      <c r="C1176">
        <v>22</v>
      </c>
      <c r="D1176" t="s">
        <v>56</v>
      </c>
      <c r="E1176">
        <v>70</v>
      </c>
      <c r="F1176">
        <v>176</v>
      </c>
      <c r="G1176" t="s">
        <v>424</v>
      </c>
      <c r="H1176">
        <v>2020</v>
      </c>
      <c r="I1176" t="s">
        <v>33</v>
      </c>
      <c r="J1176">
        <v>3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16</v>
      </c>
      <c r="T1176">
        <v>11</v>
      </c>
      <c r="U1176" s="5">
        <f>IF(Merge1[[#This Row],[team_defense_snaps]]=0, "", Merge1[[#This Row],[defense_snaps]] / Merge1[[#This Row],[team_defense_snaps]])</f>
        <v>0.16923076923076924</v>
      </c>
      <c r="V1176">
        <v>65</v>
      </c>
      <c r="W1176">
        <v>5</v>
      </c>
      <c r="X1176" s="5" t="s">
        <v>59</v>
      </c>
      <c r="Y1176">
        <v>0</v>
      </c>
      <c r="Z1176">
        <v>0</v>
      </c>
      <c r="AA1176" t="s">
        <v>25</v>
      </c>
      <c r="AB1176" t="s">
        <v>26</v>
      </c>
      <c r="AC1176" t="s">
        <v>27</v>
      </c>
      <c r="AD1176" t="s">
        <v>28</v>
      </c>
      <c r="AE1176" t="s">
        <v>25</v>
      </c>
      <c r="AF11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1176" t="s">
        <v>942</v>
      </c>
      <c r="AH1176">
        <v>52.5</v>
      </c>
      <c r="AI1176" t="s">
        <v>939</v>
      </c>
      <c r="AJ1176">
        <v>3</v>
      </c>
      <c r="AK11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MIN(AJ1176/8, 1) +
  Merge1[[#This Row],[index_defensive_effort]],
  2
)</f>
        <v>0.84</v>
      </c>
    </row>
    <row r="1177" spans="1:37" x14ac:dyDescent="0.25">
      <c r="A1177" t="s">
        <v>439</v>
      </c>
      <c r="B1177" t="s">
        <v>440</v>
      </c>
      <c r="C1177">
        <v>22</v>
      </c>
      <c r="D1177" t="s">
        <v>56</v>
      </c>
      <c r="E1177">
        <v>70</v>
      </c>
      <c r="F1177">
        <v>176</v>
      </c>
      <c r="G1177" t="s">
        <v>424</v>
      </c>
      <c r="H1177">
        <v>2020</v>
      </c>
      <c r="I1177" t="s">
        <v>33</v>
      </c>
      <c r="J1177">
        <v>4</v>
      </c>
      <c r="K1177">
        <v>1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10</v>
      </c>
      <c r="T1177">
        <v>7</v>
      </c>
      <c r="U1177" s="5">
        <f>IF(Merge1[[#This Row],[team_defense_snaps]]=0, "", Merge1[[#This Row],[defense_snaps]] / Merge1[[#This Row],[team_defense_snaps]])</f>
        <v>0.109375</v>
      </c>
      <c r="V1177">
        <v>64</v>
      </c>
      <c r="W1177">
        <v>3</v>
      </c>
      <c r="X1177" s="5" t="s">
        <v>35</v>
      </c>
      <c r="Y1177">
        <v>0</v>
      </c>
      <c r="Z1177">
        <v>0</v>
      </c>
      <c r="AA1177" t="s">
        <v>25</v>
      </c>
      <c r="AB1177" t="s">
        <v>26</v>
      </c>
      <c r="AC1177" t="s">
        <v>27</v>
      </c>
      <c r="AD1177" t="s">
        <v>28</v>
      </c>
      <c r="AE1177" t="s">
        <v>25</v>
      </c>
      <c r="AF11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1177" t="s">
        <v>942</v>
      </c>
      <c r="AH1177">
        <v>69</v>
      </c>
      <c r="AI1177" t="s">
        <v>939</v>
      </c>
      <c r="AJ1177">
        <v>1</v>
      </c>
      <c r="AK11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MIN(AJ1177/8, 1) +
  Merge1[[#This Row],[index_defensive_effort]],
  2
)</f>
        <v>0.63</v>
      </c>
    </row>
    <row r="1178" spans="1:37" x14ac:dyDescent="0.25">
      <c r="A1178" t="s">
        <v>439</v>
      </c>
      <c r="B1178" t="s">
        <v>440</v>
      </c>
      <c r="C1178">
        <v>22</v>
      </c>
      <c r="D1178" t="s">
        <v>56</v>
      </c>
      <c r="E1178">
        <v>70</v>
      </c>
      <c r="F1178">
        <v>176</v>
      </c>
      <c r="G1178" t="s">
        <v>424</v>
      </c>
      <c r="H1178">
        <v>2020</v>
      </c>
      <c r="I1178" t="s">
        <v>33</v>
      </c>
      <c r="J1178">
        <v>10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16</v>
      </c>
      <c r="T1178">
        <v>4</v>
      </c>
      <c r="U1178" s="5">
        <f>IF(Merge1[[#This Row],[team_defense_snaps]]=0, "", Merge1[[#This Row],[defense_snaps]] / Merge1[[#This Row],[team_defense_snaps]])</f>
        <v>5.9701492537313432E-2</v>
      </c>
      <c r="V1178">
        <v>67</v>
      </c>
      <c r="W1178">
        <v>12</v>
      </c>
      <c r="X1178" s="5" t="s">
        <v>275</v>
      </c>
      <c r="Y1178">
        <v>0</v>
      </c>
      <c r="Z1178">
        <v>0</v>
      </c>
      <c r="AA1178" t="s">
        <v>25</v>
      </c>
      <c r="AB1178" t="s">
        <v>26</v>
      </c>
      <c r="AC1178" t="s">
        <v>27</v>
      </c>
      <c r="AD1178" t="s">
        <v>28</v>
      </c>
      <c r="AE1178" t="s">
        <v>25</v>
      </c>
      <c r="AF11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1178" t="s">
        <v>942</v>
      </c>
      <c r="AH1178">
        <v>52</v>
      </c>
      <c r="AI1178" t="s">
        <v>939</v>
      </c>
      <c r="AJ1178">
        <v>1</v>
      </c>
      <c r="AK11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MIN(AJ1178/8, 1) +
  Merge1[[#This Row],[index_defensive_effort]],
  2
)</f>
        <v>0.59</v>
      </c>
    </row>
    <row r="1179" spans="1:37" x14ac:dyDescent="0.25">
      <c r="A1179" t="s">
        <v>439</v>
      </c>
      <c r="B1179" t="s">
        <v>440</v>
      </c>
      <c r="C1179">
        <v>22</v>
      </c>
      <c r="D1179" t="s">
        <v>56</v>
      </c>
      <c r="E1179">
        <v>70</v>
      </c>
      <c r="F1179">
        <v>176</v>
      </c>
      <c r="G1179" t="s">
        <v>424</v>
      </c>
      <c r="H1179">
        <v>2020</v>
      </c>
      <c r="I1179" t="s">
        <v>33</v>
      </c>
      <c r="J1179">
        <v>14</v>
      </c>
      <c r="K1179">
        <v>0</v>
      </c>
      <c r="L1179">
        <v>1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22</v>
      </c>
      <c r="T1179">
        <v>11</v>
      </c>
      <c r="U1179" s="5">
        <f>IF(Merge1[[#This Row],[team_defense_snaps]]=0, "", Merge1[[#This Row],[defense_snaps]] / Merge1[[#This Row],[team_defense_snaps]])</f>
        <v>0.15942028985507245</v>
      </c>
      <c r="V1179">
        <v>69</v>
      </c>
      <c r="W1179">
        <v>11</v>
      </c>
      <c r="X1179" s="5" t="s">
        <v>158</v>
      </c>
      <c r="Y1179">
        <v>0</v>
      </c>
      <c r="Z1179">
        <v>0</v>
      </c>
      <c r="AA1179" t="s">
        <v>25</v>
      </c>
      <c r="AB1179" t="s">
        <v>26</v>
      </c>
      <c r="AC1179" t="s">
        <v>27</v>
      </c>
      <c r="AD1179" t="s">
        <v>28</v>
      </c>
      <c r="AE1179" t="s">
        <v>25</v>
      </c>
      <c r="AF11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2.2727272727272728E-2</v>
      </c>
      <c r="AG1179" t="s">
        <v>942</v>
      </c>
      <c r="AH1179">
        <v>58.5</v>
      </c>
      <c r="AI1179" t="s">
        <v>939</v>
      </c>
      <c r="AJ1179">
        <v>1</v>
      </c>
      <c r="AK11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MIN(AJ1179/8, 1) +
  Merge1[[#This Row],[index_defensive_effort]],
  2
)</f>
        <v>0.55000000000000004</v>
      </c>
    </row>
    <row r="1180" spans="1:37" x14ac:dyDescent="0.25">
      <c r="A1180" t="s">
        <v>439</v>
      </c>
      <c r="B1180" t="s">
        <v>440</v>
      </c>
      <c r="C1180">
        <v>22</v>
      </c>
      <c r="D1180" t="s">
        <v>56</v>
      </c>
      <c r="E1180">
        <v>70</v>
      </c>
      <c r="F1180">
        <v>176</v>
      </c>
      <c r="G1180" t="s">
        <v>424</v>
      </c>
      <c r="H1180">
        <v>2020</v>
      </c>
      <c r="I1180" t="s">
        <v>24</v>
      </c>
      <c r="J1180">
        <v>18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20</v>
      </c>
      <c r="T1180">
        <v>5</v>
      </c>
      <c r="U1180" s="5">
        <f>IF(Merge1[[#This Row],[team_defense_snaps]]=0, "", Merge1[[#This Row],[defense_snaps]] / Merge1[[#This Row],[team_defense_snaps]])</f>
        <v>8.0645161290322578E-2</v>
      </c>
      <c r="V1180">
        <v>62</v>
      </c>
      <c r="W1180">
        <v>15</v>
      </c>
      <c r="X1180" s="5" t="s">
        <v>189</v>
      </c>
      <c r="Y1180">
        <v>0</v>
      </c>
      <c r="Z1180">
        <v>0</v>
      </c>
      <c r="AA1180" t="s">
        <v>25</v>
      </c>
      <c r="AB1180" t="s">
        <v>26</v>
      </c>
      <c r="AC1180" t="s">
        <v>27</v>
      </c>
      <c r="AD1180" t="s">
        <v>28</v>
      </c>
      <c r="AE1180" t="s">
        <v>25</v>
      </c>
      <c r="AF11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1180" t="s">
        <v>942</v>
      </c>
      <c r="AH1180">
        <v>67.5</v>
      </c>
      <c r="AI1180" t="s">
        <v>939</v>
      </c>
      <c r="AJ1180">
        <v>1</v>
      </c>
      <c r="AK11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MIN(AJ1180/8, 1) +
  Merge1[[#This Row],[index_defensive_effort]],
  2
)</f>
        <v>0.73</v>
      </c>
    </row>
    <row r="1181" spans="1:37" x14ac:dyDescent="0.25">
      <c r="A1181" t="s">
        <v>483</v>
      </c>
      <c r="B1181" t="s">
        <v>484</v>
      </c>
      <c r="C1181">
        <v>25</v>
      </c>
      <c r="D1181" t="s">
        <v>56</v>
      </c>
      <c r="E1181">
        <v>73</v>
      </c>
      <c r="F1181">
        <v>198</v>
      </c>
      <c r="G1181" t="s">
        <v>99</v>
      </c>
      <c r="H1181">
        <v>2020</v>
      </c>
      <c r="I1181" t="s">
        <v>33</v>
      </c>
      <c r="J1181">
        <v>1</v>
      </c>
      <c r="K1181">
        <v>2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2</v>
      </c>
      <c r="R1181">
        <v>0</v>
      </c>
      <c r="S1181">
        <v>48</v>
      </c>
      <c r="T1181">
        <v>45</v>
      </c>
      <c r="U1181" s="5">
        <f>IF(Merge1[[#This Row],[team_defense_snaps]]=0, "", Merge1[[#This Row],[defense_snaps]] / Merge1[[#This Row],[team_defense_snaps]])</f>
        <v>0.72580645161290325</v>
      </c>
      <c r="V1181">
        <v>62</v>
      </c>
      <c r="W1181">
        <v>3</v>
      </c>
      <c r="X1181" s="5" t="s">
        <v>124</v>
      </c>
      <c r="Y1181">
        <v>2</v>
      </c>
      <c r="Z1181">
        <v>0</v>
      </c>
      <c r="AA1181" t="s">
        <v>25</v>
      </c>
      <c r="AB1181" t="s">
        <v>26</v>
      </c>
      <c r="AC1181" t="s">
        <v>27</v>
      </c>
      <c r="AD1181" t="s">
        <v>28</v>
      </c>
      <c r="AE1181" t="s">
        <v>25</v>
      </c>
      <c r="AF11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0.20833333333333334</v>
      </c>
      <c r="AG1181" t="s">
        <v>942</v>
      </c>
      <c r="AH1181">
        <v>65</v>
      </c>
      <c r="AI1181" t="s">
        <v>939</v>
      </c>
      <c r="AJ1181">
        <v>2</v>
      </c>
      <c r="AK11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MIN(AJ1181/8, 1) +
  Merge1[[#This Row],[index_defensive_effort]],
  2
)</f>
        <v>0.86</v>
      </c>
    </row>
    <row r="1182" spans="1:37" x14ac:dyDescent="0.25">
      <c r="A1182" t="s">
        <v>483</v>
      </c>
      <c r="B1182" t="s">
        <v>484</v>
      </c>
      <c r="C1182">
        <v>25</v>
      </c>
      <c r="D1182" t="s">
        <v>56</v>
      </c>
      <c r="E1182">
        <v>73</v>
      </c>
      <c r="F1182">
        <v>198</v>
      </c>
      <c r="G1182" t="s">
        <v>99</v>
      </c>
      <c r="H1182">
        <v>2020</v>
      </c>
      <c r="I1182" t="s">
        <v>33</v>
      </c>
      <c r="J1182">
        <v>2</v>
      </c>
      <c r="K1182">
        <v>1</v>
      </c>
      <c r="L1182">
        <v>1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42</v>
      </c>
      <c r="T1182">
        <v>38</v>
      </c>
      <c r="U1182" s="5">
        <f>IF(Merge1[[#This Row],[team_defense_snaps]]=0, "", Merge1[[#This Row],[defense_snaps]] / Merge1[[#This Row],[team_defense_snaps]])</f>
        <v>0.60317460317460314</v>
      </c>
      <c r="V1182">
        <v>63</v>
      </c>
      <c r="W1182">
        <v>4</v>
      </c>
      <c r="X1182" s="5" t="s">
        <v>212</v>
      </c>
      <c r="Y1182">
        <v>2</v>
      </c>
      <c r="Z1182">
        <v>0</v>
      </c>
      <c r="AA1182" t="s">
        <v>25</v>
      </c>
      <c r="AB1182" t="s">
        <v>26</v>
      </c>
      <c r="AC1182" t="s">
        <v>27</v>
      </c>
      <c r="AD1182" t="s">
        <v>28</v>
      </c>
      <c r="AE1182" t="s">
        <v>25</v>
      </c>
      <c r="AF11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3.5714285714285712E-2</v>
      </c>
      <c r="AG1182" t="s">
        <v>942</v>
      </c>
      <c r="AH1182">
        <v>56</v>
      </c>
      <c r="AI1182" t="s">
        <v>939</v>
      </c>
      <c r="AJ1182">
        <v>3</v>
      </c>
      <c r="AK11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MIN(AJ1182/8, 1) +
  Merge1[[#This Row],[index_defensive_effort]],
  2
)</f>
        <v>0.81</v>
      </c>
    </row>
    <row r="1183" spans="1:37" x14ac:dyDescent="0.25">
      <c r="A1183" t="s">
        <v>483</v>
      </c>
      <c r="B1183" t="s">
        <v>484</v>
      </c>
      <c r="C1183">
        <v>25</v>
      </c>
      <c r="D1183" t="s">
        <v>56</v>
      </c>
      <c r="E1183">
        <v>73</v>
      </c>
      <c r="F1183">
        <v>198</v>
      </c>
      <c r="G1183" t="s">
        <v>99</v>
      </c>
      <c r="H1183">
        <v>2020</v>
      </c>
      <c r="I1183" t="s">
        <v>33</v>
      </c>
      <c r="J1183">
        <v>3</v>
      </c>
      <c r="K1183">
        <v>5</v>
      </c>
      <c r="L1183">
        <v>0</v>
      </c>
      <c r="M1183">
        <v>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51</v>
      </c>
      <c r="T1183">
        <v>51</v>
      </c>
      <c r="U1183" s="5">
        <f>IF(Merge1[[#This Row],[team_defense_snaps]]=0, "", Merge1[[#This Row],[defense_snaps]] / Merge1[[#This Row],[team_defense_snaps]])</f>
        <v>0.85</v>
      </c>
      <c r="V1183">
        <v>60</v>
      </c>
      <c r="W1183">
        <v>0</v>
      </c>
      <c r="X1183" s="5" t="s">
        <v>29</v>
      </c>
      <c r="Y1183">
        <v>2</v>
      </c>
      <c r="Z1183">
        <v>0</v>
      </c>
      <c r="AA1183" t="s">
        <v>25</v>
      </c>
      <c r="AB1183" t="s">
        <v>26</v>
      </c>
      <c r="AC1183" t="s">
        <v>27</v>
      </c>
      <c r="AD1183" t="s">
        <v>28</v>
      </c>
      <c r="AE1183" t="s">
        <v>25</v>
      </c>
      <c r="AF11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0.13725490196078433</v>
      </c>
      <c r="AG1183" t="s">
        <v>942</v>
      </c>
      <c r="AH1183">
        <v>68</v>
      </c>
      <c r="AI1183" t="s">
        <v>939</v>
      </c>
      <c r="AJ1183">
        <v>4</v>
      </c>
      <c r="AK11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MIN(AJ1183/8, 1) +
  Merge1[[#This Row],[index_defensive_effort]],
  2
)</f>
        <v>1.04</v>
      </c>
    </row>
    <row r="1184" spans="1:37" x14ac:dyDescent="0.25">
      <c r="A1184" t="s">
        <v>483</v>
      </c>
      <c r="B1184" t="s">
        <v>484</v>
      </c>
      <c r="C1184">
        <v>25</v>
      </c>
      <c r="D1184" t="s">
        <v>56</v>
      </c>
      <c r="E1184">
        <v>73</v>
      </c>
      <c r="F1184">
        <v>198</v>
      </c>
      <c r="G1184" t="s">
        <v>99</v>
      </c>
      <c r="H1184">
        <v>2020</v>
      </c>
      <c r="I1184" t="s">
        <v>33</v>
      </c>
      <c r="J1184">
        <v>4</v>
      </c>
      <c r="K1184">
        <v>2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56</v>
      </c>
      <c r="T1184">
        <v>56</v>
      </c>
      <c r="U1184" s="5">
        <f>IF(Merge1[[#This Row],[team_defense_snaps]]=0, "", Merge1[[#This Row],[defense_snaps]] / Merge1[[#This Row],[team_defense_snaps]])</f>
        <v>1</v>
      </c>
      <c r="V1184">
        <v>56</v>
      </c>
      <c r="W1184">
        <v>0</v>
      </c>
      <c r="X1184" s="5" t="s">
        <v>29</v>
      </c>
      <c r="Y1184">
        <v>2</v>
      </c>
      <c r="Z1184">
        <v>0</v>
      </c>
      <c r="AA1184" t="s">
        <v>25</v>
      </c>
      <c r="AB1184" t="s">
        <v>26</v>
      </c>
      <c r="AC1184" t="s">
        <v>27</v>
      </c>
      <c r="AD1184" t="s">
        <v>42</v>
      </c>
      <c r="AE1184" t="s">
        <v>25</v>
      </c>
      <c r="AF11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3.5714285714285712E-2</v>
      </c>
      <c r="AG1184" t="s">
        <v>942</v>
      </c>
      <c r="AH1184">
        <v>47</v>
      </c>
      <c r="AI1184" t="s">
        <v>939</v>
      </c>
      <c r="AJ1184">
        <v>1</v>
      </c>
      <c r="AK11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MIN(AJ1184/8, 1) +
  Merge1[[#This Row],[index_defensive_effort]],
  2
)</f>
        <v>0.56000000000000005</v>
      </c>
    </row>
    <row r="1185" spans="1:37" x14ac:dyDescent="0.25">
      <c r="A1185" t="s">
        <v>483</v>
      </c>
      <c r="B1185" t="s">
        <v>484</v>
      </c>
      <c r="C1185">
        <v>25</v>
      </c>
      <c r="D1185" t="s">
        <v>56</v>
      </c>
      <c r="E1185">
        <v>73</v>
      </c>
      <c r="F1185">
        <v>198</v>
      </c>
      <c r="G1185" t="s">
        <v>99</v>
      </c>
      <c r="H1185">
        <v>2020</v>
      </c>
      <c r="I1185" t="s">
        <v>33</v>
      </c>
      <c r="J1185">
        <v>6</v>
      </c>
      <c r="K1185">
        <v>3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2</v>
      </c>
      <c r="R1185">
        <v>0</v>
      </c>
      <c r="S1185">
        <v>46</v>
      </c>
      <c r="T1185">
        <v>46</v>
      </c>
      <c r="U1185" s="5">
        <f>IF(Merge1[[#This Row],[team_defense_snaps]]=0, "", Merge1[[#This Row],[defense_snaps]] / Merge1[[#This Row],[team_defense_snaps]])</f>
        <v>0.70769230769230773</v>
      </c>
      <c r="V1185">
        <v>65</v>
      </c>
      <c r="W1185">
        <v>0</v>
      </c>
      <c r="X1185" s="5" t="s">
        <v>29</v>
      </c>
      <c r="Y1185">
        <v>2</v>
      </c>
      <c r="Z1185">
        <v>0</v>
      </c>
      <c r="AA1185" t="s">
        <v>25</v>
      </c>
      <c r="AB1185" t="s">
        <v>26</v>
      </c>
      <c r="AC1185" t="s">
        <v>27</v>
      </c>
      <c r="AD1185" t="s">
        <v>28</v>
      </c>
      <c r="AE1185" t="s">
        <v>25</v>
      </c>
      <c r="AF11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0.2391304347826087</v>
      </c>
      <c r="AG1185" t="s">
        <v>942</v>
      </c>
      <c r="AH1185">
        <v>54.5</v>
      </c>
      <c r="AI1185" t="s">
        <v>939</v>
      </c>
      <c r="AJ1185">
        <v>2</v>
      </c>
      <c r="AK11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MIN(AJ1185/8, 1) +
  Merge1[[#This Row],[index_defensive_effort]],
  2
)</f>
        <v>0.89</v>
      </c>
    </row>
    <row r="1186" spans="1:37" x14ac:dyDescent="0.25">
      <c r="A1186" t="s">
        <v>483</v>
      </c>
      <c r="B1186" t="s">
        <v>484</v>
      </c>
      <c r="C1186">
        <v>25</v>
      </c>
      <c r="D1186" t="s">
        <v>56</v>
      </c>
      <c r="E1186">
        <v>73</v>
      </c>
      <c r="F1186">
        <v>198</v>
      </c>
      <c r="G1186" t="s">
        <v>99</v>
      </c>
      <c r="H1186">
        <v>2020</v>
      </c>
      <c r="I1186" t="s">
        <v>33</v>
      </c>
      <c r="J1186">
        <v>7</v>
      </c>
      <c r="K1186">
        <v>3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2</v>
      </c>
      <c r="R1186">
        <v>0</v>
      </c>
      <c r="S1186">
        <v>33</v>
      </c>
      <c r="T1186">
        <v>33</v>
      </c>
      <c r="U1186" s="5">
        <f>IF(Merge1[[#This Row],[team_defense_snaps]]=0, "", Merge1[[#This Row],[defense_snaps]] / Merge1[[#This Row],[team_defense_snaps]])</f>
        <v>0.5</v>
      </c>
      <c r="V1186">
        <v>66</v>
      </c>
      <c r="W1186">
        <v>0</v>
      </c>
      <c r="X1186" s="5" t="s">
        <v>29</v>
      </c>
      <c r="Y1186">
        <v>2</v>
      </c>
      <c r="Z1186">
        <v>0</v>
      </c>
      <c r="AA1186" t="s">
        <v>25</v>
      </c>
      <c r="AB1186" t="s">
        <v>26</v>
      </c>
      <c r="AC1186" t="s">
        <v>27</v>
      </c>
      <c r="AD1186" t="s">
        <v>28</v>
      </c>
      <c r="AE1186" t="s">
        <v>25</v>
      </c>
      <c r="AF11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0.33333333333333331</v>
      </c>
      <c r="AG1186" t="s">
        <v>942</v>
      </c>
      <c r="AH1186">
        <v>66.5</v>
      </c>
      <c r="AI1186" t="s">
        <v>939</v>
      </c>
      <c r="AJ1186">
        <v>3</v>
      </c>
      <c r="AK11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MIN(AJ1186/8, 1) +
  Merge1[[#This Row],[index_defensive_effort]],
  2
)</f>
        <v>1.1100000000000001</v>
      </c>
    </row>
    <row r="1187" spans="1:37" x14ac:dyDescent="0.25">
      <c r="A1187" t="s">
        <v>483</v>
      </c>
      <c r="B1187" t="s">
        <v>484</v>
      </c>
      <c r="C1187">
        <v>25</v>
      </c>
      <c r="D1187" t="s">
        <v>56</v>
      </c>
      <c r="E1187">
        <v>73</v>
      </c>
      <c r="F1187">
        <v>198</v>
      </c>
      <c r="G1187" t="s">
        <v>99</v>
      </c>
      <c r="H1187">
        <v>2020</v>
      </c>
      <c r="I1187" t="s">
        <v>33</v>
      </c>
      <c r="J1187">
        <v>8</v>
      </c>
      <c r="K1187">
        <v>5</v>
      </c>
      <c r="L1187">
        <v>2</v>
      </c>
      <c r="M1187">
        <v>2</v>
      </c>
      <c r="N1187">
        <v>4</v>
      </c>
      <c r="O1187">
        <v>0</v>
      </c>
      <c r="P1187">
        <v>0</v>
      </c>
      <c r="Q1187">
        <v>2</v>
      </c>
      <c r="R1187">
        <v>0</v>
      </c>
      <c r="S1187">
        <v>57</v>
      </c>
      <c r="T1187">
        <v>57</v>
      </c>
      <c r="U1187" s="5">
        <f>IF(Merge1[[#This Row],[team_defense_snaps]]=0, "", Merge1[[#This Row],[defense_snaps]] / Merge1[[#This Row],[team_defense_snaps]])</f>
        <v>0.96610169491525422</v>
      </c>
      <c r="V1187">
        <v>59</v>
      </c>
      <c r="W1187">
        <v>0</v>
      </c>
      <c r="X1187" s="5" t="s">
        <v>29</v>
      </c>
      <c r="Y1187">
        <v>2</v>
      </c>
      <c r="Z1187">
        <v>0</v>
      </c>
      <c r="AA1187" t="s">
        <v>25</v>
      </c>
      <c r="AB1187" t="s">
        <v>36</v>
      </c>
      <c r="AC1187" t="s">
        <v>247</v>
      </c>
      <c r="AD1187" t="s">
        <v>42</v>
      </c>
      <c r="AE1187" t="s">
        <v>25</v>
      </c>
      <c r="AF11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0.26315789473684209</v>
      </c>
      <c r="AG1187" t="s">
        <v>942</v>
      </c>
      <c r="AH1187">
        <v>59</v>
      </c>
      <c r="AI1187" t="s">
        <v>939</v>
      </c>
      <c r="AJ1187">
        <v>4</v>
      </c>
      <c r="AK11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MIN(AJ1187/8, 1) +
  Merge1[[#This Row],[index_defensive_effort]],
  2
)</f>
        <v>1.1599999999999999</v>
      </c>
    </row>
    <row r="1188" spans="1:37" x14ac:dyDescent="0.25">
      <c r="A1188" t="s">
        <v>483</v>
      </c>
      <c r="B1188" t="s">
        <v>484</v>
      </c>
      <c r="C1188">
        <v>25</v>
      </c>
      <c r="D1188" t="s">
        <v>56</v>
      </c>
      <c r="E1188">
        <v>73</v>
      </c>
      <c r="F1188">
        <v>198</v>
      </c>
      <c r="G1188" t="s">
        <v>99</v>
      </c>
      <c r="H1188">
        <v>2020</v>
      </c>
      <c r="I1188" t="s">
        <v>33</v>
      </c>
      <c r="J1188">
        <v>9</v>
      </c>
      <c r="K1188">
        <v>3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2</v>
      </c>
      <c r="R1188">
        <v>0</v>
      </c>
      <c r="S1188">
        <v>46</v>
      </c>
      <c r="T1188">
        <v>46</v>
      </c>
      <c r="U1188" s="5">
        <f>IF(Merge1[[#This Row],[team_defense_snaps]]=0, "", Merge1[[#This Row],[defense_snaps]] / Merge1[[#This Row],[team_defense_snaps]])</f>
        <v>1</v>
      </c>
      <c r="V1188">
        <v>46</v>
      </c>
      <c r="W1188">
        <v>0</v>
      </c>
      <c r="X1188" s="5" t="s">
        <v>29</v>
      </c>
      <c r="Y1188">
        <v>2</v>
      </c>
      <c r="Z1188">
        <v>0</v>
      </c>
      <c r="AA1188" t="s">
        <v>25</v>
      </c>
      <c r="AB1188" t="s">
        <v>36</v>
      </c>
      <c r="AC1188" t="s">
        <v>247</v>
      </c>
      <c r="AD1188" t="s">
        <v>42</v>
      </c>
      <c r="AE1188" t="s">
        <v>25</v>
      </c>
      <c r="AF11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0.2391304347826087</v>
      </c>
      <c r="AG1188" t="s">
        <v>942</v>
      </c>
      <c r="AH1188">
        <v>60.5</v>
      </c>
      <c r="AI1188" t="s">
        <v>939</v>
      </c>
      <c r="AJ1188">
        <v>5</v>
      </c>
      <c r="AK11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MIN(AJ1188/8, 1) +
  Merge1[[#This Row],[index_defensive_effort]],
  2
)</f>
        <v>1.26</v>
      </c>
    </row>
    <row r="1189" spans="1:37" x14ac:dyDescent="0.25">
      <c r="A1189" t="s">
        <v>483</v>
      </c>
      <c r="B1189" t="s">
        <v>484</v>
      </c>
      <c r="C1189">
        <v>25</v>
      </c>
      <c r="D1189" t="s">
        <v>56</v>
      </c>
      <c r="E1189">
        <v>73</v>
      </c>
      <c r="F1189">
        <v>198</v>
      </c>
      <c r="G1189" t="s">
        <v>99</v>
      </c>
      <c r="H1189">
        <v>2020</v>
      </c>
      <c r="I1189" t="s">
        <v>33</v>
      </c>
      <c r="J1189">
        <v>10</v>
      </c>
      <c r="K1189">
        <v>2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2</v>
      </c>
      <c r="R1189">
        <v>0</v>
      </c>
      <c r="S1189">
        <v>66</v>
      </c>
      <c r="T1189">
        <v>66</v>
      </c>
      <c r="U1189" s="5">
        <f>IF(Merge1[[#This Row],[team_defense_snaps]]=0, "", Merge1[[#This Row],[defense_snaps]] / Merge1[[#This Row],[team_defense_snaps]])</f>
        <v>0.9850746268656716</v>
      </c>
      <c r="V1189">
        <v>67</v>
      </c>
      <c r="W1189">
        <v>0</v>
      </c>
      <c r="X1189" s="5" t="s">
        <v>29</v>
      </c>
      <c r="Y1189">
        <v>2</v>
      </c>
      <c r="Z1189">
        <v>0</v>
      </c>
      <c r="AA1189" t="s">
        <v>25</v>
      </c>
      <c r="AB1189" t="s">
        <v>26</v>
      </c>
      <c r="AC1189" t="s">
        <v>27</v>
      </c>
      <c r="AD1189" t="s">
        <v>42</v>
      </c>
      <c r="AE1189" t="s">
        <v>25</v>
      </c>
      <c r="AF11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0.15151515151515152</v>
      </c>
      <c r="AG1189" t="s">
        <v>942</v>
      </c>
      <c r="AH1189">
        <v>51.5</v>
      </c>
      <c r="AI1189" t="s">
        <v>939</v>
      </c>
      <c r="AJ1189">
        <v>6</v>
      </c>
      <c r="AK11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MIN(AJ1189/8, 1) +
  Merge1[[#This Row],[index_defensive_effort]],
  2
)</f>
        <v>1.3</v>
      </c>
    </row>
    <row r="1190" spans="1:37" x14ac:dyDescent="0.25">
      <c r="A1190" t="s">
        <v>483</v>
      </c>
      <c r="B1190" t="s">
        <v>484</v>
      </c>
      <c r="C1190">
        <v>25</v>
      </c>
      <c r="D1190" t="s">
        <v>56</v>
      </c>
      <c r="E1190">
        <v>73</v>
      </c>
      <c r="F1190">
        <v>198</v>
      </c>
      <c r="G1190" t="s">
        <v>99</v>
      </c>
      <c r="H1190">
        <v>2020</v>
      </c>
      <c r="I1190" t="s">
        <v>33</v>
      </c>
      <c r="J1190">
        <v>11</v>
      </c>
      <c r="K1190">
        <v>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59</v>
      </c>
      <c r="T1190">
        <v>59</v>
      </c>
      <c r="U1190" s="5">
        <f>IF(Merge1[[#This Row],[team_defense_snaps]]=0, "", Merge1[[#This Row],[defense_snaps]] / Merge1[[#This Row],[team_defense_snaps]])</f>
        <v>0.96721311475409832</v>
      </c>
      <c r="V1190">
        <v>61</v>
      </c>
      <c r="W1190">
        <v>0</v>
      </c>
      <c r="X1190" s="5" t="s">
        <v>29</v>
      </c>
      <c r="Y1190">
        <v>2</v>
      </c>
      <c r="Z1190">
        <v>0</v>
      </c>
      <c r="AA1190" t="s">
        <v>25</v>
      </c>
      <c r="AB1190" t="s">
        <v>26</v>
      </c>
      <c r="AC1190" t="s">
        <v>27</v>
      </c>
      <c r="AD1190" t="s">
        <v>42</v>
      </c>
      <c r="AE1190" t="s">
        <v>25</v>
      </c>
      <c r="AF11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1.6949152542372881E-2</v>
      </c>
      <c r="AG1190" t="s">
        <v>942</v>
      </c>
      <c r="AH1190">
        <v>53</v>
      </c>
      <c r="AI1190" t="s">
        <v>939</v>
      </c>
      <c r="AJ1190">
        <v>7</v>
      </c>
      <c r="AK11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MIN(AJ1190/8, 1) +
  Merge1[[#This Row],[index_defensive_effort]],
  2
)</f>
        <v>1.29</v>
      </c>
    </row>
    <row r="1191" spans="1:37" x14ac:dyDescent="0.25">
      <c r="A1191" t="s">
        <v>483</v>
      </c>
      <c r="B1191" t="s">
        <v>484</v>
      </c>
      <c r="C1191">
        <v>25</v>
      </c>
      <c r="D1191" t="s">
        <v>56</v>
      </c>
      <c r="E1191">
        <v>73</v>
      </c>
      <c r="F1191">
        <v>198</v>
      </c>
      <c r="G1191" t="s">
        <v>99</v>
      </c>
      <c r="H1191">
        <v>2020</v>
      </c>
      <c r="I1191" t="s">
        <v>33</v>
      </c>
      <c r="J1191">
        <v>12</v>
      </c>
      <c r="K1191">
        <v>3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61</v>
      </c>
      <c r="T1191">
        <v>61</v>
      </c>
      <c r="U1191" s="5">
        <f>IF(Merge1[[#This Row],[team_defense_snaps]]=0, "", Merge1[[#This Row],[defense_snaps]] / Merge1[[#This Row],[team_defense_snaps]])</f>
        <v>0.82432432432432434</v>
      </c>
      <c r="V1191">
        <v>74</v>
      </c>
      <c r="W1191">
        <v>0</v>
      </c>
      <c r="X1191" s="5" t="s">
        <v>29</v>
      </c>
      <c r="Y1191">
        <v>2</v>
      </c>
      <c r="Z1191">
        <v>0</v>
      </c>
      <c r="AA1191" t="s">
        <v>25</v>
      </c>
      <c r="AB1191" t="s">
        <v>26</v>
      </c>
      <c r="AC1191" t="s">
        <v>27</v>
      </c>
      <c r="AD1191" t="s">
        <v>42</v>
      </c>
      <c r="AE1191" t="s">
        <v>25</v>
      </c>
      <c r="AF11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4.9180327868852458E-2</v>
      </c>
      <c r="AG1191" t="s">
        <v>942</v>
      </c>
      <c r="AH1191">
        <v>57.5</v>
      </c>
      <c r="AI1191" t="s">
        <v>939</v>
      </c>
      <c r="AJ1191">
        <v>8</v>
      </c>
      <c r="AK11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MIN(AJ1191/8, 1) +
  Merge1[[#This Row],[index_defensive_effort]],
  2
)</f>
        <v>1.45</v>
      </c>
    </row>
    <row r="1192" spans="1:37" x14ac:dyDescent="0.25">
      <c r="A1192" t="s">
        <v>483</v>
      </c>
      <c r="B1192" t="s">
        <v>484</v>
      </c>
      <c r="C1192">
        <v>25</v>
      </c>
      <c r="D1192" t="s">
        <v>56</v>
      </c>
      <c r="E1192">
        <v>73</v>
      </c>
      <c r="F1192">
        <v>198</v>
      </c>
      <c r="G1192" t="s">
        <v>99</v>
      </c>
      <c r="H1192">
        <v>2020</v>
      </c>
      <c r="I1192" t="s">
        <v>33</v>
      </c>
      <c r="J1192">
        <v>13</v>
      </c>
      <c r="K1192">
        <v>0</v>
      </c>
      <c r="L1192">
        <v>3</v>
      </c>
      <c r="M1192">
        <v>1</v>
      </c>
      <c r="N1192">
        <v>4</v>
      </c>
      <c r="O1192">
        <v>0</v>
      </c>
      <c r="P1192">
        <v>0</v>
      </c>
      <c r="Q1192">
        <v>2</v>
      </c>
      <c r="R1192">
        <v>0</v>
      </c>
      <c r="S1192">
        <v>49</v>
      </c>
      <c r="T1192">
        <v>49</v>
      </c>
      <c r="U1192" s="5">
        <f>IF(Merge1[[#This Row],[team_defense_snaps]]=0, "", Merge1[[#This Row],[defense_snaps]] / Merge1[[#This Row],[team_defense_snaps]])</f>
        <v>0.67123287671232879</v>
      </c>
      <c r="V1192">
        <v>73</v>
      </c>
      <c r="W1192">
        <v>0</v>
      </c>
      <c r="X1192" s="5" t="s">
        <v>29</v>
      </c>
      <c r="Y1192">
        <v>2</v>
      </c>
      <c r="Z1192">
        <v>0</v>
      </c>
      <c r="AA1192" t="s">
        <v>25</v>
      </c>
      <c r="AB1192" t="s">
        <v>36</v>
      </c>
      <c r="AC1192" t="s">
        <v>371</v>
      </c>
      <c r="AD1192" t="s">
        <v>42</v>
      </c>
      <c r="AE1192" t="s">
        <v>25</v>
      </c>
      <c r="AF11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0.20408163265306123</v>
      </c>
      <c r="AG1192" t="s">
        <v>942</v>
      </c>
      <c r="AH1192">
        <v>44</v>
      </c>
      <c r="AI1192" t="s">
        <v>939</v>
      </c>
      <c r="AJ1192">
        <v>9</v>
      </c>
      <c r="AK11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MIN(AJ1192/8, 1) +
  Merge1[[#This Row],[index_defensive_effort]],
  2
)</f>
        <v>1.6</v>
      </c>
    </row>
    <row r="1193" spans="1:37" x14ac:dyDescent="0.25">
      <c r="A1193" t="s">
        <v>483</v>
      </c>
      <c r="B1193" t="s">
        <v>484</v>
      </c>
      <c r="C1193">
        <v>25</v>
      </c>
      <c r="D1193" t="s">
        <v>56</v>
      </c>
      <c r="E1193">
        <v>73</v>
      </c>
      <c r="F1193">
        <v>198</v>
      </c>
      <c r="G1193" t="s">
        <v>99</v>
      </c>
      <c r="H1193">
        <v>2020</v>
      </c>
      <c r="I1193" t="s">
        <v>33</v>
      </c>
      <c r="J1193">
        <v>14</v>
      </c>
      <c r="K1193">
        <v>1</v>
      </c>
      <c r="L1193">
        <v>1</v>
      </c>
      <c r="M1193">
        <v>1</v>
      </c>
      <c r="N1193">
        <v>2</v>
      </c>
      <c r="O1193">
        <v>0</v>
      </c>
      <c r="P1193">
        <v>0</v>
      </c>
      <c r="Q1193">
        <v>0</v>
      </c>
      <c r="R1193">
        <v>0</v>
      </c>
      <c r="S1193">
        <v>63</v>
      </c>
      <c r="T1193">
        <v>63</v>
      </c>
      <c r="U1193" s="5">
        <f>IF(Merge1[[#This Row],[team_defense_snaps]]=0, "", Merge1[[#This Row],[defense_snaps]] / Merge1[[#This Row],[team_defense_snaps]])</f>
        <v>0.984375</v>
      </c>
      <c r="V1193">
        <v>64</v>
      </c>
      <c r="W1193">
        <v>0</v>
      </c>
      <c r="X1193" s="5" t="s">
        <v>29</v>
      </c>
      <c r="Y1193">
        <v>2</v>
      </c>
      <c r="Z1193">
        <v>0</v>
      </c>
      <c r="AA1193" t="s">
        <v>25</v>
      </c>
      <c r="AB1193" t="s">
        <v>36</v>
      </c>
      <c r="AC1193" t="s">
        <v>371</v>
      </c>
      <c r="AD1193" t="s">
        <v>42</v>
      </c>
      <c r="AE1193" t="s">
        <v>25</v>
      </c>
      <c r="AF11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3.1746031746031744E-2</v>
      </c>
      <c r="AG1193" t="s">
        <v>942</v>
      </c>
      <c r="AH1193">
        <v>63.5</v>
      </c>
      <c r="AI1193" t="s">
        <v>939</v>
      </c>
      <c r="AJ1193">
        <v>10</v>
      </c>
      <c r="AK11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MIN(AJ1193/8, 1) +
  Merge1[[#This Row],[index_defensive_effort]],
  2
)</f>
        <v>1.43</v>
      </c>
    </row>
    <row r="1194" spans="1:37" x14ac:dyDescent="0.25">
      <c r="A1194" t="s">
        <v>483</v>
      </c>
      <c r="B1194" t="s">
        <v>484</v>
      </c>
      <c r="C1194">
        <v>25</v>
      </c>
      <c r="D1194" t="s">
        <v>56</v>
      </c>
      <c r="E1194">
        <v>73</v>
      </c>
      <c r="F1194">
        <v>198</v>
      </c>
      <c r="G1194" t="s">
        <v>99</v>
      </c>
      <c r="H1194">
        <v>2020</v>
      </c>
      <c r="I1194" t="s">
        <v>33</v>
      </c>
      <c r="J1194">
        <v>15</v>
      </c>
      <c r="K1194">
        <v>5</v>
      </c>
      <c r="L1194">
        <v>1</v>
      </c>
      <c r="M1194">
        <v>0</v>
      </c>
      <c r="N1194">
        <v>1</v>
      </c>
      <c r="O1194">
        <v>0</v>
      </c>
      <c r="P1194">
        <v>2</v>
      </c>
      <c r="Q1194">
        <v>2</v>
      </c>
      <c r="R1194">
        <v>0</v>
      </c>
      <c r="S1194">
        <v>69</v>
      </c>
      <c r="T1194">
        <v>69</v>
      </c>
      <c r="U1194" s="5">
        <f>IF(Merge1[[#This Row],[team_defense_snaps]]=0, "", Merge1[[#This Row],[defense_snaps]] / Merge1[[#This Row],[team_defense_snaps]])</f>
        <v>0.9452054794520548</v>
      </c>
      <c r="V1194">
        <v>73</v>
      </c>
      <c r="W1194">
        <v>0</v>
      </c>
      <c r="X1194" s="5" t="s">
        <v>29</v>
      </c>
      <c r="Y1194">
        <v>2</v>
      </c>
      <c r="Z1194">
        <v>0</v>
      </c>
      <c r="AA1194" t="s">
        <v>25</v>
      </c>
      <c r="AB1194" t="s">
        <v>36</v>
      </c>
      <c r="AC1194" t="s">
        <v>247</v>
      </c>
      <c r="AD1194" t="s">
        <v>42</v>
      </c>
      <c r="AE1194" t="s">
        <v>25</v>
      </c>
      <c r="AF11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0.25362318840579712</v>
      </c>
      <c r="AG1194" t="s">
        <v>942</v>
      </c>
      <c r="AH1194">
        <v>50</v>
      </c>
      <c r="AI1194" t="s">
        <v>939</v>
      </c>
      <c r="AJ1194">
        <v>11</v>
      </c>
      <c r="AK11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MIN(AJ1194/8, 1) +
  Merge1[[#This Row],[index_defensive_effort]],
  2
)</f>
        <v>1.65</v>
      </c>
    </row>
    <row r="1195" spans="1:37" x14ac:dyDescent="0.25">
      <c r="A1195" t="s">
        <v>483</v>
      </c>
      <c r="B1195" t="s">
        <v>484</v>
      </c>
      <c r="C1195">
        <v>25</v>
      </c>
      <c r="D1195" t="s">
        <v>56</v>
      </c>
      <c r="E1195">
        <v>73</v>
      </c>
      <c r="F1195">
        <v>198</v>
      </c>
      <c r="G1195" t="s">
        <v>99</v>
      </c>
      <c r="H1195">
        <v>2020</v>
      </c>
      <c r="I1195" t="s">
        <v>33</v>
      </c>
      <c r="J1195">
        <v>16</v>
      </c>
      <c r="K1195">
        <v>4</v>
      </c>
      <c r="L1195">
        <v>1</v>
      </c>
      <c r="M1195">
        <v>1</v>
      </c>
      <c r="N1195">
        <v>2</v>
      </c>
      <c r="O1195">
        <v>0</v>
      </c>
      <c r="P1195">
        <v>0</v>
      </c>
      <c r="Q1195">
        <v>0</v>
      </c>
      <c r="R1195">
        <v>0</v>
      </c>
      <c r="S1195">
        <v>59</v>
      </c>
      <c r="T1195">
        <v>59</v>
      </c>
      <c r="U1195" s="5">
        <f>IF(Merge1[[#This Row],[team_defense_snaps]]=0, "", Merge1[[#This Row],[defense_snaps]] / Merge1[[#This Row],[team_defense_snaps]])</f>
        <v>0.81944444444444442</v>
      </c>
      <c r="V1195">
        <v>72</v>
      </c>
      <c r="W1195">
        <v>0</v>
      </c>
      <c r="X1195" s="5" t="s">
        <v>29</v>
      </c>
      <c r="Y1195">
        <v>2</v>
      </c>
      <c r="Z1195">
        <v>0</v>
      </c>
      <c r="AA1195" t="s">
        <v>25</v>
      </c>
      <c r="AB1195" t="s">
        <v>36</v>
      </c>
      <c r="AC1195" t="s">
        <v>247</v>
      </c>
      <c r="AD1195" t="s">
        <v>42</v>
      </c>
      <c r="AE1195" t="s">
        <v>25</v>
      </c>
      <c r="AF11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8.4745762711864403E-2</v>
      </c>
      <c r="AG1195" t="s">
        <v>942</v>
      </c>
      <c r="AH1195">
        <v>48.5</v>
      </c>
      <c r="AI1195" t="s">
        <v>939</v>
      </c>
      <c r="AJ1195">
        <v>12</v>
      </c>
      <c r="AK11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MIN(AJ1195/8, 1) +
  Merge1[[#This Row],[index_defensive_effort]],
  2
)</f>
        <v>1.48</v>
      </c>
    </row>
    <row r="1196" spans="1:37" x14ac:dyDescent="0.25">
      <c r="A1196" t="s">
        <v>483</v>
      </c>
      <c r="B1196" t="s">
        <v>484</v>
      </c>
      <c r="C1196">
        <v>25</v>
      </c>
      <c r="D1196" t="s">
        <v>56</v>
      </c>
      <c r="E1196">
        <v>73</v>
      </c>
      <c r="F1196">
        <v>198</v>
      </c>
      <c r="G1196" t="s">
        <v>99</v>
      </c>
      <c r="H1196">
        <v>2020</v>
      </c>
      <c r="I1196" t="s">
        <v>33</v>
      </c>
      <c r="J1196">
        <v>17</v>
      </c>
      <c r="K1196">
        <v>6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2</v>
      </c>
      <c r="R1196">
        <v>0</v>
      </c>
      <c r="S1196">
        <v>53</v>
      </c>
      <c r="T1196">
        <v>53</v>
      </c>
      <c r="U1196" s="5">
        <f>IF(Merge1[[#This Row],[team_defense_snaps]]=0, "", Merge1[[#This Row],[defense_snaps]] / Merge1[[#This Row],[team_defense_snaps]])</f>
        <v>0.79104477611940294</v>
      </c>
      <c r="V1196">
        <v>67</v>
      </c>
      <c r="W1196">
        <v>0</v>
      </c>
      <c r="X1196" s="5" t="s">
        <v>29</v>
      </c>
      <c r="Y1196">
        <v>2</v>
      </c>
      <c r="Z1196">
        <v>0</v>
      </c>
      <c r="AA1196" t="s">
        <v>25</v>
      </c>
      <c r="AB1196" t="s">
        <v>36</v>
      </c>
      <c r="AC1196" t="s">
        <v>247</v>
      </c>
      <c r="AD1196" t="s">
        <v>42</v>
      </c>
      <c r="AE1196" t="s">
        <v>25</v>
      </c>
      <c r="AF11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0.26415094339622641</v>
      </c>
      <c r="AG1196" t="s">
        <v>942</v>
      </c>
      <c r="AH1196">
        <v>45.5</v>
      </c>
      <c r="AI1196" t="s">
        <v>939</v>
      </c>
      <c r="AJ1196">
        <v>1</v>
      </c>
      <c r="AK11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MIN(AJ1196/8, 1) +
  Merge1[[#This Row],[index_defensive_effort]],
  2
)</f>
        <v>0.79</v>
      </c>
    </row>
    <row r="1197" spans="1:37" x14ac:dyDescent="0.25">
      <c r="A1197" t="s">
        <v>471</v>
      </c>
      <c r="B1197" t="s">
        <v>472</v>
      </c>
      <c r="C1197">
        <v>24</v>
      </c>
      <c r="D1197" t="s">
        <v>22</v>
      </c>
      <c r="E1197">
        <v>72</v>
      </c>
      <c r="F1197">
        <v>202</v>
      </c>
      <c r="G1197" t="s">
        <v>28</v>
      </c>
      <c r="H1197">
        <v>2020</v>
      </c>
      <c r="I1197" t="s">
        <v>33</v>
      </c>
      <c r="J1197">
        <v>17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30</v>
      </c>
      <c r="T1197">
        <v>13</v>
      </c>
      <c r="U1197" s="5">
        <f>IF(Merge1[[#This Row],[team_defense_snaps]]=0, "", Merge1[[#This Row],[defense_snaps]] / Merge1[[#This Row],[team_defense_snaps]])</f>
        <v>0.20967741935483872</v>
      </c>
      <c r="V1197">
        <v>62</v>
      </c>
      <c r="W1197">
        <v>17</v>
      </c>
      <c r="X1197" s="5" t="s">
        <v>110</v>
      </c>
      <c r="Y1197">
        <v>2</v>
      </c>
      <c r="Z1197">
        <v>0</v>
      </c>
      <c r="AA1197" t="s">
        <v>25</v>
      </c>
      <c r="AB1197" t="s">
        <v>26</v>
      </c>
      <c r="AC1197" t="s">
        <v>27</v>
      </c>
      <c r="AD1197" t="s">
        <v>28</v>
      </c>
      <c r="AE1197" t="s">
        <v>25</v>
      </c>
      <c r="AF11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3.3333333333333333E-2</v>
      </c>
      <c r="AG1197" t="s">
        <v>942</v>
      </c>
      <c r="AH1197">
        <v>61</v>
      </c>
      <c r="AI1197" t="s">
        <v>939</v>
      </c>
      <c r="AJ1197">
        <v>1</v>
      </c>
      <c r="AK11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MIN(AJ1197/8, 1) +
  Merge1[[#This Row],[index_defensive_effort]],
  2
)</f>
        <v>0.66</v>
      </c>
    </row>
    <row r="1198" spans="1:37" x14ac:dyDescent="0.25">
      <c r="A1198" t="s">
        <v>517</v>
      </c>
      <c r="B1198" t="s">
        <v>518</v>
      </c>
      <c r="C1198">
        <v>25</v>
      </c>
      <c r="D1198" t="s">
        <v>22</v>
      </c>
      <c r="E1198">
        <v>71</v>
      </c>
      <c r="F1198">
        <v>217</v>
      </c>
      <c r="G1198" t="s">
        <v>94</v>
      </c>
      <c r="H1198">
        <v>2020</v>
      </c>
      <c r="I1198" t="s">
        <v>33</v>
      </c>
      <c r="J1198">
        <v>1</v>
      </c>
      <c r="K1198">
        <v>1</v>
      </c>
      <c r="L1198">
        <v>3</v>
      </c>
      <c r="M1198">
        <v>0</v>
      </c>
      <c r="N1198">
        <v>3</v>
      </c>
      <c r="O1198">
        <v>0</v>
      </c>
      <c r="P1198">
        <v>0</v>
      </c>
      <c r="Q1198">
        <v>0</v>
      </c>
      <c r="R1198">
        <v>0</v>
      </c>
      <c r="S1198">
        <v>76</v>
      </c>
      <c r="T1198">
        <v>63</v>
      </c>
      <c r="U1198" s="5">
        <f>IF(Merge1[[#This Row],[team_defense_snaps]]=0, "", Merge1[[#This Row],[defense_snaps]] / Merge1[[#This Row],[team_defense_snaps]])</f>
        <v>0.984375</v>
      </c>
      <c r="V1198">
        <v>64</v>
      </c>
      <c r="W1198">
        <v>13</v>
      </c>
      <c r="X1198" s="5" t="s">
        <v>275</v>
      </c>
      <c r="Y1198">
        <v>3</v>
      </c>
      <c r="Z1198">
        <v>0</v>
      </c>
      <c r="AA1198" t="s">
        <v>25</v>
      </c>
      <c r="AB1198" t="s">
        <v>26</v>
      </c>
      <c r="AC1198" t="s">
        <v>27</v>
      </c>
      <c r="AD1198" t="s">
        <v>42</v>
      </c>
      <c r="AE1198" t="s">
        <v>25</v>
      </c>
      <c r="AF11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3.2894736842105261E-2</v>
      </c>
      <c r="AG1198" t="s">
        <v>942</v>
      </c>
      <c r="AH1198">
        <v>48</v>
      </c>
      <c r="AI1198" t="s">
        <v>939</v>
      </c>
      <c r="AJ1198">
        <v>2</v>
      </c>
      <c r="AK11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MIN(AJ1198/8, 1) +
  Merge1[[#This Row],[index_defensive_effort]],
  2
)</f>
        <v>0.78</v>
      </c>
    </row>
    <row r="1199" spans="1:37" x14ac:dyDescent="0.25">
      <c r="A1199" t="s">
        <v>517</v>
      </c>
      <c r="B1199" t="s">
        <v>518</v>
      </c>
      <c r="C1199">
        <v>25</v>
      </c>
      <c r="D1199" t="s">
        <v>22</v>
      </c>
      <c r="E1199">
        <v>71</v>
      </c>
      <c r="F1199">
        <v>217</v>
      </c>
      <c r="G1199" t="s">
        <v>94</v>
      </c>
      <c r="H1199">
        <v>2020</v>
      </c>
      <c r="I1199" t="s">
        <v>33</v>
      </c>
      <c r="J1199">
        <v>2</v>
      </c>
      <c r="K1199">
        <v>2</v>
      </c>
      <c r="L1199">
        <v>2</v>
      </c>
      <c r="M1199">
        <v>0</v>
      </c>
      <c r="N1199">
        <v>2</v>
      </c>
      <c r="O1199">
        <v>0</v>
      </c>
      <c r="P1199">
        <v>0</v>
      </c>
      <c r="Q1199">
        <v>0</v>
      </c>
      <c r="R1199">
        <v>0</v>
      </c>
      <c r="S1199">
        <v>75</v>
      </c>
      <c r="T1199">
        <v>65</v>
      </c>
      <c r="U1199" s="5">
        <f>IF(Merge1[[#This Row],[team_defense_snaps]]=0, "", Merge1[[#This Row],[defense_snaps]] / Merge1[[#This Row],[team_defense_snaps]])</f>
        <v>0.98484848484848486</v>
      </c>
      <c r="V1199">
        <v>66</v>
      </c>
      <c r="W1199">
        <v>10</v>
      </c>
      <c r="X1199" s="5" t="s">
        <v>238</v>
      </c>
      <c r="Y1199">
        <v>3</v>
      </c>
      <c r="Z1199">
        <v>0</v>
      </c>
      <c r="AA1199" t="s">
        <v>25</v>
      </c>
      <c r="AB1199" t="s">
        <v>26</v>
      </c>
      <c r="AC1199" t="s">
        <v>27</v>
      </c>
      <c r="AD1199" t="s">
        <v>42</v>
      </c>
      <c r="AE1199" t="s">
        <v>25</v>
      </c>
      <c r="AF11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0.04</v>
      </c>
      <c r="AG1199" t="s">
        <v>942</v>
      </c>
      <c r="AH1199">
        <v>51</v>
      </c>
      <c r="AI1199" t="s">
        <v>939</v>
      </c>
      <c r="AJ1199">
        <v>3</v>
      </c>
      <c r="AK11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MIN(AJ1199/8, 1) +
  Merge1[[#This Row],[index_defensive_effort]],
  2
)</f>
        <v>0.92</v>
      </c>
    </row>
    <row r="1200" spans="1:37" x14ac:dyDescent="0.25">
      <c r="A1200" t="s">
        <v>517</v>
      </c>
      <c r="B1200" t="s">
        <v>518</v>
      </c>
      <c r="C1200">
        <v>25</v>
      </c>
      <c r="D1200" t="s">
        <v>22</v>
      </c>
      <c r="E1200">
        <v>71</v>
      </c>
      <c r="F1200">
        <v>217</v>
      </c>
      <c r="G1200" t="s">
        <v>94</v>
      </c>
      <c r="H1200">
        <v>2020</v>
      </c>
      <c r="I1200" t="s">
        <v>33</v>
      </c>
      <c r="J1200">
        <v>3</v>
      </c>
      <c r="K1200">
        <v>1</v>
      </c>
      <c r="L1200">
        <v>1</v>
      </c>
      <c r="M1200">
        <v>1</v>
      </c>
      <c r="N1200">
        <v>2</v>
      </c>
      <c r="O1200">
        <v>0</v>
      </c>
      <c r="P1200">
        <v>0</v>
      </c>
      <c r="Q1200">
        <v>0</v>
      </c>
      <c r="R1200">
        <v>0</v>
      </c>
      <c r="S1200">
        <v>10</v>
      </c>
      <c r="T1200">
        <v>9</v>
      </c>
      <c r="U1200" s="5">
        <f>IF(Merge1[[#This Row],[team_defense_snaps]]=0, "", Merge1[[#This Row],[defense_snaps]] / Merge1[[#This Row],[team_defense_snaps]])</f>
        <v>0.10975609756097561</v>
      </c>
      <c r="V1200">
        <v>82</v>
      </c>
      <c r="W1200">
        <v>1</v>
      </c>
      <c r="X1200" s="5" t="s">
        <v>193</v>
      </c>
      <c r="Y1200">
        <v>3</v>
      </c>
      <c r="Z1200">
        <v>0</v>
      </c>
      <c r="AA1200" t="s">
        <v>25</v>
      </c>
      <c r="AB1200" t="s">
        <v>26</v>
      </c>
      <c r="AC1200" t="s">
        <v>27</v>
      </c>
      <c r="AD1200" t="s">
        <v>42</v>
      </c>
      <c r="AE1200" t="s">
        <v>25</v>
      </c>
      <c r="AF12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</v>
      </c>
      <c r="AG1200" t="s">
        <v>942</v>
      </c>
      <c r="AH1200">
        <v>55.5</v>
      </c>
      <c r="AI1200" t="s">
        <v>938</v>
      </c>
      <c r="AJ1200">
        <v>1</v>
      </c>
      <c r="AK12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MIN(AJ1200/8, 1) +
  Merge1[[#This Row],[index_defensive_effort]],
  2
)</f>
        <v>0.83</v>
      </c>
    </row>
    <row r="1201" spans="1:37" x14ac:dyDescent="0.25">
      <c r="A1201" t="s">
        <v>517</v>
      </c>
      <c r="B1201" t="s">
        <v>518</v>
      </c>
      <c r="C1201">
        <v>25</v>
      </c>
      <c r="D1201" t="s">
        <v>22</v>
      </c>
      <c r="E1201">
        <v>71</v>
      </c>
      <c r="F1201">
        <v>217</v>
      </c>
      <c r="G1201" t="s">
        <v>94</v>
      </c>
      <c r="H1201">
        <v>2020</v>
      </c>
      <c r="I1201" t="s">
        <v>33</v>
      </c>
      <c r="J1201">
        <v>5</v>
      </c>
      <c r="K1201">
        <v>5</v>
      </c>
      <c r="L1201">
        <v>1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24</v>
      </c>
      <c r="T1201">
        <v>23</v>
      </c>
      <c r="U1201" s="5">
        <f>IF(Merge1[[#This Row],[team_defense_snaps]]=0, "", Merge1[[#This Row],[defense_snaps]] / Merge1[[#This Row],[team_defense_snaps]])</f>
        <v>0.34848484848484851</v>
      </c>
      <c r="V1201">
        <v>66</v>
      </c>
      <c r="W1201">
        <v>1</v>
      </c>
      <c r="X1201" s="5" t="s">
        <v>303</v>
      </c>
      <c r="Y1201">
        <v>3</v>
      </c>
      <c r="Z1201">
        <v>0</v>
      </c>
      <c r="AA1201" t="s">
        <v>25</v>
      </c>
      <c r="AB1201" t="s">
        <v>36</v>
      </c>
      <c r="AC1201" t="s">
        <v>63</v>
      </c>
      <c r="AD1201" t="s">
        <v>28</v>
      </c>
      <c r="AE1201" t="s">
        <v>25</v>
      </c>
      <c r="AF12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0.22916666666666666</v>
      </c>
      <c r="AG1201" t="s">
        <v>942</v>
      </c>
      <c r="AH1201">
        <v>58.5</v>
      </c>
      <c r="AI1201" t="s">
        <v>939</v>
      </c>
      <c r="AJ1201">
        <v>2</v>
      </c>
      <c r="AK12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MIN(AJ1201/8, 1) +
  Merge1[[#This Row],[index_defensive_effort]],
  2
)</f>
        <v>0.98</v>
      </c>
    </row>
    <row r="1202" spans="1:37" x14ac:dyDescent="0.25">
      <c r="A1202" t="s">
        <v>517</v>
      </c>
      <c r="B1202" t="s">
        <v>518</v>
      </c>
      <c r="C1202">
        <v>25</v>
      </c>
      <c r="D1202" t="s">
        <v>22</v>
      </c>
      <c r="E1202">
        <v>71</v>
      </c>
      <c r="F1202">
        <v>217</v>
      </c>
      <c r="G1202" t="s">
        <v>94</v>
      </c>
      <c r="H1202">
        <v>2020</v>
      </c>
      <c r="I1202" t="s">
        <v>33</v>
      </c>
      <c r="J1202">
        <v>6</v>
      </c>
      <c r="K1202">
        <v>4</v>
      </c>
      <c r="L1202">
        <v>2</v>
      </c>
      <c r="M1202">
        <v>0</v>
      </c>
      <c r="N1202">
        <v>2</v>
      </c>
      <c r="O1202">
        <v>0</v>
      </c>
      <c r="P1202">
        <v>1</v>
      </c>
      <c r="Q1202">
        <v>0</v>
      </c>
      <c r="R1202">
        <v>0</v>
      </c>
      <c r="S1202">
        <v>73</v>
      </c>
      <c r="T1202">
        <v>72</v>
      </c>
      <c r="U1202" s="5">
        <f>IF(Merge1[[#This Row],[team_defense_snaps]]=0, "", Merge1[[#This Row],[defense_snaps]] / Merge1[[#This Row],[team_defense_snaps]])</f>
        <v>0.98630136986301364</v>
      </c>
      <c r="V1202">
        <v>73</v>
      </c>
      <c r="W1202">
        <v>1</v>
      </c>
      <c r="X1202" s="5" t="s">
        <v>34</v>
      </c>
      <c r="Y1202">
        <v>3</v>
      </c>
      <c r="Z1202">
        <v>0</v>
      </c>
      <c r="AA1202" t="s">
        <v>25</v>
      </c>
      <c r="AB1202" t="s">
        <v>26</v>
      </c>
      <c r="AC1202" t="s">
        <v>27</v>
      </c>
      <c r="AD1202" t="s">
        <v>42</v>
      </c>
      <c r="AE1202" t="s">
        <v>25</v>
      </c>
      <c r="AF12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9.5890410958904104E-2</v>
      </c>
      <c r="AG1202" t="s">
        <v>942</v>
      </c>
      <c r="AH1202">
        <v>63</v>
      </c>
      <c r="AI1202" t="s">
        <v>939</v>
      </c>
      <c r="AJ1202">
        <v>3</v>
      </c>
      <c r="AK12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MIN(AJ1202/8, 1) +
  Merge1[[#This Row],[index_defensive_effort]],
  2
)</f>
        <v>0.97</v>
      </c>
    </row>
    <row r="1203" spans="1:37" x14ac:dyDescent="0.25">
      <c r="A1203" t="s">
        <v>517</v>
      </c>
      <c r="B1203" t="s">
        <v>518</v>
      </c>
      <c r="C1203">
        <v>25</v>
      </c>
      <c r="D1203" t="s">
        <v>22</v>
      </c>
      <c r="E1203">
        <v>71</v>
      </c>
      <c r="F1203">
        <v>217</v>
      </c>
      <c r="G1203" t="s">
        <v>94</v>
      </c>
      <c r="H1203">
        <v>2020</v>
      </c>
      <c r="I1203" t="s">
        <v>33</v>
      </c>
      <c r="J1203">
        <v>7</v>
      </c>
      <c r="K1203">
        <v>7</v>
      </c>
      <c r="L1203">
        <v>2</v>
      </c>
      <c r="M1203">
        <v>0</v>
      </c>
      <c r="N1203">
        <v>2</v>
      </c>
      <c r="O1203">
        <v>4</v>
      </c>
      <c r="P1203">
        <v>4</v>
      </c>
      <c r="Q1203">
        <v>0</v>
      </c>
      <c r="R1203">
        <v>0</v>
      </c>
      <c r="S1203">
        <v>84</v>
      </c>
      <c r="T1203">
        <v>79</v>
      </c>
      <c r="U1203" s="5">
        <f>IF(Merge1[[#This Row],[team_defense_snaps]]=0, "", Merge1[[#This Row],[defense_snaps]] / Merge1[[#This Row],[team_defense_snaps]])</f>
        <v>0.96341463414634143</v>
      </c>
      <c r="V1203">
        <v>82</v>
      </c>
      <c r="W1203">
        <v>5</v>
      </c>
      <c r="X1203" s="5" t="s">
        <v>59</v>
      </c>
      <c r="Y1203">
        <v>3</v>
      </c>
      <c r="Z1203">
        <v>0</v>
      </c>
      <c r="AA1203" t="s">
        <v>25</v>
      </c>
      <c r="AB1203" t="s">
        <v>26</v>
      </c>
      <c r="AC1203" t="s">
        <v>27</v>
      </c>
      <c r="AD1203" t="s">
        <v>42</v>
      </c>
      <c r="AE1203" t="s">
        <v>25</v>
      </c>
      <c r="AF12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0.33333333333333331</v>
      </c>
      <c r="AG1203" t="s">
        <v>942</v>
      </c>
      <c r="AH1203">
        <v>52.5</v>
      </c>
      <c r="AI1203" t="s">
        <v>939</v>
      </c>
      <c r="AJ1203">
        <v>4</v>
      </c>
      <c r="AK12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MIN(AJ1203/8, 1) +
  Merge1[[#This Row],[index_defensive_effort]],
  2
)</f>
        <v>1.33</v>
      </c>
    </row>
    <row r="1204" spans="1:37" x14ac:dyDescent="0.25">
      <c r="A1204" t="s">
        <v>517</v>
      </c>
      <c r="B1204" t="s">
        <v>518</v>
      </c>
      <c r="C1204">
        <v>25</v>
      </c>
      <c r="D1204" t="s">
        <v>22</v>
      </c>
      <c r="E1204">
        <v>71</v>
      </c>
      <c r="F1204">
        <v>217</v>
      </c>
      <c r="G1204" t="s">
        <v>94</v>
      </c>
      <c r="H1204">
        <v>2020</v>
      </c>
      <c r="I1204" t="s">
        <v>33</v>
      </c>
      <c r="J1204">
        <v>8</v>
      </c>
      <c r="K1204">
        <v>7</v>
      </c>
      <c r="L1204">
        <v>3</v>
      </c>
      <c r="M1204">
        <v>2</v>
      </c>
      <c r="N1204">
        <v>5</v>
      </c>
      <c r="O1204">
        <v>0</v>
      </c>
      <c r="P1204">
        <v>0</v>
      </c>
      <c r="Q1204">
        <v>0</v>
      </c>
      <c r="R1204">
        <v>0</v>
      </c>
      <c r="S1204">
        <v>69</v>
      </c>
      <c r="T1204">
        <v>66</v>
      </c>
      <c r="U1204" s="5">
        <f>IF(Merge1[[#This Row],[team_defense_snaps]]=0, "", Merge1[[#This Row],[defense_snaps]] / Merge1[[#This Row],[team_defense_snaps]])</f>
        <v>0.94285714285714284</v>
      </c>
      <c r="V1204">
        <v>70</v>
      </c>
      <c r="W1204">
        <v>3</v>
      </c>
      <c r="X1204" s="5" t="s">
        <v>35</v>
      </c>
      <c r="Y1204">
        <v>3</v>
      </c>
      <c r="Z1204">
        <v>0</v>
      </c>
      <c r="AA1204" t="s">
        <v>25</v>
      </c>
      <c r="AB1204" t="s">
        <v>26</v>
      </c>
      <c r="AC1204" t="s">
        <v>27</v>
      </c>
      <c r="AD1204" t="s">
        <v>42</v>
      </c>
      <c r="AE1204" t="s">
        <v>25</v>
      </c>
      <c r="AF12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0.13768115942028986</v>
      </c>
      <c r="AG1204" t="s">
        <v>942</v>
      </c>
      <c r="AH1204">
        <v>66</v>
      </c>
      <c r="AI1204" t="s">
        <v>939</v>
      </c>
      <c r="AJ1204">
        <v>5</v>
      </c>
      <c r="AK12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MIN(AJ1204/8, 1) +
  Merge1[[#This Row],[index_defensive_effort]],
  2
)</f>
        <v>1.26</v>
      </c>
    </row>
    <row r="1205" spans="1:37" x14ac:dyDescent="0.25">
      <c r="A1205" t="s">
        <v>517</v>
      </c>
      <c r="B1205" t="s">
        <v>518</v>
      </c>
      <c r="C1205">
        <v>25</v>
      </c>
      <c r="D1205" t="s">
        <v>22</v>
      </c>
      <c r="E1205">
        <v>71</v>
      </c>
      <c r="F1205">
        <v>217</v>
      </c>
      <c r="G1205" t="s">
        <v>94</v>
      </c>
      <c r="H1205">
        <v>2020</v>
      </c>
      <c r="I1205" t="s">
        <v>33</v>
      </c>
      <c r="J1205">
        <v>9</v>
      </c>
      <c r="K1205">
        <v>6</v>
      </c>
      <c r="L1205">
        <v>2</v>
      </c>
      <c r="M1205">
        <v>0</v>
      </c>
      <c r="N1205">
        <v>2</v>
      </c>
      <c r="O1205">
        <v>0</v>
      </c>
      <c r="P1205">
        <v>0</v>
      </c>
      <c r="Q1205">
        <v>2</v>
      </c>
      <c r="R1205">
        <v>0</v>
      </c>
      <c r="S1205">
        <v>55</v>
      </c>
      <c r="T1205">
        <v>54</v>
      </c>
      <c r="U1205" s="5">
        <f>IF(Merge1[[#This Row],[team_defense_snaps]]=0, "", Merge1[[#This Row],[defense_snaps]] / Merge1[[#This Row],[team_defense_snaps]])</f>
        <v>1</v>
      </c>
      <c r="V1205">
        <v>54</v>
      </c>
      <c r="W1205">
        <v>1</v>
      </c>
      <c r="X1205" s="5" t="s">
        <v>193</v>
      </c>
      <c r="Y1205">
        <v>3</v>
      </c>
      <c r="Z1205">
        <v>0</v>
      </c>
      <c r="AA1205" t="s">
        <v>25</v>
      </c>
      <c r="AB1205" t="s">
        <v>26</v>
      </c>
      <c r="AC1205" t="s">
        <v>27</v>
      </c>
      <c r="AD1205" t="s">
        <v>42</v>
      </c>
      <c r="AE1205" t="s">
        <v>25</v>
      </c>
      <c r="AF12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0.27272727272727271</v>
      </c>
      <c r="AG1205" t="s">
        <v>942</v>
      </c>
      <c r="AH1205">
        <v>70.5</v>
      </c>
      <c r="AI1205" t="s">
        <v>939</v>
      </c>
      <c r="AJ1205">
        <v>6</v>
      </c>
      <c r="AK12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MIN(AJ1205/8, 1) +
  Merge1[[#This Row],[index_defensive_effort]],
  2
)</f>
        <v>1.52</v>
      </c>
    </row>
    <row r="1206" spans="1:37" x14ac:dyDescent="0.25">
      <c r="A1206" t="s">
        <v>517</v>
      </c>
      <c r="B1206" t="s">
        <v>518</v>
      </c>
      <c r="C1206">
        <v>25</v>
      </c>
      <c r="D1206" t="s">
        <v>22</v>
      </c>
      <c r="E1206">
        <v>71</v>
      </c>
      <c r="F1206">
        <v>217</v>
      </c>
      <c r="G1206" t="s">
        <v>94</v>
      </c>
      <c r="H1206">
        <v>2020</v>
      </c>
      <c r="I1206" t="s">
        <v>33</v>
      </c>
      <c r="J1206">
        <v>10</v>
      </c>
      <c r="K1206">
        <v>8</v>
      </c>
      <c r="L1206">
        <v>3</v>
      </c>
      <c r="M1206">
        <v>0</v>
      </c>
      <c r="N1206">
        <v>3</v>
      </c>
      <c r="O1206">
        <v>3</v>
      </c>
      <c r="P1206">
        <v>3</v>
      </c>
      <c r="Q1206">
        <v>0</v>
      </c>
      <c r="R1206">
        <v>0</v>
      </c>
      <c r="S1206">
        <v>72</v>
      </c>
      <c r="T1206">
        <v>67</v>
      </c>
      <c r="U1206" s="5">
        <f>IF(Merge1[[#This Row],[team_defense_snaps]]=0, "", Merge1[[#This Row],[defense_snaps]] / Merge1[[#This Row],[team_defense_snaps]])</f>
        <v>1</v>
      </c>
      <c r="V1206">
        <v>67</v>
      </c>
      <c r="W1206">
        <v>5</v>
      </c>
      <c r="X1206" s="5" t="s">
        <v>58</v>
      </c>
      <c r="Y1206">
        <v>3</v>
      </c>
      <c r="Z1206">
        <v>0</v>
      </c>
      <c r="AA1206" t="s">
        <v>25</v>
      </c>
      <c r="AB1206" t="s">
        <v>26</v>
      </c>
      <c r="AC1206" t="s">
        <v>27</v>
      </c>
      <c r="AD1206" t="s">
        <v>42</v>
      </c>
      <c r="AE1206" t="s">
        <v>25</v>
      </c>
      <c r="AF12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0.34027777777777779</v>
      </c>
      <c r="AG1206" t="s">
        <v>942</v>
      </c>
      <c r="AH1206">
        <v>54</v>
      </c>
      <c r="AI1206" t="s">
        <v>939</v>
      </c>
      <c r="AJ1206">
        <v>1</v>
      </c>
      <c r="AK12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MIN(AJ1206/8, 1) +
  Merge1[[#This Row],[index_defensive_effort]],
  2
)</f>
        <v>0.97</v>
      </c>
    </row>
    <row r="1207" spans="1:37" x14ac:dyDescent="0.25">
      <c r="A1207" t="s">
        <v>517</v>
      </c>
      <c r="B1207" t="s">
        <v>518</v>
      </c>
      <c r="C1207">
        <v>25</v>
      </c>
      <c r="D1207" t="s">
        <v>22</v>
      </c>
      <c r="E1207">
        <v>71</v>
      </c>
      <c r="F1207">
        <v>217</v>
      </c>
      <c r="G1207" t="s">
        <v>94</v>
      </c>
      <c r="H1207">
        <v>2020</v>
      </c>
      <c r="I1207" t="s">
        <v>33</v>
      </c>
      <c r="J1207">
        <v>12</v>
      </c>
      <c r="K1207">
        <v>4</v>
      </c>
      <c r="L1207">
        <v>3</v>
      </c>
      <c r="M1207">
        <v>0</v>
      </c>
      <c r="N1207">
        <v>3</v>
      </c>
      <c r="O1207">
        <v>0</v>
      </c>
      <c r="P1207">
        <v>1</v>
      </c>
      <c r="Q1207">
        <v>0</v>
      </c>
      <c r="R1207">
        <v>0</v>
      </c>
      <c r="S1207">
        <v>58</v>
      </c>
      <c r="T1207">
        <v>49</v>
      </c>
      <c r="U1207" s="5">
        <f>IF(Merge1[[#This Row],[team_defense_snaps]]=0, "", Merge1[[#This Row],[defense_snaps]] / Merge1[[#This Row],[team_defense_snaps]])</f>
        <v>1</v>
      </c>
      <c r="V1207">
        <v>49</v>
      </c>
      <c r="W1207">
        <v>9</v>
      </c>
      <c r="X1207" s="5" t="s">
        <v>314</v>
      </c>
      <c r="Y1207">
        <v>3</v>
      </c>
      <c r="Z1207">
        <v>0</v>
      </c>
      <c r="AA1207" t="s">
        <v>25</v>
      </c>
      <c r="AB1207" t="s">
        <v>26</v>
      </c>
      <c r="AC1207" t="s">
        <v>27</v>
      </c>
      <c r="AD1207" t="s">
        <v>42</v>
      </c>
      <c r="AE1207" t="s">
        <v>25</v>
      </c>
      <c r="AF12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0.12931034482758622</v>
      </c>
      <c r="AG1207" t="s">
        <v>942</v>
      </c>
      <c r="AH1207">
        <v>64.5</v>
      </c>
      <c r="AI1207" t="s">
        <v>939</v>
      </c>
      <c r="AJ1207">
        <v>2</v>
      </c>
      <c r="AK12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MIN(AJ1207/8, 1) +
  Merge1[[#This Row],[index_defensive_effort]],
  2
)</f>
        <v>0.88</v>
      </c>
    </row>
    <row r="1208" spans="1:37" x14ac:dyDescent="0.25">
      <c r="A1208" t="s">
        <v>517</v>
      </c>
      <c r="B1208" t="s">
        <v>518</v>
      </c>
      <c r="C1208">
        <v>25</v>
      </c>
      <c r="D1208" t="s">
        <v>22</v>
      </c>
      <c r="E1208">
        <v>71</v>
      </c>
      <c r="F1208">
        <v>217</v>
      </c>
      <c r="G1208" t="s">
        <v>94</v>
      </c>
      <c r="H1208">
        <v>2020</v>
      </c>
      <c r="I1208" t="s">
        <v>33</v>
      </c>
      <c r="J1208">
        <v>13</v>
      </c>
      <c r="K1208">
        <v>6</v>
      </c>
      <c r="L1208">
        <v>2</v>
      </c>
      <c r="M1208">
        <v>0</v>
      </c>
      <c r="N1208">
        <v>2</v>
      </c>
      <c r="O1208">
        <v>4</v>
      </c>
      <c r="P1208">
        <v>4</v>
      </c>
      <c r="Q1208">
        <v>0</v>
      </c>
      <c r="R1208">
        <v>0</v>
      </c>
      <c r="S1208">
        <v>77</v>
      </c>
      <c r="T1208">
        <v>72</v>
      </c>
      <c r="U1208" s="5">
        <f>IF(Merge1[[#This Row],[team_defense_snaps]]=0, "", Merge1[[#This Row],[defense_snaps]] / Merge1[[#This Row],[team_defense_snaps]])</f>
        <v>1</v>
      </c>
      <c r="V1208">
        <v>72</v>
      </c>
      <c r="W1208">
        <v>5</v>
      </c>
      <c r="X1208" s="5" t="s">
        <v>293</v>
      </c>
      <c r="Y1208">
        <v>3</v>
      </c>
      <c r="Z1208">
        <v>0</v>
      </c>
      <c r="AA1208" t="s">
        <v>25</v>
      </c>
      <c r="AB1208" t="s">
        <v>26</v>
      </c>
      <c r="AC1208" t="s">
        <v>27</v>
      </c>
      <c r="AD1208" t="s">
        <v>42</v>
      </c>
      <c r="AE1208" t="s">
        <v>25</v>
      </c>
      <c r="AF12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0.35064935064935066</v>
      </c>
      <c r="AG1208" t="s">
        <v>942</v>
      </c>
      <c r="AH1208">
        <v>69</v>
      </c>
      <c r="AI1208" t="s">
        <v>939</v>
      </c>
      <c r="AJ1208">
        <v>3</v>
      </c>
      <c r="AK12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MIN(AJ1208/8, 1) +
  Merge1[[#This Row],[index_defensive_effort]],
  2
)</f>
        <v>1.23</v>
      </c>
    </row>
    <row r="1209" spans="1:37" x14ac:dyDescent="0.25">
      <c r="A1209" t="s">
        <v>517</v>
      </c>
      <c r="B1209" t="s">
        <v>518</v>
      </c>
      <c r="C1209">
        <v>25</v>
      </c>
      <c r="D1209" t="s">
        <v>22</v>
      </c>
      <c r="E1209">
        <v>71</v>
      </c>
      <c r="F1209">
        <v>217</v>
      </c>
      <c r="G1209" t="s">
        <v>94</v>
      </c>
      <c r="H1209">
        <v>2020</v>
      </c>
      <c r="I1209" t="s">
        <v>33</v>
      </c>
      <c r="J1209">
        <v>14</v>
      </c>
      <c r="K1209">
        <v>10</v>
      </c>
      <c r="L1209">
        <v>5</v>
      </c>
      <c r="M1209">
        <v>1</v>
      </c>
      <c r="N1209">
        <v>6</v>
      </c>
      <c r="O1209">
        <v>0</v>
      </c>
      <c r="P1209">
        <v>0</v>
      </c>
      <c r="Q1209">
        <v>0</v>
      </c>
      <c r="R1209">
        <v>2</v>
      </c>
      <c r="S1209">
        <v>85</v>
      </c>
      <c r="T1209">
        <v>79</v>
      </c>
      <c r="U1209" s="5">
        <f>IF(Merge1[[#This Row],[team_defense_snaps]]=0, "", Merge1[[#This Row],[defense_snaps]] / Merge1[[#This Row],[team_defense_snaps]])</f>
        <v>1</v>
      </c>
      <c r="V1209">
        <v>79</v>
      </c>
      <c r="W1209">
        <v>6</v>
      </c>
      <c r="X1209" s="5" t="s">
        <v>293</v>
      </c>
      <c r="Y1209">
        <v>3</v>
      </c>
      <c r="Z1209">
        <v>0</v>
      </c>
      <c r="AA1209" t="s">
        <v>25</v>
      </c>
      <c r="AB1209" t="s">
        <v>26</v>
      </c>
      <c r="AC1209" t="s">
        <v>27</v>
      </c>
      <c r="AD1209" t="s">
        <v>42</v>
      </c>
      <c r="AE1209" t="s">
        <v>25</v>
      </c>
      <c r="AF12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</v>
      </c>
      <c r="AG1209" t="s">
        <v>942</v>
      </c>
      <c r="AH1209">
        <v>61.5</v>
      </c>
      <c r="AI1209" t="s">
        <v>939</v>
      </c>
      <c r="AJ1209">
        <v>4</v>
      </c>
      <c r="AK12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MIN(AJ1209/8, 1) +
  Merge1[[#This Row],[index_defensive_effort]],
  2
)</f>
        <v>1.2</v>
      </c>
    </row>
    <row r="1210" spans="1:37" x14ac:dyDescent="0.25">
      <c r="A1210" t="s">
        <v>517</v>
      </c>
      <c r="B1210" t="s">
        <v>518</v>
      </c>
      <c r="C1210">
        <v>25</v>
      </c>
      <c r="D1210" t="s">
        <v>22</v>
      </c>
      <c r="E1210">
        <v>71</v>
      </c>
      <c r="F1210">
        <v>217</v>
      </c>
      <c r="G1210" t="s">
        <v>94</v>
      </c>
      <c r="H1210">
        <v>2020</v>
      </c>
      <c r="I1210" t="s">
        <v>33</v>
      </c>
      <c r="J1210">
        <v>15</v>
      </c>
      <c r="K1210">
        <v>1</v>
      </c>
      <c r="L1210">
        <v>1</v>
      </c>
      <c r="M1210">
        <v>0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70</v>
      </c>
      <c r="T1210">
        <v>64</v>
      </c>
      <c r="U1210" s="5">
        <f>IF(Merge1[[#This Row],[team_defense_snaps]]=0, "", Merge1[[#This Row],[defense_snaps]] / Merge1[[#This Row],[team_defense_snaps]])</f>
        <v>1</v>
      </c>
      <c r="V1210">
        <v>64</v>
      </c>
      <c r="W1210">
        <v>6</v>
      </c>
      <c r="X1210" s="5" t="s">
        <v>123</v>
      </c>
      <c r="Y1210">
        <v>3</v>
      </c>
      <c r="Z1210">
        <v>0</v>
      </c>
      <c r="AA1210" t="s">
        <v>25</v>
      </c>
      <c r="AB1210" t="s">
        <v>26</v>
      </c>
      <c r="AC1210" t="s">
        <v>27</v>
      </c>
      <c r="AD1210" t="s">
        <v>42</v>
      </c>
      <c r="AE1210" t="s">
        <v>25</v>
      </c>
      <c r="AF12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2.1428571428571429E-2</v>
      </c>
      <c r="AG1210" t="s">
        <v>942</v>
      </c>
      <c r="AH1210">
        <v>49.5</v>
      </c>
      <c r="AI1210" t="s">
        <v>939</v>
      </c>
      <c r="AJ1210">
        <v>5</v>
      </c>
      <c r="AK12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MIN(AJ1210/8, 1) +
  Merge1[[#This Row],[index_defensive_effort]],
  2
)</f>
        <v>1.1499999999999999</v>
      </c>
    </row>
    <row r="1211" spans="1:37" x14ac:dyDescent="0.25">
      <c r="A1211" t="s">
        <v>517</v>
      </c>
      <c r="B1211" t="s">
        <v>518</v>
      </c>
      <c r="C1211">
        <v>25</v>
      </c>
      <c r="D1211" t="s">
        <v>22</v>
      </c>
      <c r="E1211">
        <v>71</v>
      </c>
      <c r="F1211">
        <v>217</v>
      </c>
      <c r="G1211" t="s">
        <v>94</v>
      </c>
      <c r="H1211">
        <v>2020</v>
      </c>
      <c r="I1211" t="s">
        <v>33</v>
      </c>
      <c r="J1211">
        <v>16</v>
      </c>
      <c r="K1211">
        <v>3</v>
      </c>
      <c r="L1211">
        <v>3</v>
      </c>
      <c r="M1211">
        <v>0</v>
      </c>
      <c r="N1211">
        <v>3</v>
      </c>
      <c r="O1211">
        <v>0</v>
      </c>
      <c r="P1211">
        <v>0</v>
      </c>
      <c r="Q1211">
        <v>0</v>
      </c>
      <c r="R1211">
        <v>0</v>
      </c>
      <c r="S1211">
        <v>74</v>
      </c>
      <c r="T1211">
        <v>68</v>
      </c>
      <c r="U1211" s="5">
        <f>IF(Merge1[[#This Row],[team_defense_snaps]]=0, "", Merge1[[#This Row],[defense_snaps]] / Merge1[[#This Row],[team_defense_snaps]])</f>
        <v>0.98550724637681164</v>
      </c>
      <c r="V1211">
        <v>69</v>
      </c>
      <c r="W1211">
        <v>6</v>
      </c>
      <c r="X1211" s="5" t="s">
        <v>137</v>
      </c>
      <c r="Y1211">
        <v>3</v>
      </c>
      <c r="Z1211">
        <v>0</v>
      </c>
      <c r="AA1211" t="s">
        <v>25</v>
      </c>
      <c r="AB1211" t="s">
        <v>26</v>
      </c>
      <c r="AC1211" t="s">
        <v>27</v>
      </c>
      <c r="AD1211" t="s">
        <v>42</v>
      </c>
      <c r="AE1211" t="s">
        <v>25</v>
      </c>
      <c r="AF12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6.0810810810810814E-2</v>
      </c>
      <c r="AG1211" t="s">
        <v>942</v>
      </c>
      <c r="AH1211">
        <v>72</v>
      </c>
      <c r="AI1211" t="s">
        <v>939</v>
      </c>
      <c r="AJ1211">
        <v>6</v>
      </c>
      <c r="AK12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MIN(AJ1211/8, 1) +
  Merge1[[#This Row],[index_defensive_effort]],
  2
)</f>
        <v>1.31</v>
      </c>
    </row>
    <row r="1212" spans="1:37" x14ac:dyDescent="0.25">
      <c r="A1212" t="s">
        <v>517</v>
      </c>
      <c r="B1212" t="s">
        <v>518</v>
      </c>
      <c r="C1212">
        <v>25</v>
      </c>
      <c r="D1212" t="s">
        <v>22</v>
      </c>
      <c r="E1212">
        <v>71</v>
      </c>
      <c r="F1212">
        <v>217</v>
      </c>
      <c r="G1212" t="s">
        <v>94</v>
      </c>
      <c r="H1212">
        <v>2020</v>
      </c>
      <c r="I1212" t="s">
        <v>33</v>
      </c>
      <c r="J1212">
        <v>17</v>
      </c>
      <c r="K1212">
        <v>4</v>
      </c>
      <c r="L1212">
        <v>3</v>
      </c>
      <c r="M1212">
        <v>1</v>
      </c>
      <c r="N1212">
        <v>4</v>
      </c>
      <c r="O1212">
        <v>0</v>
      </c>
      <c r="P1212">
        <v>0</v>
      </c>
      <c r="Q1212">
        <v>0</v>
      </c>
      <c r="R1212">
        <v>0</v>
      </c>
      <c r="S1212">
        <v>97</v>
      </c>
      <c r="T1212">
        <v>81</v>
      </c>
      <c r="U1212" s="5">
        <f>IF(Merge1[[#This Row],[team_defense_snaps]]=0, "", Merge1[[#This Row],[defense_snaps]] / Merge1[[#This Row],[team_defense_snaps]])</f>
        <v>0.97590361445783136</v>
      </c>
      <c r="V1212">
        <v>83</v>
      </c>
      <c r="W1212">
        <v>16</v>
      </c>
      <c r="X1212" s="5" t="s">
        <v>53</v>
      </c>
      <c r="Y1212">
        <v>3</v>
      </c>
      <c r="Z1212">
        <v>0</v>
      </c>
      <c r="AA1212" t="s">
        <v>25</v>
      </c>
      <c r="AB1212" t="s">
        <v>26</v>
      </c>
      <c r="AC1212" t="s">
        <v>27</v>
      </c>
      <c r="AD1212" t="s">
        <v>42</v>
      </c>
      <c r="AE1212" t="s">
        <v>25</v>
      </c>
      <c r="AF12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6.1855670103092786E-2</v>
      </c>
      <c r="AG1212" t="s">
        <v>942</v>
      </c>
      <c r="AH1212">
        <v>60</v>
      </c>
      <c r="AI1212" t="s">
        <v>939</v>
      </c>
      <c r="AJ1212">
        <v>1</v>
      </c>
      <c r="AK12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MIN(AJ1212/8, 1) +
  Merge1[[#This Row],[index_defensive_effort]],
  2
)</f>
        <v>0.69</v>
      </c>
    </row>
    <row r="1213" spans="1:37" x14ac:dyDescent="0.25">
      <c r="A1213" t="s">
        <v>558</v>
      </c>
      <c r="B1213" t="s">
        <v>559</v>
      </c>
      <c r="C1213">
        <v>25</v>
      </c>
      <c r="D1213" t="s">
        <v>56</v>
      </c>
      <c r="E1213">
        <v>71</v>
      </c>
      <c r="F1213">
        <v>185</v>
      </c>
      <c r="G1213" t="s">
        <v>153</v>
      </c>
      <c r="H1213">
        <v>2020</v>
      </c>
      <c r="I1213" t="s">
        <v>33</v>
      </c>
      <c r="J1213">
        <v>9</v>
      </c>
      <c r="K1213">
        <v>2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53</v>
      </c>
      <c r="T1213">
        <v>48</v>
      </c>
      <c r="U1213" s="5">
        <f>IF(Merge1[[#This Row],[team_defense_snaps]]=0, "", Merge1[[#This Row],[defense_snaps]] / Merge1[[#This Row],[team_defense_snaps]])</f>
        <v>0.78688524590163933</v>
      </c>
      <c r="V1213">
        <v>61</v>
      </c>
      <c r="W1213">
        <v>5</v>
      </c>
      <c r="X1213" s="5" t="s">
        <v>181</v>
      </c>
      <c r="Y1213">
        <v>0</v>
      </c>
      <c r="Z1213">
        <v>0</v>
      </c>
      <c r="AA1213" t="s">
        <v>25</v>
      </c>
      <c r="AB1213" t="s">
        <v>26</v>
      </c>
      <c r="AC1213" t="s">
        <v>27</v>
      </c>
      <c r="AD1213" t="s">
        <v>28</v>
      </c>
      <c r="AE1213" t="s">
        <v>25</v>
      </c>
      <c r="AF12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3.7735849056603772E-2</v>
      </c>
      <c r="AG1213" t="s">
        <v>941</v>
      </c>
      <c r="AH1213">
        <v>83</v>
      </c>
      <c r="AI1213" t="s">
        <v>939</v>
      </c>
      <c r="AJ1213">
        <v>1</v>
      </c>
      <c r="AK12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MIN(AJ1213/8, 1) +
  Merge1[[#This Row],[index_defensive_effort]],
  2
)</f>
        <v>0.56000000000000005</v>
      </c>
    </row>
    <row r="1214" spans="1:37" x14ac:dyDescent="0.25">
      <c r="A1214" t="s">
        <v>447</v>
      </c>
      <c r="B1214" t="s">
        <v>448</v>
      </c>
      <c r="C1214">
        <v>30</v>
      </c>
      <c r="D1214" t="s">
        <v>22</v>
      </c>
      <c r="E1214">
        <v>70</v>
      </c>
      <c r="F1214">
        <v>195</v>
      </c>
      <c r="G1214" t="s">
        <v>120</v>
      </c>
      <c r="H1214">
        <v>2020</v>
      </c>
      <c r="I1214" t="s">
        <v>33</v>
      </c>
      <c r="J1214">
        <v>8</v>
      </c>
      <c r="K1214">
        <v>2</v>
      </c>
      <c r="L1214">
        <v>1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36</v>
      </c>
      <c r="T1214">
        <v>27</v>
      </c>
      <c r="U1214" s="5">
        <f>IF(Merge1[[#This Row],[team_defense_snaps]]=0, "", Merge1[[#This Row],[defense_snaps]] / Merge1[[#This Row],[team_defense_snaps]])</f>
        <v>0.41538461538461541</v>
      </c>
      <c r="V1214">
        <v>65</v>
      </c>
      <c r="W1214">
        <v>9</v>
      </c>
      <c r="X1214" s="5" t="s">
        <v>261</v>
      </c>
      <c r="Y1214">
        <v>7</v>
      </c>
      <c r="Z1214">
        <v>0</v>
      </c>
      <c r="AA1214" t="s">
        <v>25</v>
      </c>
      <c r="AB1214" t="s">
        <v>26</v>
      </c>
      <c r="AC1214" t="s">
        <v>27</v>
      </c>
      <c r="AD1214" t="s">
        <v>28</v>
      </c>
      <c r="AE1214" t="s">
        <v>25</v>
      </c>
      <c r="AF12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6.9444444444444448E-2</v>
      </c>
      <c r="AG1214" t="s">
        <v>942</v>
      </c>
      <c r="AH1214">
        <v>71.5</v>
      </c>
      <c r="AI1214" t="s">
        <v>939</v>
      </c>
      <c r="AJ1214">
        <v>1</v>
      </c>
      <c r="AK12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MIN(AJ1214/8, 1) +
  Merge1[[#This Row],[index_defensive_effort]],
  2
)</f>
        <v>0.79</v>
      </c>
    </row>
    <row r="1215" spans="1:37" x14ac:dyDescent="0.25">
      <c r="A1215" t="s">
        <v>447</v>
      </c>
      <c r="B1215" t="s">
        <v>448</v>
      </c>
      <c r="C1215">
        <v>30</v>
      </c>
      <c r="D1215" t="s">
        <v>22</v>
      </c>
      <c r="E1215">
        <v>70</v>
      </c>
      <c r="F1215">
        <v>195</v>
      </c>
      <c r="G1215" t="s">
        <v>120</v>
      </c>
      <c r="H1215">
        <v>2020</v>
      </c>
      <c r="I1215" t="s">
        <v>33</v>
      </c>
      <c r="J1215">
        <v>10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18</v>
      </c>
      <c r="T1215">
        <v>8</v>
      </c>
      <c r="U1215" s="5">
        <f>IF(Merge1[[#This Row],[team_defense_snaps]]=0, "", Merge1[[#This Row],[defense_snaps]] / Merge1[[#This Row],[team_defense_snaps]])</f>
        <v>0.13793103448275862</v>
      </c>
      <c r="V1215">
        <v>58</v>
      </c>
      <c r="W1215">
        <v>10</v>
      </c>
      <c r="X1215" s="5" t="s">
        <v>134</v>
      </c>
      <c r="Y1215">
        <v>7</v>
      </c>
      <c r="Z1215">
        <v>0</v>
      </c>
      <c r="AA1215" t="s">
        <v>25</v>
      </c>
      <c r="AB1215" t="s">
        <v>26</v>
      </c>
      <c r="AC1215" t="s">
        <v>27</v>
      </c>
      <c r="AD1215" t="s">
        <v>28</v>
      </c>
      <c r="AE1215" t="s">
        <v>25</v>
      </c>
      <c r="AF12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1215" t="s">
        <v>942</v>
      </c>
      <c r="AH1215">
        <v>61</v>
      </c>
      <c r="AI1215" t="s">
        <v>939</v>
      </c>
      <c r="AJ1215">
        <v>2</v>
      </c>
      <c r="AK12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MIN(AJ1215/8, 1) +
  Merge1[[#This Row],[index_defensive_effort]],
  2
)</f>
        <v>0.91</v>
      </c>
    </row>
    <row r="1216" spans="1:37" x14ac:dyDescent="0.25">
      <c r="A1216" t="s">
        <v>447</v>
      </c>
      <c r="B1216" t="s">
        <v>448</v>
      </c>
      <c r="C1216">
        <v>30</v>
      </c>
      <c r="D1216" t="s">
        <v>22</v>
      </c>
      <c r="E1216">
        <v>70</v>
      </c>
      <c r="F1216">
        <v>195</v>
      </c>
      <c r="G1216" t="s">
        <v>120</v>
      </c>
      <c r="H1216">
        <v>2020</v>
      </c>
      <c r="I1216" t="s">
        <v>33</v>
      </c>
      <c r="J1216">
        <v>11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23</v>
      </c>
      <c r="T1216">
        <v>14</v>
      </c>
      <c r="U1216" s="5">
        <f>IF(Merge1[[#This Row],[team_defense_snaps]]=0, "", Merge1[[#This Row],[defense_snaps]] / Merge1[[#This Row],[team_defense_snaps]])</f>
        <v>0.22950819672131148</v>
      </c>
      <c r="V1216">
        <v>61</v>
      </c>
      <c r="W1216">
        <v>9</v>
      </c>
      <c r="X1216" s="5" t="s">
        <v>138</v>
      </c>
      <c r="Y1216">
        <v>7</v>
      </c>
      <c r="Z1216">
        <v>0</v>
      </c>
      <c r="AA1216" t="s">
        <v>25</v>
      </c>
      <c r="AB1216" t="s">
        <v>26</v>
      </c>
      <c r="AC1216" t="s">
        <v>27</v>
      </c>
      <c r="AD1216" t="s">
        <v>28</v>
      </c>
      <c r="AE1216" t="s">
        <v>25</v>
      </c>
      <c r="AF12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0.13043478260869565</v>
      </c>
      <c r="AG1216" t="s">
        <v>942</v>
      </c>
      <c r="AH1216">
        <v>62.5</v>
      </c>
      <c r="AI1216" t="s">
        <v>939</v>
      </c>
      <c r="AJ1216">
        <v>1</v>
      </c>
      <c r="AK12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MIN(AJ1216/8, 1) +
  Merge1[[#This Row],[index_defensive_effort]],
  2
)</f>
        <v>0.86</v>
      </c>
    </row>
    <row r="1217" spans="1:37" x14ac:dyDescent="0.25">
      <c r="A1217" t="s">
        <v>447</v>
      </c>
      <c r="B1217" t="s">
        <v>448</v>
      </c>
      <c r="C1217">
        <v>30</v>
      </c>
      <c r="D1217" t="s">
        <v>22</v>
      </c>
      <c r="E1217">
        <v>70</v>
      </c>
      <c r="F1217">
        <v>195</v>
      </c>
      <c r="G1217" t="s">
        <v>120</v>
      </c>
      <c r="H1217">
        <v>2020</v>
      </c>
      <c r="I1217" t="s">
        <v>33</v>
      </c>
      <c r="J1217">
        <v>14</v>
      </c>
      <c r="K1217">
        <v>4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2</v>
      </c>
      <c r="R1217">
        <v>0</v>
      </c>
      <c r="S1217">
        <v>45</v>
      </c>
      <c r="T1217">
        <v>35</v>
      </c>
      <c r="U1217" s="5">
        <f>IF(Merge1[[#This Row],[team_defense_snaps]]=0, "", Merge1[[#This Row],[defense_snaps]] / Merge1[[#This Row],[team_defense_snaps]])</f>
        <v>0.61403508771929827</v>
      </c>
      <c r="V1217">
        <v>57</v>
      </c>
      <c r="W1217">
        <v>10</v>
      </c>
      <c r="X1217" s="5" t="s">
        <v>200</v>
      </c>
      <c r="Y1217">
        <v>7</v>
      </c>
      <c r="Z1217">
        <v>0</v>
      </c>
      <c r="AA1217" t="s">
        <v>25</v>
      </c>
      <c r="AB1217" t="s">
        <v>26</v>
      </c>
      <c r="AC1217" t="s">
        <v>27</v>
      </c>
      <c r="AD1217" t="s">
        <v>28</v>
      </c>
      <c r="AE1217" t="s">
        <v>25</v>
      </c>
      <c r="AF12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0.26666666666666666</v>
      </c>
      <c r="AG1217" t="s">
        <v>942</v>
      </c>
      <c r="AH1217">
        <v>59.5</v>
      </c>
      <c r="AI1217" t="s">
        <v>939</v>
      </c>
      <c r="AJ1217">
        <v>2</v>
      </c>
      <c r="AK12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MIN(AJ1217/8, 1) +
  Merge1[[#This Row],[index_defensive_effort]],
  2
)</f>
        <v>1.1200000000000001</v>
      </c>
    </row>
    <row r="1218" spans="1:37" x14ac:dyDescent="0.25">
      <c r="A1218" t="s">
        <v>447</v>
      </c>
      <c r="B1218" t="s">
        <v>448</v>
      </c>
      <c r="C1218">
        <v>30</v>
      </c>
      <c r="D1218" t="s">
        <v>22</v>
      </c>
      <c r="E1218">
        <v>70</v>
      </c>
      <c r="F1218">
        <v>195</v>
      </c>
      <c r="G1218" t="s">
        <v>120</v>
      </c>
      <c r="H1218">
        <v>2020</v>
      </c>
      <c r="I1218" t="s">
        <v>33</v>
      </c>
      <c r="J1218">
        <v>15</v>
      </c>
      <c r="K1218">
        <v>2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34</v>
      </c>
      <c r="T1218">
        <v>18</v>
      </c>
      <c r="U1218" s="5">
        <f>IF(Merge1[[#This Row],[team_defense_snaps]]=0, "", Merge1[[#This Row],[defense_snaps]] / Merge1[[#This Row],[team_defense_snaps]])</f>
        <v>0.23376623376623376</v>
      </c>
      <c r="V1218">
        <v>77</v>
      </c>
      <c r="W1218">
        <v>16</v>
      </c>
      <c r="X1218" s="5" t="s">
        <v>232</v>
      </c>
      <c r="Y1218">
        <v>7</v>
      </c>
      <c r="Z1218">
        <v>0</v>
      </c>
      <c r="AA1218" t="s">
        <v>25</v>
      </c>
      <c r="AB1218" t="s">
        <v>26</v>
      </c>
      <c r="AC1218" t="s">
        <v>27</v>
      </c>
      <c r="AD1218" t="s">
        <v>28</v>
      </c>
      <c r="AE1218" t="s">
        <v>25</v>
      </c>
      <c r="AF12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AG1218" t="s">
        <v>942</v>
      </c>
      <c r="AH1218">
        <v>67</v>
      </c>
      <c r="AI1218" t="s">
        <v>939</v>
      </c>
      <c r="AJ1218">
        <v>3</v>
      </c>
      <c r="AK12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MIN(AJ1218/8, 1) +
  Merge1[[#This Row],[index_defensive_effort]],
  2
)</f>
        <v>1.03</v>
      </c>
    </row>
    <row r="1219" spans="1:37" x14ac:dyDescent="0.25">
      <c r="A1219" t="s">
        <v>447</v>
      </c>
      <c r="B1219" t="s">
        <v>448</v>
      </c>
      <c r="C1219">
        <v>30</v>
      </c>
      <c r="D1219" t="s">
        <v>22</v>
      </c>
      <c r="E1219">
        <v>70</v>
      </c>
      <c r="F1219">
        <v>195</v>
      </c>
      <c r="G1219" t="s">
        <v>120</v>
      </c>
      <c r="H1219">
        <v>2020</v>
      </c>
      <c r="I1219" t="s">
        <v>33</v>
      </c>
      <c r="J1219">
        <v>16</v>
      </c>
      <c r="K1219">
        <v>3</v>
      </c>
      <c r="L1219">
        <v>7</v>
      </c>
      <c r="M1219">
        <v>1</v>
      </c>
      <c r="N1219">
        <v>8</v>
      </c>
      <c r="O1219">
        <v>3</v>
      </c>
      <c r="P1219">
        <v>3</v>
      </c>
      <c r="Q1219">
        <v>0</v>
      </c>
      <c r="R1219">
        <v>0</v>
      </c>
      <c r="S1219">
        <v>84</v>
      </c>
      <c r="T1219">
        <v>72</v>
      </c>
      <c r="U1219" s="5">
        <f>IF(Merge1[[#This Row],[team_defense_snaps]]=0, "", Merge1[[#This Row],[defense_snaps]] / Merge1[[#This Row],[team_defense_snaps]])</f>
        <v>0.93506493506493504</v>
      </c>
      <c r="V1219">
        <v>77</v>
      </c>
      <c r="W1219">
        <v>12</v>
      </c>
      <c r="X1219" s="5" t="s">
        <v>210</v>
      </c>
      <c r="Y1219">
        <v>7</v>
      </c>
      <c r="Z1219">
        <v>0</v>
      </c>
      <c r="AA1219" t="s">
        <v>25</v>
      </c>
      <c r="AB1219" t="s">
        <v>26</v>
      </c>
      <c r="AC1219" t="s">
        <v>27</v>
      </c>
      <c r="AD1219" t="s">
        <v>28</v>
      </c>
      <c r="AE1219" t="s">
        <v>25</v>
      </c>
      <c r="AF12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0.26190476190476192</v>
      </c>
      <c r="AG1219" t="s">
        <v>942</v>
      </c>
      <c r="AH1219">
        <v>68.5</v>
      </c>
      <c r="AI1219" t="s">
        <v>939</v>
      </c>
      <c r="AJ1219">
        <v>1</v>
      </c>
      <c r="AK12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MIN(AJ1219/8, 1) +
  Merge1[[#This Row],[index_defensive_effort]],
  2
)</f>
        <v>0.99</v>
      </c>
    </row>
    <row r="1220" spans="1:37" x14ac:dyDescent="0.25">
      <c r="A1220" t="s">
        <v>449</v>
      </c>
      <c r="B1220" t="s">
        <v>450</v>
      </c>
      <c r="C1220">
        <v>23</v>
      </c>
      <c r="D1220" t="s">
        <v>56</v>
      </c>
      <c r="E1220">
        <v>70</v>
      </c>
      <c r="F1220">
        <v>196</v>
      </c>
      <c r="G1220" t="s">
        <v>41</v>
      </c>
      <c r="H1220">
        <v>2020</v>
      </c>
      <c r="I1220" t="s">
        <v>33</v>
      </c>
      <c r="J1220">
        <v>1</v>
      </c>
      <c r="K1220">
        <v>10</v>
      </c>
      <c r="L1220">
        <v>1</v>
      </c>
      <c r="M1220">
        <v>0</v>
      </c>
      <c r="N1220">
        <v>1</v>
      </c>
      <c r="O1220">
        <v>5</v>
      </c>
      <c r="P1220">
        <v>5</v>
      </c>
      <c r="Q1220">
        <v>2</v>
      </c>
      <c r="R1220">
        <v>0</v>
      </c>
      <c r="S1220">
        <v>49</v>
      </c>
      <c r="T1220">
        <v>49</v>
      </c>
      <c r="U1220" s="5">
        <f>IF(Merge1[[#This Row],[team_defense_snaps]]=0, "", Merge1[[#This Row],[defense_snaps]] / Merge1[[#This Row],[team_defense_snaps]])</f>
        <v>0.94230769230769229</v>
      </c>
      <c r="V1220">
        <v>52</v>
      </c>
      <c r="W1220">
        <v>0</v>
      </c>
      <c r="X1220" s="5" t="s">
        <v>29</v>
      </c>
      <c r="Y1220">
        <v>2</v>
      </c>
      <c r="Z1220">
        <v>0</v>
      </c>
      <c r="AA1220" t="s">
        <v>25</v>
      </c>
      <c r="AB1220" t="s">
        <v>26</v>
      </c>
      <c r="AC1220" t="s">
        <v>27</v>
      </c>
      <c r="AD1220" t="s">
        <v>42</v>
      </c>
      <c r="AE1220" t="s">
        <v>25</v>
      </c>
      <c r="AF12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0.88775510204081631</v>
      </c>
      <c r="AG1220" t="s">
        <v>943</v>
      </c>
      <c r="AH1220">
        <v>50</v>
      </c>
      <c r="AI1220" t="s">
        <v>939</v>
      </c>
      <c r="AJ1220">
        <v>2</v>
      </c>
      <c r="AK12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MIN(AJ1220/8, 1) +
  Merge1[[#This Row],[index_defensive_effort]],
  2
)</f>
        <v>1.64</v>
      </c>
    </row>
    <row r="1221" spans="1:37" x14ac:dyDescent="0.25">
      <c r="A1221" t="s">
        <v>449</v>
      </c>
      <c r="B1221" t="s">
        <v>450</v>
      </c>
      <c r="C1221">
        <v>23</v>
      </c>
      <c r="D1221" t="s">
        <v>56</v>
      </c>
      <c r="E1221">
        <v>70</v>
      </c>
      <c r="F1221">
        <v>196</v>
      </c>
      <c r="G1221" t="s">
        <v>41</v>
      </c>
      <c r="H1221">
        <v>2020</v>
      </c>
      <c r="I1221" t="s">
        <v>33</v>
      </c>
      <c r="J1221">
        <v>2</v>
      </c>
      <c r="K1221">
        <v>3</v>
      </c>
      <c r="L1221">
        <v>2</v>
      </c>
      <c r="M1221">
        <v>0</v>
      </c>
      <c r="N1221">
        <v>2</v>
      </c>
      <c r="O1221">
        <v>0</v>
      </c>
      <c r="P1221">
        <v>0</v>
      </c>
      <c r="Q1221">
        <v>0</v>
      </c>
      <c r="R1221">
        <v>0</v>
      </c>
      <c r="S1221">
        <v>54</v>
      </c>
      <c r="T1221">
        <v>53</v>
      </c>
      <c r="U1221" s="5">
        <f>IF(Merge1[[#This Row],[team_defense_snaps]]=0, "", Merge1[[#This Row],[defense_snaps]] / Merge1[[#This Row],[team_defense_snaps]])</f>
        <v>0.85483870967741937</v>
      </c>
      <c r="V1221">
        <v>62</v>
      </c>
      <c r="W1221">
        <v>1</v>
      </c>
      <c r="X1221" s="5" t="s">
        <v>303</v>
      </c>
      <c r="Y1221">
        <v>2</v>
      </c>
      <c r="Z1221">
        <v>0</v>
      </c>
      <c r="AA1221" t="s">
        <v>25</v>
      </c>
      <c r="AB1221" t="s">
        <v>26</v>
      </c>
      <c r="AC1221" t="s">
        <v>27</v>
      </c>
      <c r="AD1221" t="s">
        <v>42</v>
      </c>
      <c r="AE1221" t="s">
        <v>25</v>
      </c>
      <c r="AF12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7.407407407407407E-2</v>
      </c>
      <c r="AG1221" t="s">
        <v>943</v>
      </c>
      <c r="AH1221">
        <v>54.5</v>
      </c>
      <c r="AI1221" t="s">
        <v>939</v>
      </c>
      <c r="AJ1221">
        <v>3</v>
      </c>
      <c r="AK12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MIN(AJ1221/8, 1) +
  Merge1[[#This Row],[index_defensive_effort]],
  2
)</f>
        <v>0.95</v>
      </c>
    </row>
    <row r="1222" spans="1:37" x14ac:dyDescent="0.25">
      <c r="A1222" t="s">
        <v>449</v>
      </c>
      <c r="B1222" t="s">
        <v>450</v>
      </c>
      <c r="C1222">
        <v>23</v>
      </c>
      <c r="D1222" t="s">
        <v>56</v>
      </c>
      <c r="E1222">
        <v>70</v>
      </c>
      <c r="F1222">
        <v>196</v>
      </c>
      <c r="G1222" t="s">
        <v>41</v>
      </c>
      <c r="H1222">
        <v>2020</v>
      </c>
      <c r="I1222" t="s">
        <v>33</v>
      </c>
      <c r="J1222">
        <v>3</v>
      </c>
      <c r="K1222">
        <v>4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63</v>
      </c>
      <c r="T1222">
        <v>61</v>
      </c>
      <c r="U1222" s="5">
        <f>IF(Merge1[[#This Row],[team_defense_snaps]]=0, "", Merge1[[#This Row],[defense_snaps]] / Merge1[[#This Row],[team_defense_snaps]])</f>
        <v>0.9838709677419355</v>
      </c>
      <c r="V1222">
        <v>62</v>
      </c>
      <c r="W1222">
        <v>2</v>
      </c>
      <c r="X1222" s="5" t="s">
        <v>114</v>
      </c>
      <c r="Y1222">
        <v>2</v>
      </c>
      <c r="Z1222">
        <v>0</v>
      </c>
      <c r="AA1222" t="s">
        <v>25</v>
      </c>
      <c r="AB1222" t="s">
        <v>26</v>
      </c>
      <c r="AC1222" t="s">
        <v>27</v>
      </c>
      <c r="AD1222" t="s">
        <v>42</v>
      </c>
      <c r="AE1222" t="s">
        <v>25</v>
      </c>
      <c r="AF12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6.3492063492063489E-2</v>
      </c>
      <c r="AG1222" t="s">
        <v>943</v>
      </c>
      <c r="AH1222">
        <v>45</v>
      </c>
      <c r="AI1222" t="s">
        <v>939</v>
      </c>
      <c r="AJ1222">
        <v>4</v>
      </c>
      <c r="AK12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MIN(AJ1222/8, 1) +
  Merge1[[#This Row],[index_defensive_effort]],
  2
)</f>
        <v>1.06</v>
      </c>
    </row>
    <row r="1223" spans="1:37" x14ac:dyDescent="0.25">
      <c r="A1223" t="s">
        <v>449</v>
      </c>
      <c r="B1223" t="s">
        <v>450</v>
      </c>
      <c r="C1223">
        <v>23</v>
      </c>
      <c r="D1223" t="s">
        <v>56</v>
      </c>
      <c r="E1223">
        <v>70</v>
      </c>
      <c r="F1223">
        <v>196</v>
      </c>
      <c r="G1223" t="s">
        <v>41</v>
      </c>
      <c r="H1223">
        <v>2020</v>
      </c>
      <c r="I1223" t="s">
        <v>33</v>
      </c>
      <c r="J1223">
        <v>4</v>
      </c>
      <c r="K1223">
        <v>4</v>
      </c>
      <c r="L1223">
        <v>2</v>
      </c>
      <c r="M1223">
        <v>0</v>
      </c>
      <c r="N1223">
        <v>2</v>
      </c>
      <c r="O1223">
        <v>0</v>
      </c>
      <c r="P1223">
        <v>1</v>
      </c>
      <c r="Q1223">
        <v>0</v>
      </c>
      <c r="R1223">
        <v>0</v>
      </c>
      <c r="S1223">
        <v>70</v>
      </c>
      <c r="T1223">
        <v>70</v>
      </c>
      <c r="U1223" s="5">
        <f>IF(Merge1[[#This Row],[team_defense_snaps]]=0, "", Merge1[[#This Row],[defense_snaps]] / Merge1[[#This Row],[team_defense_snaps]])</f>
        <v>0.93333333333333335</v>
      </c>
      <c r="V1223">
        <v>75</v>
      </c>
      <c r="W1223">
        <v>0</v>
      </c>
      <c r="X1223" s="5" t="s">
        <v>29</v>
      </c>
      <c r="Y1223">
        <v>2</v>
      </c>
      <c r="Z1223">
        <v>0</v>
      </c>
      <c r="AA1223" t="s">
        <v>25</v>
      </c>
      <c r="AB1223" t="s">
        <v>36</v>
      </c>
      <c r="AC1223" t="s">
        <v>298</v>
      </c>
      <c r="AD1223" t="s">
        <v>42</v>
      </c>
      <c r="AE1223" t="s">
        <v>25</v>
      </c>
      <c r="AF12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1223" t="s">
        <v>943</v>
      </c>
      <c r="AH1223">
        <v>44</v>
      </c>
      <c r="AI1223" t="s">
        <v>939</v>
      </c>
      <c r="AJ1223">
        <v>1</v>
      </c>
      <c r="AK12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MIN(AJ1223/8, 1) +
  Merge1[[#This Row],[index_defensive_effort]],
  2
)</f>
        <v>0.73</v>
      </c>
    </row>
    <row r="1224" spans="1:37" x14ac:dyDescent="0.25">
      <c r="A1224" t="s">
        <v>449</v>
      </c>
      <c r="B1224" t="s">
        <v>450</v>
      </c>
      <c r="C1224">
        <v>23</v>
      </c>
      <c r="D1224" t="s">
        <v>56</v>
      </c>
      <c r="E1224">
        <v>70</v>
      </c>
      <c r="F1224">
        <v>196</v>
      </c>
      <c r="G1224" t="s">
        <v>41</v>
      </c>
      <c r="H1224">
        <v>2020</v>
      </c>
      <c r="I1224" t="s">
        <v>33</v>
      </c>
      <c r="J1224">
        <v>6</v>
      </c>
      <c r="K1224">
        <v>2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62</v>
      </c>
      <c r="T1224">
        <v>59</v>
      </c>
      <c r="U1224" s="5">
        <f>IF(Merge1[[#This Row],[team_defense_snaps]]=0, "", Merge1[[#This Row],[defense_snaps]] / Merge1[[#This Row],[team_defense_snaps]])</f>
        <v>0.921875</v>
      </c>
      <c r="V1224">
        <v>64</v>
      </c>
      <c r="W1224">
        <v>3</v>
      </c>
      <c r="X1224" s="5" t="s">
        <v>38</v>
      </c>
      <c r="Y1224">
        <v>2</v>
      </c>
      <c r="Z1224">
        <v>0</v>
      </c>
      <c r="AA1224" t="s">
        <v>25</v>
      </c>
      <c r="AB1224" t="s">
        <v>26</v>
      </c>
      <c r="AC1224" t="s">
        <v>27</v>
      </c>
      <c r="AD1224" t="s">
        <v>42</v>
      </c>
      <c r="AE1224" t="s">
        <v>25</v>
      </c>
      <c r="AF12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3.2258064516129031E-2</v>
      </c>
      <c r="AG1224" t="s">
        <v>943</v>
      </c>
      <c r="AH1224">
        <v>53</v>
      </c>
      <c r="AI1224" t="s">
        <v>939</v>
      </c>
      <c r="AJ1224">
        <v>2</v>
      </c>
      <c r="AK12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MIN(AJ1224/8, 1) +
  Merge1[[#This Row],[index_defensive_effort]],
  2
)</f>
        <v>0.78</v>
      </c>
    </row>
    <row r="1225" spans="1:37" x14ac:dyDescent="0.25">
      <c r="A1225" t="s">
        <v>449</v>
      </c>
      <c r="B1225" t="s">
        <v>450</v>
      </c>
      <c r="C1225">
        <v>23</v>
      </c>
      <c r="D1225" t="s">
        <v>56</v>
      </c>
      <c r="E1225">
        <v>70</v>
      </c>
      <c r="F1225">
        <v>196</v>
      </c>
      <c r="G1225" t="s">
        <v>41</v>
      </c>
      <c r="H1225">
        <v>2020</v>
      </c>
      <c r="I1225" t="s">
        <v>33</v>
      </c>
      <c r="J1225">
        <v>7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68</v>
      </c>
      <c r="T1225">
        <v>68</v>
      </c>
      <c r="U1225" s="5">
        <f>IF(Merge1[[#This Row],[team_defense_snaps]]=0, "", Merge1[[#This Row],[defense_snaps]] / Merge1[[#This Row],[team_defense_snaps]])</f>
        <v>1</v>
      </c>
      <c r="V1225">
        <v>68</v>
      </c>
      <c r="W1225">
        <v>0</v>
      </c>
      <c r="X1225" s="5" t="s">
        <v>29</v>
      </c>
      <c r="Y1225">
        <v>2</v>
      </c>
      <c r="Z1225">
        <v>0</v>
      </c>
      <c r="AA1225" t="s">
        <v>25</v>
      </c>
      <c r="AB1225" t="s">
        <v>26</v>
      </c>
      <c r="AC1225" t="s">
        <v>27</v>
      </c>
      <c r="AD1225" t="s">
        <v>42</v>
      </c>
      <c r="AE1225" t="s">
        <v>25</v>
      </c>
      <c r="AF12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1225" t="s">
        <v>943</v>
      </c>
      <c r="AH1225">
        <v>45.5</v>
      </c>
      <c r="AI1225" t="s">
        <v>939</v>
      </c>
      <c r="AJ1225">
        <v>3</v>
      </c>
      <c r="AK12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MIN(AJ1225/8, 1) +
  Merge1[[#This Row],[index_defensive_effort]],
  2
)</f>
        <v>0.88</v>
      </c>
    </row>
    <row r="1226" spans="1:37" x14ac:dyDescent="0.25">
      <c r="A1226" t="s">
        <v>449</v>
      </c>
      <c r="B1226" t="s">
        <v>450</v>
      </c>
      <c r="C1226">
        <v>23</v>
      </c>
      <c r="D1226" t="s">
        <v>56</v>
      </c>
      <c r="E1226">
        <v>70</v>
      </c>
      <c r="F1226">
        <v>196</v>
      </c>
      <c r="G1226" t="s">
        <v>41</v>
      </c>
      <c r="H1226">
        <v>2020</v>
      </c>
      <c r="I1226" t="s">
        <v>33</v>
      </c>
      <c r="J1226">
        <v>8</v>
      </c>
      <c r="K1226">
        <v>5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49</v>
      </c>
      <c r="T1226">
        <v>49</v>
      </c>
      <c r="U1226" s="5">
        <f>IF(Merge1[[#This Row],[team_defense_snaps]]=0, "", Merge1[[#This Row],[defense_snaps]] / Merge1[[#This Row],[team_defense_snaps]])</f>
        <v>0.94230769230769229</v>
      </c>
      <c r="V1226">
        <v>52</v>
      </c>
      <c r="W1226">
        <v>0</v>
      </c>
      <c r="X1226" s="5" t="s">
        <v>29</v>
      </c>
      <c r="Y1226">
        <v>2</v>
      </c>
      <c r="Z1226">
        <v>0</v>
      </c>
      <c r="AA1226" t="s">
        <v>25</v>
      </c>
      <c r="AB1226" t="s">
        <v>26</v>
      </c>
      <c r="AC1226" t="s">
        <v>27</v>
      </c>
      <c r="AD1226" t="s">
        <v>42</v>
      </c>
      <c r="AE1226" t="s">
        <v>25</v>
      </c>
      <c r="AF12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0.10204081632653061</v>
      </c>
      <c r="AG1226" t="s">
        <v>943</v>
      </c>
      <c r="AH1226">
        <v>47</v>
      </c>
      <c r="AI1226" t="s">
        <v>939</v>
      </c>
      <c r="AJ1226">
        <v>4</v>
      </c>
      <c r="AK12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MIN(AJ1226/8, 1) +
  Merge1[[#This Row],[index_defensive_effort]],
  2
)</f>
        <v>1.1000000000000001</v>
      </c>
    </row>
    <row r="1227" spans="1:37" x14ac:dyDescent="0.25">
      <c r="A1227" t="s">
        <v>449</v>
      </c>
      <c r="B1227" t="s">
        <v>450</v>
      </c>
      <c r="C1227">
        <v>23</v>
      </c>
      <c r="D1227" t="s">
        <v>56</v>
      </c>
      <c r="E1227">
        <v>70</v>
      </c>
      <c r="F1227">
        <v>196</v>
      </c>
      <c r="G1227" t="s">
        <v>41</v>
      </c>
      <c r="H1227">
        <v>2020</v>
      </c>
      <c r="I1227" t="s">
        <v>33</v>
      </c>
      <c r="J1227">
        <v>9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19</v>
      </c>
      <c r="T1227">
        <v>18</v>
      </c>
      <c r="U1227" s="5">
        <f>IF(Merge1[[#This Row],[team_defense_snaps]]=0, "", Merge1[[#This Row],[defense_snaps]] / Merge1[[#This Row],[team_defense_snaps]])</f>
        <v>0.31578947368421051</v>
      </c>
      <c r="V1227">
        <v>57</v>
      </c>
      <c r="W1227">
        <v>1</v>
      </c>
      <c r="X1227" s="5" t="s">
        <v>193</v>
      </c>
      <c r="Y1227">
        <v>2</v>
      </c>
      <c r="Z1227">
        <v>0</v>
      </c>
      <c r="AA1227" t="s">
        <v>25</v>
      </c>
      <c r="AB1227" t="s">
        <v>26</v>
      </c>
      <c r="AC1227" t="s">
        <v>27</v>
      </c>
      <c r="AD1227" t="s">
        <v>42</v>
      </c>
      <c r="AE1227" t="s">
        <v>25</v>
      </c>
      <c r="AF12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5.2631578947368418E-2</v>
      </c>
      <c r="AG1227" t="s">
        <v>943</v>
      </c>
      <c r="AH1227">
        <v>65</v>
      </c>
      <c r="AI1227" t="s">
        <v>939</v>
      </c>
      <c r="AJ1227">
        <v>1</v>
      </c>
      <c r="AK12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MIN(AJ1227/8, 1) +
  Merge1[[#This Row],[index_defensive_effort]],
  2
)</f>
        <v>0.68</v>
      </c>
    </row>
    <row r="1228" spans="1:37" x14ac:dyDescent="0.25">
      <c r="A1228" t="s">
        <v>449</v>
      </c>
      <c r="B1228" t="s">
        <v>450</v>
      </c>
      <c r="C1228">
        <v>23</v>
      </c>
      <c r="D1228" t="s">
        <v>56</v>
      </c>
      <c r="E1228">
        <v>70</v>
      </c>
      <c r="F1228">
        <v>196</v>
      </c>
      <c r="G1228" t="s">
        <v>41</v>
      </c>
      <c r="H1228">
        <v>2020</v>
      </c>
      <c r="I1228" t="s">
        <v>33</v>
      </c>
      <c r="J1228">
        <v>11</v>
      </c>
      <c r="K1228">
        <v>3</v>
      </c>
      <c r="L1228">
        <v>3</v>
      </c>
      <c r="M1228">
        <v>3</v>
      </c>
      <c r="N1228">
        <v>6</v>
      </c>
      <c r="O1228">
        <v>0</v>
      </c>
      <c r="P1228">
        <v>1</v>
      </c>
      <c r="Q1228">
        <v>0</v>
      </c>
      <c r="R1228">
        <v>1</v>
      </c>
      <c r="S1228">
        <v>84</v>
      </c>
      <c r="T1228">
        <v>84</v>
      </c>
      <c r="U1228" s="5">
        <f>IF(Merge1[[#This Row],[team_defense_snaps]]=0, "", Merge1[[#This Row],[defense_snaps]] / Merge1[[#This Row],[team_defense_snaps]])</f>
        <v>1</v>
      </c>
      <c r="V1228">
        <v>84</v>
      </c>
      <c r="W1228">
        <v>0</v>
      </c>
      <c r="X1228" s="5" t="s">
        <v>29</v>
      </c>
      <c r="Y1228">
        <v>2</v>
      </c>
      <c r="Z1228">
        <v>0</v>
      </c>
      <c r="AA1228" t="s">
        <v>25</v>
      </c>
      <c r="AB1228" t="s">
        <v>26</v>
      </c>
      <c r="AC1228" t="s">
        <v>27</v>
      </c>
      <c r="AD1228" t="s">
        <v>42</v>
      </c>
      <c r="AE1228" t="s">
        <v>25</v>
      </c>
      <c r="AF12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0.11904761904761904</v>
      </c>
      <c r="AG1228" t="s">
        <v>943</v>
      </c>
      <c r="AH1228">
        <v>48.5</v>
      </c>
      <c r="AI1228" t="s">
        <v>939</v>
      </c>
      <c r="AJ1228">
        <v>2</v>
      </c>
      <c r="AK12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MIN(AJ1228/8, 1) +
  Merge1[[#This Row],[index_defensive_effort]],
  2
)</f>
        <v>0.87</v>
      </c>
    </row>
    <row r="1229" spans="1:37" x14ac:dyDescent="0.25">
      <c r="A1229" t="s">
        <v>449</v>
      </c>
      <c r="B1229" t="s">
        <v>450</v>
      </c>
      <c r="C1229">
        <v>23</v>
      </c>
      <c r="D1229" t="s">
        <v>56</v>
      </c>
      <c r="E1229">
        <v>70</v>
      </c>
      <c r="F1229">
        <v>196</v>
      </c>
      <c r="G1229" t="s">
        <v>41</v>
      </c>
      <c r="H1229">
        <v>2020</v>
      </c>
      <c r="I1229" t="s">
        <v>33</v>
      </c>
      <c r="J1229">
        <v>12</v>
      </c>
      <c r="K1229">
        <v>5</v>
      </c>
      <c r="L1229">
        <v>1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68</v>
      </c>
      <c r="T1229">
        <v>68</v>
      </c>
      <c r="U1229" s="5">
        <f>IF(Merge1[[#This Row],[team_defense_snaps]]=0, "", Merge1[[#This Row],[defense_snaps]] / Merge1[[#This Row],[team_defense_snaps]])</f>
        <v>1</v>
      </c>
      <c r="V1229">
        <v>68</v>
      </c>
      <c r="W1229">
        <v>0</v>
      </c>
      <c r="X1229" s="5" t="s">
        <v>29</v>
      </c>
      <c r="Y1229">
        <v>2</v>
      </c>
      <c r="Z1229">
        <v>0</v>
      </c>
      <c r="AA1229" t="s">
        <v>25</v>
      </c>
      <c r="AB1229" t="s">
        <v>26</v>
      </c>
      <c r="AC1229" t="s">
        <v>27</v>
      </c>
      <c r="AD1229" t="s">
        <v>42</v>
      </c>
      <c r="AE1229" t="s">
        <v>25</v>
      </c>
      <c r="AF12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8.0882352941176475E-2</v>
      </c>
      <c r="AG1229" t="s">
        <v>943</v>
      </c>
      <c r="AH1229">
        <v>56</v>
      </c>
      <c r="AI1229" t="s">
        <v>939</v>
      </c>
      <c r="AJ1229">
        <v>3</v>
      </c>
      <c r="AK12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MIN(AJ1229/8, 1) +
  Merge1[[#This Row],[index_defensive_effort]],
  2
)</f>
        <v>0.96</v>
      </c>
    </row>
    <row r="1230" spans="1:37" x14ac:dyDescent="0.25">
      <c r="A1230" t="s">
        <v>449</v>
      </c>
      <c r="B1230" t="s">
        <v>450</v>
      </c>
      <c r="C1230">
        <v>23</v>
      </c>
      <c r="D1230" t="s">
        <v>56</v>
      </c>
      <c r="E1230">
        <v>70</v>
      </c>
      <c r="F1230">
        <v>196</v>
      </c>
      <c r="G1230" t="s">
        <v>41</v>
      </c>
      <c r="H1230">
        <v>2020</v>
      </c>
      <c r="I1230" t="s">
        <v>33</v>
      </c>
      <c r="J1230">
        <v>13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62</v>
      </c>
      <c r="T1230">
        <v>61</v>
      </c>
      <c r="U1230" s="5">
        <f>IF(Merge1[[#This Row],[team_defense_snaps]]=0, "", Merge1[[#This Row],[defense_snaps]] / Merge1[[#This Row],[team_defense_snaps]])</f>
        <v>0.9838709677419355</v>
      </c>
      <c r="V1230">
        <v>62</v>
      </c>
      <c r="W1230">
        <v>1</v>
      </c>
      <c r="X1230" s="5" t="s">
        <v>193</v>
      </c>
      <c r="Y1230">
        <v>2</v>
      </c>
      <c r="Z1230">
        <v>0</v>
      </c>
      <c r="AA1230" t="s">
        <v>25</v>
      </c>
      <c r="AB1230" t="s">
        <v>26</v>
      </c>
      <c r="AC1230" t="s">
        <v>27</v>
      </c>
      <c r="AD1230" t="s">
        <v>42</v>
      </c>
      <c r="AE1230" t="s">
        <v>25</v>
      </c>
      <c r="AF12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1.6129032258064516E-2</v>
      </c>
      <c r="AG1230" t="s">
        <v>943</v>
      </c>
      <c r="AH1230">
        <v>42.5</v>
      </c>
      <c r="AI1230" t="s">
        <v>939</v>
      </c>
      <c r="AJ1230">
        <v>4</v>
      </c>
      <c r="AK12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MIN(AJ1230/8, 1) +
  Merge1[[#This Row],[index_defensive_effort]],
  2
)</f>
        <v>1.02</v>
      </c>
    </row>
    <row r="1231" spans="1:37" x14ac:dyDescent="0.25">
      <c r="A1231" t="s">
        <v>449</v>
      </c>
      <c r="B1231" t="s">
        <v>450</v>
      </c>
      <c r="C1231">
        <v>23</v>
      </c>
      <c r="D1231" t="s">
        <v>56</v>
      </c>
      <c r="E1231">
        <v>70</v>
      </c>
      <c r="F1231">
        <v>196</v>
      </c>
      <c r="G1231" t="s">
        <v>41</v>
      </c>
      <c r="H1231">
        <v>2020</v>
      </c>
      <c r="I1231" t="s">
        <v>33</v>
      </c>
      <c r="J1231">
        <v>14</v>
      </c>
      <c r="K1231">
        <v>2</v>
      </c>
      <c r="L1231">
        <v>1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65</v>
      </c>
      <c r="T1231">
        <v>65</v>
      </c>
      <c r="U1231" s="5">
        <f>IF(Merge1[[#This Row],[team_defense_snaps]]=0, "", Merge1[[#This Row],[defense_snaps]] / Merge1[[#This Row],[team_defense_snaps]])</f>
        <v>0.95588235294117652</v>
      </c>
      <c r="V1231">
        <v>68</v>
      </c>
      <c r="W1231">
        <v>0</v>
      </c>
      <c r="X1231" s="5" t="s">
        <v>29</v>
      </c>
      <c r="Y1231">
        <v>2</v>
      </c>
      <c r="Z1231">
        <v>0</v>
      </c>
      <c r="AA1231" t="s">
        <v>25</v>
      </c>
      <c r="AB1231" t="s">
        <v>26</v>
      </c>
      <c r="AC1231" t="s">
        <v>27</v>
      </c>
      <c r="AD1231" t="s">
        <v>42</v>
      </c>
      <c r="AE1231" t="s">
        <v>25</v>
      </c>
      <c r="AF12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3.8461538461538464E-2</v>
      </c>
      <c r="AG1231" t="s">
        <v>943</v>
      </c>
      <c r="AH1231">
        <v>63.5</v>
      </c>
      <c r="AI1231" t="s">
        <v>939</v>
      </c>
      <c r="AJ1231">
        <v>5</v>
      </c>
      <c r="AK12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MIN(AJ1231/8, 1) +
  Merge1[[#This Row],[index_defensive_effort]],
  2
)</f>
        <v>1.1599999999999999</v>
      </c>
    </row>
    <row r="1232" spans="1:37" x14ac:dyDescent="0.25">
      <c r="A1232" t="s">
        <v>449</v>
      </c>
      <c r="B1232" t="s">
        <v>450</v>
      </c>
      <c r="C1232">
        <v>23</v>
      </c>
      <c r="D1232" t="s">
        <v>56</v>
      </c>
      <c r="E1232">
        <v>70</v>
      </c>
      <c r="F1232">
        <v>196</v>
      </c>
      <c r="G1232" t="s">
        <v>41</v>
      </c>
      <c r="H1232">
        <v>2020</v>
      </c>
      <c r="I1232" t="s">
        <v>33</v>
      </c>
      <c r="J1232">
        <v>15</v>
      </c>
      <c r="K1232">
        <v>3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71</v>
      </c>
      <c r="T1232">
        <v>69</v>
      </c>
      <c r="U1232" s="5">
        <f>IF(Merge1[[#This Row],[team_defense_snaps]]=0, "", Merge1[[#This Row],[defense_snaps]] / Merge1[[#This Row],[team_defense_snaps]])</f>
        <v>0.971830985915493</v>
      </c>
      <c r="V1232">
        <v>71</v>
      </c>
      <c r="W1232">
        <v>2</v>
      </c>
      <c r="X1232" s="5" t="s">
        <v>208</v>
      </c>
      <c r="Y1232">
        <v>2</v>
      </c>
      <c r="Z1232">
        <v>0</v>
      </c>
      <c r="AA1232" t="s">
        <v>25</v>
      </c>
      <c r="AB1232" t="s">
        <v>26</v>
      </c>
      <c r="AC1232" t="s">
        <v>27</v>
      </c>
      <c r="AD1232" t="s">
        <v>42</v>
      </c>
      <c r="AE1232" t="s">
        <v>25</v>
      </c>
      <c r="AF12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4.2253521126760563E-2</v>
      </c>
      <c r="AG1232" t="s">
        <v>943</v>
      </c>
      <c r="AH1232">
        <v>62</v>
      </c>
      <c r="AI1232" t="s">
        <v>939</v>
      </c>
      <c r="AJ1232">
        <v>6</v>
      </c>
      <c r="AK12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MIN(AJ1232/8, 1) +
  Merge1[[#This Row],[index_defensive_effort]],
  2
)</f>
        <v>1.29</v>
      </c>
    </row>
    <row r="1233" spans="1:37" x14ac:dyDescent="0.25">
      <c r="A1233" t="s">
        <v>449</v>
      </c>
      <c r="B1233" t="s">
        <v>450</v>
      </c>
      <c r="C1233">
        <v>23</v>
      </c>
      <c r="D1233" t="s">
        <v>56</v>
      </c>
      <c r="E1233">
        <v>70</v>
      </c>
      <c r="F1233">
        <v>196</v>
      </c>
      <c r="G1233" t="s">
        <v>41</v>
      </c>
      <c r="H1233">
        <v>2020</v>
      </c>
      <c r="I1233" t="s">
        <v>33</v>
      </c>
      <c r="J1233">
        <v>16</v>
      </c>
      <c r="K1233">
        <v>1</v>
      </c>
      <c r="L1233">
        <v>1</v>
      </c>
      <c r="M1233">
        <v>0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53</v>
      </c>
      <c r="T1233">
        <v>52</v>
      </c>
      <c r="U1233" s="5">
        <f>IF(Merge1[[#This Row],[team_defense_snaps]]=0, "", Merge1[[#This Row],[defense_snaps]] / Merge1[[#This Row],[team_defense_snaps]])</f>
        <v>0.94545454545454544</v>
      </c>
      <c r="V1233">
        <v>55</v>
      </c>
      <c r="W1233">
        <v>1</v>
      </c>
      <c r="X1233" s="5" t="s">
        <v>34</v>
      </c>
      <c r="Y1233">
        <v>2</v>
      </c>
      <c r="Z1233">
        <v>0</v>
      </c>
      <c r="AA1233" t="s">
        <v>25</v>
      </c>
      <c r="AB1233" t="s">
        <v>26</v>
      </c>
      <c r="AC1233" t="s">
        <v>27</v>
      </c>
      <c r="AD1233" t="s">
        <v>42</v>
      </c>
      <c r="AE1233" t="s">
        <v>25</v>
      </c>
      <c r="AF12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2.8301886792452831E-2</v>
      </c>
      <c r="AG1233" t="s">
        <v>943</v>
      </c>
      <c r="AH1233">
        <v>60.5</v>
      </c>
      <c r="AI1233" t="s">
        <v>939</v>
      </c>
      <c r="AJ1233">
        <v>7</v>
      </c>
      <c r="AK12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MIN(AJ1233/8, 1) +
  Merge1[[#This Row],[index_defensive_effort]],
  2
)</f>
        <v>1.4</v>
      </c>
    </row>
    <row r="1234" spans="1:37" x14ac:dyDescent="0.25">
      <c r="A1234" t="s">
        <v>449</v>
      </c>
      <c r="B1234" t="s">
        <v>450</v>
      </c>
      <c r="C1234">
        <v>23</v>
      </c>
      <c r="D1234" t="s">
        <v>56</v>
      </c>
      <c r="E1234">
        <v>70</v>
      </c>
      <c r="F1234">
        <v>196</v>
      </c>
      <c r="G1234" t="s">
        <v>41</v>
      </c>
      <c r="H1234">
        <v>2020</v>
      </c>
      <c r="I1234" t="s">
        <v>33</v>
      </c>
      <c r="J1234">
        <v>17</v>
      </c>
      <c r="K1234">
        <v>2</v>
      </c>
      <c r="L1234">
        <v>1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2</v>
      </c>
      <c r="S1234">
        <v>74</v>
      </c>
      <c r="T1234">
        <v>74</v>
      </c>
      <c r="U1234" s="5">
        <f>IF(Merge1[[#This Row],[team_defense_snaps]]=0, "", Merge1[[#This Row],[defense_snaps]] / Merge1[[#This Row],[team_defense_snaps]])</f>
        <v>0.98666666666666669</v>
      </c>
      <c r="V1234">
        <v>75</v>
      </c>
      <c r="W1234">
        <v>0</v>
      </c>
      <c r="X1234" s="5" t="s">
        <v>29</v>
      </c>
      <c r="Y1234">
        <v>2</v>
      </c>
      <c r="Z1234">
        <v>0</v>
      </c>
      <c r="AA1234" t="s">
        <v>25</v>
      </c>
      <c r="AB1234" t="s">
        <v>26</v>
      </c>
      <c r="AC1234" t="s">
        <v>27</v>
      </c>
      <c r="AD1234" t="s">
        <v>42</v>
      </c>
      <c r="AE1234" t="s">
        <v>25</v>
      </c>
      <c r="AF12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8.7837837837837843E-2</v>
      </c>
      <c r="AG1234" t="s">
        <v>943</v>
      </c>
      <c r="AH1234">
        <v>45</v>
      </c>
      <c r="AI1234" t="s">
        <v>939</v>
      </c>
      <c r="AJ1234">
        <v>1</v>
      </c>
      <c r="AK12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MIN(AJ1234/8, 1) +
  Merge1[[#This Row],[index_defensive_effort]],
  2
)</f>
        <v>0.71</v>
      </c>
    </row>
    <row r="1235" spans="1:37" x14ac:dyDescent="0.25">
      <c r="A1235" t="s">
        <v>449</v>
      </c>
      <c r="B1235" t="s">
        <v>450</v>
      </c>
      <c r="C1235">
        <v>23</v>
      </c>
      <c r="D1235" t="s">
        <v>56</v>
      </c>
      <c r="E1235">
        <v>70</v>
      </c>
      <c r="F1235">
        <v>196</v>
      </c>
      <c r="G1235" t="s">
        <v>41</v>
      </c>
      <c r="H1235">
        <v>2020</v>
      </c>
      <c r="I1235" t="s">
        <v>24</v>
      </c>
      <c r="J1235">
        <v>19</v>
      </c>
      <c r="K1235">
        <v>2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51</v>
      </c>
      <c r="T1235">
        <v>51</v>
      </c>
      <c r="U1235" s="5">
        <f>IF(Merge1[[#This Row],[team_defense_snaps]]=0, "", Merge1[[#This Row],[defense_snaps]] / Merge1[[#This Row],[team_defense_snaps]])</f>
        <v>1</v>
      </c>
      <c r="V1235">
        <v>51</v>
      </c>
      <c r="W1235">
        <v>0</v>
      </c>
      <c r="X1235" s="5" t="s">
        <v>29</v>
      </c>
      <c r="Y1235">
        <v>2</v>
      </c>
      <c r="Z1235">
        <v>0</v>
      </c>
      <c r="AA1235" t="s">
        <v>25</v>
      </c>
      <c r="AB1235" t="s">
        <v>26</v>
      </c>
      <c r="AC1235" t="s">
        <v>27</v>
      </c>
      <c r="AD1235" t="s">
        <v>42</v>
      </c>
      <c r="AE1235" t="s">
        <v>25</v>
      </c>
      <c r="AF12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3.9215686274509803E-2</v>
      </c>
      <c r="AG1235" t="s">
        <v>943</v>
      </c>
      <c r="AH1235">
        <v>41</v>
      </c>
      <c r="AI1235" t="s">
        <v>939</v>
      </c>
      <c r="AJ1235">
        <v>2</v>
      </c>
      <c r="AK12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MIN(AJ1235/8, 1) +
  Merge1[[#This Row],[index_defensive_effort]],
  2
)</f>
        <v>0.99</v>
      </c>
    </row>
    <row r="1236" spans="1:37" x14ac:dyDescent="0.25">
      <c r="A1236" t="s">
        <v>449</v>
      </c>
      <c r="B1236" t="s">
        <v>450</v>
      </c>
      <c r="C1236">
        <v>23</v>
      </c>
      <c r="D1236" t="s">
        <v>56</v>
      </c>
      <c r="E1236">
        <v>70</v>
      </c>
      <c r="F1236">
        <v>196</v>
      </c>
      <c r="G1236" t="s">
        <v>41</v>
      </c>
      <c r="H1236">
        <v>2020</v>
      </c>
      <c r="I1236" t="s">
        <v>24</v>
      </c>
      <c r="J1236">
        <v>20</v>
      </c>
      <c r="K1236">
        <v>4</v>
      </c>
      <c r="L1236">
        <v>1</v>
      </c>
      <c r="M1236">
        <v>1</v>
      </c>
      <c r="N1236">
        <v>2</v>
      </c>
      <c r="O1236">
        <v>0</v>
      </c>
      <c r="P1236">
        <v>2</v>
      </c>
      <c r="Q1236">
        <v>4</v>
      </c>
      <c r="R1236">
        <v>0</v>
      </c>
      <c r="S1236">
        <v>64</v>
      </c>
      <c r="T1236">
        <v>64</v>
      </c>
      <c r="U1236" s="5">
        <f>IF(Merge1[[#This Row],[team_defense_snaps]]=0, "", Merge1[[#This Row],[defense_snaps]] / Merge1[[#This Row],[team_defense_snaps]])</f>
        <v>0.98461538461538467</v>
      </c>
      <c r="V1236">
        <v>65</v>
      </c>
      <c r="W1236">
        <v>0</v>
      </c>
      <c r="X1236" s="5" t="s">
        <v>29</v>
      </c>
      <c r="Y1236">
        <v>2</v>
      </c>
      <c r="Z1236">
        <v>0</v>
      </c>
      <c r="AA1236" t="s">
        <v>25</v>
      </c>
      <c r="AB1236" t="s">
        <v>26</v>
      </c>
      <c r="AC1236" t="s">
        <v>27</v>
      </c>
      <c r="AD1236" t="s">
        <v>42</v>
      </c>
      <c r="AE1236" t="s">
        <v>25</v>
      </c>
      <c r="AF12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0.390625</v>
      </c>
      <c r="AG1236" t="s">
        <v>943</v>
      </c>
      <c r="AH1236">
        <v>57.5</v>
      </c>
      <c r="AI1236" t="s">
        <v>939</v>
      </c>
      <c r="AJ1236">
        <v>1</v>
      </c>
      <c r="AK12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MIN(AJ1236/8, 1) +
  Merge1[[#This Row],[index_defensive_effort]],
  2
)</f>
        <v>1.22</v>
      </c>
    </row>
    <row r="1237" spans="1:37" x14ac:dyDescent="0.25">
      <c r="A1237" t="s">
        <v>463</v>
      </c>
      <c r="B1237" t="s">
        <v>464</v>
      </c>
      <c r="C1237">
        <v>24</v>
      </c>
      <c r="D1237" t="s">
        <v>56</v>
      </c>
      <c r="E1237">
        <v>70</v>
      </c>
      <c r="F1237">
        <v>186</v>
      </c>
      <c r="G1237" t="s">
        <v>235</v>
      </c>
      <c r="H1237">
        <v>2020</v>
      </c>
      <c r="I1237" t="s">
        <v>33</v>
      </c>
      <c r="J1237">
        <v>10</v>
      </c>
      <c r="K1237">
        <v>0</v>
      </c>
      <c r="L1237">
        <v>3</v>
      </c>
      <c r="M1237">
        <v>3</v>
      </c>
      <c r="N1237">
        <v>6</v>
      </c>
      <c r="O1237">
        <v>0</v>
      </c>
      <c r="P1237">
        <v>1</v>
      </c>
      <c r="Q1237">
        <v>0</v>
      </c>
      <c r="R1237">
        <v>0</v>
      </c>
      <c r="S1237">
        <v>51</v>
      </c>
      <c r="T1237">
        <v>51</v>
      </c>
      <c r="U1237" s="5">
        <f>IF(Merge1[[#This Row],[team_defense_snaps]]=0, "", Merge1[[#This Row],[defense_snaps]] / Merge1[[#This Row],[team_defense_snaps]])</f>
        <v>0.69863013698630139</v>
      </c>
      <c r="V1237">
        <v>73</v>
      </c>
      <c r="W1237">
        <v>0</v>
      </c>
      <c r="X1237" s="5" t="s">
        <v>29</v>
      </c>
      <c r="Y1237">
        <v>2</v>
      </c>
      <c r="Z1237">
        <v>0</v>
      </c>
      <c r="AA1237" t="s">
        <v>25</v>
      </c>
      <c r="AB1237" t="s">
        <v>26</v>
      </c>
      <c r="AC1237" t="s">
        <v>27</v>
      </c>
      <c r="AD1237" t="s">
        <v>28</v>
      </c>
      <c r="AE1237" t="s">
        <v>25</v>
      </c>
      <c r="AF12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9.8039215686274508E-2</v>
      </c>
      <c r="AG1237" t="s">
        <v>942</v>
      </c>
      <c r="AH1237">
        <v>48</v>
      </c>
      <c r="AI1237" t="s">
        <v>939</v>
      </c>
      <c r="AJ1237">
        <v>1</v>
      </c>
      <c r="AK12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MIN(AJ1237/8, 1) +
  Merge1[[#This Row],[index_defensive_effort]],
  2
)</f>
        <v>0.62</v>
      </c>
    </row>
    <row r="1238" spans="1:37" x14ac:dyDescent="0.25">
      <c r="A1238" t="s">
        <v>463</v>
      </c>
      <c r="B1238" t="s">
        <v>464</v>
      </c>
      <c r="C1238">
        <v>24</v>
      </c>
      <c r="D1238" t="s">
        <v>56</v>
      </c>
      <c r="E1238">
        <v>70</v>
      </c>
      <c r="F1238">
        <v>186</v>
      </c>
      <c r="G1238" t="s">
        <v>235</v>
      </c>
      <c r="H1238">
        <v>2020</v>
      </c>
      <c r="I1238" t="s">
        <v>33</v>
      </c>
      <c r="J1238">
        <v>17</v>
      </c>
      <c r="K1238">
        <v>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20</v>
      </c>
      <c r="T1238">
        <v>20</v>
      </c>
      <c r="U1238" s="5">
        <f>IF(Merge1[[#This Row],[team_defense_snaps]]=0, "", Merge1[[#This Row],[defense_snaps]] / Merge1[[#This Row],[team_defense_snaps]])</f>
        <v>0.27027027027027029</v>
      </c>
      <c r="V1238">
        <v>74</v>
      </c>
      <c r="W1238">
        <v>0</v>
      </c>
      <c r="X1238" s="5" t="s">
        <v>29</v>
      </c>
      <c r="Y1238">
        <v>2</v>
      </c>
      <c r="Z1238">
        <v>0</v>
      </c>
      <c r="AA1238" t="s">
        <v>25</v>
      </c>
      <c r="AB1238" t="s">
        <v>26</v>
      </c>
      <c r="AC1238" t="s">
        <v>27</v>
      </c>
      <c r="AD1238" t="s">
        <v>28</v>
      </c>
      <c r="AE1238" t="s">
        <v>25</v>
      </c>
      <c r="AF12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1238" t="s">
        <v>942</v>
      </c>
      <c r="AH1238">
        <v>58.5</v>
      </c>
      <c r="AI1238" t="s">
        <v>939</v>
      </c>
      <c r="AJ1238">
        <v>1</v>
      </c>
      <c r="AK12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MIN(AJ1238/8, 1) +
  Merge1[[#This Row],[index_defensive_effort]],
  2
)</f>
        <v>0.57999999999999996</v>
      </c>
    </row>
    <row r="1239" spans="1:37" x14ac:dyDescent="0.25">
      <c r="A1239" t="s">
        <v>509</v>
      </c>
      <c r="B1239" t="s">
        <v>510</v>
      </c>
      <c r="C1239">
        <v>26</v>
      </c>
      <c r="D1239" t="s">
        <v>56</v>
      </c>
      <c r="E1239">
        <v>72</v>
      </c>
      <c r="F1239">
        <v>191</v>
      </c>
      <c r="G1239" t="s">
        <v>150</v>
      </c>
      <c r="H1239">
        <v>2020</v>
      </c>
      <c r="I1239" t="s">
        <v>33</v>
      </c>
      <c r="J1239">
        <v>1</v>
      </c>
      <c r="K1239">
        <v>4</v>
      </c>
      <c r="L1239">
        <v>1</v>
      </c>
      <c r="M1239">
        <v>0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64</v>
      </c>
      <c r="T1239">
        <v>64</v>
      </c>
      <c r="U1239" s="5">
        <f>IF(Merge1[[#This Row],[team_defense_snaps]]=0, "", Merge1[[#This Row],[defense_snaps]] / Merge1[[#This Row],[team_defense_snaps]])</f>
        <v>0.85333333333333339</v>
      </c>
      <c r="V1239">
        <v>75</v>
      </c>
      <c r="W1239">
        <v>0</v>
      </c>
      <c r="X1239" s="5" t="s">
        <v>29</v>
      </c>
      <c r="Y1239">
        <v>4</v>
      </c>
      <c r="Z1239">
        <v>0</v>
      </c>
      <c r="AA1239" t="s">
        <v>25</v>
      </c>
      <c r="AB1239" t="s">
        <v>26</v>
      </c>
      <c r="AC1239" t="s">
        <v>27</v>
      </c>
      <c r="AD1239" t="s">
        <v>42</v>
      </c>
      <c r="AE1239" t="s">
        <v>25</v>
      </c>
      <c r="AF12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7.03125E-2</v>
      </c>
      <c r="AG1239" t="s">
        <v>943</v>
      </c>
      <c r="AH1239">
        <v>50.5</v>
      </c>
      <c r="AI1239" t="s">
        <v>939</v>
      </c>
      <c r="AJ1239">
        <v>2</v>
      </c>
      <c r="AK12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MIN(AJ1239/8, 1) +
  Merge1[[#This Row],[index_defensive_effort]],
  2
)</f>
        <v>0.82</v>
      </c>
    </row>
    <row r="1240" spans="1:37" x14ac:dyDescent="0.25">
      <c r="A1240" t="s">
        <v>509</v>
      </c>
      <c r="B1240" t="s">
        <v>510</v>
      </c>
      <c r="C1240">
        <v>26</v>
      </c>
      <c r="D1240" t="s">
        <v>56</v>
      </c>
      <c r="E1240">
        <v>72</v>
      </c>
      <c r="F1240">
        <v>191</v>
      </c>
      <c r="G1240" t="s">
        <v>150</v>
      </c>
      <c r="H1240">
        <v>2020</v>
      </c>
      <c r="I1240" t="s">
        <v>33</v>
      </c>
      <c r="J1240">
        <v>2</v>
      </c>
      <c r="K1240">
        <v>6</v>
      </c>
      <c r="L1240">
        <v>1</v>
      </c>
      <c r="M1240">
        <v>0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70</v>
      </c>
      <c r="T1240">
        <v>69</v>
      </c>
      <c r="U1240" s="5">
        <f>IF(Merge1[[#This Row],[team_defense_snaps]]=0, "", Merge1[[#This Row],[defense_snaps]] / Merge1[[#This Row],[team_defense_snaps]])</f>
        <v>0.98571428571428577</v>
      </c>
      <c r="V1240">
        <v>70</v>
      </c>
      <c r="W1240">
        <v>1</v>
      </c>
      <c r="X1240" s="5" t="s">
        <v>193</v>
      </c>
      <c r="Y1240">
        <v>4</v>
      </c>
      <c r="Z1240">
        <v>0</v>
      </c>
      <c r="AA1240" t="s">
        <v>25</v>
      </c>
      <c r="AB1240" t="s">
        <v>26</v>
      </c>
      <c r="AC1240" t="s">
        <v>27</v>
      </c>
      <c r="AD1240" t="s">
        <v>42</v>
      </c>
      <c r="AE1240" t="s">
        <v>25</v>
      </c>
      <c r="AF12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9.285714285714286E-2</v>
      </c>
      <c r="AG1240" t="s">
        <v>943</v>
      </c>
      <c r="AH1240">
        <v>64</v>
      </c>
      <c r="AI1240" t="s">
        <v>939</v>
      </c>
      <c r="AJ1240">
        <v>3</v>
      </c>
      <c r="AK12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MIN(AJ1240/8, 1) +
  Merge1[[#This Row],[index_defensive_effort]],
  2
)</f>
        <v>0.97</v>
      </c>
    </row>
    <row r="1241" spans="1:37" x14ac:dyDescent="0.25">
      <c r="A1241" t="s">
        <v>509</v>
      </c>
      <c r="B1241" t="s">
        <v>510</v>
      </c>
      <c r="C1241">
        <v>26</v>
      </c>
      <c r="D1241" t="s">
        <v>56</v>
      </c>
      <c r="E1241">
        <v>72</v>
      </c>
      <c r="F1241">
        <v>191</v>
      </c>
      <c r="G1241" t="s">
        <v>150</v>
      </c>
      <c r="H1241">
        <v>2020</v>
      </c>
      <c r="I1241" t="s">
        <v>33</v>
      </c>
      <c r="J1241">
        <v>3</v>
      </c>
      <c r="K1241">
        <v>6</v>
      </c>
      <c r="L1241">
        <v>4</v>
      </c>
      <c r="M1241">
        <v>0</v>
      </c>
      <c r="N1241">
        <v>4</v>
      </c>
      <c r="O1241">
        <v>7</v>
      </c>
      <c r="P1241">
        <v>8</v>
      </c>
      <c r="Q1241">
        <v>0</v>
      </c>
      <c r="R1241">
        <v>0</v>
      </c>
      <c r="S1241">
        <v>77</v>
      </c>
      <c r="T1241">
        <v>71</v>
      </c>
      <c r="U1241" s="5">
        <f>IF(Merge1[[#This Row],[team_defense_snaps]]=0, "", Merge1[[#This Row],[defense_snaps]] / Merge1[[#This Row],[team_defense_snaps]])</f>
        <v>0.9726027397260274</v>
      </c>
      <c r="V1241">
        <v>73</v>
      </c>
      <c r="W1241">
        <v>6</v>
      </c>
      <c r="X1241" s="5" t="s">
        <v>124</v>
      </c>
      <c r="Y1241">
        <v>4</v>
      </c>
      <c r="Z1241">
        <v>0</v>
      </c>
      <c r="AA1241" t="s">
        <v>25</v>
      </c>
      <c r="AB1241" t="s">
        <v>26</v>
      </c>
      <c r="AC1241" t="s">
        <v>27</v>
      </c>
      <c r="AD1241" t="s">
        <v>42</v>
      </c>
      <c r="AE1241" t="s">
        <v>25</v>
      </c>
      <c r="AF12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0.58441558441558439</v>
      </c>
      <c r="AG1241" t="s">
        <v>943</v>
      </c>
      <c r="AH1241">
        <v>73</v>
      </c>
      <c r="AI1241" t="s">
        <v>939</v>
      </c>
      <c r="AJ1241">
        <v>4</v>
      </c>
      <c r="AK12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MIN(AJ1241/8, 1) +
  Merge1[[#This Row],[index_defensive_effort]],
  2
)</f>
        <v>1.58</v>
      </c>
    </row>
    <row r="1242" spans="1:37" x14ac:dyDescent="0.25">
      <c r="A1242" t="s">
        <v>509</v>
      </c>
      <c r="B1242" t="s">
        <v>510</v>
      </c>
      <c r="C1242">
        <v>26</v>
      </c>
      <c r="D1242" t="s">
        <v>56</v>
      </c>
      <c r="E1242">
        <v>72</v>
      </c>
      <c r="F1242">
        <v>191</v>
      </c>
      <c r="G1242" t="s">
        <v>150</v>
      </c>
      <c r="H1242">
        <v>2020</v>
      </c>
      <c r="I1242" t="s">
        <v>33</v>
      </c>
      <c r="J1242">
        <v>4</v>
      </c>
      <c r="K1242">
        <v>3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77</v>
      </c>
      <c r="T1242">
        <v>73</v>
      </c>
      <c r="U1242" s="5">
        <f>IF(Merge1[[#This Row],[team_defense_snaps]]=0, "", Merge1[[#This Row],[defense_snaps]] / Merge1[[#This Row],[team_defense_snaps]])</f>
        <v>0.98648648648648651</v>
      </c>
      <c r="V1242">
        <v>74</v>
      </c>
      <c r="W1242">
        <v>4</v>
      </c>
      <c r="X1242" s="5" t="s">
        <v>124</v>
      </c>
      <c r="Y1242">
        <v>4</v>
      </c>
      <c r="Z1242">
        <v>0</v>
      </c>
      <c r="AA1242" t="s">
        <v>25</v>
      </c>
      <c r="AB1242" t="s">
        <v>26</v>
      </c>
      <c r="AC1242" t="s">
        <v>27</v>
      </c>
      <c r="AD1242" t="s">
        <v>42</v>
      </c>
      <c r="AE1242" t="s">
        <v>25</v>
      </c>
      <c r="AF12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3.896103896103896E-2</v>
      </c>
      <c r="AG1242" t="s">
        <v>943</v>
      </c>
      <c r="AH1242">
        <v>71.5</v>
      </c>
      <c r="AI1242" t="s">
        <v>939</v>
      </c>
      <c r="AJ1242">
        <v>5</v>
      </c>
      <c r="AK12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MIN(AJ1242/8, 1) +
  Merge1[[#This Row],[index_defensive_effort]],
  2
)</f>
        <v>1.1599999999999999</v>
      </c>
    </row>
    <row r="1243" spans="1:37" x14ac:dyDescent="0.25">
      <c r="A1243" t="s">
        <v>509</v>
      </c>
      <c r="B1243" t="s">
        <v>510</v>
      </c>
      <c r="C1243">
        <v>26</v>
      </c>
      <c r="D1243" t="s">
        <v>56</v>
      </c>
      <c r="E1243">
        <v>72</v>
      </c>
      <c r="F1243">
        <v>191</v>
      </c>
      <c r="G1243" t="s">
        <v>150</v>
      </c>
      <c r="H1243">
        <v>2020</v>
      </c>
      <c r="I1243" t="s">
        <v>33</v>
      </c>
      <c r="J1243">
        <v>5</v>
      </c>
      <c r="K1243">
        <v>4</v>
      </c>
      <c r="L1243">
        <v>3</v>
      </c>
      <c r="M1243">
        <v>2</v>
      </c>
      <c r="N1243">
        <v>5</v>
      </c>
      <c r="O1243">
        <v>0</v>
      </c>
      <c r="P1243">
        <v>0</v>
      </c>
      <c r="Q1243">
        <v>0</v>
      </c>
      <c r="R1243">
        <v>0</v>
      </c>
      <c r="S1243">
        <v>79</v>
      </c>
      <c r="T1243">
        <v>74</v>
      </c>
      <c r="U1243" s="5">
        <f>IF(Merge1[[#This Row],[team_defense_snaps]]=0, "", Merge1[[#This Row],[defense_snaps]] / Merge1[[#This Row],[team_defense_snaps]])</f>
        <v>0.94871794871794868</v>
      </c>
      <c r="V1243">
        <v>78</v>
      </c>
      <c r="W1243">
        <v>5</v>
      </c>
      <c r="X1243" s="5" t="s">
        <v>59</v>
      </c>
      <c r="Y1243">
        <v>4</v>
      </c>
      <c r="Z1243">
        <v>0</v>
      </c>
      <c r="AA1243" t="s">
        <v>25</v>
      </c>
      <c r="AB1243" t="s">
        <v>26</v>
      </c>
      <c r="AC1243" t="s">
        <v>27</v>
      </c>
      <c r="AD1243" t="s">
        <v>42</v>
      </c>
      <c r="AE1243" t="s">
        <v>25</v>
      </c>
      <c r="AF12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8.2278481012658222E-2</v>
      </c>
      <c r="AG1243" t="s">
        <v>943</v>
      </c>
      <c r="AH1243">
        <v>52</v>
      </c>
      <c r="AI1243" t="s">
        <v>939</v>
      </c>
      <c r="AJ1243">
        <v>6</v>
      </c>
      <c r="AK12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MIN(AJ1243/8, 1) +
  Merge1[[#This Row],[index_defensive_effort]],
  2
)</f>
        <v>1.33</v>
      </c>
    </row>
    <row r="1244" spans="1:37" x14ac:dyDescent="0.25">
      <c r="A1244" t="s">
        <v>509</v>
      </c>
      <c r="B1244" t="s">
        <v>510</v>
      </c>
      <c r="C1244">
        <v>26</v>
      </c>
      <c r="D1244" t="s">
        <v>56</v>
      </c>
      <c r="E1244">
        <v>72</v>
      </c>
      <c r="F1244">
        <v>191</v>
      </c>
      <c r="G1244" t="s">
        <v>150</v>
      </c>
      <c r="H1244">
        <v>2020</v>
      </c>
      <c r="I1244" t="s">
        <v>33</v>
      </c>
      <c r="J1244">
        <v>6</v>
      </c>
      <c r="K1244">
        <v>3</v>
      </c>
      <c r="L1244">
        <v>1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2</v>
      </c>
      <c r="S1244">
        <v>72</v>
      </c>
      <c r="T1244">
        <v>62</v>
      </c>
      <c r="U1244" s="5">
        <f>IF(Merge1[[#This Row],[team_defense_snaps]]=0, "", Merge1[[#This Row],[defense_snaps]] / Merge1[[#This Row],[team_defense_snaps]])</f>
        <v>0.83783783783783783</v>
      </c>
      <c r="V1244">
        <v>74</v>
      </c>
      <c r="W1244">
        <v>10</v>
      </c>
      <c r="X1244" s="5" t="s">
        <v>314</v>
      </c>
      <c r="Y1244">
        <v>4</v>
      </c>
      <c r="Z1244">
        <v>0</v>
      </c>
      <c r="AA1244" t="s">
        <v>25</v>
      </c>
      <c r="AB1244" t="s">
        <v>26</v>
      </c>
      <c r="AC1244" t="s">
        <v>27</v>
      </c>
      <c r="AD1244" t="s">
        <v>42</v>
      </c>
      <c r="AE1244" t="s">
        <v>25</v>
      </c>
      <c r="AF12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0.10416666666666667</v>
      </c>
      <c r="AG1244" t="s">
        <v>943</v>
      </c>
      <c r="AH1244">
        <v>68.5</v>
      </c>
      <c r="AI1244" t="s">
        <v>939</v>
      </c>
      <c r="AJ1244">
        <v>7</v>
      </c>
      <c r="AK12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MIN(AJ1244/8, 1) +
  Merge1[[#This Row],[index_defensive_effort]],
  2
)</f>
        <v>1.48</v>
      </c>
    </row>
    <row r="1245" spans="1:37" x14ac:dyDescent="0.25">
      <c r="A1245" t="s">
        <v>509</v>
      </c>
      <c r="B1245" t="s">
        <v>510</v>
      </c>
      <c r="C1245">
        <v>26</v>
      </c>
      <c r="D1245" t="s">
        <v>56</v>
      </c>
      <c r="E1245">
        <v>72</v>
      </c>
      <c r="F1245">
        <v>191</v>
      </c>
      <c r="G1245" t="s">
        <v>150</v>
      </c>
      <c r="H1245">
        <v>2020</v>
      </c>
      <c r="I1245" t="s">
        <v>33</v>
      </c>
      <c r="J1245">
        <v>7</v>
      </c>
      <c r="K1245">
        <v>5</v>
      </c>
      <c r="L1245">
        <v>1</v>
      </c>
      <c r="M1245">
        <v>0</v>
      </c>
      <c r="N1245">
        <v>1</v>
      </c>
      <c r="O1245">
        <v>0</v>
      </c>
      <c r="P1245">
        <v>2</v>
      </c>
      <c r="Q1245">
        <v>2</v>
      </c>
      <c r="R1245">
        <v>0</v>
      </c>
      <c r="S1245">
        <v>62</v>
      </c>
      <c r="T1245">
        <v>59</v>
      </c>
      <c r="U1245" s="5">
        <f>IF(Merge1[[#This Row],[team_defense_snaps]]=0, "", Merge1[[#This Row],[defense_snaps]] / Merge1[[#This Row],[team_defense_snaps]])</f>
        <v>0.96721311475409832</v>
      </c>
      <c r="V1245">
        <v>61</v>
      </c>
      <c r="W1245">
        <v>3</v>
      </c>
      <c r="X1245" s="5" t="s">
        <v>251</v>
      </c>
      <c r="Y1245">
        <v>4</v>
      </c>
      <c r="Z1245">
        <v>0</v>
      </c>
      <c r="AA1245" t="s">
        <v>25</v>
      </c>
      <c r="AB1245" t="s">
        <v>26</v>
      </c>
      <c r="AC1245" t="s">
        <v>27</v>
      </c>
      <c r="AD1245" t="s">
        <v>42</v>
      </c>
      <c r="AE1245" t="s">
        <v>25</v>
      </c>
      <c r="AF12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0.28225806451612906</v>
      </c>
      <c r="AG1245" t="s">
        <v>943</v>
      </c>
      <c r="AH1245">
        <v>55</v>
      </c>
      <c r="AI1245" t="s">
        <v>939</v>
      </c>
      <c r="AJ1245">
        <v>8</v>
      </c>
      <c r="AK12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MIN(AJ1245/8, 1) +
  Merge1[[#This Row],[index_defensive_effort]],
  2
)</f>
        <v>1.78</v>
      </c>
    </row>
    <row r="1246" spans="1:37" x14ac:dyDescent="0.25">
      <c r="A1246" t="s">
        <v>509</v>
      </c>
      <c r="B1246" t="s">
        <v>510</v>
      </c>
      <c r="C1246">
        <v>26</v>
      </c>
      <c r="D1246" t="s">
        <v>56</v>
      </c>
      <c r="E1246">
        <v>72</v>
      </c>
      <c r="F1246">
        <v>191</v>
      </c>
      <c r="G1246" t="s">
        <v>150</v>
      </c>
      <c r="H1246">
        <v>2020</v>
      </c>
      <c r="I1246" t="s">
        <v>33</v>
      </c>
      <c r="J1246">
        <v>8</v>
      </c>
      <c r="K1246">
        <v>5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84</v>
      </c>
      <c r="T1246">
        <v>79</v>
      </c>
      <c r="U1246" s="5">
        <f>IF(Merge1[[#This Row],[team_defense_snaps]]=0, "", Merge1[[#This Row],[defense_snaps]] / Merge1[[#This Row],[team_defense_snaps]])</f>
        <v>0.98750000000000004</v>
      </c>
      <c r="V1246">
        <v>80</v>
      </c>
      <c r="W1246">
        <v>5</v>
      </c>
      <c r="X1246" s="5" t="s">
        <v>135</v>
      </c>
      <c r="Y1246">
        <v>4</v>
      </c>
      <c r="Z1246">
        <v>0</v>
      </c>
      <c r="AA1246" t="s">
        <v>25</v>
      </c>
      <c r="AB1246" t="s">
        <v>26</v>
      </c>
      <c r="AC1246" t="s">
        <v>27</v>
      </c>
      <c r="AD1246" t="s">
        <v>42</v>
      </c>
      <c r="AE1246" t="s">
        <v>25</v>
      </c>
      <c r="AF12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5.9523809523809521E-2</v>
      </c>
      <c r="AG1246" t="s">
        <v>943</v>
      </c>
      <c r="AH1246">
        <v>59.5</v>
      </c>
      <c r="AI1246" t="s">
        <v>939</v>
      </c>
      <c r="AJ1246">
        <v>1</v>
      </c>
      <c r="AK12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MIN(AJ1246/8, 1) +
  Merge1[[#This Row],[index_defensive_effort]],
  2
)</f>
        <v>0.68</v>
      </c>
    </row>
    <row r="1247" spans="1:37" x14ac:dyDescent="0.25">
      <c r="A1247" t="s">
        <v>509</v>
      </c>
      <c r="B1247" t="s">
        <v>510</v>
      </c>
      <c r="C1247">
        <v>26</v>
      </c>
      <c r="D1247" t="s">
        <v>56</v>
      </c>
      <c r="E1247">
        <v>72</v>
      </c>
      <c r="F1247">
        <v>191</v>
      </c>
      <c r="G1247" t="s">
        <v>150</v>
      </c>
      <c r="H1247">
        <v>2020</v>
      </c>
      <c r="I1247" t="s">
        <v>33</v>
      </c>
      <c r="J1247">
        <v>10</v>
      </c>
      <c r="K1247">
        <v>3</v>
      </c>
      <c r="L1247">
        <v>2</v>
      </c>
      <c r="M1247">
        <v>1</v>
      </c>
      <c r="N1247">
        <v>3</v>
      </c>
      <c r="O1247">
        <v>0</v>
      </c>
      <c r="P1247">
        <v>1</v>
      </c>
      <c r="Q1247">
        <v>0</v>
      </c>
      <c r="R1247">
        <v>0</v>
      </c>
      <c r="S1247">
        <v>77</v>
      </c>
      <c r="T1247">
        <v>69</v>
      </c>
      <c r="U1247" s="5">
        <f>IF(Merge1[[#This Row],[team_defense_snaps]]=0, "", Merge1[[#This Row],[defense_snaps]] / Merge1[[#This Row],[team_defense_snaps]])</f>
        <v>0.971830985915493</v>
      </c>
      <c r="V1247">
        <v>71</v>
      </c>
      <c r="W1247">
        <v>8</v>
      </c>
      <c r="X1247" s="5" t="s">
        <v>108</v>
      </c>
      <c r="Y1247">
        <v>4</v>
      </c>
      <c r="Z1247">
        <v>0</v>
      </c>
      <c r="AA1247" t="s">
        <v>25</v>
      </c>
      <c r="AB1247" t="s">
        <v>26</v>
      </c>
      <c r="AC1247" t="s">
        <v>27</v>
      </c>
      <c r="AD1247" t="s">
        <v>42</v>
      </c>
      <c r="AE1247" t="s">
        <v>25</v>
      </c>
      <c r="AF12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8.4415584415584416E-2</v>
      </c>
      <c r="AG1247" t="s">
        <v>943</v>
      </c>
      <c r="AH1247">
        <v>65.5</v>
      </c>
      <c r="AI1247" t="s">
        <v>939</v>
      </c>
      <c r="AJ1247">
        <v>2</v>
      </c>
      <c r="AK12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MIN(AJ1247/8, 1) +
  Merge1[[#This Row],[index_defensive_effort]],
  2
)</f>
        <v>0.83</v>
      </c>
    </row>
    <row r="1248" spans="1:37" x14ac:dyDescent="0.25">
      <c r="A1248" t="s">
        <v>509</v>
      </c>
      <c r="B1248" t="s">
        <v>510</v>
      </c>
      <c r="C1248">
        <v>26</v>
      </c>
      <c r="D1248" t="s">
        <v>56</v>
      </c>
      <c r="E1248">
        <v>72</v>
      </c>
      <c r="F1248">
        <v>191</v>
      </c>
      <c r="G1248" t="s">
        <v>150</v>
      </c>
      <c r="H1248">
        <v>2020</v>
      </c>
      <c r="I1248" t="s">
        <v>33</v>
      </c>
      <c r="J1248">
        <v>11</v>
      </c>
      <c r="K1248">
        <v>4</v>
      </c>
      <c r="L1248">
        <v>1</v>
      </c>
      <c r="M1248">
        <v>1</v>
      </c>
      <c r="N1248">
        <v>2</v>
      </c>
      <c r="O1248">
        <v>0</v>
      </c>
      <c r="P1248">
        <v>0</v>
      </c>
      <c r="Q1248">
        <v>0</v>
      </c>
      <c r="R1248">
        <v>0</v>
      </c>
      <c r="S1248">
        <v>69</v>
      </c>
      <c r="T1248">
        <v>64</v>
      </c>
      <c r="U1248" s="5">
        <f>IF(Merge1[[#This Row],[team_defense_snaps]]=0, "", Merge1[[#This Row],[defense_snaps]] / Merge1[[#This Row],[team_defense_snaps]])</f>
        <v>0.94117647058823528</v>
      </c>
      <c r="V1248">
        <v>68</v>
      </c>
      <c r="W1248">
        <v>5</v>
      </c>
      <c r="X1248" s="5" t="s">
        <v>124</v>
      </c>
      <c r="Y1248">
        <v>4</v>
      </c>
      <c r="Z1248">
        <v>0</v>
      </c>
      <c r="AA1248" t="s">
        <v>25</v>
      </c>
      <c r="AB1248" t="s">
        <v>26</v>
      </c>
      <c r="AC1248" t="s">
        <v>27</v>
      </c>
      <c r="AD1248" t="s">
        <v>42</v>
      </c>
      <c r="AE1248" t="s">
        <v>25</v>
      </c>
      <c r="AF12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7.2463768115942032E-2</v>
      </c>
      <c r="AG1248" t="s">
        <v>943</v>
      </c>
      <c r="AH1248">
        <v>70</v>
      </c>
      <c r="AI1248" t="s">
        <v>939</v>
      </c>
      <c r="AJ1248">
        <v>3</v>
      </c>
      <c r="AK12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MIN(AJ1248/8, 1) +
  Merge1[[#This Row],[index_defensive_effort]],
  2
)</f>
        <v>0.95</v>
      </c>
    </row>
    <row r="1249" spans="1:37" x14ac:dyDescent="0.25">
      <c r="A1249" t="s">
        <v>509</v>
      </c>
      <c r="B1249" t="s">
        <v>510</v>
      </c>
      <c r="C1249">
        <v>26</v>
      </c>
      <c r="D1249" t="s">
        <v>56</v>
      </c>
      <c r="E1249">
        <v>72</v>
      </c>
      <c r="F1249">
        <v>191</v>
      </c>
      <c r="G1249" t="s">
        <v>150</v>
      </c>
      <c r="H1249">
        <v>2020</v>
      </c>
      <c r="I1249" t="s">
        <v>33</v>
      </c>
      <c r="J1249">
        <v>12</v>
      </c>
      <c r="K1249">
        <v>5</v>
      </c>
      <c r="L1249">
        <v>4</v>
      </c>
      <c r="M1249">
        <v>2</v>
      </c>
      <c r="N1249">
        <v>6</v>
      </c>
      <c r="O1249">
        <v>0</v>
      </c>
      <c r="P1249">
        <v>0</v>
      </c>
      <c r="Q1249">
        <v>0</v>
      </c>
      <c r="R1249">
        <v>0</v>
      </c>
      <c r="S1249">
        <v>72</v>
      </c>
      <c r="T1249">
        <v>67</v>
      </c>
      <c r="U1249" s="5">
        <f>IF(Merge1[[#This Row],[team_defense_snaps]]=0, "", Merge1[[#This Row],[defense_snaps]] / Merge1[[#This Row],[team_defense_snaps]])</f>
        <v>0.89333333333333331</v>
      </c>
      <c r="V1249">
        <v>75</v>
      </c>
      <c r="W1249">
        <v>5</v>
      </c>
      <c r="X1249" s="5" t="s">
        <v>58</v>
      </c>
      <c r="Y1249">
        <v>4</v>
      </c>
      <c r="Z1249">
        <v>0</v>
      </c>
      <c r="AA1249" t="s">
        <v>25</v>
      </c>
      <c r="AB1249" t="s">
        <v>26</v>
      </c>
      <c r="AC1249" t="s">
        <v>27</v>
      </c>
      <c r="AD1249" t="s">
        <v>42</v>
      </c>
      <c r="AE1249" t="s">
        <v>25</v>
      </c>
      <c r="AF12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0.1111111111111111</v>
      </c>
      <c r="AG1249" t="s">
        <v>943</v>
      </c>
      <c r="AH1249">
        <v>62.5</v>
      </c>
      <c r="AI1249" t="s">
        <v>939</v>
      </c>
      <c r="AJ1249">
        <v>4</v>
      </c>
      <c r="AK12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MIN(AJ1249/8, 1) +
  Merge1[[#This Row],[index_defensive_effort]],
  2
)</f>
        <v>1.1100000000000001</v>
      </c>
    </row>
    <row r="1250" spans="1:37" x14ac:dyDescent="0.25">
      <c r="A1250" t="s">
        <v>509</v>
      </c>
      <c r="B1250" t="s">
        <v>510</v>
      </c>
      <c r="C1250">
        <v>26</v>
      </c>
      <c r="D1250" t="s">
        <v>56</v>
      </c>
      <c r="E1250">
        <v>72</v>
      </c>
      <c r="F1250">
        <v>191</v>
      </c>
      <c r="G1250" t="s">
        <v>150</v>
      </c>
      <c r="H1250">
        <v>2020</v>
      </c>
      <c r="I1250" t="s">
        <v>33</v>
      </c>
      <c r="J1250">
        <v>13</v>
      </c>
      <c r="K1250">
        <v>3</v>
      </c>
      <c r="L1250">
        <v>2</v>
      </c>
      <c r="M1250">
        <v>1</v>
      </c>
      <c r="N1250">
        <v>3</v>
      </c>
      <c r="O1250">
        <v>0</v>
      </c>
      <c r="P1250">
        <v>0</v>
      </c>
      <c r="Q1250">
        <v>0</v>
      </c>
      <c r="R1250">
        <v>0</v>
      </c>
      <c r="S1250">
        <v>66</v>
      </c>
      <c r="T1250">
        <v>61</v>
      </c>
      <c r="U1250" s="5">
        <f>IF(Merge1[[#This Row],[team_defense_snaps]]=0, "", Merge1[[#This Row],[defense_snaps]] / Merge1[[#This Row],[team_defense_snaps]])</f>
        <v>0.9838709677419355</v>
      </c>
      <c r="V1250">
        <v>62</v>
      </c>
      <c r="W1250">
        <v>5</v>
      </c>
      <c r="X1250" s="5" t="s">
        <v>59</v>
      </c>
      <c r="Y1250">
        <v>4</v>
      </c>
      <c r="Z1250">
        <v>0</v>
      </c>
      <c r="AA1250" t="s">
        <v>25</v>
      </c>
      <c r="AB1250" t="s">
        <v>26</v>
      </c>
      <c r="AC1250" t="s">
        <v>27</v>
      </c>
      <c r="AD1250" t="s">
        <v>42</v>
      </c>
      <c r="AE1250" t="s">
        <v>25</v>
      </c>
      <c r="AF12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6.8181818181818177E-2</v>
      </c>
      <c r="AG1250" t="s">
        <v>943</v>
      </c>
      <c r="AH1250">
        <v>53.5</v>
      </c>
      <c r="AI1250" t="s">
        <v>939</v>
      </c>
      <c r="AJ1250">
        <v>5</v>
      </c>
      <c r="AK12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MIN(AJ1250/8, 1) +
  Merge1[[#This Row],[index_defensive_effort]],
  2
)</f>
        <v>1.19</v>
      </c>
    </row>
    <row r="1251" spans="1:37" x14ac:dyDescent="0.25">
      <c r="A1251" t="s">
        <v>509</v>
      </c>
      <c r="B1251" t="s">
        <v>510</v>
      </c>
      <c r="C1251">
        <v>26</v>
      </c>
      <c r="D1251" t="s">
        <v>56</v>
      </c>
      <c r="E1251">
        <v>72</v>
      </c>
      <c r="F1251">
        <v>191</v>
      </c>
      <c r="G1251" t="s">
        <v>150</v>
      </c>
      <c r="H1251">
        <v>2020</v>
      </c>
      <c r="I1251" t="s">
        <v>33</v>
      </c>
      <c r="J1251">
        <v>14</v>
      </c>
      <c r="K1251">
        <v>3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1</v>
      </c>
      <c r="R1251">
        <v>0</v>
      </c>
      <c r="S1251">
        <v>71</v>
      </c>
      <c r="T1251">
        <v>63</v>
      </c>
      <c r="U1251" s="5">
        <f>IF(Merge1[[#This Row],[team_defense_snaps]]=0, "", Merge1[[#This Row],[defense_snaps]] / Merge1[[#This Row],[team_defense_snaps]])</f>
        <v>1</v>
      </c>
      <c r="V1251">
        <v>63</v>
      </c>
      <c r="W1251">
        <v>8</v>
      </c>
      <c r="X1251" s="5" t="s">
        <v>314</v>
      </c>
      <c r="Y1251">
        <v>4</v>
      </c>
      <c r="Z1251">
        <v>0</v>
      </c>
      <c r="AA1251" t="s">
        <v>25</v>
      </c>
      <c r="AB1251" t="s">
        <v>26</v>
      </c>
      <c r="AC1251" t="s">
        <v>27</v>
      </c>
      <c r="AD1251" t="s">
        <v>42</v>
      </c>
      <c r="AE1251" t="s">
        <v>25</v>
      </c>
      <c r="AF12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0.12676056338028169</v>
      </c>
      <c r="AG1251" t="s">
        <v>943</v>
      </c>
      <c r="AH1251">
        <v>67</v>
      </c>
      <c r="AI1251" t="s">
        <v>939</v>
      </c>
      <c r="AJ1251">
        <v>6</v>
      </c>
      <c r="AK12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MIN(AJ1251/8, 1) +
  Merge1[[#This Row],[index_defensive_effort]],
  2
)</f>
        <v>1.38</v>
      </c>
    </row>
    <row r="1252" spans="1:37" x14ac:dyDescent="0.25">
      <c r="A1252" t="s">
        <v>509</v>
      </c>
      <c r="B1252" t="s">
        <v>510</v>
      </c>
      <c r="C1252">
        <v>26</v>
      </c>
      <c r="D1252" t="s">
        <v>56</v>
      </c>
      <c r="E1252">
        <v>72</v>
      </c>
      <c r="F1252">
        <v>191</v>
      </c>
      <c r="G1252" t="s">
        <v>150</v>
      </c>
      <c r="H1252">
        <v>2020</v>
      </c>
      <c r="I1252" t="s">
        <v>33</v>
      </c>
      <c r="J1252">
        <v>15</v>
      </c>
      <c r="K1252">
        <v>3</v>
      </c>
      <c r="L1252">
        <v>2</v>
      </c>
      <c r="M1252">
        <v>1</v>
      </c>
      <c r="N1252">
        <v>3</v>
      </c>
      <c r="O1252">
        <v>0</v>
      </c>
      <c r="P1252">
        <v>0</v>
      </c>
      <c r="Q1252">
        <v>0</v>
      </c>
      <c r="R1252">
        <v>0</v>
      </c>
      <c r="S1252">
        <v>75</v>
      </c>
      <c r="T1252">
        <v>68</v>
      </c>
      <c r="U1252" s="5">
        <f>IF(Merge1[[#This Row],[team_defense_snaps]]=0, "", Merge1[[#This Row],[defense_snaps]] / Merge1[[#This Row],[team_defense_snaps]])</f>
        <v>1</v>
      </c>
      <c r="V1252">
        <v>68</v>
      </c>
      <c r="W1252">
        <v>7</v>
      </c>
      <c r="X1252" s="5" t="s">
        <v>132</v>
      </c>
      <c r="Y1252">
        <v>4</v>
      </c>
      <c r="Z1252">
        <v>0</v>
      </c>
      <c r="AA1252" t="s">
        <v>25</v>
      </c>
      <c r="AB1252" t="s">
        <v>26</v>
      </c>
      <c r="AC1252" t="s">
        <v>27</v>
      </c>
      <c r="AD1252" t="s">
        <v>42</v>
      </c>
      <c r="AE1252" t="s">
        <v>25</v>
      </c>
      <c r="AF12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0.06</v>
      </c>
      <c r="AG1252" t="s">
        <v>943</v>
      </c>
      <c r="AH1252">
        <v>56.5</v>
      </c>
      <c r="AI1252" t="s">
        <v>939</v>
      </c>
      <c r="AJ1252">
        <v>7</v>
      </c>
      <c r="AK12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MIN(AJ1252/8, 1) +
  Merge1[[#This Row],[index_defensive_effort]],
  2
)</f>
        <v>1.44</v>
      </c>
    </row>
    <row r="1253" spans="1:37" x14ac:dyDescent="0.25">
      <c r="A1253" t="s">
        <v>509</v>
      </c>
      <c r="B1253" t="s">
        <v>510</v>
      </c>
      <c r="C1253">
        <v>26</v>
      </c>
      <c r="D1253" t="s">
        <v>56</v>
      </c>
      <c r="E1253">
        <v>72</v>
      </c>
      <c r="F1253">
        <v>191</v>
      </c>
      <c r="G1253" t="s">
        <v>150</v>
      </c>
      <c r="H1253">
        <v>2020</v>
      </c>
      <c r="I1253" t="s">
        <v>33</v>
      </c>
      <c r="J1253">
        <v>16</v>
      </c>
      <c r="K1253">
        <v>3</v>
      </c>
      <c r="L1253">
        <v>3</v>
      </c>
      <c r="M1253">
        <v>2</v>
      </c>
      <c r="N1253">
        <v>5</v>
      </c>
      <c r="O1253">
        <v>0</v>
      </c>
      <c r="P1253">
        <v>0</v>
      </c>
      <c r="Q1253">
        <v>0</v>
      </c>
      <c r="R1253">
        <v>0</v>
      </c>
      <c r="S1253">
        <v>80</v>
      </c>
      <c r="T1253">
        <v>70</v>
      </c>
      <c r="U1253" s="5">
        <f>IF(Merge1[[#This Row],[team_defense_snaps]]=0, "", Merge1[[#This Row],[defense_snaps]] / Merge1[[#This Row],[team_defense_snaps]])</f>
        <v>0.9859154929577465</v>
      </c>
      <c r="V1253">
        <v>71</v>
      </c>
      <c r="W1253">
        <v>10</v>
      </c>
      <c r="X1253" s="5" t="s">
        <v>108</v>
      </c>
      <c r="Y1253">
        <v>4</v>
      </c>
      <c r="Z1253">
        <v>0</v>
      </c>
      <c r="AA1253" t="s">
        <v>25</v>
      </c>
      <c r="AB1253" t="s">
        <v>26</v>
      </c>
      <c r="AC1253" t="s">
        <v>27</v>
      </c>
      <c r="AD1253" t="s">
        <v>42</v>
      </c>
      <c r="AE1253" t="s">
        <v>25</v>
      </c>
      <c r="AF12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6.8750000000000006E-2</v>
      </c>
      <c r="AG1253" t="s">
        <v>943</v>
      </c>
      <c r="AH1253">
        <v>58</v>
      </c>
      <c r="AI1253" t="s">
        <v>939</v>
      </c>
      <c r="AJ1253">
        <v>1</v>
      </c>
      <c r="AK12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MIN(AJ1253/8, 1) +
  Merge1[[#This Row],[index_defensive_effort]],
  2
)</f>
        <v>0.69</v>
      </c>
    </row>
    <row r="1254" spans="1:37" x14ac:dyDescent="0.25">
      <c r="A1254" t="s">
        <v>525</v>
      </c>
      <c r="B1254" t="s">
        <v>526</v>
      </c>
      <c r="C1254">
        <v>26</v>
      </c>
      <c r="D1254" t="s">
        <v>56</v>
      </c>
      <c r="E1254">
        <v>73</v>
      </c>
      <c r="F1254">
        <v>208</v>
      </c>
      <c r="G1254" t="s">
        <v>355</v>
      </c>
      <c r="H1254">
        <v>2020</v>
      </c>
      <c r="I1254" t="s">
        <v>33</v>
      </c>
      <c r="J1254">
        <v>1</v>
      </c>
      <c r="K1254">
        <v>6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72</v>
      </c>
      <c r="T1254">
        <v>72</v>
      </c>
      <c r="U1254" s="5">
        <f>IF(Merge1[[#This Row],[team_defense_snaps]]=0, "", Merge1[[#This Row],[defense_snaps]] / Merge1[[#This Row],[team_defense_snaps]])</f>
        <v>1</v>
      </c>
      <c r="V1254">
        <v>72</v>
      </c>
      <c r="W1254">
        <v>0</v>
      </c>
      <c r="X1254" s="5" t="s">
        <v>29</v>
      </c>
      <c r="Y1254">
        <v>4</v>
      </c>
      <c r="Z1254">
        <v>0</v>
      </c>
      <c r="AA1254" t="s">
        <v>25</v>
      </c>
      <c r="AB1254" t="s">
        <v>26</v>
      </c>
      <c r="AC1254" t="s">
        <v>27</v>
      </c>
      <c r="AD1254" t="s">
        <v>42</v>
      </c>
      <c r="AE1254" t="s">
        <v>25</v>
      </c>
      <c r="AF12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H1254">
        <v>62.5</v>
      </c>
      <c r="AI1254" t="s">
        <v>939</v>
      </c>
      <c r="AJ1254">
        <v>2</v>
      </c>
      <c r="AK12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MIN(AJ1254/8, 1) +
  Merge1[[#This Row],[index_defensive_effort]],
  2
)</f>
        <v>0.93</v>
      </c>
    </row>
    <row r="1255" spans="1:37" x14ac:dyDescent="0.25">
      <c r="A1255" t="s">
        <v>525</v>
      </c>
      <c r="B1255" t="s">
        <v>526</v>
      </c>
      <c r="C1255">
        <v>26</v>
      </c>
      <c r="D1255" t="s">
        <v>56</v>
      </c>
      <c r="E1255">
        <v>73</v>
      </c>
      <c r="F1255">
        <v>208</v>
      </c>
      <c r="G1255" t="s">
        <v>355</v>
      </c>
      <c r="H1255">
        <v>2020</v>
      </c>
      <c r="I1255" t="s">
        <v>33</v>
      </c>
      <c r="J1255">
        <v>2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72</v>
      </c>
      <c r="T1255">
        <v>71</v>
      </c>
      <c r="U1255" s="5">
        <f>IF(Merge1[[#This Row],[team_defense_snaps]]=0, "", Merge1[[#This Row],[defense_snaps]] / Merge1[[#This Row],[team_defense_snaps]])</f>
        <v>1</v>
      </c>
      <c r="V1255">
        <v>71</v>
      </c>
      <c r="W1255">
        <v>1</v>
      </c>
      <c r="X1255" s="5" t="s">
        <v>193</v>
      </c>
      <c r="Y1255">
        <v>4</v>
      </c>
      <c r="Z1255">
        <v>0</v>
      </c>
      <c r="AA1255" t="s">
        <v>25</v>
      </c>
      <c r="AB1255" t="s">
        <v>26</v>
      </c>
      <c r="AC1255" t="s">
        <v>27</v>
      </c>
      <c r="AD1255" t="s">
        <v>42</v>
      </c>
      <c r="AE1255" t="s">
        <v>25</v>
      </c>
      <c r="AF12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1.3888888888888888E-2</v>
      </c>
      <c r="AH1255">
        <v>55</v>
      </c>
      <c r="AI1255" t="s">
        <v>939</v>
      </c>
      <c r="AJ1255">
        <v>3</v>
      </c>
      <c r="AK12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MIN(AJ1255/8, 1) +
  Merge1[[#This Row],[index_defensive_effort]],
  2
)</f>
        <v>0.99</v>
      </c>
    </row>
    <row r="1256" spans="1:37" x14ac:dyDescent="0.25">
      <c r="A1256" t="s">
        <v>525</v>
      </c>
      <c r="B1256" t="s">
        <v>526</v>
      </c>
      <c r="C1256">
        <v>26</v>
      </c>
      <c r="D1256" t="s">
        <v>56</v>
      </c>
      <c r="E1256">
        <v>73</v>
      </c>
      <c r="F1256">
        <v>208</v>
      </c>
      <c r="G1256" t="s">
        <v>355</v>
      </c>
      <c r="H1256">
        <v>2020</v>
      </c>
      <c r="I1256" t="s">
        <v>33</v>
      </c>
      <c r="J1256">
        <v>3</v>
      </c>
      <c r="K1256">
        <v>1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62</v>
      </c>
      <c r="T1256">
        <v>62</v>
      </c>
      <c r="U1256" s="5">
        <f>IF(Merge1[[#This Row],[team_defense_snaps]]=0, "", Merge1[[#This Row],[defense_snaps]] / Merge1[[#This Row],[team_defense_snaps]])</f>
        <v>0.96875</v>
      </c>
      <c r="V1256">
        <v>64</v>
      </c>
      <c r="W1256">
        <v>0</v>
      </c>
      <c r="X1256" s="5" t="s">
        <v>29</v>
      </c>
      <c r="Y1256">
        <v>4</v>
      </c>
      <c r="Z1256">
        <v>0</v>
      </c>
      <c r="AA1256" t="s">
        <v>25</v>
      </c>
      <c r="AB1256" t="s">
        <v>26</v>
      </c>
      <c r="AC1256" t="s">
        <v>27</v>
      </c>
      <c r="AD1256" t="s">
        <v>42</v>
      </c>
      <c r="AE1256" t="s">
        <v>25</v>
      </c>
      <c r="AF12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1.6129032258064516E-2</v>
      </c>
      <c r="AH1256">
        <v>52</v>
      </c>
      <c r="AI1256" t="s">
        <v>939</v>
      </c>
      <c r="AJ1256">
        <v>4</v>
      </c>
      <c r="AK12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MIN(AJ1256/8, 1) +
  Merge1[[#This Row],[index_defensive_effort]],
  2
)</f>
        <v>1.1200000000000001</v>
      </c>
    </row>
    <row r="1257" spans="1:37" x14ac:dyDescent="0.25">
      <c r="A1257" t="s">
        <v>525</v>
      </c>
      <c r="B1257" t="s">
        <v>526</v>
      </c>
      <c r="C1257">
        <v>26</v>
      </c>
      <c r="D1257" t="s">
        <v>56</v>
      </c>
      <c r="E1257">
        <v>73</v>
      </c>
      <c r="F1257">
        <v>208</v>
      </c>
      <c r="G1257" t="s">
        <v>355</v>
      </c>
      <c r="H1257">
        <v>2020</v>
      </c>
      <c r="I1257" t="s">
        <v>33</v>
      </c>
      <c r="J1257">
        <v>4</v>
      </c>
      <c r="K1257">
        <v>5</v>
      </c>
      <c r="L1257">
        <v>1</v>
      </c>
      <c r="M1257">
        <v>0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70</v>
      </c>
      <c r="T1257">
        <v>68</v>
      </c>
      <c r="U1257" s="5">
        <f>IF(Merge1[[#This Row],[team_defense_snaps]]=0, "", Merge1[[#This Row],[defense_snaps]] / Merge1[[#This Row],[team_defense_snaps]])</f>
        <v>1</v>
      </c>
      <c r="V1257">
        <v>68</v>
      </c>
      <c r="W1257">
        <v>2</v>
      </c>
      <c r="X1257" s="5" t="s">
        <v>250</v>
      </c>
      <c r="Y1257">
        <v>4</v>
      </c>
      <c r="Z1257">
        <v>0</v>
      </c>
      <c r="AA1257" t="s">
        <v>25</v>
      </c>
      <c r="AB1257" t="s">
        <v>26</v>
      </c>
      <c r="AC1257" t="s">
        <v>27</v>
      </c>
      <c r="AD1257" t="s">
        <v>42</v>
      </c>
      <c r="AE1257" t="s">
        <v>25</v>
      </c>
      <c r="AF12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7.857142857142857E-2</v>
      </c>
      <c r="AH1257">
        <v>65.5</v>
      </c>
      <c r="AI1257" t="s">
        <v>939</v>
      </c>
      <c r="AJ1257">
        <v>1</v>
      </c>
      <c r="AK12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MIN(AJ1257/8, 1) +
  Merge1[[#This Row],[index_defensive_effort]],
  2
)</f>
        <v>0.8</v>
      </c>
    </row>
    <row r="1258" spans="1:37" x14ac:dyDescent="0.25">
      <c r="A1258" t="s">
        <v>525</v>
      </c>
      <c r="B1258" t="s">
        <v>526</v>
      </c>
      <c r="C1258">
        <v>26</v>
      </c>
      <c r="D1258" t="s">
        <v>56</v>
      </c>
      <c r="E1258">
        <v>73</v>
      </c>
      <c r="F1258">
        <v>208</v>
      </c>
      <c r="G1258" t="s">
        <v>355</v>
      </c>
      <c r="H1258">
        <v>2020</v>
      </c>
      <c r="I1258" t="s">
        <v>33</v>
      </c>
      <c r="J1258">
        <v>6</v>
      </c>
      <c r="K1258">
        <v>4</v>
      </c>
      <c r="L1258">
        <v>1</v>
      </c>
      <c r="M1258">
        <v>0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73</v>
      </c>
      <c r="T1258">
        <v>73</v>
      </c>
      <c r="U1258" s="5">
        <f>IF(Merge1[[#This Row],[team_defense_snaps]]=0, "", Merge1[[#This Row],[defense_snaps]] / Merge1[[#This Row],[team_defense_snaps]])</f>
        <v>0.97333333333333338</v>
      </c>
      <c r="V1258">
        <v>75</v>
      </c>
      <c r="W1258">
        <v>0</v>
      </c>
      <c r="X1258" s="5" t="s">
        <v>29</v>
      </c>
      <c r="Y1258">
        <v>4</v>
      </c>
      <c r="Z1258">
        <v>0</v>
      </c>
      <c r="AA1258" t="s">
        <v>25</v>
      </c>
      <c r="AB1258" t="s">
        <v>26</v>
      </c>
      <c r="AC1258" t="s">
        <v>27</v>
      </c>
      <c r="AD1258" t="s">
        <v>42</v>
      </c>
      <c r="AE1258" t="s">
        <v>25</v>
      </c>
      <c r="AF12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6.1643835616438353E-2</v>
      </c>
      <c r="AH1258">
        <v>46</v>
      </c>
      <c r="AI1258" t="s">
        <v>939</v>
      </c>
      <c r="AJ1258">
        <v>2</v>
      </c>
      <c r="AK12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MIN(AJ1258/8, 1) +
  Merge1[[#This Row],[index_defensive_effort]],
  2
)</f>
        <v>0.91</v>
      </c>
    </row>
    <row r="1259" spans="1:37" x14ac:dyDescent="0.25">
      <c r="A1259" t="s">
        <v>525</v>
      </c>
      <c r="B1259" t="s">
        <v>526</v>
      </c>
      <c r="C1259">
        <v>26</v>
      </c>
      <c r="D1259" t="s">
        <v>56</v>
      </c>
      <c r="E1259">
        <v>73</v>
      </c>
      <c r="F1259">
        <v>208</v>
      </c>
      <c r="G1259" t="s">
        <v>355</v>
      </c>
      <c r="H1259">
        <v>2020</v>
      </c>
      <c r="I1259" t="s">
        <v>33</v>
      </c>
      <c r="J1259">
        <v>7</v>
      </c>
      <c r="K1259">
        <v>4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2</v>
      </c>
      <c r="R1259">
        <v>0</v>
      </c>
      <c r="S1259">
        <v>63</v>
      </c>
      <c r="T1259">
        <v>63</v>
      </c>
      <c r="U1259" s="5">
        <f>IF(Merge1[[#This Row],[team_defense_snaps]]=0, "", Merge1[[#This Row],[defense_snaps]] / Merge1[[#This Row],[team_defense_snaps]])</f>
        <v>1</v>
      </c>
      <c r="V1259">
        <v>63</v>
      </c>
      <c r="W1259">
        <v>0</v>
      </c>
      <c r="X1259" s="5" t="s">
        <v>29</v>
      </c>
      <c r="Y1259">
        <v>4</v>
      </c>
      <c r="Z1259">
        <v>0</v>
      </c>
      <c r="AA1259" t="s">
        <v>25</v>
      </c>
      <c r="AB1259" t="s">
        <v>26</v>
      </c>
      <c r="AC1259" t="s">
        <v>27</v>
      </c>
      <c r="AD1259" t="s">
        <v>42</v>
      </c>
      <c r="AE1259" t="s">
        <v>25</v>
      </c>
      <c r="AF12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0.19047619047619047</v>
      </c>
      <c r="AH1259">
        <v>68.5</v>
      </c>
      <c r="AI1259" t="s">
        <v>939</v>
      </c>
      <c r="AJ1259">
        <v>1</v>
      </c>
      <c r="AK12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MIN(AJ1259/8, 1) +
  Merge1[[#This Row],[index_defensive_effort]],
  2
)</f>
        <v>0.92</v>
      </c>
    </row>
    <row r="1260" spans="1:37" x14ac:dyDescent="0.25">
      <c r="A1260" t="s">
        <v>525</v>
      </c>
      <c r="B1260" t="s">
        <v>526</v>
      </c>
      <c r="C1260">
        <v>26</v>
      </c>
      <c r="D1260" t="s">
        <v>56</v>
      </c>
      <c r="E1260">
        <v>73</v>
      </c>
      <c r="F1260">
        <v>208</v>
      </c>
      <c r="G1260" t="s">
        <v>355</v>
      </c>
      <c r="H1260">
        <v>2020</v>
      </c>
      <c r="I1260" t="s">
        <v>33</v>
      </c>
      <c r="J1260">
        <v>10</v>
      </c>
      <c r="K1260">
        <v>1</v>
      </c>
      <c r="L1260">
        <v>1</v>
      </c>
      <c r="M1260">
        <v>1</v>
      </c>
      <c r="N1260">
        <v>2</v>
      </c>
      <c r="O1260">
        <v>0</v>
      </c>
      <c r="P1260">
        <v>0</v>
      </c>
      <c r="Q1260">
        <v>0</v>
      </c>
      <c r="R1260">
        <v>0</v>
      </c>
      <c r="S1260">
        <v>67</v>
      </c>
      <c r="T1260">
        <v>67</v>
      </c>
      <c r="U1260" s="5">
        <f>IF(Merge1[[#This Row],[team_defense_snaps]]=0, "", Merge1[[#This Row],[defense_snaps]] / Merge1[[#This Row],[team_defense_snaps]])</f>
        <v>1</v>
      </c>
      <c r="V1260">
        <v>67</v>
      </c>
      <c r="W1260">
        <v>0</v>
      </c>
      <c r="X1260" s="5" t="s">
        <v>29</v>
      </c>
      <c r="Y1260">
        <v>4</v>
      </c>
      <c r="Z1260">
        <v>0</v>
      </c>
      <c r="AA1260" t="s">
        <v>25</v>
      </c>
      <c r="AB1260" t="s">
        <v>26</v>
      </c>
      <c r="AC1260" t="s">
        <v>27</v>
      </c>
      <c r="AD1260" t="s">
        <v>42</v>
      </c>
      <c r="AE1260" t="s">
        <v>25</v>
      </c>
      <c r="AF12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2.9850746268656716E-2</v>
      </c>
      <c r="AH1260">
        <v>50</v>
      </c>
      <c r="AI1260" t="s">
        <v>939</v>
      </c>
      <c r="AJ1260">
        <v>2</v>
      </c>
      <c r="AK12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MIN(AJ1260/8, 1) +
  Merge1[[#This Row],[index_defensive_effort]],
  2
)</f>
        <v>0.88</v>
      </c>
    </row>
    <row r="1261" spans="1:37" x14ac:dyDescent="0.25">
      <c r="A1261" t="s">
        <v>525</v>
      </c>
      <c r="B1261" t="s">
        <v>526</v>
      </c>
      <c r="C1261">
        <v>26</v>
      </c>
      <c r="D1261" t="s">
        <v>56</v>
      </c>
      <c r="E1261">
        <v>73</v>
      </c>
      <c r="F1261">
        <v>208</v>
      </c>
      <c r="G1261" t="s">
        <v>355</v>
      </c>
      <c r="H1261">
        <v>2020</v>
      </c>
      <c r="I1261" t="s">
        <v>33</v>
      </c>
      <c r="J1261">
        <v>11</v>
      </c>
      <c r="K1261">
        <v>4</v>
      </c>
      <c r="L1261">
        <v>2</v>
      </c>
      <c r="M1261">
        <v>1</v>
      </c>
      <c r="N1261">
        <v>3</v>
      </c>
      <c r="O1261">
        <v>0</v>
      </c>
      <c r="P1261">
        <v>0</v>
      </c>
      <c r="Q1261">
        <v>0</v>
      </c>
      <c r="R1261">
        <v>0</v>
      </c>
      <c r="S1261">
        <v>69</v>
      </c>
      <c r="T1261">
        <v>69</v>
      </c>
      <c r="U1261" s="5">
        <f>IF(Merge1[[#This Row],[team_defense_snaps]]=0, "", Merge1[[#This Row],[defense_snaps]] / Merge1[[#This Row],[team_defense_snaps]])</f>
        <v>0.98571428571428577</v>
      </c>
      <c r="V1261">
        <v>70</v>
      </c>
      <c r="W1261">
        <v>0</v>
      </c>
      <c r="X1261" s="5" t="s">
        <v>29</v>
      </c>
      <c r="Y1261">
        <v>4</v>
      </c>
      <c r="Z1261">
        <v>0</v>
      </c>
      <c r="AA1261" t="s">
        <v>25</v>
      </c>
      <c r="AB1261" t="s">
        <v>26</v>
      </c>
      <c r="AC1261" t="s">
        <v>27</v>
      </c>
      <c r="AD1261" t="s">
        <v>42</v>
      </c>
      <c r="AE1261" t="s">
        <v>25</v>
      </c>
      <c r="AF12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7.9710144927536225E-2</v>
      </c>
      <c r="AH1261">
        <v>61</v>
      </c>
      <c r="AI1261" t="s">
        <v>939</v>
      </c>
      <c r="AJ1261">
        <v>3</v>
      </c>
      <c r="AK12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MIN(AJ1261/8, 1) +
  Merge1[[#This Row],[index_defensive_effort]],
  2
)</f>
        <v>1.05</v>
      </c>
    </row>
    <row r="1262" spans="1:37" x14ac:dyDescent="0.25">
      <c r="A1262" t="s">
        <v>525</v>
      </c>
      <c r="B1262" t="s">
        <v>526</v>
      </c>
      <c r="C1262">
        <v>26</v>
      </c>
      <c r="D1262" t="s">
        <v>56</v>
      </c>
      <c r="E1262">
        <v>73</v>
      </c>
      <c r="F1262">
        <v>208</v>
      </c>
      <c r="G1262" t="s">
        <v>355</v>
      </c>
      <c r="H1262">
        <v>2020</v>
      </c>
      <c r="I1262" t="s">
        <v>33</v>
      </c>
      <c r="J1262">
        <v>12</v>
      </c>
      <c r="K1262">
        <v>1</v>
      </c>
      <c r="L1262">
        <v>2</v>
      </c>
      <c r="M1262">
        <v>0</v>
      </c>
      <c r="N1262">
        <v>2</v>
      </c>
      <c r="O1262">
        <v>0</v>
      </c>
      <c r="P1262">
        <v>1</v>
      </c>
      <c r="Q1262">
        <v>0</v>
      </c>
      <c r="R1262">
        <v>0</v>
      </c>
      <c r="S1262">
        <v>54</v>
      </c>
      <c r="T1262">
        <v>50</v>
      </c>
      <c r="U1262" s="5">
        <f>IF(Merge1[[#This Row],[team_defense_snaps]]=0, "", Merge1[[#This Row],[defense_snaps]] / Merge1[[#This Row],[team_defense_snaps]])</f>
        <v>0.69444444444444442</v>
      </c>
      <c r="V1262">
        <v>72</v>
      </c>
      <c r="W1262">
        <v>4</v>
      </c>
      <c r="X1262" s="5" t="s">
        <v>35</v>
      </c>
      <c r="Y1262">
        <v>4</v>
      </c>
      <c r="Z1262">
        <v>0</v>
      </c>
      <c r="AA1262" t="s">
        <v>25</v>
      </c>
      <c r="AB1262" t="s">
        <v>26</v>
      </c>
      <c r="AC1262" t="s">
        <v>27</v>
      </c>
      <c r="AD1262" t="s">
        <v>42</v>
      </c>
      <c r="AE1262" t="s">
        <v>25</v>
      </c>
      <c r="AF12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7.407407407407407E-2</v>
      </c>
      <c r="AH1262">
        <v>67</v>
      </c>
      <c r="AI1262" t="s">
        <v>939</v>
      </c>
      <c r="AJ1262">
        <v>4</v>
      </c>
      <c r="AK12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MIN(AJ1262/8, 1) +
  Merge1[[#This Row],[index_defensive_effort]],
  2
)</f>
        <v>1.17</v>
      </c>
    </row>
    <row r="1263" spans="1:37" x14ac:dyDescent="0.25">
      <c r="A1263" t="s">
        <v>525</v>
      </c>
      <c r="B1263" t="s">
        <v>526</v>
      </c>
      <c r="C1263">
        <v>26</v>
      </c>
      <c r="D1263" t="s">
        <v>56</v>
      </c>
      <c r="E1263">
        <v>73</v>
      </c>
      <c r="F1263">
        <v>208</v>
      </c>
      <c r="G1263" t="s">
        <v>355</v>
      </c>
      <c r="H1263">
        <v>2020</v>
      </c>
      <c r="I1263" t="s">
        <v>33</v>
      </c>
      <c r="J1263">
        <v>13</v>
      </c>
      <c r="K1263">
        <v>2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64</v>
      </c>
      <c r="T1263">
        <v>64</v>
      </c>
      <c r="U1263" s="5">
        <f>IF(Merge1[[#This Row],[team_defense_snaps]]=0, "", Merge1[[#This Row],[defense_snaps]] / Merge1[[#This Row],[team_defense_snaps]])</f>
        <v>1</v>
      </c>
      <c r="V1263">
        <v>64</v>
      </c>
      <c r="W1263">
        <v>0</v>
      </c>
      <c r="X1263" s="5" t="s">
        <v>29</v>
      </c>
      <c r="Y1263">
        <v>4</v>
      </c>
      <c r="Z1263">
        <v>0</v>
      </c>
      <c r="AA1263" t="s">
        <v>25</v>
      </c>
      <c r="AB1263" t="s">
        <v>26</v>
      </c>
      <c r="AC1263" t="s">
        <v>27</v>
      </c>
      <c r="AD1263" t="s">
        <v>42</v>
      </c>
      <c r="AE1263" t="s">
        <v>25</v>
      </c>
      <c r="AF12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3.125E-2</v>
      </c>
      <c r="AH1263">
        <v>70</v>
      </c>
      <c r="AI1263" t="s">
        <v>939</v>
      </c>
      <c r="AJ1263">
        <v>5</v>
      </c>
      <c r="AK12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MIN(AJ1263/8, 1) +
  Merge1[[#This Row],[index_defensive_effort]],
  2
)</f>
        <v>1.26</v>
      </c>
    </row>
    <row r="1264" spans="1:37" x14ac:dyDescent="0.25">
      <c r="A1264" t="s">
        <v>525</v>
      </c>
      <c r="B1264" t="s">
        <v>526</v>
      </c>
      <c r="C1264">
        <v>26</v>
      </c>
      <c r="D1264" t="s">
        <v>56</v>
      </c>
      <c r="E1264">
        <v>73</v>
      </c>
      <c r="F1264">
        <v>208</v>
      </c>
      <c r="G1264" t="s">
        <v>355</v>
      </c>
      <c r="H1264">
        <v>2020</v>
      </c>
      <c r="I1264" t="s">
        <v>33</v>
      </c>
      <c r="J1264">
        <v>14</v>
      </c>
      <c r="K1264">
        <v>2</v>
      </c>
      <c r="L1264">
        <v>1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59</v>
      </c>
      <c r="T1264">
        <v>59</v>
      </c>
      <c r="U1264" s="5">
        <f>IF(Merge1[[#This Row],[team_defense_snaps]]=0, "", Merge1[[#This Row],[defense_snaps]] / Merge1[[#This Row],[team_defense_snaps]])</f>
        <v>1</v>
      </c>
      <c r="V1264">
        <v>59</v>
      </c>
      <c r="W1264">
        <v>0</v>
      </c>
      <c r="X1264" s="5" t="s">
        <v>29</v>
      </c>
      <c r="Y1264">
        <v>4</v>
      </c>
      <c r="Z1264">
        <v>0</v>
      </c>
      <c r="AA1264" t="s">
        <v>25</v>
      </c>
      <c r="AB1264" t="s">
        <v>26</v>
      </c>
      <c r="AC1264" t="s">
        <v>27</v>
      </c>
      <c r="AD1264" t="s">
        <v>42</v>
      </c>
      <c r="AE1264" t="s">
        <v>25</v>
      </c>
      <c r="AF12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4.2372881355932202E-2</v>
      </c>
      <c r="AH1264">
        <v>56.5</v>
      </c>
      <c r="AI1264" t="s">
        <v>939</v>
      </c>
      <c r="AJ1264">
        <v>6</v>
      </c>
      <c r="AK12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MIN(AJ1264/8, 1) +
  Merge1[[#This Row],[index_defensive_effort]],
  2
)</f>
        <v>1.39</v>
      </c>
    </row>
    <row r="1265" spans="1:37" x14ac:dyDescent="0.25">
      <c r="A1265" t="s">
        <v>525</v>
      </c>
      <c r="B1265" t="s">
        <v>526</v>
      </c>
      <c r="C1265">
        <v>26</v>
      </c>
      <c r="D1265" t="s">
        <v>56</v>
      </c>
      <c r="E1265">
        <v>73</v>
      </c>
      <c r="F1265">
        <v>208</v>
      </c>
      <c r="G1265" t="s">
        <v>355</v>
      </c>
      <c r="H1265">
        <v>2020</v>
      </c>
      <c r="I1265" t="s">
        <v>33</v>
      </c>
      <c r="J1265">
        <v>15</v>
      </c>
      <c r="K1265">
        <v>1</v>
      </c>
      <c r="L1265">
        <v>1</v>
      </c>
      <c r="M1265">
        <v>0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65</v>
      </c>
      <c r="T1265">
        <v>65</v>
      </c>
      <c r="U1265" s="5">
        <f>IF(Merge1[[#This Row],[team_defense_snaps]]=0, "", Merge1[[#This Row],[defense_snaps]] / Merge1[[#This Row],[team_defense_snaps]])</f>
        <v>1</v>
      </c>
      <c r="V1265">
        <v>65</v>
      </c>
      <c r="W1265">
        <v>0</v>
      </c>
      <c r="X1265" s="5" t="s">
        <v>29</v>
      </c>
      <c r="Y1265">
        <v>4</v>
      </c>
      <c r="Z1265">
        <v>0</v>
      </c>
      <c r="AA1265" t="s">
        <v>25</v>
      </c>
      <c r="AB1265" t="s">
        <v>26</v>
      </c>
      <c r="AC1265" t="s">
        <v>27</v>
      </c>
      <c r="AD1265" t="s">
        <v>42</v>
      </c>
      <c r="AE1265" t="s">
        <v>25</v>
      </c>
      <c r="AF12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2.3076923076923078E-2</v>
      </c>
      <c r="AH1265">
        <v>47.5</v>
      </c>
      <c r="AI1265" t="s">
        <v>939</v>
      </c>
      <c r="AJ1265">
        <v>7</v>
      </c>
      <c r="AK12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MIN(AJ1265/8, 1) +
  Merge1[[#This Row],[index_defensive_effort]],
  2
)</f>
        <v>1.5</v>
      </c>
    </row>
    <row r="1266" spans="1:37" x14ac:dyDescent="0.25">
      <c r="A1266" t="s">
        <v>525</v>
      </c>
      <c r="B1266" t="s">
        <v>526</v>
      </c>
      <c r="C1266">
        <v>26</v>
      </c>
      <c r="D1266" t="s">
        <v>56</v>
      </c>
      <c r="E1266">
        <v>73</v>
      </c>
      <c r="F1266">
        <v>208</v>
      </c>
      <c r="G1266" t="s">
        <v>355</v>
      </c>
      <c r="H1266">
        <v>2020</v>
      </c>
      <c r="I1266" t="s">
        <v>33</v>
      </c>
      <c r="J1266">
        <v>16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63</v>
      </c>
      <c r="T1266">
        <v>63</v>
      </c>
      <c r="U1266" s="5">
        <f>IF(Merge1[[#This Row],[team_defense_snaps]]=0, "", Merge1[[#This Row],[defense_snaps]] / Merge1[[#This Row],[team_defense_snaps]])</f>
        <v>1</v>
      </c>
      <c r="V1266">
        <v>63</v>
      </c>
      <c r="W1266">
        <v>0</v>
      </c>
      <c r="X1266" s="5" t="s">
        <v>29</v>
      </c>
      <c r="Y1266">
        <v>4</v>
      </c>
      <c r="Z1266">
        <v>0</v>
      </c>
      <c r="AA1266" t="s">
        <v>25</v>
      </c>
      <c r="AB1266" t="s">
        <v>26</v>
      </c>
      <c r="AC1266" t="s">
        <v>27</v>
      </c>
      <c r="AD1266" t="s">
        <v>42</v>
      </c>
      <c r="AE1266" t="s">
        <v>25</v>
      </c>
      <c r="AF12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1.5873015873015872E-2</v>
      </c>
      <c r="AH1266">
        <v>50.5</v>
      </c>
      <c r="AI1266" t="s">
        <v>939</v>
      </c>
      <c r="AJ1266">
        <v>8</v>
      </c>
      <c r="AK12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MIN(AJ1266/8, 1) +
  Merge1[[#This Row],[index_defensive_effort]],
  2
)</f>
        <v>1.62</v>
      </c>
    </row>
    <row r="1267" spans="1:37" x14ac:dyDescent="0.25">
      <c r="A1267" t="s">
        <v>525</v>
      </c>
      <c r="B1267" t="s">
        <v>526</v>
      </c>
      <c r="C1267">
        <v>26</v>
      </c>
      <c r="D1267" t="s">
        <v>56</v>
      </c>
      <c r="E1267">
        <v>73</v>
      </c>
      <c r="F1267">
        <v>208</v>
      </c>
      <c r="G1267" t="s">
        <v>355</v>
      </c>
      <c r="H1267">
        <v>2020</v>
      </c>
      <c r="I1267" t="s">
        <v>33</v>
      </c>
      <c r="J1267">
        <v>17</v>
      </c>
      <c r="K1267">
        <v>4</v>
      </c>
      <c r="L1267">
        <v>1</v>
      </c>
      <c r="M1267">
        <v>1</v>
      </c>
      <c r="N1267">
        <v>2</v>
      </c>
      <c r="O1267">
        <v>0</v>
      </c>
      <c r="P1267">
        <v>0</v>
      </c>
      <c r="Q1267">
        <v>0</v>
      </c>
      <c r="R1267">
        <v>0</v>
      </c>
      <c r="S1267">
        <v>53</v>
      </c>
      <c r="T1267">
        <v>53</v>
      </c>
      <c r="U1267" s="5">
        <f>IF(Merge1[[#This Row],[team_defense_snaps]]=0, "", Merge1[[#This Row],[defense_snaps]] / Merge1[[#This Row],[team_defense_snaps]])</f>
        <v>1</v>
      </c>
      <c r="V1267">
        <v>53</v>
      </c>
      <c r="W1267">
        <v>0</v>
      </c>
      <c r="X1267" s="5" t="s">
        <v>29</v>
      </c>
      <c r="Y1267">
        <v>4</v>
      </c>
      <c r="Z1267">
        <v>0</v>
      </c>
      <c r="AA1267" t="s">
        <v>25</v>
      </c>
      <c r="AB1267" t="s">
        <v>26</v>
      </c>
      <c r="AC1267" t="s">
        <v>27</v>
      </c>
      <c r="AD1267" t="s">
        <v>42</v>
      </c>
      <c r="AE1267" t="s">
        <v>25</v>
      </c>
      <c r="AF12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9.4339622641509441E-2</v>
      </c>
      <c r="AH1267">
        <v>49</v>
      </c>
      <c r="AI1267" t="s">
        <v>939</v>
      </c>
      <c r="AJ1267">
        <v>9</v>
      </c>
      <c r="AK12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MIN(AJ1267/8, 1) +
  Merge1[[#This Row],[index_defensive_effort]],
  2
)</f>
        <v>1.69</v>
      </c>
    </row>
    <row r="1268" spans="1:37" x14ac:dyDescent="0.25">
      <c r="A1268" t="s">
        <v>525</v>
      </c>
      <c r="B1268" t="s">
        <v>526</v>
      </c>
      <c r="C1268">
        <v>26</v>
      </c>
      <c r="D1268" t="s">
        <v>56</v>
      </c>
      <c r="E1268">
        <v>73</v>
      </c>
      <c r="F1268">
        <v>208</v>
      </c>
      <c r="G1268" t="s">
        <v>355</v>
      </c>
      <c r="H1268">
        <v>2020</v>
      </c>
      <c r="I1268" t="s">
        <v>24</v>
      </c>
      <c r="J1268">
        <v>18</v>
      </c>
      <c r="K1268">
        <v>3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60</v>
      </c>
      <c r="T1268">
        <v>60</v>
      </c>
      <c r="U1268" s="5">
        <f>IF(Merge1[[#This Row],[team_defense_snaps]]=0, "", Merge1[[#This Row],[defense_snaps]] / Merge1[[#This Row],[team_defense_snaps]])</f>
        <v>0.967741935483871</v>
      </c>
      <c r="V1268">
        <v>62</v>
      </c>
      <c r="W1268">
        <v>0</v>
      </c>
      <c r="X1268" s="5" t="s">
        <v>29</v>
      </c>
      <c r="Y1268">
        <v>4</v>
      </c>
      <c r="Z1268">
        <v>0</v>
      </c>
      <c r="AA1268" t="s">
        <v>25</v>
      </c>
      <c r="AB1268" t="s">
        <v>26</v>
      </c>
      <c r="AC1268" t="s">
        <v>27</v>
      </c>
      <c r="AD1268" t="s">
        <v>42</v>
      </c>
      <c r="AE1268" t="s">
        <v>25</v>
      </c>
      <c r="AF12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H1268">
        <v>53.5</v>
      </c>
      <c r="AI1268" t="s">
        <v>939</v>
      </c>
      <c r="AJ1268">
        <v>10</v>
      </c>
      <c r="AK12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MIN(AJ1268/8, 1) +
  Merge1[[#This Row],[index_defensive_effort]],
  2
)</f>
        <v>1.85</v>
      </c>
    </row>
    <row r="1269" spans="1:37" x14ac:dyDescent="0.25">
      <c r="A1269" t="s">
        <v>525</v>
      </c>
      <c r="B1269" t="s">
        <v>526</v>
      </c>
      <c r="C1269">
        <v>26</v>
      </c>
      <c r="D1269" t="s">
        <v>56</v>
      </c>
      <c r="E1269">
        <v>73</v>
      </c>
      <c r="F1269">
        <v>208</v>
      </c>
      <c r="G1269" t="s">
        <v>355</v>
      </c>
      <c r="H1269">
        <v>2020</v>
      </c>
      <c r="I1269" t="s">
        <v>24</v>
      </c>
      <c r="J1269">
        <v>19</v>
      </c>
      <c r="K1269">
        <v>1</v>
      </c>
      <c r="L1269">
        <v>3</v>
      </c>
      <c r="M1269">
        <v>1</v>
      </c>
      <c r="N1269">
        <v>4</v>
      </c>
      <c r="O1269">
        <v>0</v>
      </c>
      <c r="P1269">
        <v>0</v>
      </c>
      <c r="Q1269">
        <v>0</v>
      </c>
      <c r="R1269">
        <v>0</v>
      </c>
      <c r="S1269">
        <v>74</v>
      </c>
      <c r="T1269">
        <v>74</v>
      </c>
      <c r="U1269" s="5">
        <f>IF(Merge1[[#This Row],[team_defense_snaps]]=0, "", Merge1[[#This Row],[defense_snaps]] / Merge1[[#This Row],[team_defense_snaps]])</f>
        <v>0.97368421052631582</v>
      </c>
      <c r="V1269">
        <v>76</v>
      </c>
      <c r="W1269">
        <v>0</v>
      </c>
      <c r="X1269" s="5" t="s">
        <v>29</v>
      </c>
      <c r="Y1269">
        <v>4</v>
      </c>
      <c r="Z1269">
        <v>0</v>
      </c>
      <c r="AA1269" t="s">
        <v>25</v>
      </c>
      <c r="AB1269" t="s">
        <v>26</v>
      </c>
      <c r="AC1269" t="s">
        <v>27</v>
      </c>
      <c r="AD1269" t="s">
        <v>42</v>
      </c>
      <c r="AE1269" t="s">
        <v>25</v>
      </c>
      <c r="AF12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4.0540540540540543E-2</v>
      </c>
      <c r="AH1269">
        <v>50</v>
      </c>
      <c r="AI1269" t="s">
        <v>939</v>
      </c>
      <c r="AJ1269">
        <v>1</v>
      </c>
      <c r="AK12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MIN(AJ1269/8, 1) +
  Merge1[[#This Row],[index_defensive_effort]],
  2
)</f>
        <v>0.97</v>
      </c>
    </row>
    <row r="1270" spans="1:37" x14ac:dyDescent="0.25">
      <c r="A1270" t="s">
        <v>545</v>
      </c>
      <c r="B1270" t="s">
        <v>546</v>
      </c>
      <c r="C1270">
        <v>22</v>
      </c>
      <c r="D1270" t="s">
        <v>22</v>
      </c>
      <c r="E1270">
        <v>71</v>
      </c>
      <c r="F1270">
        <v>190</v>
      </c>
      <c r="G1270" t="s">
        <v>153</v>
      </c>
      <c r="H1270">
        <v>2020</v>
      </c>
      <c r="I1270" t="s">
        <v>33</v>
      </c>
      <c r="J1270">
        <v>1</v>
      </c>
      <c r="K1270">
        <v>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2</v>
      </c>
      <c r="T1270">
        <v>2</v>
      </c>
      <c r="U1270" s="5">
        <f>IF(Merge1[[#This Row],[team_defense_snaps]]=0, "", Merge1[[#This Row],[defense_snaps]] / Merge1[[#This Row],[team_defense_snaps]])</f>
        <v>2.9850746268656716E-2</v>
      </c>
      <c r="V1270">
        <v>67</v>
      </c>
      <c r="W1270">
        <v>0</v>
      </c>
      <c r="X1270" s="5" t="s">
        <v>29</v>
      </c>
      <c r="Y1270">
        <v>1</v>
      </c>
      <c r="Z1270">
        <v>0</v>
      </c>
      <c r="AA1270" t="s">
        <v>25</v>
      </c>
      <c r="AB1270" t="s">
        <v>26</v>
      </c>
      <c r="AC1270" t="s">
        <v>27</v>
      </c>
      <c r="AD1270" t="s">
        <v>42</v>
      </c>
      <c r="AE1270" t="s">
        <v>25</v>
      </c>
      <c r="AF12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</v>
      </c>
      <c r="AG1270" t="s">
        <v>941</v>
      </c>
      <c r="AH1270">
        <v>83</v>
      </c>
      <c r="AI1270" t="s">
        <v>938</v>
      </c>
      <c r="AJ1270">
        <v>1</v>
      </c>
      <c r="AK12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MIN(AJ1270/8, 1) +
  Merge1[[#This Row],[index_defensive_effort]],
  2
)</f>
        <v>1.03</v>
      </c>
    </row>
    <row r="1271" spans="1:37" x14ac:dyDescent="0.25">
      <c r="A1271" t="s">
        <v>545</v>
      </c>
      <c r="B1271" t="s">
        <v>546</v>
      </c>
      <c r="C1271">
        <v>22</v>
      </c>
      <c r="D1271" t="s">
        <v>22</v>
      </c>
      <c r="E1271">
        <v>71</v>
      </c>
      <c r="F1271">
        <v>190</v>
      </c>
      <c r="G1271" t="s">
        <v>153</v>
      </c>
      <c r="H1271">
        <v>2020</v>
      </c>
      <c r="I1271" t="s">
        <v>33</v>
      </c>
      <c r="J1271">
        <v>9</v>
      </c>
      <c r="K1271">
        <v>3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58</v>
      </c>
      <c r="T1271">
        <v>57</v>
      </c>
      <c r="U1271" s="5">
        <f>IF(Merge1[[#This Row],[team_defense_snaps]]=0, "", Merge1[[#This Row],[defense_snaps]] / Merge1[[#This Row],[team_defense_snaps]])</f>
        <v>0.93442622950819676</v>
      </c>
      <c r="V1271">
        <v>61</v>
      </c>
      <c r="W1271">
        <v>1</v>
      </c>
      <c r="X1271" s="5" t="s">
        <v>193</v>
      </c>
      <c r="Y1271">
        <v>1</v>
      </c>
      <c r="Z1271">
        <v>0</v>
      </c>
      <c r="AA1271" t="s">
        <v>25</v>
      </c>
      <c r="AB1271" t="s">
        <v>62</v>
      </c>
      <c r="AC1271" t="s">
        <v>27</v>
      </c>
      <c r="AD1271" t="s">
        <v>42</v>
      </c>
      <c r="AE1271" t="s">
        <v>25</v>
      </c>
      <c r="AF12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5.1724137931034482E-2</v>
      </c>
      <c r="AG1271" t="s">
        <v>941</v>
      </c>
      <c r="AH1271">
        <v>81.5</v>
      </c>
      <c r="AI1271" t="s">
        <v>939</v>
      </c>
      <c r="AJ1271">
        <v>2</v>
      </c>
      <c r="AK12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MIN(AJ1271/8, 1) +
  Merge1[[#This Row],[index_defensive_effort]],
  2
)</f>
        <v>0.7</v>
      </c>
    </row>
    <row r="1272" spans="1:37" x14ac:dyDescent="0.25">
      <c r="A1272" t="s">
        <v>545</v>
      </c>
      <c r="B1272" t="s">
        <v>546</v>
      </c>
      <c r="C1272">
        <v>22</v>
      </c>
      <c r="D1272" t="s">
        <v>22</v>
      </c>
      <c r="E1272">
        <v>71</v>
      </c>
      <c r="F1272">
        <v>190</v>
      </c>
      <c r="G1272" t="s">
        <v>153</v>
      </c>
      <c r="H1272">
        <v>2020</v>
      </c>
      <c r="I1272" t="s">
        <v>33</v>
      </c>
      <c r="J1272">
        <v>10</v>
      </c>
      <c r="K1272">
        <v>5</v>
      </c>
      <c r="L1272">
        <v>2</v>
      </c>
      <c r="M1272">
        <v>1</v>
      </c>
      <c r="N1272">
        <v>3</v>
      </c>
      <c r="O1272">
        <v>0</v>
      </c>
      <c r="P1272">
        <v>0</v>
      </c>
      <c r="Q1272">
        <v>0</v>
      </c>
      <c r="R1272">
        <v>0</v>
      </c>
      <c r="S1272">
        <v>73</v>
      </c>
      <c r="T1272">
        <v>73</v>
      </c>
      <c r="U1272" s="5">
        <f>IF(Merge1[[#This Row],[team_defense_snaps]]=0, "", Merge1[[#This Row],[defense_snaps]] / Merge1[[#This Row],[team_defense_snaps]])</f>
        <v>1</v>
      </c>
      <c r="V1272">
        <v>73</v>
      </c>
      <c r="W1272">
        <v>0</v>
      </c>
      <c r="X1272" s="5" t="s">
        <v>29</v>
      </c>
      <c r="Y1272">
        <v>1</v>
      </c>
      <c r="Z1272">
        <v>0</v>
      </c>
      <c r="AA1272" t="s">
        <v>25</v>
      </c>
      <c r="AB1272" t="s">
        <v>26</v>
      </c>
      <c r="AC1272" t="s">
        <v>27</v>
      </c>
      <c r="AD1272" t="s">
        <v>42</v>
      </c>
      <c r="AE1272" t="s">
        <v>25</v>
      </c>
      <c r="AF12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8.9041095890410954E-2</v>
      </c>
      <c r="AG1272" t="s">
        <v>941</v>
      </c>
      <c r="AH1272">
        <v>71</v>
      </c>
      <c r="AI1272" t="s">
        <v>939</v>
      </c>
      <c r="AJ1272">
        <v>3</v>
      </c>
      <c r="AK12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MIN(AJ1272/8, 1) +
  Merge1[[#This Row],[index_defensive_effort]],
  2
)</f>
        <v>0.86</v>
      </c>
    </row>
    <row r="1273" spans="1:37" x14ac:dyDescent="0.25">
      <c r="A1273" t="s">
        <v>545</v>
      </c>
      <c r="B1273" t="s">
        <v>546</v>
      </c>
      <c r="C1273">
        <v>22</v>
      </c>
      <c r="D1273" t="s">
        <v>22</v>
      </c>
      <c r="E1273">
        <v>71</v>
      </c>
      <c r="F1273">
        <v>190</v>
      </c>
      <c r="G1273" t="s">
        <v>153</v>
      </c>
      <c r="H1273">
        <v>2020</v>
      </c>
      <c r="I1273" t="s">
        <v>33</v>
      </c>
      <c r="J1273">
        <v>11</v>
      </c>
      <c r="K1273">
        <v>2</v>
      </c>
      <c r="L1273">
        <v>1</v>
      </c>
      <c r="M1273">
        <v>0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37</v>
      </c>
      <c r="T1273">
        <v>37</v>
      </c>
      <c r="U1273" s="5">
        <f>IF(Merge1[[#This Row],[team_defense_snaps]]=0, "", Merge1[[#This Row],[defense_snaps]] / Merge1[[#This Row],[team_defense_snaps]])</f>
        <v>0.56060606060606055</v>
      </c>
      <c r="V1273">
        <v>66</v>
      </c>
      <c r="W1273">
        <v>0</v>
      </c>
      <c r="X1273" s="5" t="s">
        <v>29</v>
      </c>
      <c r="Y1273">
        <v>1</v>
      </c>
      <c r="Z1273">
        <v>0</v>
      </c>
      <c r="AA1273" t="s">
        <v>25</v>
      </c>
      <c r="AB1273" t="s">
        <v>26</v>
      </c>
      <c r="AC1273" t="s">
        <v>27</v>
      </c>
      <c r="AD1273" t="s">
        <v>42</v>
      </c>
      <c r="AE1273" t="s">
        <v>25</v>
      </c>
      <c r="AF12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6.7567567567567571E-2</v>
      </c>
      <c r="AG1273" t="s">
        <v>941</v>
      </c>
      <c r="AH1273">
        <v>95</v>
      </c>
      <c r="AI1273" t="s">
        <v>939</v>
      </c>
      <c r="AJ1273">
        <v>1</v>
      </c>
      <c r="AK12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MIN(AJ1273/8, 1) +
  Merge1[[#This Row],[index_defensive_effort]],
  2
)</f>
        <v>0.59</v>
      </c>
    </row>
    <row r="1274" spans="1:37" x14ac:dyDescent="0.25">
      <c r="A1274" t="s">
        <v>545</v>
      </c>
      <c r="B1274" t="s">
        <v>546</v>
      </c>
      <c r="C1274">
        <v>22</v>
      </c>
      <c r="D1274" t="s">
        <v>22</v>
      </c>
      <c r="E1274">
        <v>71</v>
      </c>
      <c r="F1274">
        <v>190</v>
      </c>
      <c r="G1274" t="s">
        <v>153</v>
      </c>
      <c r="H1274">
        <v>2020</v>
      </c>
      <c r="I1274" t="s">
        <v>33</v>
      </c>
      <c r="J1274">
        <v>17</v>
      </c>
      <c r="K1274">
        <v>3</v>
      </c>
      <c r="L1274">
        <v>2</v>
      </c>
      <c r="M1274">
        <v>1</v>
      </c>
      <c r="N1274">
        <v>3</v>
      </c>
      <c r="O1274">
        <v>0</v>
      </c>
      <c r="P1274">
        <v>0</v>
      </c>
      <c r="Q1274">
        <v>0</v>
      </c>
      <c r="R1274">
        <v>0</v>
      </c>
      <c r="S1274">
        <v>63</v>
      </c>
      <c r="T1274">
        <v>63</v>
      </c>
      <c r="U1274" s="5">
        <f>IF(Merge1[[#This Row],[team_defense_snaps]]=0, "", Merge1[[#This Row],[defense_snaps]] / Merge1[[#This Row],[team_defense_snaps]])</f>
        <v>0.86301369863013699</v>
      </c>
      <c r="V1274">
        <v>73</v>
      </c>
      <c r="W1274">
        <v>0</v>
      </c>
      <c r="X1274" s="5" t="s">
        <v>29</v>
      </c>
      <c r="Y1274">
        <v>1</v>
      </c>
      <c r="Z1274">
        <v>0</v>
      </c>
      <c r="AA1274" t="s">
        <v>25</v>
      </c>
      <c r="AB1274" t="s">
        <v>26</v>
      </c>
      <c r="AC1274" t="s">
        <v>27</v>
      </c>
      <c r="AD1274" t="s">
        <v>28</v>
      </c>
      <c r="AE1274" t="s">
        <v>25</v>
      </c>
      <c r="AF12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1274" t="s">
        <v>941</v>
      </c>
      <c r="AH1274">
        <v>80</v>
      </c>
      <c r="AI1274" t="s">
        <v>939</v>
      </c>
      <c r="AJ1274">
        <v>1</v>
      </c>
      <c r="AK12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MIN(AJ1274/8, 1) +
  Merge1[[#This Row],[index_defensive_effort]],
  2
)</f>
        <v>0.6</v>
      </c>
    </row>
    <row r="1275" spans="1:37" x14ac:dyDescent="0.25">
      <c r="A1275" t="s">
        <v>445</v>
      </c>
      <c r="B1275" t="s">
        <v>446</v>
      </c>
      <c r="C1275">
        <v>25</v>
      </c>
      <c r="D1275" t="s">
        <v>22</v>
      </c>
      <c r="E1275">
        <v>73</v>
      </c>
      <c r="F1275">
        <v>213</v>
      </c>
      <c r="G1275" t="s">
        <v>330</v>
      </c>
      <c r="H1275">
        <v>2020</v>
      </c>
      <c r="I1275" t="s">
        <v>33</v>
      </c>
      <c r="J1275">
        <v>1</v>
      </c>
      <c r="K1275">
        <v>13</v>
      </c>
      <c r="L1275">
        <v>4</v>
      </c>
      <c r="M1275">
        <v>1</v>
      </c>
      <c r="N1275">
        <v>5</v>
      </c>
      <c r="O1275">
        <v>4</v>
      </c>
      <c r="P1275">
        <v>5</v>
      </c>
      <c r="Q1275">
        <v>0</v>
      </c>
      <c r="R1275">
        <v>0</v>
      </c>
      <c r="S1275">
        <v>79</v>
      </c>
      <c r="T1275">
        <v>79</v>
      </c>
      <c r="U1275" s="5">
        <f>IF(Merge1[[#This Row],[team_defense_snaps]]=0, "", Merge1[[#This Row],[defense_snaps]] / Merge1[[#This Row],[team_defense_snaps]])</f>
        <v>0.98750000000000004</v>
      </c>
      <c r="V1275">
        <v>80</v>
      </c>
      <c r="W1275">
        <v>0</v>
      </c>
      <c r="X1275" s="5" t="s">
        <v>29</v>
      </c>
      <c r="Y1275">
        <v>3</v>
      </c>
      <c r="Z1275">
        <v>0</v>
      </c>
      <c r="AA1275" t="s">
        <v>25</v>
      </c>
      <c r="AB1275" t="s">
        <v>26</v>
      </c>
      <c r="AC1275" t="s">
        <v>27</v>
      </c>
      <c r="AD1275" t="s">
        <v>42</v>
      </c>
      <c r="AE1275" t="s">
        <v>25</v>
      </c>
      <c r="AF12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0.47468354430379744</v>
      </c>
      <c r="AG1275" t="s">
        <v>942</v>
      </c>
      <c r="AH1275">
        <v>50.5</v>
      </c>
      <c r="AI1275" t="s">
        <v>939</v>
      </c>
      <c r="AJ1275">
        <v>2</v>
      </c>
      <c r="AK12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MIN(AJ1275/8, 1) +
  Merge1[[#This Row],[index_defensive_effort]],
  2
)</f>
        <v>1.22</v>
      </c>
    </row>
    <row r="1276" spans="1:37" x14ac:dyDescent="0.25">
      <c r="A1276" t="s">
        <v>445</v>
      </c>
      <c r="B1276" t="s">
        <v>446</v>
      </c>
      <c r="C1276">
        <v>25</v>
      </c>
      <c r="D1276" t="s">
        <v>22</v>
      </c>
      <c r="E1276">
        <v>73</v>
      </c>
      <c r="F1276">
        <v>213</v>
      </c>
      <c r="G1276" t="s">
        <v>330</v>
      </c>
      <c r="H1276">
        <v>2020</v>
      </c>
      <c r="I1276" t="s">
        <v>33</v>
      </c>
      <c r="J1276">
        <v>2</v>
      </c>
      <c r="K1276">
        <v>9</v>
      </c>
      <c r="L1276">
        <v>3</v>
      </c>
      <c r="M1276">
        <v>0</v>
      </c>
      <c r="N1276">
        <v>3</v>
      </c>
      <c r="O1276">
        <v>3</v>
      </c>
      <c r="P1276">
        <v>5</v>
      </c>
      <c r="Q1276">
        <v>0</v>
      </c>
      <c r="R1276">
        <v>0</v>
      </c>
      <c r="S1276">
        <v>74</v>
      </c>
      <c r="T1276">
        <v>71</v>
      </c>
      <c r="U1276" s="5">
        <f>IF(Merge1[[#This Row],[team_defense_snaps]]=0, "", Merge1[[#This Row],[defense_snaps]] / Merge1[[#This Row],[team_defense_snaps]])</f>
        <v>0.98611111111111116</v>
      </c>
      <c r="V1276">
        <v>72</v>
      </c>
      <c r="W1276">
        <v>3</v>
      </c>
      <c r="X1276" s="5" t="s">
        <v>35</v>
      </c>
      <c r="Y1276">
        <v>3</v>
      </c>
      <c r="Z1276">
        <v>0</v>
      </c>
      <c r="AA1276" t="s">
        <v>25</v>
      </c>
      <c r="AB1276" t="s">
        <v>26</v>
      </c>
      <c r="AC1276" t="s">
        <v>27</v>
      </c>
      <c r="AD1276" t="s">
        <v>42</v>
      </c>
      <c r="AE1276" t="s">
        <v>25</v>
      </c>
      <c r="AF12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0.39864864864864863</v>
      </c>
      <c r="AG1276" t="s">
        <v>942</v>
      </c>
      <c r="AH1276">
        <v>70</v>
      </c>
      <c r="AI1276" t="s">
        <v>939</v>
      </c>
      <c r="AJ1276">
        <v>3</v>
      </c>
      <c r="AK12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MIN(AJ1276/8, 1) +
  Merge1[[#This Row],[index_defensive_effort]],
  2
)</f>
        <v>1.27</v>
      </c>
    </row>
    <row r="1277" spans="1:37" x14ac:dyDescent="0.25">
      <c r="A1277" t="s">
        <v>445</v>
      </c>
      <c r="B1277" t="s">
        <v>446</v>
      </c>
      <c r="C1277">
        <v>25</v>
      </c>
      <c r="D1277" t="s">
        <v>22</v>
      </c>
      <c r="E1277">
        <v>73</v>
      </c>
      <c r="F1277">
        <v>213</v>
      </c>
      <c r="G1277" t="s">
        <v>330</v>
      </c>
      <c r="H1277">
        <v>2020</v>
      </c>
      <c r="I1277" t="s">
        <v>33</v>
      </c>
      <c r="J1277">
        <v>3</v>
      </c>
      <c r="K1277">
        <v>1</v>
      </c>
      <c r="L1277">
        <v>2</v>
      </c>
      <c r="M1277">
        <v>0</v>
      </c>
      <c r="N1277">
        <v>2</v>
      </c>
      <c r="O1277">
        <v>0</v>
      </c>
      <c r="P1277">
        <v>1</v>
      </c>
      <c r="Q1277">
        <v>0</v>
      </c>
      <c r="R1277">
        <v>0</v>
      </c>
      <c r="S1277">
        <v>58</v>
      </c>
      <c r="T1277">
        <v>53</v>
      </c>
      <c r="U1277" s="5">
        <f>IF(Merge1[[#This Row],[team_defense_snaps]]=0, "", Merge1[[#This Row],[defense_snaps]] / Merge1[[#This Row],[team_defense_snaps]])</f>
        <v>0.63855421686746983</v>
      </c>
      <c r="V1277">
        <v>83</v>
      </c>
      <c r="W1277">
        <v>5</v>
      </c>
      <c r="X1277" s="5" t="s">
        <v>168</v>
      </c>
      <c r="Y1277">
        <v>3</v>
      </c>
      <c r="Z1277">
        <v>0</v>
      </c>
      <c r="AA1277" t="s">
        <v>25</v>
      </c>
      <c r="AB1277" t="s">
        <v>26</v>
      </c>
      <c r="AC1277" t="s">
        <v>27</v>
      </c>
      <c r="AD1277" t="s">
        <v>42</v>
      </c>
      <c r="AE1277" t="s">
        <v>25</v>
      </c>
      <c r="AF12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6.8965517241379309E-2</v>
      </c>
      <c r="AG1277" t="s">
        <v>942</v>
      </c>
      <c r="AH1277">
        <v>58</v>
      </c>
      <c r="AI1277" t="s">
        <v>939</v>
      </c>
      <c r="AJ1277">
        <v>1</v>
      </c>
      <c r="AK12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MIN(AJ1277/8, 1) +
  Merge1[[#This Row],[index_defensive_effort]],
  2
)</f>
        <v>0.69</v>
      </c>
    </row>
    <row r="1278" spans="1:37" x14ac:dyDescent="0.25">
      <c r="A1278" t="s">
        <v>445</v>
      </c>
      <c r="B1278" t="s">
        <v>446</v>
      </c>
      <c r="C1278">
        <v>25</v>
      </c>
      <c r="D1278" t="s">
        <v>22</v>
      </c>
      <c r="E1278">
        <v>73</v>
      </c>
      <c r="F1278">
        <v>213</v>
      </c>
      <c r="G1278" t="s">
        <v>330</v>
      </c>
      <c r="H1278">
        <v>2020</v>
      </c>
      <c r="I1278" t="s">
        <v>33</v>
      </c>
      <c r="J1278">
        <v>9</v>
      </c>
      <c r="K1278">
        <v>7</v>
      </c>
      <c r="L1278">
        <v>3</v>
      </c>
      <c r="M1278">
        <v>0</v>
      </c>
      <c r="N1278">
        <v>3</v>
      </c>
      <c r="O1278">
        <v>7</v>
      </c>
      <c r="P1278">
        <v>8</v>
      </c>
      <c r="Q1278">
        <v>0</v>
      </c>
      <c r="R1278">
        <v>0</v>
      </c>
      <c r="S1278">
        <v>69</v>
      </c>
      <c r="T1278">
        <v>68</v>
      </c>
      <c r="U1278" s="5">
        <f>IF(Merge1[[#This Row],[team_defense_snaps]]=0, "", Merge1[[#This Row],[defense_snaps]] / Merge1[[#This Row],[team_defense_snaps]])</f>
        <v>0.90666666666666662</v>
      </c>
      <c r="V1278">
        <v>75</v>
      </c>
      <c r="W1278">
        <v>1</v>
      </c>
      <c r="X1278" s="5" t="s">
        <v>303</v>
      </c>
      <c r="Y1278">
        <v>3</v>
      </c>
      <c r="Z1278">
        <v>0</v>
      </c>
      <c r="AA1278" t="s">
        <v>25</v>
      </c>
      <c r="AB1278" t="s">
        <v>26</v>
      </c>
      <c r="AC1278" t="s">
        <v>27</v>
      </c>
      <c r="AD1278" t="s">
        <v>42</v>
      </c>
      <c r="AE1278" t="s">
        <v>25</v>
      </c>
      <c r="AF12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0.65942028985507251</v>
      </c>
      <c r="AG1278" t="s">
        <v>942</v>
      </c>
      <c r="AH1278">
        <v>67</v>
      </c>
      <c r="AI1278" t="s">
        <v>939</v>
      </c>
      <c r="AJ1278">
        <v>2</v>
      </c>
      <c r="AK12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MIN(AJ1278/8, 1) +
  Merge1[[#This Row],[index_defensive_effort]],
  2
)</f>
        <v>1.41</v>
      </c>
    </row>
    <row r="1279" spans="1:37" x14ac:dyDescent="0.25">
      <c r="A1279" t="s">
        <v>445</v>
      </c>
      <c r="B1279" t="s">
        <v>446</v>
      </c>
      <c r="C1279">
        <v>25</v>
      </c>
      <c r="D1279" t="s">
        <v>22</v>
      </c>
      <c r="E1279">
        <v>73</v>
      </c>
      <c r="F1279">
        <v>213</v>
      </c>
      <c r="G1279" t="s">
        <v>330</v>
      </c>
      <c r="H1279">
        <v>2020</v>
      </c>
      <c r="I1279" t="s">
        <v>33</v>
      </c>
      <c r="J1279">
        <v>10</v>
      </c>
      <c r="K1279">
        <v>11</v>
      </c>
      <c r="L1279">
        <v>1</v>
      </c>
      <c r="M1279">
        <v>1</v>
      </c>
      <c r="N1279">
        <v>2</v>
      </c>
      <c r="O1279">
        <v>6</v>
      </c>
      <c r="P1279">
        <v>4</v>
      </c>
      <c r="Q1279">
        <v>0</v>
      </c>
      <c r="R1279">
        <v>3</v>
      </c>
      <c r="S1279">
        <v>67</v>
      </c>
      <c r="T1279">
        <v>67</v>
      </c>
      <c r="U1279" s="5">
        <f>IF(Merge1[[#This Row],[team_defense_snaps]]=0, "", Merge1[[#This Row],[defense_snaps]] / Merge1[[#This Row],[team_defense_snaps]])</f>
        <v>0.95714285714285718</v>
      </c>
      <c r="V1279">
        <v>70</v>
      </c>
      <c r="W1279">
        <v>0</v>
      </c>
      <c r="X1279" s="5" t="s">
        <v>29</v>
      </c>
      <c r="Y1279">
        <v>3</v>
      </c>
      <c r="Z1279">
        <v>0</v>
      </c>
      <c r="AA1279" t="s">
        <v>25</v>
      </c>
      <c r="AB1279" t="s">
        <v>26</v>
      </c>
      <c r="AC1279" t="s">
        <v>27</v>
      </c>
      <c r="AD1279" t="s">
        <v>42</v>
      </c>
      <c r="AE1279" t="s">
        <v>25</v>
      </c>
      <c r="AF12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0.65671641791044777</v>
      </c>
      <c r="AG1279" t="s">
        <v>942</v>
      </c>
      <c r="AH1279">
        <v>53.5</v>
      </c>
      <c r="AI1279" t="s">
        <v>939</v>
      </c>
      <c r="AJ1279">
        <v>3</v>
      </c>
      <c r="AK12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MIN(AJ1279/8, 1) +
  Merge1[[#This Row],[index_defensive_effort]],
  2
)</f>
        <v>1.53</v>
      </c>
    </row>
    <row r="1280" spans="1:37" x14ac:dyDescent="0.25">
      <c r="A1280" t="s">
        <v>445</v>
      </c>
      <c r="B1280" t="s">
        <v>446</v>
      </c>
      <c r="C1280">
        <v>25</v>
      </c>
      <c r="D1280" t="s">
        <v>22</v>
      </c>
      <c r="E1280">
        <v>73</v>
      </c>
      <c r="F1280">
        <v>213</v>
      </c>
      <c r="G1280" t="s">
        <v>330</v>
      </c>
      <c r="H1280">
        <v>2020</v>
      </c>
      <c r="I1280" t="s">
        <v>33</v>
      </c>
      <c r="J1280">
        <v>11</v>
      </c>
      <c r="K1280">
        <v>1</v>
      </c>
      <c r="L1280">
        <v>2</v>
      </c>
      <c r="M1280">
        <v>1</v>
      </c>
      <c r="N1280">
        <v>3</v>
      </c>
      <c r="O1280">
        <v>0</v>
      </c>
      <c r="P1280">
        <v>1</v>
      </c>
      <c r="Q1280">
        <v>0</v>
      </c>
      <c r="R1280">
        <v>0</v>
      </c>
      <c r="S1280">
        <v>69</v>
      </c>
      <c r="T1280">
        <v>67</v>
      </c>
      <c r="U1280" s="5">
        <f>IF(Merge1[[#This Row],[team_defense_snaps]]=0, "", Merge1[[#This Row],[defense_snaps]] / Merge1[[#This Row],[team_defense_snaps]])</f>
        <v>1</v>
      </c>
      <c r="V1280">
        <v>67</v>
      </c>
      <c r="W1280">
        <v>2</v>
      </c>
      <c r="X1280" s="5" t="s">
        <v>167</v>
      </c>
      <c r="Y1280">
        <v>3</v>
      </c>
      <c r="Z1280">
        <v>0</v>
      </c>
      <c r="AA1280" t="s">
        <v>25</v>
      </c>
      <c r="AB1280" t="s">
        <v>26</v>
      </c>
      <c r="AC1280" t="s">
        <v>27</v>
      </c>
      <c r="AD1280" t="s">
        <v>42</v>
      </c>
      <c r="AE1280" t="s">
        <v>25</v>
      </c>
      <c r="AF12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6.5217391304347824E-2</v>
      </c>
      <c r="AG1280" t="s">
        <v>942</v>
      </c>
      <c r="AH1280">
        <v>46</v>
      </c>
      <c r="AI1280" t="s">
        <v>939</v>
      </c>
      <c r="AJ1280">
        <v>4</v>
      </c>
      <c r="AK12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MIN(AJ1280/8, 1) +
  Merge1[[#This Row],[index_defensive_effort]],
  2
)</f>
        <v>1.07</v>
      </c>
    </row>
    <row r="1281" spans="1:37" x14ac:dyDescent="0.25">
      <c r="A1281" t="s">
        <v>445</v>
      </c>
      <c r="B1281" t="s">
        <v>446</v>
      </c>
      <c r="C1281">
        <v>25</v>
      </c>
      <c r="D1281" t="s">
        <v>22</v>
      </c>
      <c r="E1281">
        <v>73</v>
      </c>
      <c r="F1281">
        <v>213</v>
      </c>
      <c r="G1281" t="s">
        <v>330</v>
      </c>
      <c r="H1281">
        <v>2020</v>
      </c>
      <c r="I1281" t="s">
        <v>33</v>
      </c>
      <c r="J1281">
        <v>12</v>
      </c>
      <c r="K1281">
        <v>11</v>
      </c>
      <c r="L1281">
        <v>2</v>
      </c>
      <c r="M1281">
        <v>1</v>
      </c>
      <c r="N1281">
        <v>3</v>
      </c>
      <c r="O1281">
        <v>4</v>
      </c>
      <c r="P1281">
        <v>5</v>
      </c>
      <c r="Q1281">
        <v>0</v>
      </c>
      <c r="R1281">
        <v>0</v>
      </c>
      <c r="S1281">
        <v>71</v>
      </c>
      <c r="T1281">
        <v>71</v>
      </c>
      <c r="U1281" s="5">
        <f>IF(Merge1[[#This Row],[team_defense_snaps]]=0, "", Merge1[[#This Row],[defense_snaps]] / Merge1[[#This Row],[team_defense_snaps]])</f>
        <v>1</v>
      </c>
      <c r="V1281">
        <v>71</v>
      </c>
      <c r="W1281">
        <v>0</v>
      </c>
      <c r="X1281" s="5" t="s">
        <v>29</v>
      </c>
      <c r="Y1281">
        <v>3</v>
      </c>
      <c r="Z1281">
        <v>0</v>
      </c>
      <c r="AA1281" t="s">
        <v>25</v>
      </c>
      <c r="AB1281" t="s">
        <v>26</v>
      </c>
      <c r="AC1281" t="s">
        <v>27</v>
      </c>
      <c r="AD1281" t="s">
        <v>42</v>
      </c>
      <c r="AE1281" t="s">
        <v>25</v>
      </c>
      <c r="AF12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0.4859154929577465</v>
      </c>
      <c r="AG1281" t="s">
        <v>942</v>
      </c>
      <c r="AH1281">
        <v>68.5</v>
      </c>
      <c r="AI1281" t="s">
        <v>939</v>
      </c>
      <c r="AJ1281">
        <v>5</v>
      </c>
      <c r="AK12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MIN(AJ1281/8, 1) +
  Merge1[[#This Row],[index_defensive_effort]],
  2
)</f>
        <v>1.61</v>
      </c>
    </row>
    <row r="1282" spans="1:37" x14ac:dyDescent="0.25">
      <c r="A1282" t="s">
        <v>445</v>
      </c>
      <c r="B1282" t="s">
        <v>446</v>
      </c>
      <c r="C1282">
        <v>25</v>
      </c>
      <c r="D1282" t="s">
        <v>22</v>
      </c>
      <c r="E1282">
        <v>73</v>
      </c>
      <c r="F1282">
        <v>213</v>
      </c>
      <c r="G1282" t="s">
        <v>330</v>
      </c>
      <c r="H1282">
        <v>2020</v>
      </c>
      <c r="I1282" t="s">
        <v>33</v>
      </c>
      <c r="J1282">
        <v>13</v>
      </c>
      <c r="K1282">
        <v>10</v>
      </c>
      <c r="L1282">
        <v>4</v>
      </c>
      <c r="M1282">
        <v>1</v>
      </c>
      <c r="N1282">
        <v>5</v>
      </c>
      <c r="O1282">
        <v>4</v>
      </c>
      <c r="P1282">
        <v>5</v>
      </c>
      <c r="Q1282">
        <v>0</v>
      </c>
      <c r="R1282">
        <v>0</v>
      </c>
      <c r="S1282">
        <v>59</v>
      </c>
      <c r="T1282">
        <v>56</v>
      </c>
      <c r="U1282" s="5">
        <f>IF(Merge1[[#This Row],[team_defense_snaps]]=0, "", Merge1[[#This Row],[defense_snaps]] / Merge1[[#This Row],[team_defense_snaps]])</f>
        <v>0.98245614035087714</v>
      </c>
      <c r="V1282">
        <v>57</v>
      </c>
      <c r="W1282">
        <v>3</v>
      </c>
      <c r="X1282" s="5" t="s">
        <v>251</v>
      </c>
      <c r="Y1282">
        <v>3</v>
      </c>
      <c r="Z1282">
        <v>0</v>
      </c>
      <c r="AA1282" t="s">
        <v>25</v>
      </c>
      <c r="AB1282" t="s">
        <v>26</v>
      </c>
      <c r="AC1282" t="s">
        <v>27</v>
      </c>
      <c r="AD1282" t="s">
        <v>42</v>
      </c>
      <c r="AE1282" t="s">
        <v>25</v>
      </c>
      <c r="AF12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0.5847457627118644</v>
      </c>
      <c r="AG1282" t="s">
        <v>942</v>
      </c>
      <c r="AH1282">
        <v>47.5</v>
      </c>
      <c r="AI1282" t="s">
        <v>939</v>
      </c>
      <c r="AJ1282">
        <v>6</v>
      </c>
      <c r="AK12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MIN(AJ1282/8, 1) +
  Merge1[[#This Row],[index_defensive_effort]],
  2
)</f>
        <v>1.83</v>
      </c>
    </row>
    <row r="1283" spans="1:37" x14ac:dyDescent="0.25">
      <c r="A1283" t="s">
        <v>445</v>
      </c>
      <c r="B1283" t="s">
        <v>446</v>
      </c>
      <c r="C1283">
        <v>25</v>
      </c>
      <c r="D1283" t="s">
        <v>22</v>
      </c>
      <c r="E1283">
        <v>73</v>
      </c>
      <c r="F1283">
        <v>213</v>
      </c>
      <c r="G1283" t="s">
        <v>330</v>
      </c>
      <c r="H1283">
        <v>2020</v>
      </c>
      <c r="I1283" t="s">
        <v>33</v>
      </c>
      <c r="J1283">
        <v>14</v>
      </c>
      <c r="K1283">
        <v>4</v>
      </c>
      <c r="L1283">
        <v>3</v>
      </c>
      <c r="M1283">
        <v>0</v>
      </c>
      <c r="N1283">
        <v>3</v>
      </c>
      <c r="O1283">
        <v>3</v>
      </c>
      <c r="P1283">
        <v>0</v>
      </c>
      <c r="Q1283">
        <v>0</v>
      </c>
      <c r="R1283">
        <v>1</v>
      </c>
      <c r="S1283">
        <v>47</v>
      </c>
      <c r="T1283">
        <v>43</v>
      </c>
      <c r="U1283" s="5">
        <f>IF(Merge1[[#This Row],[team_defense_snaps]]=0, "", Merge1[[#This Row],[defense_snaps]] / Merge1[[#This Row],[team_defense_snaps]])</f>
        <v>0.81132075471698117</v>
      </c>
      <c r="V1283">
        <v>53</v>
      </c>
      <c r="W1283">
        <v>4</v>
      </c>
      <c r="X1283" s="5" t="s">
        <v>212</v>
      </c>
      <c r="Y1283">
        <v>3</v>
      </c>
      <c r="Z1283">
        <v>0</v>
      </c>
      <c r="AA1283" t="s">
        <v>25</v>
      </c>
      <c r="AB1283" t="s">
        <v>26</v>
      </c>
      <c r="AC1283" t="s">
        <v>27</v>
      </c>
      <c r="AD1283" t="s">
        <v>42</v>
      </c>
      <c r="AE1283" t="s">
        <v>25</v>
      </c>
      <c r="AF12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0.35106382978723405</v>
      </c>
      <c r="AG1283" t="s">
        <v>942</v>
      </c>
      <c r="AH1283">
        <v>49</v>
      </c>
      <c r="AI1283" t="s">
        <v>939</v>
      </c>
      <c r="AJ1283">
        <v>7</v>
      </c>
      <c r="AK12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MIN(AJ1283/8, 1) +
  Merge1[[#This Row],[index_defensive_effort]],
  2
)</f>
        <v>1.73</v>
      </c>
    </row>
    <row r="1284" spans="1:37" x14ac:dyDescent="0.25">
      <c r="A1284" t="s">
        <v>445</v>
      </c>
      <c r="B1284" t="s">
        <v>446</v>
      </c>
      <c r="C1284">
        <v>25</v>
      </c>
      <c r="D1284" t="s">
        <v>22</v>
      </c>
      <c r="E1284">
        <v>73</v>
      </c>
      <c r="F1284">
        <v>213</v>
      </c>
      <c r="G1284" t="s">
        <v>330</v>
      </c>
      <c r="H1284">
        <v>2020</v>
      </c>
      <c r="I1284" t="s">
        <v>33</v>
      </c>
      <c r="J1284">
        <v>15</v>
      </c>
      <c r="K1284">
        <v>10</v>
      </c>
      <c r="L1284">
        <v>2</v>
      </c>
      <c r="M1284">
        <v>0</v>
      </c>
      <c r="N1284">
        <v>2</v>
      </c>
      <c r="O1284">
        <v>4</v>
      </c>
      <c r="P1284">
        <v>4</v>
      </c>
      <c r="Q1284">
        <v>0</v>
      </c>
      <c r="R1284">
        <v>0</v>
      </c>
      <c r="S1284">
        <v>80</v>
      </c>
      <c r="T1284">
        <v>80</v>
      </c>
      <c r="U1284" s="5">
        <f>IF(Merge1[[#This Row],[team_defense_snaps]]=0, "", Merge1[[#This Row],[defense_snaps]] / Merge1[[#This Row],[team_defense_snaps]])</f>
        <v>1</v>
      </c>
      <c r="V1284">
        <v>80</v>
      </c>
      <c r="W1284">
        <v>0</v>
      </c>
      <c r="X1284" s="5" t="s">
        <v>29</v>
      </c>
      <c r="Y1284">
        <v>3</v>
      </c>
      <c r="Z1284">
        <v>0</v>
      </c>
      <c r="AA1284" t="s">
        <v>25</v>
      </c>
      <c r="AB1284" t="s">
        <v>26</v>
      </c>
      <c r="AC1284" t="s">
        <v>27</v>
      </c>
      <c r="AD1284" t="s">
        <v>42</v>
      </c>
      <c r="AE1284" t="s">
        <v>25</v>
      </c>
      <c r="AF12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0.38750000000000001</v>
      </c>
      <c r="AG1284" t="s">
        <v>942</v>
      </c>
      <c r="AH1284">
        <v>52</v>
      </c>
      <c r="AI1284" t="s">
        <v>939</v>
      </c>
      <c r="AJ1284">
        <v>8</v>
      </c>
      <c r="AK12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MIN(AJ1284/8, 1) +
  Merge1[[#This Row],[index_defensive_effort]],
  2
)</f>
        <v>1.89</v>
      </c>
    </row>
    <row r="1285" spans="1:37" x14ac:dyDescent="0.25">
      <c r="A1285" t="s">
        <v>445</v>
      </c>
      <c r="B1285" t="s">
        <v>446</v>
      </c>
      <c r="C1285">
        <v>25</v>
      </c>
      <c r="D1285" t="s">
        <v>22</v>
      </c>
      <c r="E1285">
        <v>73</v>
      </c>
      <c r="F1285">
        <v>213</v>
      </c>
      <c r="G1285" t="s">
        <v>330</v>
      </c>
      <c r="H1285">
        <v>2020</v>
      </c>
      <c r="I1285" t="s">
        <v>33</v>
      </c>
      <c r="J1285">
        <v>16</v>
      </c>
      <c r="K1285">
        <v>6</v>
      </c>
      <c r="L1285">
        <v>2</v>
      </c>
      <c r="M1285">
        <v>1</v>
      </c>
      <c r="N1285">
        <v>3</v>
      </c>
      <c r="O1285">
        <v>0</v>
      </c>
      <c r="P1285">
        <v>0</v>
      </c>
      <c r="Q1285">
        <v>0</v>
      </c>
      <c r="R1285">
        <v>0</v>
      </c>
      <c r="S1285">
        <v>76</v>
      </c>
      <c r="T1285">
        <v>75</v>
      </c>
      <c r="U1285" s="5">
        <f>IF(Merge1[[#This Row],[team_defense_snaps]]=0, "", Merge1[[#This Row],[defense_snaps]] / Merge1[[#This Row],[team_defense_snaps]])</f>
        <v>1</v>
      </c>
      <c r="V1285">
        <v>75</v>
      </c>
      <c r="W1285">
        <v>1</v>
      </c>
      <c r="X1285" s="5" t="s">
        <v>193</v>
      </c>
      <c r="Y1285">
        <v>3</v>
      </c>
      <c r="Z1285">
        <v>0</v>
      </c>
      <c r="AA1285" t="s">
        <v>25</v>
      </c>
      <c r="AB1285" t="s">
        <v>26</v>
      </c>
      <c r="AC1285" t="s">
        <v>27</v>
      </c>
      <c r="AD1285" t="s">
        <v>42</v>
      </c>
      <c r="AE1285" t="s">
        <v>25</v>
      </c>
      <c r="AF12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9.8684210526315791E-2</v>
      </c>
      <c r="AG1285" t="s">
        <v>942</v>
      </c>
      <c r="AH1285">
        <v>55</v>
      </c>
      <c r="AI1285" t="s">
        <v>939</v>
      </c>
      <c r="AJ1285">
        <v>9</v>
      </c>
      <c r="AK12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MIN(AJ1285/8, 1) +
  Merge1[[#This Row],[index_defensive_effort]],
  2
)</f>
        <v>1.6</v>
      </c>
    </row>
    <row r="1286" spans="1:37" x14ac:dyDescent="0.25">
      <c r="A1286" t="s">
        <v>445</v>
      </c>
      <c r="B1286" t="s">
        <v>446</v>
      </c>
      <c r="C1286">
        <v>25</v>
      </c>
      <c r="D1286" t="s">
        <v>22</v>
      </c>
      <c r="E1286">
        <v>73</v>
      </c>
      <c r="F1286">
        <v>213</v>
      </c>
      <c r="G1286" t="s">
        <v>330</v>
      </c>
      <c r="H1286">
        <v>2020</v>
      </c>
      <c r="I1286" t="s">
        <v>33</v>
      </c>
      <c r="J1286">
        <v>17</v>
      </c>
      <c r="K1286">
        <v>4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54</v>
      </c>
      <c r="T1286">
        <v>54</v>
      </c>
      <c r="U1286" s="5">
        <f>IF(Merge1[[#This Row],[team_defense_snaps]]=0, "", Merge1[[#This Row],[defense_snaps]] / Merge1[[#This Row],[team_defense_snaps]])</f>
        <v>0.80597014925373134</v>
      </c>
      <c r="V1286">
        <v>67</v>
      </c>
      <c r="W1286">
        <v>0</v>
      </c>
      <c r="X1286" s="5" t="s">
        <v>29</v>
      </c>
      <c r="Y1286">
        <v>3</v>
      </c>
      <c r="Z1286">
        <v>0</v>
      </c>
      <c r="AA1286" t="s">
        <v>25</v>
      </c>
      <c r="AB1286" t="s">
        <v>26</v>
      </c>
      <c r="AC1286" t="s">
        <v>27</v>
      </c>
      <c r="AD1286" t="s">
        <v>42</v>
      </c>
      <c r="AE1286" t="s">
        <v>25</v>
      </c>
      <c r="AF12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7.407407407407407E-2</v>
      </c>
      <c r="AG1286" t="s">
        <v>942</v>
      </c>
      <c r="AH1286">
        <v>56.5</v>
      </c>
      <c r="AI1286" t="s">
        <v>939</v>
      </c>
      <c r="AJ1286">
        <v>10</v>
      </c>
      <c r="AK12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MIN(AJ1286/8, 1) +
  Merge1[[#This Row],[index_defensive_effort]],
  2
)</f>
        <v>1.57</v>
      </c>
    </row>
    <row r="1287" spans="1:37" x14ac:dyDescent="0.25">
      <c r="A1287" t="s">
        <v>445</v>
      </c>
      <c r="B1287" t="s">
        <v>446</v>
      </c>
      <c r="C1287">
        <v>25</v>
      </c>
      <c r="D1287" t="s">
        <v>22</v>
      </c>
      <c r="E1287">
        <v>73</v>
      </c>
      <c r="F1287">
        <v>213</v>
      </c>
      <c r="G1287" t="s">
        <v>330</v>
      </c>
      <c r="H1287">
        <v>2020</v>
      </c>
      <c r="I1287" t="s">
        <v>24</v>
      </c>
      <c r="J1287">
        <v>18</v>
      </c>
      <c r="K1287">
        <v>2</v>
      </c>
      <c r="L1287">
        <v>2</v>
      </c>
      <c r="M1287">
        <v>0</v>
      </c>
      <c r="N1287">
        <v>2</v>
      </c>
      <c r="O1287">
        <v>0</v>
      </c>
      <c r="P1287">
        <v>1</v>
      </c>
      <c r="Q1287">
        <v>0</v>
      </c>
      <c r="R1287">
        <v>0</v>
      </c>
      <c r="S1287">
        <v>71</v>
      </c>
      <c r="T1287">
        <v>71</v>
      </c>
      <c r="U1287" s="5">
        <f>IF(Merge1[[#This Row],[team_defense_snaps]]=0, "", Merge1[[#This Row],[defense_snaps]] / Merge1[[#This Row],[team_defense_snaps]])</f>
        <v>1</v>
      </c>
      <c r="V1287">
        <v>71</v>
      </c>
      <c r="W1287">
        <v>0</v>
      </c>
      <c r="X1287" s="5" t="s">
        <v>29</v>
      </c>
      <c r="Y1287">
        <v>3</v>
      </c>
      <c r="Z1287">
        <v>0</v>
      </c>
      <c r="AA1287" t="s">
        <v>25</v>
      </c>
      <c r="AB1287" t="s">
        <v>26</v>
      </c>
      <c r="AC1287" t="s">
        <v>27</v>
      </c>
      <c r="AD1287" t="s">
        <v>42</v>
      </c>
      <c r="AE1287" t="s">
        <v>25</v>
      </c>
      <c r="AF12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7.0422535211267609E-2</v>
      </c>
      <c r="AG1287" t="s">
        <v>942</v>
      </c>
      <c r="AH1287">
        <v>50</v>
      </c>
      <c r="AI1287" t="s">
        <v>939</v>
      </c>
      <c r="AJ1287">
        <v>1</v>
      </c>
      <c r="AK12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MIN(AJ1287/8, 1) +
  Merge1[[#This Row],[index_defensive_effort]],
  2
)</f>
        <v>0.9</v>
      </c>
    </row>
    <row r="1288" spans="1:37" x14ac:dyDescent="0.25">
      <c r="A1288" t="s">
        <v>892</v>
      </c>
      <c r="B1288" t="s">
        <v>893</v>
      </c>
      <c r="C1288">
        <v>26</v>
      </c>
      <c r="D1288" t="s">
        <v>22</v>
      </c>
      <c r="E1288">
        <v>73</v>
      </c>
      <c r="F1288">
        <v>215</v>
      </c>
      <c r="G1288" t="s">
        <v>173</v>
      </c>
      <c r="H1288">
        <v>2020</v>
      </c>
      <c r="I1288" t="s">
        <v>33</v>
      </c>
      <c r="J1288">
        <v>4</v>
      </c>
      <c r="K1288">
        <v>4</v>
      </c>
      <c r="L1288">
        <v>1</v>
      </c>
      <c r="M1288">
        <v>1</v>
      </c>
      <c r="N1288">
        <v>2</v>
      </c>
      <c r="O1288">
        <v>0</v>
      </c>
      <c r="P1288">
        <v>0</v>
      </c>
      <c r="Q1288">
        <v>0</v>
      </c>
      <c r="R1288">
        <v>0</v>
      </c>
      <c r="S1288">
        <v>31</v>
      </c>
      <c r="T1288">
        <v>31</v>
      </c>
      <c r="U1288" s="5">
        <f>IF(Merge1[[#This Row],[team_defense_snaps]]=0, "", Merge1[[#This Row],[defense_snaps]] / Merge1[[#This Row],[team_defense_snaps]])</f>
        <v>0.484375</v>
      </c>
      <c r="V1288">
        <v>64</v>
      </c>
      <c r="W1288">
        <v>0</v>
      </c>
      <c r="X1288" s="5">
        <v>0</v>
      </c>
      <c r="Y1288">
        <v>3</v>
      </c>
      <c r="Z1288">
        <v>0</v>
      </c>
      <c r="AA1288" t="s">
        <v>25</v>
      </c>
      <c r="AB1288" t="s">
        <v>36</v>
      </c>
      <c r="AC1288" t="s">
        <v>147</v>
      </c>
      <c r="AD1288" t="s">
        <v>42</v>
      </c>
      <c r="AE1288" t="s">
        <v>25</v>
      </c>
      <c r="AF12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0.16129032258064516</v>
      </c>
      <c r="AG1288" t="s">
        <v>942</v>
      </c>
      <c r="AH1288">
        <v>73.5</v>
      </c>
      <c r="AI1288" t="s">
        <v>939</v>
      </c>
      <c r="AJ1288">
        <v>1</v>
      </c>
      <c r="AK12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MIN(AJ1288/8, 1) +
  Merge1[[#This Row],[index_defensive_effort]],
  2
)</f>
        <v>0.89</v>
      </c>
    </row>
    <row r="1289" spans="1:37" x14ac:dyDescent="0.25">
      <c r="A1289" t="s">
        <v>519</v>
      </c>
      <c r="B1289" t="s">
        <v>520</v>
      </c>
      <c r="C1289">
        <v>26</v>
      </c>
      <c r="D1289" t="s">
        <v>56</v>
      </c>
      <c r="E1289">
        <v>70</v>
      </c>
      <c r="F1289">
        <v>180</v>
      </c>
      <c r="G1289" t="s">
        <v>203</v>
      </c>
      <c r="H1289">
        <v>2020</v>
      </c>
      <c r="I1289" t="s">
        <v>33</v>
      </c>
      <c r="J1289">
        <v>1</v>
      </c>
      <c r="K1289">
        <v>2</v>
      </c>
      <c r="L1289">
        <v>2</v>
      </c>
      <c r="M1289">
        <v>1</v>
      </c>
      <c r="N1289">
        <v>3</v>
      </c>
      <c r="O1289">
        <v>0</v>
      </c>
      <c r="P1289">
        <v>0</v>
      </c>
      <c r="Q1289">
        <v>0</v>
      </c>
      <c r="R1289">
        <v>0</v>
      </c>
      <c r="S1289">
        <v>36</v>
      </c>
      <c r="T1289">
        <v>31</v>
      </c>
      <c r="U1289" s="5">
        <f>IF(Merge1[[#This Row],[team_defense_snaps]]=0, "", Merge1[[#This Row],[defense_snaps]] / Merge1[[#This Row],[team_defense_snaps]])</f>
        <v>0.47692307692307695</v>
      </c>
      <c r="V1289">
        <v>65</v>
      </c>
      <c r="W1289">
        <v>5</v>
      </c>
      <c r="X1289" s="5" t="s">
        <v>261</v>
      </c>
      <c r="Y1289">
        <v>3</v>
      </c>
      <c r="Z1289">
        <v>0</v>
      </c>
      <c r="AA1289" t="s">
        <v>25</v>
      </c>
      <c r="AB1289" t="s">
        <v>26</v>
      </c>
      <c r="AC1289" t="s">
        <v>27</v>
      </c>
      <c r="AD1289" t="s">
        <v>28</v>
      </c>
      <c r="AE1289" t="s">
        <v>25</v>
      </c>
      <c r="AF12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9.7222222222222224E-2</v>
      </c>
      <c r="AG1289" t="s">
        <v>941</v>
      </c>
      <c r="AH1289">
        <v>86.5</v>
      </c>
      <c r="AI1289" t="s">
        <v>939</v>
      </c>
      <c r="AJ1289">
        <v>2</v>
      </c>
      <c r="AK12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MIN(AJ1289/8, 1) +
  Merge1[[#This Row],[index_defensive_effort]],
  2
)</f>
        <v>0.85</v>
      </c>
    </row>
    <row r="1290" spans="1:37" x14ac:dyDescent="0.25">
      <c r="A1290" t="s">
        <v>519</v>
      </c>
      <c r="B1290" t="s">
        <v>520</v>
      </c>
      <c r="C1290">
        <v>26</v>
      </c>
      <c r="D1290" t="s">
        <v>56</v>
      </c>
      <c r="E1290">
        <v>70</v>
      </c>
      <c r="F1290">
        <v>180</v>
      </c>
      <c r="G1290" t="s">
        <v>203</v>
      </c>
      <c r="H1290">
        <v>2020</v>
      </c>
      <c r="I1290" t="s">
        <v>33</v>
      </c>
      <c r="J1290">
        <v>2</v>
      </c>
      <c r="K1290">
        <v>0</v>
      </c>
      <c r="L1290">
        <v>1</v>
      </c>
      <c r="M1290">
        <v>1</v>
      </c>
      <c r="N1290">
        <v>2</v>
      </c>
      <c r="O1290">
        <v>0</v>
      </c>
      <c r="P1290">
        <v>0</v>
      </c>
      <c r="Q1290">
        <v>0</v>
      </c>
      <c r="R1290">
        <v>0</v>
      </c>
      <c r="S1290">
        <v>20</v>
      </c>
      <c r="T1290">
        <v>5</v>
      </c>
      <c r="U1290" s="5">
        <f>IF(Merge1[[#This Row],[team_defense_snaps]]=0, "", Merge1[[#This Row],[defense_snaps]] / Merge1[[#This Row],[team_defense_snaps]])</f>
        <v>8.0645161290322578E-2</v>
      </c>
      <c r="V1290">
        <v>62</v>
      </c>
      <c r="W1290">
        <v>15</v>
      </c>
      <c r="X1290" s="5" t="s">
        <v>275</v>
      </c>
      <c r="Y1290">
        <v>3</v>
      </c>
      <c r="Z1290">
        <v>0</v>
      </c>
      <c r="AA1290" t="s">
        <v>25</v>
      </c>
      <c r="AB1290" t="s">
        <v>26</v>
      </c>
      <c r="AC1290" t="s">
        <v>27</v>
      </c>
      <c r="AD1290" t="s">
        <v>28</v>
      </c>
      <c r="AE1290" t="s">
        <v>25</v>
      </c>
      <c r="AF12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1290" t="s">
        <v>941</v>
      </c>
      <c r="AH1290">
        <v>83.5</v>
      </c>
      <c r="AI1290" t="s">
        <v>939</v>
      </c>
      <c r="AJ1290">
        <v>3</v>
      </c>
      <c r="AK12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MIN(AJ1290/8, 1) +
  Merge1[[#This Row],[index_defensive_effort]],
  2
)</f>
        <v>0.93</v>
      </c>
    </row>
    <row r="1291" spans="1:37" x14ac:dyDescent="0.25">
      <c r="A1291" t="s">
        <v>519</v>
      </c>
      <c r="B1291" t="s">
        <v>520</v>
      </c>
      <c r="C1291">
        <v>26</v>
      </c>
      <c r="D1291" t="s">
        <v>56</v>
      </c>
      <c r="E1291">
        <v>70</v>
      </c>
      <c r="F1291">
        <v>180</v>
      </c>
      <c r="G1291" t="s">
        <v>203</v>
      </c>
      <c r="H1291">
        <v>2020</v>
      </c>
      <c r="I1291" t="s">
        <v>33</v>
      </c>
      <c r="J1291">
        <v>3</v>
      </c>
      <c r="K1291">
        <v>3</v>
      </c>
      <c r="L1291">
        <v>3</v>
      </c>
      <c r="M1291">
        <v>0</v>
      </c>
      <c r="N1291">
        <v>3</v>
      </c>
      <c r="O1291">
        <v>0</v>
      </c>
      <c r="P1291">
        <v>0</v>
      </c>
      <c r="Q1291">
        <v>0</v>
      </c>
      <c r="R1291">
        <v>0</v>
      </c>
      <c r="S1291">
        <v>52</v>
      </c>
      <c r="T1291">
        <v>41</v>
      </c>
      <c r="U1291" s="5">
        <f>IF(Merge1[[#This Row],[team_defense_snaps]]=0, "", Merge1[[#This Row],[defense_snaps]] / Merge1[[#This Row],[team_defense_snaps]])</f>
        <v>0.61194029850746268</v>
      </c>
      <c r="V1291">
        <v>67</v>
      </c>
      <c r="W1291">
        <v>11</v>
      </c>
      <c r="X1291" s="5" t="s">
        <v>200</v>
      </c>
      <c r="Y1291">
        <v>3</v>
      </c>
      <c r="Z1291">
        <v>0</v>
      </c>
      <c r="AA1291" t="s">
        <v>25</v>
      </c>
      <c r="AB1291" t="s">
        <v>26</v>
      </c>
      <c r="AC1291" t="s">
        <v>27</v>
      </c>
      <c r="AD1291" t="s">
        <v>42</v>
      </c>
      <c r="AE1291" t="s">
        <v>25</v>
      </c>
      <c r="AF12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8.6538461538461536E-2</v>
      </c>
      <c r="AG1291" t="s">
        <v>941</v>
      </c>
      <c r="AH1291">
        <v>85</v>
      </c>
      <c r="AI1291" t="s">
        <v>939</v>
      </c>
      <c r="AJ1291">
        <v>4</v>
      </c>
      <c r="AK12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MIN(AJ1291/8, 1) +
  Merge1[[#This Row],[index_defensive_effort]],
  2
)</f>
        <v>1.0900000000000001</v>
      </c>
    </row>
    <row r="1292" spans="1:37" x14ac:dyDescent="0.25">
      <c r="A1292" t="s">
        <v>519</v>
      </c>
      <c r="B1292" t="s">
        <v>520</v>
      </c>
      <c r="C1292">
        <v>26</v>
      </c>
      <c r="D1292" t="s">
        <v>56</v>
      </c>
      <c r="E1292">
        <v>70</v>
      </c>
      <c r="F1292">
        <v>180</v>
      </c>
      <c r="G1292" t="s">
        <v>203</v>
      </c>
      <c r="H1292">
        <v>2020</v>
      </c>
      <c r="I1292" t="s">
        <v>33</v>
      </c>
      <c r="J1292">
        <v>4</v>
      </c>
      <c r="K1292">
        <v>3</v>
      </c>
      <c r="L1292">
        <v>2</v>
      </c>
      <c r="M1292">
        <v>0</v>
      </c>
      <c r="N1292">
        <v>2</v>
      </c>
      <c r="O1292">
        <v>0</v>
      </c>
      <c r="P1292">
        <v>1</v>
      </c>
      <c r="Q1292">
        <v>0</v>
      </c>
      <c r="R1292">
        <v>0</v>
      </c>
      <c r="S1292">
        <v>38</v>
      </c>
      <c r="T1292">
        <v>23</v>
      </c>
      <c r="U1292" s="5">
        <f>IF(Merge1[[#This Row],[team_defense_snaps]]=0, "", Merge1[[#This Row],[defense_snaps]] / Merge1[[#This Row],[team_defense_snaps]])</f>
        <v>0.359375</v>
      </c>
      <c r="V1292">
        <v>64</v>
      </c>
      <c r="W1292">
        <v>15</v>
      </c>
      <c r="X1292" s="5" t="s">
        <v>189</v>
      </c>
      <c r="Y1292">
        <v>3</v>
      </c>
      <c r="Z1292">
        <v>0</v>
      </c>
      <c r="AA1292" t="s">
        <v>25</v>
      </c>
      <c r="AB1292" t="s">
        <v>26</v>
      </c>
      <c r="AC1292" t="s">
        <v>27</v>
      </c>
      <c r="AD1292" t="s">
        <v>28</v>
      </c>
      <c r="AE1292" t="s">
        <v>25</v>
      </c>
      <c r="AF12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0.15789473684210525</v>
      </c>
      <c r="AG1292" t="s">
        <v>941</v>
      </c>
      <c r="AH1292">
        <v>73</v>
      </c>
      <c r="AI1292" t="s">
        <v>939</v>
      </c>
      <c r="AJ1292">
        <v>1</v>
      </c>
      <c r="AK12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MIN(AJ1292/8, 1) +
  Merge1[[#This Row],[index_defensive_effort]],
  2
)</f>
        <v>0.78</v>
      </c>
    </row>
    <row r="1293" spans="1:37" x14ac:dyDescent="0.25">
      <c r="A1293" t="s">
        <v>519</v>
      </c>
      <c r="B1293" t="s">
        <v>520</v>
      </c>
      <c r="C1293">
        <v>26</v>
      </c>
      <c r="D1293" t="s">
        <v>56</v>
      </c>
      <c r="E1293">
        <v>70</v>
      </c>
      <c r="F1293">
        <v>180</v>
      </c>
      <c r="G1293" t="s">
        <v>203</v>
      </c>
      <c r="H1293">
        <v>2020</v>
      </c>
      <c r="I1293" t="s">
        <v>33</v>
      </c>
      <c r="J1293">
        <v>11</v>
      </c>
      <c r="K1293">
        <v>1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20</v>
      </c>
      <c r="T1293">
        <v>10</v>
      </c>
      <c r="U1293" s="5">
        <f>IF(Merge1[[#This Row],[team_defense_snaps]]=0, "", Merge1[[#This Row],[defense_snaps]] / Merge1[[#This Row],[team_defense_snaps]])</f>
        <v>0.14925373134328357</v>
      </c>
      <c r="V1293">
        <v>67</v>
      </c>
      <c r="W1293">
        <v>10</v>
      </c>
      <c r="X1293" s="5" t="s">
        <v>131</v>
      </c>
      <c r="Y1293">
        <v>3</v>
      </c>
      <c r="Z1293">
        <v>0</v>
      </c>
      <c r="AA1293" t="s">
        <v>25</v>
      </c>
      <c r="AB1293" t="s">
        <v>26</v>
      </c>
      <c r="AC1293" t="s">
        <v>27</v>
      </c>
      <c r="AD1293" t="s">
        <v>28</v>
      </c>
      <c r="AE1293" t="s">
        <v>25</v>
      </c>
      <c r="AF12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1293" t="s">
        <v>941</v>
      </c>
      <c r="AH1293">
        <v>64</v>
      </c>
      <c r="AI1293" t="s">
        <v>939</v>
      </c>
      <c r="AJ1293">
        <v>1</v>
      </c>
      <c r="AK12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MIN(AJ1293/8, 1) +
  Merge1[[#This Row],[index_defensive_effort]],
  2
)</f>
        <v>0.68</v>
      </c>
    </row>
    <row r="1294" spans="1:37" x14ac:dyDescent="0.25">
      <c r="A1294" t="s">
        <v>519</v>
      </c>
      <c r="B1294" t="s">
        <v>520</v>
      </c>
      <c r="C1294">
        <v>26</v>
      </c>
      <c r="D1294" t="s">
        <v>56</v>
      </c>
      <c r="E1294">
        <v>70</v>
      </c>
      <c r="F1294">
        <v>180</v>
      </c>
      <c r="G1294" t="s">
        <v>203</v>
      </c>
      <c r="H1294">
        <v>2020</v>
      </c>
      <c r="I1294" t="s">
        <v>33</v>
      </c>
      <c r="J1294">
        <v>17</v>
      </c>
      <c r="K1294">
        <v>1</v>
      </c>
      <c r="L1294">
        <v>1</v>
      </c>
      <c r="M1294">
        <v>0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19</v>
      </c>
      <c r="T1294">
        <v>9</v>
      </c>
      <c r="U1294" s="5">
        <f>IF(Merge1[[#This Row],[team_defense_snaps]]=0, "", Merge1[[#This Row],[defense_snaps]] / Merge1[[#This Row],[team_defense_snaps]])</f>
        <v>0.13846153846153847</v>
      </c>
      <c r="V1294">
        <v>65</v>
      </c>
      <c r="W1294">
        <v>10</v>
      </c>
      <c r="X1294" s="5" t="s">
        <v>261</v>
      </c>
      <c r="Y1294">
        <v>3</v>
      </c>
      <c r="Z1294">
        <v>0</v>
      </c>
      <c r="AA1294" t="s">
        <v>25</v>
      </c>
      <c r="AB1294" t="s">
        <v>26</v>
      </c>
      <c r="AC1294" t="s">
        <v>27</v>
      </c>
      <c r="AD1294" t="s">
        <v>28</v>
      </c>
      <c r="AE1294" t="s">
        <v>25</v>
      </c>
      <c r="AF12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7.8947368421052627E-2</v>
      </c>
      <c r="AG1294" t="s">
        <v>941</v>
      </c>
      <c r="AH1294">
        <v>88</v>
      </c>
      <c r="AI1294" t="s">
        <v>940</v>
      </c>
      <c r="AJ1294">
        <v>1</v>
      </c>
      <c r="AK12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MIN(AJ1294/8, 1) +
  Merge1[[#This Row],[index_defensive_effort]],
  2
)</f>
        <v>0.7</v>
      </c>
    </row>
    <row r="1295" spans="1:37" x14ac:dyDescent="0.25">
      <c r="A1295" t="s">
        <v>542</v>
      </c>
      <c r="B1295" t="s">
        <v>543</v>
      </c>
      <c r="C1295">
        <v>30</v>
      </c>
      <c r="D1295" t="s">
        <v>56</v>
      </c>
      <c r="E1295">
        <v>71</v>
      </c>
      <c r="F1295">
        <v>192</v>
      </c>
      <c r="G1295" t="s">
        <v>144</v>
      </c>
      <c r="H1295">
        <v>2020</v>
      </c>
      <c r="I1295" t="s">
        <v>33</v>
      </c>
      <c r="J1295">
        <v>4</v>
      </c>
      <c r="K1295">
        <v>4</v>
      </c>
      <c r="L1295">
        <v>0</v>
      </c>
      <c r="M1295">
        <v>0</v>
      </c>
      <c r="N1295">
        <v>0</v>
      </c>
      <c r="O1295">
        <v>4</v>
      </c>
      <c r="P1295">
        <v>4</v>
      </c>
      <c r="Q1295">
        <v>0</v>
      </c>
      <c r="R1295">
        <v>0</v>
      </c>
      <c r="S1295">
        <v>18</v>
      </c>
      <c r="T1295">
        <v>10</v>
      </c>
      <c r="U1295" s="5">
        <f>IF(Merge1[[#This Row],[team_defense_snaps]]=0, "", Merge1[[#This Row],[defense_snaps]] / Merge1[[#This Row],[team_defense_snaps]])</f>
        <v>0.16129032258064516</v>
      </c>
      <c r="V1295">
        <v>62</v>
      </c>
      <c r="W1295">
        <v>8</v>
      </c>
      <c r="X1295" s="5" t="s">
        <v>123</v>
      </c>
      <c r="Y1295">
        <v>7</v>
      </c>
      <c r="Z1295">
        <v>0</v>
      </c>
      <c r="AA1295" t="s">
        <v>207</v>
      </c>
      <c r="AB1295" t="s">
        <v>544</v>
      </c>
      <c r="AC1295" t="s">
        <v>27</v>
      </c>
      <c r="AD1295" t="s">
        <v>28</v>
      </c>
      <c r="AE1295" t="s">
        <v>25</v>
      </c>
      <c r="AF12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1295" t="s">
        <v>941</v>
      </c>
      <c r="AH1295">
        <v>72</v>
      </c>
      <c r="AI1295" t="s">
        <v>939</v>
      </c>
      <c r="AJ1295">
        <v>1</v>
      </c>
      <c r="AK12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MIN(AJ1295/8, 1) +
  Merge1[[#This Row],[index_defensive_effort]],
  2
)</f>
        <v>1.63</v>
      </c>
    </row>
    <row r="1296" spans="1:37" x14ac:dyDescent="0.25">
      <c r="A1296" t="s">
        <v>542</v>
      </c>
      <c r="B1296" t="s">
        <v>543</v>
      </c>
      <c r="C1296">
        <v>30</v>
      </c>
      <c r="D1296" t="s">
        <v>56</v>
      </c>
      <c r="E1296">
        <v>71</v>
      </c>
      <c r="F1296">
        <v>192</v>
      </c>
      <c r="G1296" t="s">
        <v>144</v>
      </c>
      <c r="H1296">
        <v>2020</v>
      </c>
      <c r="I1296" t="s">
        <v>33</v>
      </c>
      <c r="J1296">
        <v>4</v>
      </c>
      <c r="K1296">
        <v>4</v>
      </c>
      <c r="L1296">
        <v>0</v>
      </c>
      <c r="M1296">
        <v>0</v>
      </c>
      <c r="N1296">
        <v>0</v>
      </c>
      <c r="O1296">
        <v>4</v>
      </c>
      <c r="P1296">
        <v>4</v>
      </c>
      <c r="Q1296">
        <v>0</v>
      </c>
      <c r="R1296">
        <v>0</v>
      </c>
      <c r="S1296">
        <v>18</v>
      </c>
      <c r="T1296">
        <v>10</v>
      </c>
      <c r="U1296" s="5">
        <f>IF(Merge1[[#This Row],[team_defense_snaps]]=0, "", Merge1[[#This Row],[defense_snaps]] / Merge1[[#This Row],[team_defense_snaps]])</f>
        <v>0.16129032258064516</v>
      </c>
      <c r="V1296">
        <v>62</v>
      </c>
      <c r="W1296">
        <v>8</v>
      </c>
      <c r="X1296" s="5" t="s">
        <v>123</v>
      </c>
      <c r="Y1296">
        <v>7</v>
      </c>
      <c r="Z1296">
        <v>0</v>
      </c>
      <c r="AA1296" t="s">
        <v>25</v>
      </c>
      <c r="AB1296" t="s">
        <v>26</v>
      </c>
      <c r="AC1296" t="s">
        <v>27</v>
      </c>
      <c r="AD1296" t="s">
        <v>28</v>
      </c>
      <c r="AE1296" t="s">
        <v>25</v>
      </c>
      <c r="AF12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1296" t="s">
        <v>941</v>
      </c>
      <c r="AH1296">
        <v>73.5</v>
      </c>
      <c r="AI1296" t="s">
        <v>939</v>
      </c>
      <c r="AJ1296">
        <v>2</v>
      </c>
      <c r="AK12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MIN(AJ1296/8, 1) +
  Merge1[[#This Row],[index_defensive_effort]],
  2
)</f>
        <v>1.75</v>
      </c>
    </row>
    <row r="1297" spans="1:37" x14ac:dyDescent="0.25">
      <c r="A1297" t="s">
        <v>542</v>
      </c>
      <c r="B1297" t="s">
        <v>543</v>
      </c>
      <c r="C1297">
        <v>30</v>
      </c>
      <c r="D1297" t="s">
        <v>56</v>
      </c>
      <c r="E1297">
        <v>71</v>
      </c>
      <c r="F1297">
        <v>192</v>
      </c>
      <c r="G1297" t="s">
        <v>144</v>
      </c>
      <c r="H1297">
        <v>2020</v>
      </c>
      <c r="I1297" t="s">
        <v>33</v>
      </c>
      <c r="J1297">
        <v>5</v>
      </c>
      <c r="K1297">
        <v>3</v>
      </c>
      <c r="L1297">
        <v>1</v>
      </c>
      <c r="M1297">
        <v>1</v>
      </c>
      <c r="N1297">
        <v>2</v>
      </c>
      <c r="O1297">
        <v>0</v>
      </c>
      <c r="P1297">
        <v>1</v>
      </c>
      <c r="Q1297">
        <v>0</v>
      </c>
      <c r="R1297">
        <v>0</v>
      </c>
      <c r="S1297">
        <v>35</v>
      </c>
      <c r="T1297">
        <v>33</v>
      </c>
      <c r="U1297" s="5">
        <f>IF(Merge1[[#This Row],[team_defense_snaps]]=0, "", Merge1[[#This Row],[defense_snaps]] / Merge1[[#This Row],[team_defense_snaps]])</f>
        <v>0.4925373134328358</v>
      </c>
      <c r="V1297">
        <v>67</v>
      </c>
      <c r="W1297">
        <v>2</v>
      </c>
      <c r="X1297" s="5" t="s">
        <v>114</v>
      </c>
      <c r="Y1297">
        <v>7</v>
      </c>
      <c r="Z1297">
        <v>0</v>
      </c>
      <c r="AA1297" t="s">
        <v>25</v>
      </c>
      <c r="AB1297" t="s">
        <v>26</v>
      </c>
      <c r="AC1297" t="s">
        <v>27</v>
      </c>
      <c r="AD1297" t="s">
        <v>42</v>
      </c>
      <c r="AE1297" t="s">
        <v>25</v>
      </c>
      <c r="AF12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0.17142857142857143</v>
      </c>
      <c r="AG1297" t="s">
        <v>941</v>
      </c>
      <c r="AH1297">
        <v>72</v>
      </c>
      <c r="AI1297" t="s">
        <v>940</v>
      </c>
      <c r="AJ1297">
        <v>1</v>
      </c>
      <c r="AK12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MIN(AJ1297/8, 1) +
  Merge1[[#This Row],[index_defensive_effort]],
  2
)</f>
        <v>0.8</v>
      </c>
    </row>
    <row r="1298" spans="1:37" x14ac:dyDescent="0.25">
      <c r="A1298" t="s">
        <v>542</v>
      </c>
      <c r="B1298" t="s">
        <v>543</v>
      </c>
      <c r="C1298">
        <v>30</v>
      </c>
      <c r="D1298" t="s">
        <v>56</v>
      </c>
      <c r="E1298">
        <v>71</v>
      </c>
      <c r="F1298">
        <v>192</v>
      </c>
      <c r="G1298" t="s">
        <v>144</v>
      </c>
      <c r="H1298">
        <v>2020</v>
      </c>
      <c r="I1298" t="s">
        <v>33</v>
      </c>
      <c r="J1298">
        <v>5</v>
      </c>
      <c r="K1298">
        <v>3</v>
      </c>
      <c r="L1298">
        <v>1</v>
      </c>
      <c r="M1298">
        <v>1</v>
      </c>
      <c r="N1298">
        <v>2</v>
      </c>
      <c r="O1298">
        <v>0</v>
      </c>
      <c r="P1298">
        <v>1</v>
      </c>
      <c r="Q1298">
        <v>0</v>
      </c>
      <c r="R1298">
        <v>0</v>
      </c>
      <c r="S1298">
        <v>35</v>
      </c>
      <c r="T1298">
        <v>33</v>
      </c>
      <c r="U1298" s="5">
        <f>IF(Merge1[[#This Row],[team_defense_snaps]]=0, "", Merge1[[#This Row],[defense_snaps]] / Merge1[[#This Row],[team_defense_snaps]])</f>
        <v>0.4925373134328358</v>
      </c>
      <c r="V1298">
        <v>67</v>
      </c>
      <c r="W1298">
        <v>2</v>
      </c>
      <c r="X1298" s="5" t="s">
        <v>114</v>
      </c>
      <c r="Y1298">
        <v>7</v>
      </c>
      <c r="Z1298">
        <v>0</v>
      </c>
      <c r="AA1298" t="s">
        <v>207</v>
      </c>
      <c r="AB1298" t="s">
        <v>544</v>
      </c>
      <c r="AC1298" t="s">
        <v>27</v>
      </c>
      <c r="AD1298" t="s">
        <v>42</v>
      </c>
      <c r="AE1298" t="s">
        <v>25</v>
      </c>
      <c r="AF12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0.17142857142857143</v>
      </c>
      <c r="AG1298" t="s">
        <v>941</v>
      </c>
      <c r="AH1298">
        <v>70.5</v>
      </c>
      <c r="AI1298" t="s">
        <v>939</v>
      </c>
      <c r="AJ1298">
        <v>2</v>
      </c>
      <c r="AK12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MIN(AJ1298/8, 1) +
  Merge1[[#This Row],[index_defensive_effort]],
  2
)</f>
        <v>0.92</v>
      </c>
    </row>
    <row r="1299" spans="1:37" x14ac:dyDescent="0.25">
      <c r="A1299" t="s">
        <v>542</v>
      </c>
      <c r="B1299" t="s">
        <v>543</v>
      </c>
      <c r="C1299">
        <v>30</v>
      </c>
      <c r="D1299" t="s">
        <v>56</v>
      </c>
      <c r="E1299">
        <v>71</v>
      </c>
      <c r="F1299">
        <v>192</v>
      </c>
      <c r="G1299" t="s">
        <v>144</v>
      </c>
      <c r="H1299">
        <v>2020</v>
      </c>
      <c r="I1299" t="s">
        <v>33</v>
      </c>
      <c r="J1299">
        <v>6</v>
      </c>
      <c r="K1299">
        <v>3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49</v>
      </c>
      <c r="T1299">
        <v>45</v>
      </c>
      <c r="U1299" s="5">
        <f>IF(Merge1[[#This Row],[team_defense_snaps]]=0, "", Merge1[[#This Row],[defense_snaps]] / Merge1[[#This Row],[team_defense_snaps]])</f>
        <v>0.75</v>
      </c>
      <c r="V1299">
        <v>60</v>
      </c>
      <c r="W1299">
        <v>4</v>
      </c>
      <c r="X1299" s="5" t="s">
        <v>168</v>
      </c>
      <c r="Y1299">
        <v>7</v>
      </c>
      <c r="Z1299">
        <v>0</v>
      </c>
      <c r="AA1299" t="s">
        <v>25</v>
      </c>
      <c r="AB1299" t="s">
        <v>26</v>
      </c>
      <c r="AC1299" t="s">
        <v>27</v>
      </c>
      <c r="AD1299" t="s">
        <v>42</v>
      </c>
      <c r="AE1299" t="s">
        <v>25</v>
      </c>
      <c r="AF12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6.1224489795918366E-2</v>
      </c>
      <c r="AG1299" t="s">
        <v>941</v>
      </c>
      <c r="AH1299">
        <v>66</v>
      </c>
      <c r="AI1299" t="s">
        <v>940</v>
      </c>
      <c r="AJ1299">
        <v>1</v>
      </c>
      <c r="AK12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MIN(AJ1299/8, 1) +
  Merge1[[#This Row],[index_defensive_effort]],
  2
)</f>
        <v>0.69</v>
      </c>
    </row>
    <row r="1300" spans="1:37" x14ac:dyDescent="0.25">
      <c r="A1300" t="s">
        <v>542</v>
      </c>
      <c r="B1300" t="s">
        <v>543</v>
      </c>
      <c r="C1300">
        <v>30</v>
      </c>
      <c r="D1300" t="s">
        <v>56</v>
      </c>
      <c r="E1300">
        <v>71</v>
      </c>
      <c r="F1300">
        <v>192</v>
      </c>
      <c r="G1300" t="s">
        <v>144</v>
      </c>
      <c r="H1300">
        <v>2020</v>
      </c>
      <c r="I1300" t="s">
        <v>33</v>
      </c>
      <c r="J1300">
        <v>6</v>
      </c>
      <c r="K1300">
        <v>3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49</v>
      </c>
      <c r="T1300">
        <v>45</v>
      </c>
      <c r="U1300" s="5">
        <f>IF(Merge1[[#This Row],[team_defense_snaps]]=0, "", Merge1[[#This Row],[defense_snaps]] / Merge1[[#This Row],[team_defense_snaps]])</f>
        <v>0.75</v>
      </c>
      <c r="V1300">
        <v>60</v>
      </c>
      <c r="W1300">
        <v>4</v>
      </c>
      <c r="X1300" s="5" t="s">
        <v>168</v>
      </c>
      <c r="Y1300">
        <v>7</v>
      </c>
      <c r="Z1300">
        <v>0</v>
      </c>
      <c r="AA1300" t="s">
        <v>207</v>
      </c>
      <c r="AB1300" t="s">
        <v>544</v>
      </c>
      <c r="AC1300" t="s">
        <v>27</v>
      </c>
      <c r="AD1300" t="s">
        <v>42</v>
      </c>
      <c r="AE1300" t="s">
        <v>25</v>
      </c>
      <c r="AF13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6.1224489795918366E-2</v>
      </c>
      <c r="AG1300" t="s">
        <v>941</v>
      </c>
      <c r="AH1300">
        <v>61.5</v>
      </c>
      <c r="AI1300" t="s">
        <v>939</v>
      </c>
      <c r="AJ1300">
        <v>2</v>
      </c>
      <c r="AK13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MIN(AJ1300/8, 1) +
  Merge1[[#This Row],[index_defensive_effort]],
  2
)</f>
        <v>0.81</v>
      </c>
    </row>
    <row r="1301" spans="1:37" x14ac:dyDescent="0.25">
      <c r="A1301" t="s">
        <v>542</v>
      </c>
      <c r="B1301" t="s">
        <v>543</v>
      </c>
      <c r="C1301">
        <v>30</v>
      </c>
      <c r="D1301" t="s">
        <v>56</v>
      </c>
      <c r="E1301">
        <v>71</v>
      </c>
      <c r="F1301">
        <v>192</v>
      </c>
      <c r="G1301" t="s">
        <v>144</v>
      </c>
      <c r="H1301">
        <v>2020</v>
      </c>
      <c r="I1301" t="s">
        <v>33</v>
      </c>
      <c r="J1301">
        <v>7</v>
      </c>
      <c r="K1301">
        <v>7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4</v>
      </c>
      <c r="R1301">
        <v>0</v>
      </c>
      <c r="S1301">
        <v>31</v>
      </c>
      <c r="T1301">
        <v>30</v>
      </c>
      <c r="U1301" s="5">
        <f>IF(Merge1[[#This Row],[team_defense_snaps]]=0, "", Merge1[[#This Row],[defense_snaps]] / Merge1[[#This Row],[team_defense_snaps]])</f>
        <v>0.57692307692307687</v>
      </c>
      <c r="V1301">
        <v>52</v>
      </c>
      <c r="W1301">
        <v>1</v>
      </c>
      <c r="X1301" s="5" t="s">
        <v>34</v>
      </c>
      <c r="Y1301">
        <v>7</v>
      </c>
      <c r="Z1301">
        <v>0</v>
      </c>
      <c r="AA1301" t="s">
        <v>25</v>
      </c>
      <c r="AB1301" t="s">
        <v>26</v>
      </c>
      <c r="AC1301" t="s">
        <v>27</v>
      </c>
      <c r="AD1301" t="s">
        <v>28</v>
      </c>
      <c r="AE1301" t="s">
        <v>25</v>
      </c>
      <c r="AF13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0.74193548387096775</v>
      </c>
      <c r="AG1301" t="s">
        <v>941</v>
      </c>
      <c r="AH1301">
        <v>70.5</v>
      </c>
      <c r="AI1301" t="s">
        <v>940</v>
      </c>
      <c r="AJ1301">
        <v>1</v>
      </c>
      <c r="AK13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MIN(AJ1301/8, 1) +
  Merge1[[#This Row],[index_defensive_effort]],
  2
)</f>
        <v>1.37</v>
      </c>
    </row>
    <row r="1302" spans="1:37" x14ac:dyDescent="0.25">
      <c r="A1302" t="s">
        <v>542</v>
      </c>
      <c r="B1302" t="s">
        <v>543</v>
      </c>
      <c r="C1302">
        <v>30</v>
      </c>
      <c r="D1302" t="s">
        <v>56</v>
      </c>
      <c r="E1302">
        <v>71</v>
      </c>
      <c r="F1302">
        <v>192</v>
      </c>
      <c r="G1302" t="s">
        <v>144</v>
      </c>
      <c r="H1302">
        <v>2020</v>
      </c>
      <c r="I1302" t="s">
        <v>33</v>
      </c>
      <c r="J1302">
        <v>7</v>
      </c>
      <c r="K1302">
        <v>7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4</v>
      </c>
      <c r="R1302">
        <v>0</v>
      </c>
      <c r="S1302">
        <v>31</v>
      </c>
      <c r="T1302">
        <v>30</v>
      </c>
      <c r="U1302" s="5">
        <f>IF(Merge1[[#This Row],[team_defense_snaps]]=0, "", Merge1[[#This Row],[defense_snaps]] / Merge1[[#This Row],[team_defense_snaps]])</f>
        <v>0.57692307692307687</v>
      </c>
      <c r="V1302">
        <v>52</v>
      </c>
      <c r="W1302">
        <v>1</v>
      </c>
      <c r="X1302" s="5" t="s">
        <v>34</v>
      </c>
      <c r="Y1302">
        <v>7</v>
      </c>
      <c r="Z1302">
        <v>0</v>
      </c>
      <c r="AA1302" t="s">
        <v>207</v>
      </c>
      <c r="AB1302" t="s">
        <v>544</v>
      </c>
      <c r="AC1302" t="s">
        <v>27</v>
      </c>
      <c r="AD1302" t="s">
        <v>28</v>
      </c>
      <c r="AE1302" t="s">
        <v>25</v>
      </c>
      <c r="AF13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0.74193548387096775</v>
      </c>
      <c r="AG1302" t="s">
        <v>941</v>
      </c>
      <c r="AH1302">
        <v>73.5</v>
      </c>
      <c r="AI1302" t="s">
        <v>940</v>
      </c>
      <c r="AJ1302">
        <v>1</v>
      </c>
      <c r="AK13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MIN(AJ1302/8, 1) +
  Merge1[[#This Row],[index_defensive_effort]],
  2
)</f>
        <v>1.37</v>
      </c>
    </row>
    <row r="1303" spans="1:37" x14ac:dyDescent="0.25">
      <c r="A1303" t="s">
        <v>542</v>
      </c>
      <c r="B1303" t="s">
        <v>543</v>
      </c>
      <c r="C1303">
        <v>30</v>
      </c>
      <c r="D1303" t="s">
        <v>56</v>
      </c>
      <c r="E1303">
        <v>71</v>
      </c>
      <c r="F1303">
        <v>192</v>
      </c>
      <c r="G1303" t="s">
        <v>144</v>
      </c>
      <c r="H1303">
        <v>2020</v>
      </c>
      <c r="I1303" t="s">
        <v>33</v>
      </c>
      <c r="J1303">
        <v>9</v>
      </c>
      <c r="K1303">
        <v>4</v>
      </c>
      <c r="L1303">
        <v>1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38</v>
      </c>
      <c r="T1303">
        <v>31</v>
      </c>
      <c r="U1303" s="5">
        <f>IF(Merge1[[#This Row],[team_defense_snaps]]=0, "", Merge1[[#This Row],[defense_snaps]] / Merge1[[#This Row],[team_defense_snaps]])</f>
        <v>0.46969696969696972</v>
      </c>
      <c r="V1303">
        <v>66</v>
      </c>
      <c r="W1303">
        <v>7</v>
      </c>
      <c r="X1303" s="5" t="s">
        <v>137</v>
      </c>
      <c r="Y1303">
        <v>7</v>
      </c>
      <c r="Z1303">
        <v>0</v>
      </c>
      <c r="AA1303" t="s">
        <v>207</v>
      </c>
      <c r="AB1303" t="s">
        <v>544</v>
      </c>
      <c r="AC1303" t="s">
        <v>27</v>
      </c>
      <c r="AD1303" t="s">
        <v>28</v>
      </c>
      <c r="AE1303" t="s">
        <v>25</v>
      </c>
      <c r="AF13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0.11842105263157894</v>
      </c>
      <c r="AG1303" t="s">
        <v>941</v>
      </c>
      <c r="AH1303">
        <v>61.5</v>
      </c>
      <c r="AI1303" t="s">
        <v>939</v>
      </c>
      <c r="AJ1303">
        <v>1</v>
      </c>
      <c r="AK13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MIN(AJ1303/8, 1) +
  Merge1[[#This Row],[index_defensive_effort]],
  2
)</f>
        <v>0.74</v>
      </c>
    </row>
    <row r="1304" spans="1:37" x14ac:dyDescent="0.25">
      <c r="A1304" t="s">
        <v>542</v>
      </c>
      <c r="B1304" t="s">
        <v>543</v>
      </c>
      <c r="C1304">
        <v>30</v>
      </c>
      <c r="D1304" t="s">
        <v>56</v>
      </c>
      <c r="E1304">
        <v>71</v>
      </c>
      <c r="F1304">
        <v>192</v>
      </c>
      <c r="G1304" t="s">
        <v>144</v>
      </c>
      <c r="H1304">
        <v>2020</v>
      </c>
      <c r="I1304" t="s">
        <v>33</v>
      </c>
      <c r="J1304">
        <v>9</v>
      </c>
      <c r="K1304">
        <v>4</v>
      </c>
      <c r="L1304">
        <v>1</v>
      </c>
      <c r="M1304">
        <v>0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38</v>
      </c>
      <c r="T1304">
        <v>31</v>
      </c>
      <c r="U1304" s="5">
        <f>IF(Merge1[[#This Row],[team_defense_snaps]]=0, "", Merge1[[#This Row],[defense_snaps]] / Merge1[[#This Row],[team_defense_snaps]])</f>
        <v>0.46969696969696972</v>
      </c>
      <c r="V1304">
        <v>66</v>
      </c>
      <c r="W1304">
        <v>7</v>
      </c>
      <c r="X1304" s="5" t="s">
        <v>137</v>
      </c>
      <c r="Y1304">
        <v>7</v>
      </c>
      <c r="Z1304">
        <v>0</v>
      </c>
      <c r="AA1304" t="s">
        <v>25</v>
      </c>
      <c r="AB1304" t="s">
        <v>26</v>
      </c>
      <c r="AC1304" t="s">
        <v>27</v>
      </c>
      <c r="AD1304" t="s">
        <v>28</v>
      </c>
      <c r="AE1304" t="s">
        <v>25</v>
      </c>
      <c r="AF13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0.11842105263157894</v>
      </c>
      <c r="AG1304" t="s">
        <v>941</v>
      </c>
      <c r="AH1304">
        <v>69</v>
      </c>
      <c r="AI1304" t="s">
        <v>939</v>
      </c>
      <c r="AJ1304">
        <v>2</v>
      </c>
      <c r="AK13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MIN(AJ1304/8, 1) +
  Merge1[[#This Row],[index_defensive_effort]],
  2
)</f>
        <v>0.87</v>
      </c>
    </row>
    <row r="1305" spans="1:37" x14ac:dyDescent="0.25">
      <c r="A1305" t="s">
        <v>542</v>
      </c>
      <c r="B1305" t="s">
        <v>543</v>
      </c>
      <c r="C1305">
        <v>30</v>
      </c>
      <c r="D1305" t="s">
        <v>56</v>
      </c>
      <c r="E1305">
        <v>71</v>
      </c>
      <c r="F1305">
        <v>192</v>
      </c>
      <c r="G1305" t="s">
        <v>144</v>
      </c>
      <c r="H1305">
        <v>2020</v>
      </c>
      <c r="I1305" t="s">
        <v>33</v>
      </c>
      <c r="J1305">
        <v>10</v>
      </c>
      <c r="K1305">
        <v>3</v>
      </c>
      <c r="L1305">
        <v>1</v>
      </c>
      <c r="M1305">
        <v>1</v>
      </c>
      <c r="N1305">
        <v>2</v>
      </c>
      <c r="O1305">
        <v>0</v>
      </c>
      <c r="P1305">
        <v>0</v>
      </c>
      <c r="Q1305">
        <v>0</v>
      </c>
      <c r="R1305">
        <v>0</v>
      </c>
      <c r="S1305">
        <v>35</v>
      </c>
      <c r="T1305">
        <v>29</v>
      </c>
      <c r="U1305" s="5">
        <f>IF(Merge1[[#This Row],[team_defense_snaps]]=0, "", Merge1[[#This Row],[defense_snaps]] / Merge1[[#This Row],[team_defense_snaps]])</f>
        <v>0.49152542372881358</v>
      </c>
      <c r="V1305">
        <v>59</v>
      </c>
      <c r="W1305">
        <v>6</v>
      </c>
      <c r="X1305" s="5" t="s">
        <v>293</v>
      </c>
      <c r="Y1305">
        <v>7</v>
      </c>
      <c r="Z1305">
        <v>0</v>
      </c>
      <c r="AA1305" t="s">
        <v>25</v>
      </c>
      <c r="AB1305" t="s">
        <v>26</v>
      </c>
      <c r="AC1305" t="s">
        <v>27</v>
      </c>
      <c r="AD1305" t="s">
        <v>28</v>
      </c>
      <c r="AE1305" t="s">
        <v>25</v>
      </c>
      <c r="AF13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0.11428571428571428</v>
      </c>
      <c r="AG1305" t="s">
        <v>941</v>
      </c>
      <c r="AH1305">
        <v>64.5</v>
      </c>
      <c r="AI1305" t="s">
        <v>939</v>
      </c>
      <c r="AJ1305">
        <v>1</v>
      </c>
      <c r="AK13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MIN(AJ1305/8, 1) +
  Merge1[[#This Row],[index_defensive_effort]],
  2
)</f>
        <v>0.74</v>
      </c>
    </row>
    <row r="1306" spans="1:37" x14ac:dyDescent="0.25">
      <c r="A1306" t="s">
        <v>542</v>
      </c>
      <c r="B1306" t="s">
        <v>543</v>
      </c>
      <c r="C1306">
        <v>30</v>
      </c>
      <c r="D1306" t="s">
        <v>56</v>
      </c>
      <c r="E1306">
        <v>71</v>
      </c>
      <c r="F1306">
        <v>192</v>
      </c>
      <c r="G1306" t="s">
        <v>144</v>
      </c>
      <c r="H1306">
        <v>2020</v>
      </c>
      <c r="I1306" t="s">
        <v>33</v>
      </c>
      <c r="J1306">
        <v>10</v>
      </c>
      <c r="K1306">
        <v>3</v>
      </c>
      <c r="L1306">
        <v>1</v>
      </c>
      <c r="M1306">
        <v>1</v>
      </c>
      <c r="N1306">
        <v>2</v>
      </c>
      <c r="O1306">
        <v>0</v>
      </c>
      <c r="P1306">
        <v>0</v>
      </c>
      <c r="Q1306">
        <v>0</v>
      </c>
      <c r="R1306">
        <v>0</v>
      </c>
      <c r="S1306">
        <v>35</v>
      </c>
      <c r="T1306">
        <v>29</v>
      </c>
      <c r="U1306" s="5">
        <f>IF(Merge1[[#This Row],[team_defense_snaps]]=0, "", Merge1[[#This Row],[defense_snaps]] / Merge1[[#This Row],[team_defense_snaps]])</f>
        <v>0.49152542372881358</v>
      </c>
      <c r="V1306">
        <v>59</v>
      </c>
      <c r="W1306">
        <v>6</v>
      </c>
      <c r="X1306" s="5" t="s">
        <v>293</v>
      </c>
      <c r="Y1306">
        <v>7</v>
      </c>
      <c r="Z1306">
        <v>0</v>
      </c>
      <c r="AA1306" t="s">
        <v>25</v>
      </c>
      <c r="AB1306" t="s">
        <v>26</v>
      </c>
      <c r="AC1306" t="s">
        <v>27</v>
      </c>
      <c r="AD1306" t="s">
        <v>28</v>
      </c>
      <c r="AE1306" t="s">
        <v>25</v>
      </c>
      <c r="AF13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0.11428571428571428</v>
      </c>
      <c r="AG1306" t="s">
        <v>941</v>
      </c>
      <c r="AH1306">
        <v>66</v>
      </c>
      <c r="AI1306" t="s">
        <v>938</v>
      </c>
      <c r="AJ1306">
        <v>1</v>
      </c>
      <c r="AK13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MIN(AJ1306/8, 1) +
  Merge1[[#This Row],[index_defensive_effort]],
  2
)</f>
        <v>0.74</v>
      </c>
    </row>
    <row r="1307" spans="1:37" x14ac:dyDescent="0.25">
      <c r="A1307" t="s">
        <v>542</v>
      </c>
      <c r="B1307" t="s">
        <v>543</v>
      </c>
      <c r="C1307">
        <v>30</v>
      </c>
      <c r="D1307" t="s">
        <v>56</v>
      </c>
      <c r="E1307">
        <v>71</v>
      </c>
      <c r="F1307">
        <v>192</v>
      </c>
      <c r="G1307" t="s">
        <v>144</v>
      </c>
      <c r="H1307">
        <v>2020</v>
      </c>
      <c r="I1307" t="s">
        <v>33</v>
      </c>
      <c r="J1307">
        <v>12</v>
      </c>
      <c r="K1307">
        <v>1</v>
      </c>
      <c r="L1307">
        <v>2</v>
      </c>
      <c r="M1307">
        <v>1</v>
      </c>
      <c r="N1307">
        <v>3</v>
      </c>
      <c r="O1307">
        <v>0</v>
      </c>
      <c r="P1307">
        <v>0</v>
      </c>
      <c r="Q1307">
        <v>0</v>
      </c>
      <c r="R1307">
        <v>0</v>
      </c>
      <c r="S1307">
        <v>24</v>
      </c>
      <c r="T1307">
        <v>23</v>
      </c>
      <c r="U1307" s="5">
        <f>IF(Merge1[[#This Row],[team_defense_snaps]]=0, "", Merge1[[#This Row],[defense_snaps]] / Merge1[[#This Row],[team_defense_snaps]])</f>
        <v>0.37096774193548387</v>
      </c>
      <c r="V1307">
        <v>62</v>
      </c>
      <c r="W1307">
        <v>1</v>
      </c>
      <c r="X1307" s="5" t="s">
        <v>303</v>
      </c>
      <c r="Y1307">
        <v>7</v>
      </c>
      <c r="Z1307">
        <v>0</v>
      </c>
      <c r="AA1307" t="s">
        <v>25</v>
      </c>
      <c r="AB1307" t="s">
        <v>62</v>
      </c>
      <c r="AC1307" t="s">
        <v>27</v>
      </c>
      <c r="AD1307" t="s">
        <v>42</v>
      </c>
      <c r="AE1307" t="s">
        <v>25</v>
      </c>
      <c r="AF13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0.10416666666666667</v>
      </c>
      <c r="AG1307" t="s">
        <v>941</v>
      </c>
      <c r="AH1307">
        <v>69</v>
      </c>
      <c r="AI1307" t="s">
        <v>939</v>
      </c>
      <c r="AJ1307">
        <v>1</v>
      </c>
      <c r="AK13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MIN(AJ1307/8, 1) +
  Merge1[[#This Row],[index_defensive_effort]],
  2
)</f>
        <v>0.73</v>
      </c>
    </row>
    <row r="1308" spans="1:37" x14ac:dyDescent="0.25">
      <c r="A1308" t="s">
        <v>542</v>
      </c>
      <c r="B1308" t="s">
        <v>543</v>
      </c>
      <c r="C1308">
        <v>30</v>
      </c>
      <c r="D1308" t="s">
        <v>56</v>
      </c>
      <c r="E1308">
        <v>71</v>
      </c>
      <c r="F1308">
        <v>192</v>
      </c>
      <c r="G1308" t="s">
        <v>144</v>
      </c>
      <c r="H1308">
        <v>2020</v>
      </c>
      <c r="I1308" t="s">
        <v>33</v>
      </c>
      <c r="J1308">
        <v>12</v>
      </c>
      <c r="K1308">
        <v>1</v>
      </c>
      <c r="L1308">
        <v>2</v>
      </c>
      <c r="M1308">
        <v>1</v>
      </c>
      <c r="N1308">
        <v>3</v>
      </c>
      <c r="O1308">
        <v>0</v>
      </c>
      <c r="P1308">
        <v>0</v>
      </c>
      <c r="Q1308">
        <v>0</v>
      </c>
      <c r="R1308">
        <v>0</v>
      </c>
      <c r="S1308">
        <v>24</v>
      </c>
      <c r="T1308">
        <v>23</v>
      </c>
      <c r="U1308" s="5">
        <f>IF(Merge1[[#This Row],[team_defense_snaps]]=0, "", Merge1[[#This Row],[defense_snaps]] / Merge1[[#This Row],[team_defense_snaps]])</f>
        <v>0.37096774193548387</v>
      </c>
      <c r="V1308">
        <v>62</v>
      </c>
      <c r="W1308">
        <v>1</v>
      </c>
      <c r="X1308" s="5" t="s">
        <v>303</v>
      </c>
      <c r="Y1308">
        <v>7</v>
      </c>
      <c r="Z1308">
        <v>0</v>
      </c>
      <c r="AA1308" t="s">
        <v>25</v>
      </c>
      <c r="AB1308" t="s">
        <v>26</v>
      </c>
      <c r="AC1308" t="s">
        <v>27</v>
      </c>
      <c r="AD1308" t="s">
        <v>42</v>
      </c>
      <c r="AE1308" t="s">
        <v>25</v>
      </c>
      <c r="AF13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0.10416666666666667</v>
      </c>
      <c r="AG1308" t="s">
        <v>941</v>
      </c>
      <c r="AH1308">
        <v>64.5</v>
      </c>
      <c r="AI1308" t="s">
        <v>939</v>
      </c>
      <c r="AJ1308">
        <v>1</v>
      </c>
      <c r="AK13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MIN(AJ1308/8, 1) +
  Merge1[[#This Row],[index_defensive_effort]],
  2
)</f>
        <v>0.73</v>
      </c>
    </row>
    <row r="1309" spans="1:37" x14ac:dyDescent="0.25">
      <c r="A1309" t="s">
        <v>465</v>
      </c>
      <c r="B1309" t="s">
        <v>466</v>
      </c>
      <c r="C1309">
        <v>24</v>
      </c>
      <c r="D1309" t="s">
        <v>56</v>
      </c>
      <c r="E1309">
        <v>73</v>
      </c>
      <c r="F1309">
        <v>206</v>
      </c>
      <c r="G1309" t="s">
        <v>23</v>
      </c>
      <c r="H1309">
        <v>2020</v>
      </c>
      <c r="I1309" t="s">
        <v>33</v>
      </c>
      <c r="J1309">
        <v>1</v>
      </c>
      <c r="K1309">
        <v>4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59</v>
      </c>
      <c r="T1309">
        <v>35</v>
      </c>
      <c r="U1309" s="5">
        <f>IF(Merge1[[#This Row],[team_defense_snaps]]=0, "", Merge1[[#This Row],[defense_snaps]] / Merge1[[#This Row],[team_defense_snaps]])</f>
        <v>0.50724637681159424</v>
      </c>
      <c r="V1309">
        <v>69</v>
      </c>
      <c r="W1309">
        <v>24</v>
      </c>
      <c r="X1309" s="5" t="s">
        <v>87</v>
      </c>
      <c r="Y1309">
        <v>1</v>
      </c>
      <c r="Z1309">
        <v>0</v>
      </c>
      <c r="AA1309" t="s">
        <v>25</v>
      </c>
      <c r="AB1309" t="s">
        <v>26</v>
      </c>
      <c r="AC1309" t="s">
        <v>27</v>
      </c>
      <c r="AD1309" t="s">
        <v>28</v>
      </c>
      <c r="AE1309" t="s">
        <v>25</v>
      </c>
      <c r="AF13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6.7796610169491525E-2</v>
      </c>
      <c r="AG1309" t="s">
        <v>941</v>
      </c>
      <c r="AH1309">
        <v>75.5</v>
      </c>
      <c r="AI1309" t="s">
        <v>939</v>
      </c>
      <c r="AJ1309">
        <v>2</v>
      </c>
      <c r="AK13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MIN(AJ1309/8, 1) +
  Merge1[[#This Row],[index_defensive_effort]],
  2
)</f>
        <v>0.82</v>
      </c>
    </row>
    <row r="1310" spans="1:37" x14ac:dyDescent="0.25">
      <c r="A1310" t="s">
        <v>465</v>
      </c>
      <c r="B1310" t="s">
        <v>466</v>
      </c>
      <c r="C1310">
        <v>24</v>
      </c>
      <c r="D1310" t="s">
        <v>56</v>
      </c>
      <c r="E1310">
        <v>73</v>
      </c>
      <c r="F1310">
        <v>206</v>
      </c>
      <c r="G1310" t="s">
        <v>23</v>
      </c>
      <c r="H1310">
        <v>2020</v>
      </c>
      <c r="I1310" t="s">
        <v>33</v>
      </c>
      <c r="J1310">
        <v>2</v>
      </c>
      <c r="K1310">
        <v>5</v>
      </c>
      <c r="L1310">
        <v>1</v>
      </c>
      <c r="M1310">
        <v>0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64</v>
      </c>
      <c r="T1310">
        <v>54</v>
      </c>
      <c r="U1310" s="5">
        <f>IF(Merge1[[#This Row],[team_defense_snaps]]=0, "", Merge1[[#This Row],[defense_snaps]] / Merge1[[#This Row],[team_defense_snaps]])</f>
        <v>0.73972602739726023</v>
      </c>
      <c r="V1310">
        <v>73</v>
      </c>
      <c r="W1310">
        <v>10</v>
      </c>
      <c r="X1310" s="5" t="s">
        <v>221</v>
      </c>
      <c r="Y1310">
        <v>1</v>
      </c>
      <c r="Z1310">
        <v>0</v>
      </c>
      <c r="AA1310" t="s">
        <v>25</v>
      </c>
      <c r="AB1310" t="s">
        <v>26</v>
      </c>
      <c r="AC1310" t="s">
        <v>27</v>
      </c>
      <c r="AD1310" t="s">
        <v>28</v>
      </c>
      <c r="AE1310" t="s">
        <v>25</v>
      </c>
      <c r="AF13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8.59375E-2</v>
      </c>
      <c r="AG1310" t="s">
        <v>941</v>
      </c>
      <c r="AH1310">
        <v>63.5</v>
      </c>
      <c r="AI1310" t="s">
        <v>939</v>
      </c>
      <c r="AJ1310">
        <v>3</v>
      </c>
      <c r="AK13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MIN(AJ1310/8, 1) +
  Merge1[[#This Row],[index_defensive_effort]],
  2
)</f>
        <v>0.96</v>
      </c>
    </row>
    <row r="1311" spans="1:37" x14ac:dyDescent="0.25">
      <c r="A1311" t="s">
        <v>465</v>
      </c>
      <c r="B1311" t="s">
        <v>466</v>
      </c>
      <c r="C1311">
        <v>24</v>
      </c>
      <c r="D1311" t="s">
        <v>56</v>
      </c>
      <c r="E1311">
        <v>73</v>
      </c>
      <c r="F1311">
        <v>206</v>
      </c>
      <c r="G1311" t="s">
        <v>23</v>
      </c>
      <c r="H1311">
        <v>2020</v>
      </c>
      <c r="I1311" t="s">
        <v>33</v>
      </c>
      <c r="J1311">
        <v>3</v>
      </c>
      <c r="K1311">
        <v>6</v>
      </c>
      <c r="L1311">
        <v>2</v>
      </c>
      <c r="M1311">
        <v>0</v>
      </c>
      <c r="N1311">
        <v>2</v>
      </c>
      <c r="O1311">
        <v>0</v>
      </c>
      <c r="P1311">
        <v>0</v>
      </c>
      <c r="Q1311">
        <v>0</v>
      </c>
      <c r="R1311">
        <v>0</v>
      </c>
      <c r="S1311">
        <v>65</v>
      </c>
      <c r="T1311">
        <v>55</v>
      </c>
      <c r="U1311" s="5">
        <f>IF(Merge1[[#This Row],[team_defense_snaps]]=0, "", Merge1[[#This Row],[defense_snaps]] / Merge1[[#This Row],[team_defense_snaps]])</f>
        <v>0.87301587301587302</v>
      </c>
      <c r="V1311">
        <v>63</v>
      </c>
      <c r="W1311">
        <v>10</v>
      </c>
      <c r="X1311" s="5" t="s">
        <v>134</v>
      </c>
      <c r="Y1311">
        <v>1</v>
      </c>
      <c r="Z1311">
        <v>0</v>
      </c>
      <c r="AA1311" t="s">
        <v>25</v>
      </c>
      <c r="AB1311" t="s">
        <v>26</v>
      </c>
      <c r="AC1311" t="s">
        <v>27</v>
      </c>
      <c r="AD1311" t="s">
        <v>42</v>
      </c>
      <c r="AE1311" t="s">
        <v>25</v>
      </c>
      <c r="AF13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0.1076923076923077</v>
      </c>
      <c r="AG1311" t="s">
        <v>941</v>
      </c>
      <c r="AH1311">
        <v>74</v>
      </c>
      <c r="AI1311" t="s">
        <v>939</v>
      </c>
      <c r="AJ1311">
        <v>4</v>
      </c>
      <c r="AK13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MIN(AJ1311/8, 1) +
  Merge1[[#This Row],[index_defensive_effort]],
  2
)</f>
        <v>1.1100000000000001</v>
      </c>
    </row>
    <row r="1312" spans="1:37" x14ac:dyDescent="0.25">
      <c r="A1312" t="s">
        <v>465</v>
      </c>
      <c r="B1312" t="s">
        <v>466</v>
      </c>
      <c r="C1312">
        <v>24</v>
      </c>
      <c r="D1312" t="s">
        <v>56</v>
      </c>
      <c r="E1312">
        <v>73</v>
      </c>
      <c r="F1312">
        <v>206</v>
      </c>
      <c r="G1312" t="s">
        <v>23</v>
      </c>
      <c r="H1312">
        <v>2020</v>
      </c>
      <c r="I1312" t="s">
        <v>33</v>
      </c>
      <c r="J1312">
        <v>4</v>
      </c>
      <c r="K1312">
        <v>2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39</v>
      </c>
      <c r="T1312">
        <v>33</v>
      </c>
      <c r="U1312" s="5">
        <f>IF(Merge1[[#This Row],[team_defense_snaps]]=0, "", Merge1[[#This Row],[defense_snaps]] / Merge1[[#This Row],[team_defense_snaps]])</f>
        <v>0.62264150943396224</v>
      </c>
      <c r="V1312">
        <v>53</v>
      </c>
      <c r="W1312">
        <v>6</v>
      </c>
      <c r="X1312" s="5" t="s">
        <v>59</v>
      </c>
      <c r="Y1312">
        <v>1</v>
      </c>
      <c r="Z1312">
        <v>0</v>
      </c>
      <c r="AA1312" t="s">
        <v>25</v>
      </c>
      <c r="AB1312" t="s">
        <v>26</v>
      </c>
      <c r="AC1312" t="s">
        <v>27</v>
      </c>
      <c r="AD1312" t="s">
        <v>28</v>
      </c>
      <c r="AE1312" t="s">
        <v>25</v>
      </c>
      <c r="AF13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5.128205128205128E-2</v>
      </c>
      <c r="AG1312" t="s">
        <v>941</v>
      </c>
      <c r="AH1312">
        <v>66</v>
      </c>
      <c r="AI1312" t="s">
        <v>939</v>
      </c>
      <c r="AJ1312">
        <v>5</v>
      </c>
      <c r="AK13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MIN(AJ1312/8, 1) +
  Merge1[[#This Row],[index_defensive_effort]],
  2
)</f>
        <v>1.18</v>
      </c>
    </row>
    <row r="1313" spans="1:37" x14ac:dyDescent="0.25">
      <c r="A1313" t="s">
        <v>465</v>
      </c>
      <c r="B1313" t="s">
        <v>466</v>
      </c>
      <c r="C1313">
        <v>24</v>
      </c>
      <c r="D1313" t="s">
        <v>56</v>
      </c>
      <c r="E1313">
        <v>73</v>
      </c>
      <c r="F1313">
        <v>206</v>
      </c>
      <c r="G1313" t="s">
        <v>23</v>
      </c>
      <c r="H1313">
        <v>2020</v>
      </c>
      <c r="I1313" t="s">
        <v>33</v>
      </c>
      <c r="J1313">
        <v>5</v>
      </c>
      <c r="K1313">
        <v>2</v>
      </c>
      <c r="L1313">
        <v>1</v>
      </c>
      <c r="M1313">
        <v>0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57</v>
      </c>
      <c r="T1313">
        <v>39</v>
      </c>
      <c r="U1313" s="5">
        <f>IF(Merge1[[#This Row],[team_defense_snaps]]=0, "", Merge1[[#This Row],[defense_snaps]] / Merge1[[#This Row],[team_defense_snaps]])</f>
        <v>0.61904761904761907</v>
      </c>
      <c r="V1313">
        <v>63</v>
      </c>
      <c r="W1313">
        <v>18</v>
      </c>
      <c r="X1313" s="5" t="s">
        <v>80</v>
      </c>
      <c r="Y1313">
        <v>1</v>
      </c>
      <c r="Z1313">
        <v>0</v>
      </c>
      <c r="AA1313" t="s">
        <v>25</v>
      </c>
      <c r="AB1313" t="s">
        <v>26</v>
      </c>
      <c r="AC1313" t="s">
        <v>27</v>
      </c>
      <c r="AD1313" t="s">
        <v>28</v>
      </c>
      <c r="AE1313" t="s">
        <v>25</v>
      </c>
      <c r="AF13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4.3859649122807015E-2</v>
      </c>
      <c r="AG1313" t="s">
        <v>941</v>
      </c>
      <c r="AH1313">
        <v>78.5</v>
      </c>
      <c r="AI1313" t="s">
        <v>939</v>
      </c>
      <c r="AJ1313">
        <v>6</v>
      </c>
      <c r="AK13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MIN(AJ1313/8, 1) +
  Merge1[[#This Row],[index_defensive_effort]],
  2
)</f>
        <v>1.29</v>
      </c>
    </row>
    <row r="1314" spans="1:37" x14ac:dyDescent="0.25">
      <c r="A1314" t="s">
        <v>465</v>
      </c>
      <c r="B1314" t="s">
        <v>466</v>
      </c>
      <c r="C1314">
        <v>24</v>
      </c>
      <c r="D1314" t="s">
        <v>56</v>
      </c>
      <c r="E1314">
        <v>73</v>
      </c>
      <c r="F1314">
        <v>206</v>
      </c>
      <c r="G1314" t="s">
        <v>23</v>
      </c>
      <c r="H1314">
        <v>2020</v>
      </c>
      <c r="I1314" t="s">
        <v>33</v>
      </c>
      <c r="J1314">
        <v>6</v>
      </c>
      <c r="K1314">
        <v>1</v>
      </c>
      <c r="L1314">
        <v>1</v>
      </c>
      <c r="M1314">
        <v>0</v>
      </c>
      <c r="N1314">
        <v>1</v>
      </c>
      <c r="O1314">
        <v>0</v>
      </c>
      <c r="P1314">
        <v>0</v>
      </c>
      <c r="Q1314">
        <v>2</v>
      </c>
      <c r="R1314">
        <v>0</v>
      </c>
      <c r="S1314">
        <v>60</v>
      </c>
      <c r="T1314">
        <v>45</v>
      </c>
      <c r="U1314" s="5">
        <f>IF(Merge1[[#This Row],[team_defense_snaps]]=0, "", Merge1[[#This Row],[defense_snaps]] / Merge1[[#This Row],[team_defense_snaps]])</f>
        <v>0.7142857142857143</v>
      </c>
      <c r="V1314">
        <v>63</v>
      </c>
      <c r="W1314">
        <v>15</v>
      </c>
      <c r="X1314" s="5" t="s">
        <v>275</v>
      </c>
      <c r="Y1314">
        <v>1</v>
      </c>
      <c r="Z1314">
        <v>0</v>
      </c>
      <c r="AA1314" t="s">
        <v>25</v>
      </c>
      <c r="AB1314" t="s">
        <v>26</v>
      </c>
      <c r="AC1314" t="s">
        <v>27</v>
      </c>
      <c r="AD1314" t="s">
        <v>28</v>
      </c>
      <c r="AE1314" t="s">
        <v>25</v>
      </c>
      <c r="AF13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0.15833333333333333</v>
      </c>
      <c r="AG1314" t="s">
        <v>941</v>
      </c>
      <c r="AH1314">
        <v>71</v>
      </c>
      <c r="AI1314" t="s">
        <v>939</v>
      </c>
      <c r="AJ1314">
        <v>7</v>
      </c>
      <c r="AK13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MIN(AJ1314/8, 1) +
  Merge1[[#This Row],[index_defensive_effort]],
  2
)</f>
        <v>1.53</v>
      </c>
    </row>
    <row r="1315" spans="1:37" x14ac:dyDescent="0.25">
      <c r="A1315" t="s">
        <v>465</v>
      </c>
      <c r="B1315" t="s">
        <v>466</v>
      </c>
      <c r="C1315">
        <v>24</v>
      </c>
      <c r="D1315" t="s">
        <v>56</v>
      </c>
      <c r="E1315">
        <v>73</v>
      </c>
      <c r="F1315">
        <v>206</v>
      </c>
      <c r="G1315" t="s">
        <v>23</v>
      </c>
      <c r="H1315">
        <v>2020</v>
      </c>
      <c r="I1315" t="s">
        <v>33</v>
      </c>
      <c r="J1315">
        <v>7</v>
      </c>
      <c r="K1315">
        <v>4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59</v>
      </c>
      <c r="T1315">
        <v>40</v>
      </c>
      <c r="U1315" s="5">
        <f>IF(Merge1[[#This Row],[team_defense_snaps]]=0, "", Merge1[[#This Row],[defense_snaps]] / Merge1[[#This Row],[team_defense_snaps]])</f>
        <v>0.61538461538461542</v>
      </c>
      <c r="V1315">
        <v>65</v>
      </c>
      <c r="W1315">
        <v>19</v>
      </c>
      <c r="X1315" s="5" t="s">
        <v>125</v>
      </c>
      <c r="Y1315">
        <v>1</v>
      </c>
      <c r="Z1315">
        <v>0</v>
      </c>
      <c r="AA1315" t="s">
        <v>25</v>
      </c>
      <c r="AB1315" t="s">
        <v>26</v>
      </c>
      <c r="AC1315" t="s">
        <v>27</v>
      </c>
      <c r="AD1315" t="s">
        <v>28</v>
      </c>
      <c r="AE1315" t="s">
        <v>25</v>
      </c>
      <c r="AF13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6.7796610169491525E-2</v>
      </c>
      <c r="AG1315" t="s">
        <v>941</v>
      </c>
      <c r="AH1315">
        <v>62</v>
      </c>
      <c r="AI1315" t="s">
        <v>939</v>
      </c>
      <c r="AJ1315">
        <v>8</v>
      </c>
      <c r="AK13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MIN(AJ1315/8, 1) +
  Merge1[[#This Row],[index_defensive_effort]],
  2
)</f>
        <v>1.57</v>
      </c>
    </row>
    <row r="1316" spans="1:37" x14ac:dyDescent="0.25">
      <c r="A1316" t="s">
        <v>465</v>
      </c>
      <c r="B1316" t="s">
        <v>466</v>
      </c>
      <c r="C1316">
        <v>24</v>
      </c>
      <c r="D1316" t="s">
        <v>56</v>
      </c>
      <c r="E1316">
        <v>73</v>
      </c>
      <c r="F1316">
        <v>206</v>
      </c>
      <c r="G1316" t="s">
        <v>23</v>
      </c>
      <c r="H1316">
        <v>2020</v>
      </c>
      <c r="I1316" t="s">
        <v>33</v>
      </c>
      <c r="J1316">
        <v>8</v>
      </c>
      <c r="K1316">
        <v>5</v>
      </c>
      <c r="L1316">
        <v>2</v>
      </c>
      <c r="M1316">
        <v>2</v>
      </c>
      <c r="N1316">
        <v>4</v>
      </c>
      <c r="O1316">
        <v>0</v>
      </c>
      <c r="P1316">
        <v>1</v>
      </c>
      <c r="Q1316">
        <v>0</v>
      </c>
      <c r="R1316">
        <v>0</v>
      </c>
      <c r="S1316">
        <v>81</v>
      </c>
      <c r="T1316">
        <v>74</v>
      </c>
      <c r="U1316" s="5">
        <f>IF(Merge1[[#This Row],[team_defense_snaps]]=0, "", Merge1[[#This Row],[defense_snaps]] / Merge1[[#This Row],[team_defense_snaps]])</f>
        <v>0.98666666666666669</v>
      </c>
      <c r="V1316">
        <v>75</v>
      </c>
      <c r="W1316">
        <v>7</v>
      </c>
      <c r="X1316" s="5" t="s">
        <v>137</v>
      </c>
      <c r="Y1316">
        <v>1</v>
      </c>
      <c r="Z1316">
        <v>0</v>
      </c>
      <c r="AA1316" t="s">
        <v>25</v>
      </c>
      <c r="AB1316" t="s">
        <v>26</v>
      </c>
      <c r="AC1316" t="s">
        <v>27</v>
      </c>
      <c r="AD1316" t="s">
        <v>42</v>
      </c>
      <c r="AE1316" t="s">
        <v>25</v>
      </c>
      <c r="AF13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0.1111111111111111</v>
      </c>
      <c r="AG1316" t="s">
        <v>941</v>
      </c>
      <c r="AH1316">
        <v>84.5</v>
      </c>
      <c r="AI1316" t="s">
        <v>939</v>
      </c>
      <c r="AJ1316">
        <v>9</v>
      </c>
      <c r="AK13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MIN(AJ1316/8, 1) +
  Merge1[[#This Row],[index_defensive_effort]],
  2
)</f>
        <v>1.61</v>
      </c>
    </row>
    <row r="1317" spans="1:37" x14ac:dyDescent="0.25">
      <c r="A1317" t="s">
        <v>465</v>
      </c>
      <c r="B1317" t="s">
        <v>466</v>
      </c>
      <c r="C1317">
        <v>24</v>
      </c>
      <c r="D1317" t="s">
        <v>56</v>
      </c>
      <c r="E1317">
        <v>73</v>
      </c>
      <c r="F1317">
        <v>206</v>
      </c>
      <c r="G1317" t="s">
        <v>23</v>
      </c>
      <c r="H1317">
        <v>2020</v>
      </c>
      <c r="I1317" t="s">
        <v>33</v>
      </c>
      <c r="J1317">
        <v>9</v>
      </c>
      <c r="K1317">
        <v>1</v>
      </c>
      <c r="L1317">
        <v>1</v>
      </c>
      <c r="M1317">
        <v>0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78</v>
      </c>
      <c r="T1317">
        <v>71</v>
      </c>
      <c r="U1317" s="5">
        <f>IF(Merge1[[#This Row],[team_defense_snaps]]=0, "", Merge1[[#This Row],[defense_snaps]] / Merge1[[#This Row],[team_defense_snaps]])</f>
        <v>0.9726027397260274</v>
      </c>
      <c r="V1317">
        <v>73</v>
      </c>
      <c r="W1317">
        <v>7</v>
      </c>
      <c r="X1317" s="5" t="s">
        <v>123</v>
      </c>
      <c r="Y1317">
        <v>1</v>
      </c>
      <c r="Z1317">
        <v>0</v>
      </c>
      <c r="AA1317" t="s">
        <v>25</v>
      </c>
      <c r="AB1317" t="s">
        <v>26</v>
      </c>
      <c r="AC1317" t="s">
        <v>27</v>
      </c>
      <c r="AD1317" t="s">
        <v>42</v>
      </c>
      <c r="AE1317" t="s">
        <v>25</v>
      </c>
      <c r="AF13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1.9230769230769232E-2</v>
      </c>
      <c r="AG1317" t="s">
        <v>941</v>
      </c>
      <c r="AH1317">
        <v>66</v>
      </c>
      <c r="AI1317" t="s">
        <v>939</v>
      </c>
      <c r="AJ1317">
        <v>10</v>
      </c>
      <c r="AK13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MIN(AJ1317/8, 1) +
  Merge1[[#This Row],[index_defensive_effort]],
  2
)</f>
        <v>1.52</v>
      </c>
    </row>
    <row r="1318" spans="1:37" x14ac:dyDescent="0.25">
      <c r="A1318" t="s">
        <v>465</v>
      </c>
      <c r="B1318" t="s">
        <v>466</v>
      </c>
      <c r="C1318">
        <v>24</v>
      </c>
      <c r="D1318" t="s">
        <v>56</v>
      </c>
      <c r="E1318">
        <v>73</v>
      </c>
      <c r="F1318">
        <v>206</v>
      </c>
      <c r="G1318" t="s">
        <v>23</v>
      </c>
      <c r="H1318">
        <v>2020</v>
      </c>
      <c r="I1318" t="s">
        <v>33</v>
      </c>
      <c r="J1318">
        <v>10</v>
      </c>
      <c r="K1318">
        <v>2</v>
      </c>
      <c r="L1318">
        <v>1</v>
      </c>
      <c r="M1318">
        <v>1</v>
      </c>
      <c r="N1318">
        <v>2</v>
      </c>
      <c r="O1318">
        <v>0</v>
      </c>
      <c r="P1318">
        <v>0</v>
      </c>
      <c r="Q1318">
        <v>0</v>
      </c>
      <c r="R1318">
        <v>0</v>
      </c>
      <c r="S1318">
        <v>56</v>
      </c>
      <c r="T1318">
        <v>48</v>
      </c>
      <c r="U1318" s="5">
        <f>IF(Merge1[[#This Row],[team_defense_snaps]]=0, "", Merge1[[#This Row],[defense_snaps]] / Merge1[[#This Row],[team_defense_snaps]])</f>
        <v>1</v>
      </c>
      <c r="V1318">
        <v>48</v>
      </c>
      <c r="W1318">
        <v>8</v>
      </c>
      <c r="X1318" s="5" t="s">
        <v>135</v>
      </c>
      <c r="Y1318">
        <v>1</v>
      </c>
      <c r="Z1318">
        <v>0</v>
      </c>
      <c r="AA1318" t="s">
        <v>25</v>
      </c>
      <c r="AB1318" t="s">
        <v>26</v>
      </c>
      <c r="AC1318" t="s">
        <v>27</v>
      </c>
      <c r="AD1318" t="s">
        <v>42</v>
      </c>
      <c r="AE1318" t="s">
        <v>25</v>
      </c>
      <c r="AF13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5.3571428571428568E-2</v>
      </c>
      <c r="AG1318" t="s">
        <v>941</v>
      </c>
      <c r="AH1318">
        <v>77</v>
      </c>
      <c r="AI1318" t="s">
        <v>939</v>
      </c>
      <c r="AJ1318">
        <v>11</v>
      </c>
      <c r="AK13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MIN(AJ1318/8, 1) +
  Merge1[[#This Row],[index_defensive_effort]],
  2
)</f>
        <v>1.55</v>
      </c>
    </row>
    <row r="1319" spans="1:37" x14ac:dyDescent="0.25">
      <c r="A1319" t="s">
        <v>465</v>
      </c>
      <c r="B1319" t="s">
        <v>466</v>
      </c>
      <c r="C1319">
        <v>24</v>
      </c>
      <c r="D1319" t="s">
        <v>56</v>
      </c>
      <c r="E1319">
        <v>73</v>
      </c>
      <c r="F1319">
        <v>206</v>
      </c>
      <c r="G1319" t="s">
        <v>23</v>
      </c>
      <c r="H1319">
        <v>2020</v>
      </c>
      <c r="I1319" t="s">
        <v>33</v>
      </c>
      <c r="J1319">
        <v>11</v>
      </c>
      <c r="K1319">
        <v>3</v>
      </c>
      <c r="L1319">
        <v>1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42</v>
      </c>
      <c r="T1319">
        <v>38</v>
      </c>
      <c r="U1319" s="5">
        <f>IF(Merge1[[#This Row],[team_defense_snaps]]=0, "", Merge1[[#This Row],[defense_snaps]] / Merge1[[#This Row],[team_defense_snaps]])</f>
        <v>0.52054794520547942</v>
      </c>
      <c r="V1319">
        <v>73</v>
      </c>
      <c r="W1319">
        <v>4</v>
      </c>
      <c r="X1319" s="5" t="s">
        <v>209</v>
      </c>
      <c r="Y1319">
        <v>1</v>
      </c>
      <c r="Z1319">
        <v>0</v>
      </c>
      <c r="AA1319" t="s">
        <v>25</v>
      </c>
      <c r="AB1319" t="s">
        <v>26</v>
      </c>
      <c r="AC1319" t="s">
        <v>27</v>
      </c>
      <c r="AD1319" t="s">
        <v>42</v>
      </c>
      <c r="AE1319" t="s">
        <v>25</v>
      </c>
      <c r="AF13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1319" t="s">
        <v>941</v>
      </c>
      <c r="AH1319">
        <v>80</v>
      </c>
      <c r="AI1319" t="s">
        <v>939</v>
      </c>
      <c r="AJ1319">
        <v>1</v>
      </c>
      <c r="AK13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MIN(AJ1319/8, 1) +
  Merge1[[#This Row],[index_defensive_effort]],
  2
)</f>
        <v>0.71</v>
      </c>
    </row>
    <row r="1320" spans="1:37" x14ac:dyDescent="0.25">
      <c r="A1320" t="s">
        <v>465</v>
      </c>
      <c r="B1320" t="s">
        <v>466</v>
      </c>
      <c r="C1320">
        <v>24</v>
      </c>
      <c r="D1320" t="s">
        <v>56</v>
      </c>
      <c r="E1320">
        <v>73</v>
      </c>
      <c r="F1320">
        <v>206</v>
      </c>
      <c r="G1320" t="s">
        <v>23</v>
      </c>
      <c r="H1320">
        <v>2020</v>
      </c>
      <c r="I1320" t="s">
        <v>33</v>
      </c>
      <c r="J1320">
        <v>15</v>
      </c>
      <c r="K1320">
        <v>6</v>
      </c>
      <c r="L1320">
        <v>2</v>
      </c>
      <c r="M1320">
        <v>1</v>
      </c>
      <c r="N1320">
        <v>3</v>
      </c>
      <c r="O1320">
        <v>0</v>
      </c>
      <c r="P1320">
        <v>0</v>
      </c>
      <c r="Q1320">
        <v>0</v>
      </c>
      <c r="R1320">
        <v>0</v>
      </c>
      <c r="S1320">
        <v>62</v>
      </c>
      <c r="T1320">
        <v>51</v>
      </c>
      <c r="U1320" s="5">
        <f>IF(Merge1[[#This Row],[team_defense_snaps]]=0, "", Merge1[[#This Row],[defense_snaps]] / Merge1[[#This Row],[team_defense_snaps]])</f>
        <v>0.7846153846153846</v>
      </c>
      <c r="V1320">
        <v>65</v>
      </c>
      <c r="W1320">
        <v>11</v>
      </c>
      <c r="X1320" s="5" t="s">
        <v>123</v>
      </c>
      <c r="Y1320">
        <v>1</v>
      </c>
      <c r="Z1320">
        <v>0</v>
      </c>
      <c r="AA1320" t="s">
        <v>25</v>
      </c>
      <c r="AB1320" t="s">
        <v>26</v>
      </c>
      <c r="AC1320" t="s">
        <v>27</v>
      </c>
      <c r="AD1320" t="s">
        <v>28</v>
      </c>
      <c r="AE1320" t="s">
        <v>25</v>
      </c>
      <c r="AF13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0.12096774193548387</v>
      </c>
      <c r="AG1320" t="s">
        <v>941</v>
      </c>
      <c r="AH1320">
        <v>83</v>
      </c>
      <c r="AI1320" t="s">
        <v>939</v>
      </c>
      <c r="AJ1320">
        <v>2</v>
      </c>
      <c r="AK13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MIN(AJ1320/8, 1) +
  Merge1[[#This Row],[index_defensive_effort]],
  2
)</f>
        <v>0.87</v>
      </c>
    </row>
    <row r="1321" spans="1:37" x14ac:dyDescent="0.25">
      <c r="A1321" t="s">
        <v>465</v>
      </c>
      <c r="B1321" t="s">
        <v>466</v>
      </c>
      <c r="C1321">
        <v>24</v>
      </c>
      <c r="D1321" t="s">
        <v>56</v>
      </c>
      <c r="E1321">
        <v>73</v>
      </c>
      <c r="F1321">
        <v>206</v>
      </c>
      <c r="G1321" t="s">
        <v>23</v>
      </c>
      <c r="H1321">
        <v>2020</v>
      </c>
      <c r="I1321" t="s">
        <v>33</v>
      </c>
      <c r="J1321">
        <v>16</v>
      </c>
      <c r="K1321">
        <v>2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60</v>
      </c>
      <c r="T1321">
        <v>53</v>
      </c>
      <c r="U1321" s="5">
        <f>IF(Merge1[[#This Row],[team_defense_snaps]]=0, "", Merge1[[#This Row],[defense_snaps]] / Merge1[[#This Row],[team_defense_snaps]])</f>
        <v>0.98148148148148151</v>
      </c>
      <c r="V1321">
        <v>54</v>
      </c>
      <c r="W1321">
        <v>7</v>
      </c>
      <c r="X1321" s="5" t="s">
        <v>132</v>
      </c>
      <c r="Y1321">
        <v>1</v>
      </c>
      <c r="Z1321">
        <v>0</v>
      </c>
      <c r="AA1321" t="s">
        <v>25</v>
      </c>
      <c r="AB1321" t="s">
        <v>26</v>
      </c>
      <c r="AC1321" t="s">
        <v>27</v>
      </c>
      <c r="AD1321" t="s">
        <v>42</v>
      </c>
      <c r="AE1321" t="s">
        <v>25</v>
      </c>
      <c r="AF13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3.3333333333333333E-2</v>
      </c>
      <c r="AG1321" t="s">
        <v>941</v>
      </c>
      <c r="AH1321">
        <v>66</v>
      </c>
      <c r="AI1321" t="s">
        <v>939</v>
      </c>
      <c r="AJ1321">
        <v>3</v>
      </c>
      <c r="AK13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MIN(AJ1321/8, 1) +
  Merge1[[#This Row],[index_defensive_effort]],
  2
)</f>
        <v>0.91</v>
      </c>
    </row>
    <row r="1322" spans="1:37" x14ac:dyDescent="0.25">
      <c r="A1322" t="s">
        <v>465</v>
      </c>
      <c r="B1322" t="s">
        <v>466</v>
      </c>
      <c r="C1322">
        <v>24</v>
      </c>
      <c r="D1322" t="s">
        <v>56</v>
      </c>
      <c r="E1322">
        <v>73</v>
      </c>
      <c r="F1322">
        <v>206</v>
      </c>
      <c r="G1322" t="s">
        <v>23</v>
      </c>
      <c r="H1322">
        <v>2020</v>
      </c>
      <c r="I1322" t="s">
        <v>33</v>
      </c>
      <c r="J1322">
        <v>17</v>
      </c>
      <c r="K1322">
        <v>6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72</v>
      </c>
      <c r="T1322">
        <v>72</v>
      </c>
      <c r="U1322" s="5">
        <f>IF(Merge1[[#This Row],[team_defense_snaps]]=0, "", Merge1[[#This Row],[defense_snaps]] / Merge1[[#This Row],[team_defense_snaps]])</f>
        <v>1</v>
      </c>
      <c r="V1322">
        <v>72</v>
      </c>
      <c r="W1322">
        <v>0</v>
      </c>
      <c r="X1322" s="5" t="s">
        <v>29</v>
      </c>
      <c r="Y1322">
        <v>1</v>
      </c>
      <c r="Z1322">
        <v>0</v>
      </c>
      <c r="AA1322" t="s">
        <v>25</v>
      </c>
      <c r="AB1322" t="s">
        <v>26</v>
      </c>
      <c r="AC1322" t="s">
        <v>27</v>
      </c>
      <c r="AD1322" t="s">
        <v>42</v>
      </c>
      <c r="AE1322" t="s">
        <v>25</v>
      </c>
      <c r="AF13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1322" t="s">
        <v>941</v>
      </c>
      <c r="AH1322">
        <v>86</v>
      </c>
      <c r="AI1322" t="s">
        <v>939</v>
      </c>
      <c r="AJ1322">
        <v>4</v>
      </c>
      <c r="AK13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MIN(AJ1322/8, 1) +
  Merge1[[#This Row],[index_defensive_effort]],
  2
)</f>
        <v>1.08</v>
      </c>
    </row>
    <row r="1323" spans="1:37" x14ac:dyDescent="0.25">
      <c r="A1323" t="s">
        <v>465</v>
      </c>
      <c r="B1323" t="s">
        <v>466</v>
      </c>
      <c r="C1323">
        <v>24</v>
      </c>
      <c r="D1323" t="s">
        <v>56</v>
      </c>
      <c r="E1323">
        <v>73</v>
      </c>
      <c r="F1323">
        <v>206</v>
      </c>
      <c r="G1323" t="s">
        <v>23</v>
      </c>
      <c r="H1323">
        <v>2020</v>
      </c>
      <c r="I1323" t="s">
        <v>24</v>
      </c>
      <c r="J1323">
        <v>18</v>
      </c>
      <c r="K1323">
        <v>7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65</v>
      </c>
      <c r="T1323">
        <v>57</v>
      </c>
      <c r="U1323" s="5">
        <f>IF(Merge1[[#This Row],[team_defense_snaps]]=0, "", Merge1[[#This Row],[defense_snaps]] / Merge1[[#This Row],[team_defense_snaps]])</f>
        <v>0.79166666666666663</v>
      </c>
      <c r="V1323">
        <v>72</v>
      </c>
      <c r="W1323">
        <v>8</v>
      </c>
      <c r="X1323" s="5" t="s">
        <v>136</v>
      </c>
      <c r="Y1323">
        <v>1</v>
      </c>
      <c r="Z1323">
        <v>0</v>
      </c>
      <c r="AA1323" t="s">
        <v>25</v>
      </c>
      <c r="AB1323" t="s">
        <v>26</v>
      </c>
      <c r="AC1323" t="s">
        <v>27</v>
      </c>
      <c r="AD1323" t="s">
        <v>42</v>
      </c>
      <c r="AE1323" t="s">
        <v>25</v>
      </c>
      <c r="AF13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0.1076923076923077</v>
      </c>
      <c r="AG1323" t="s">
        <v>941</v>
      </c>
      <c r="AH1323">
        <v>65</v>
      </c>
      <c r="AI1323" t="s">
        <v>939</v>
      </c>
      <c r="AJ1323">
        <v>5</v>
      </c>
      <c r="AK13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MIN(AJ1323/8, 1) +
  Merge1[[#This Row],[index_defensive_effort]],
  2
)</f>
        <v>1.43</v>
      </c>
    </row>
    <row r="1324" spans="1:37" x14ac:dyDescent="0.25">
      <c r="A1324" t="s">
        <v>465</v>
      </c>
      <c r="B1324" t="s">
        <v>466</v>
      </c>
      <c r="C1324">
        <v>24</v>
      </c>
      <c r="D1324" t="s">
        <v>56</v>
      </c>
      <c r="E1324">
        <v>73</v>
      </c>
      <c r="F1324">
        <v>206</v>
      </c>
      <c r="G1324" t="s">
        <v>23</v>
      </c>
      <c r="H1324">
        <v>2020</v>
      </c>
      <c r="I1324" t="s">
        <v>24</v>
      </c>
      <c r="J1324">
        <v>19</v>
      </c>
      <c r="K1324">
        <v>2</v>
      </c>
      <c r="L1324">
        <v>1</v>
      </c>
      <c r="M1324">
        <v>0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59</v>
      </c>
      <c r="T1324">
        <v>47</v>
      </c>
      <c r="U1324" s="5">
        <f>IF(Merge1[[#This Row],[team_defense_snaps]]=0, "", Merge1[[#This Row],[defense_snaps]] / Merge1[[#This Row],[team_defense_snaps]])</f>
        <v>0.74603174603174605</v>
      </c>
      <c r="V1324">
        <v>63</v>
      </c>
      <c r="W1324">
        <v>12</v>
      </c>
      <c r="X1324" s="5" t="s">
        <v>243</v>
      </c>
      <c r="Y1324">
        <v>1</v>
      </c>
      <c r="Z1324">
        <v>0</v>
      </c>
      <c r="AA1324" t="s">
        <v>25</v>
      </c>
      <c r="AB1324" t="s">
        <v>26</v>
      </c>
      <c r="AC1324" t="s">
        <v>27</v>
      </c>
      <c r="AD1324" t="s">
        <v>42</v>
      </c>
      <c r="AE1324" t="s">
        <v>25</v>
      </c>
      <c r="AF13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4.2372881355932202E-2</v>
      </c>
      <c r="AG1324" t="s">
        <v>941</v>
      </c>
      <c r="AH1324">
        <v>72.5</v>
      </c>
      <c r="AI1324" t="s">
        <v>939</v>
      </c>
      <c r="AJ1324">
        <v>6</v>
      </c>
      <c r="AK13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MIN(AJ1324/8, 1) +
  Merge1[[#This Row],[index_defensive_effort]],
  2
)</f>
        <v>1.49</v>
      </c>
    </row>
    <row r="1325" spans="1:37" x14ac:dyDescent="0.25">
      <c r="A1325" t="s">
        <v>465</v>
      </c>
      <c r="B1325" t="s">
        <v>466</v>
      </c>
      <c r="C1325">
        <v>24</v>
      </c>
      <c r="D1325" t="s">
        <v>56</v>
      </c>
      <c r="E1325">
        <v>73</v>
      </c>
      <c r="F1325">
        <v>206</v>
      </c>
      <c r="G1325" t="s">
        <v>23</v>
      </c>
      <c r="H1325">
        <v>2020</v>
      </c>
      <c r="I1325" t="s">
        <v>24</v>
      </c>
      <c r="J1325">
        <v>20</v>
      </c>
      <c r="K1325">
        <v>1</v>
      </c>
      <c r="L1325">
        <v>1</v>
      </c>
      <c r="M1325">
        <v>1</v>
      </c>
      <c r="N1325">
        <v>2</v>
      </c>
      <c r="O1325">
        <v>0</v>
      </c>
      <c r="P1325">
        <v>0</v>
      </c>
      <c r="Q1325">
        <v>0</v>
      </c>
      <c r="R1325">
        <v>0</v>
      </c>
      <c r="S1325">
        <v>68</v>
      </c>
      <c r="T1325">
        <v>55</v>
      </c>
      <c r="U1325" s="5">
        <f>IF(Merge1[[#This Row],[team_defense_snaps]]=0, "", Merge1[[#This Row],[defense_snaps]] / Merge1[[#This Row],[team_defense_snaps]])</f>
        <v>0.77464788732394363</v>
      </c>
      <c r="V1325">
        <v>71</v>
      </c>
      <c r="W1325">
        <v>13</v>
      </c>
      <c r="X1325" s="5" t="s">
        <v>275</v>
      </c>
      <c r="Y1325">
        <v>1</v>
      </c>
      <c r="Z1325">
        <v>0</v>
      </c>
      <c r="AA1325" t="s">
        <v>25</v>
      </c>
      <c r="AB1325" t="s">
        <v>26</v>
      </c>
      <c r="AC1325" t="s">
        <v>27</v>
      </c>
      <c r="AD1325" t="s">
        <v>42</v>
      </c>
      <c r="AE1325" t="s">
        <v>25</v>
      </c>
      <c r="AF13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2.9411764705882353E-2</v>
      </c>
      <c r="AG1325" t="s">
        <v>941</v>
      </c>
      <c r="AH1325">
        <v>81.5</v>
      </c>
      <c r="AI1325" t="s">
        <v>939</v>
      </c>
      <c r="AJ1325">
        <v>7</v>
      </c>
      <c r="AK13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MIN(AJ1325/8, 1) +
  Merge1[[#This Row],[index_defensive_effort]],
  2
)</f>
        <v>1.6</v>
      </c>
    </row>
    <row r="1326" spans="1:37" x14ac:dyDescent="0.25">
      <c r="A1326" t="s">
        <v>465</v>
      </c>
      <c r="B1326" t="s">
        <v>466</v>
      </c>
      <c r="C1326">
        <v>24</v>
      </c>
      <c r="D1326" t="s">
        <v>56</v>
      </c>
      <c r="E1326">
        <v>73</v>
      </c>
      <c r="F1326">
        <v>206</v>
      </c>
      <c r="G1326" t="s">
        <v>23</v>
      </c>
      <c r="H1326">
        <v>2020</v>
      </c>
      <c r="I1326" t="s">
        <v>24</v>
      </c>
      <c r="J1326">
        <v>21</v>
      </c>
      <c r="K1326">
        <v>4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11</v>
      </c>
      <c r="T1326">
        <v>0</v>
      </c>
      <c r="U1326" s="5" t="str">
        <f>IF(Merge1[[#This Row],[team_defense_snaps]]=0, "", Merge1[[#This Row],[defense_snaps]] / Merge1[[#This Row],[team_defense_snaps]])</f>
        <v/>
      </c>
      <c r="V1326">
        <v>0</v>
      </c>
      <c r="W1326">
        <v>11</v>
      </c>
      <c r="X1326" s="5" t="s">
        <v>210</v>
      </c>
      <c r="Y1326">
        <v>1</v>
      </c>
      <c r="Z1326">
        <v>0</v>
      </c>
      <c r="AA1326" t="s">
        <v>25</v>
      </c>
      <c r="AB1326" t="s">
        <v>26</v>
      </c>
      <c r="AC1326" t="s">
        <v>27</v>
      </c>
      <c r="AD1326" t="s">
        <v>42</v>
      </c>
      <c r="AE1326" t="s">
        <v>25</v>
      </c>
      <c r="AF13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0.36363636363636365</v>
      </c>
      <c r="AG1326" t="s">
        <v>941</v>
      </c>
      <c r="AH1326">
        <v>66</v>
      </c>
      <c r="AI1326" t="s">
        <v>939</v>
      </c>
      <c r="AJ1326">
        <v>1</v>
      </c>
      <c r="AK13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MIN(AJ1326/8, 1) +
  Merge1[[#This Row],[index_defensive_effort]],
  2
)</f>
        <v>1.19</v>
      </c>
    </row>
    <row r="1327" spans="1:37" x14ac:dyDescent="0.25">
      <c r="A1327" t="s">
        <v>455</v>
      </c>
      <c r="B1327" t="s">
        <v>456</v>
      </c>
      <c r="C1327">
        <v>27</v>
      </c>
      <c r="D1327" t="s">
        <v>22</v>
      </c>
      <c r="E1327">
        <v>73</v>
      </c>
      <c r="F1327">
        <v>210</v>
      </c>
      <c r="G1327" t="s">
        <v>94</v>
      </c>
      <c r="H1327">
        <v>2020</v>
      </c>
      <c r="I1327" t="s">
        <v>33</v>
      </c>
      <c r="J1327">
        <v>1</v>
      </c>
      <c r="K1327">
        <v>4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2</v>
      </c>
      <c r="S1327">
        <v>76</v>
      </c>
      <c r="T1327">
        <v>64</v>
      </c>
      <c r="U1327" s="5">
        <f>IF(Merge1[[#This Row],[team_defense_snaps]]=0, "", Merge1[[#This Row],[defense_snaps]] / Merge1[[#This Row],[team_defense_snaps]])</f>
        <v>1</v>
      </c>
      <c r="V1327">
        <v>64</v>
      </c>
      <c r="W1327">
        <v>12</v>
      </c>
      <c r="X1327" s="5" t="s">
        <v>260</v>
      </c>
      <c r="Y1327">
        <v>4</v>
      </c>
      <c r="Z1327">
        <v>0</v>
      </c>
      <c r="AA1327" t="s">
        <v>25</v>
      </c>
      <c r="AB1327" t="s">
        <v>26</v>
      </c>
      <c r="AC1327" t="s">
        <v>27</v>
      </c>
      <c r="AD1327" t="s">
        <v>42</v>
      </c>
      <c r="AE1327" t="s">
        <v>25</v>
      </c>
      <c r="AF13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0.10526315789473684</v>
      </c>
      <c r="AG1327" t="s">
        <v>942</v>
      </c>
      <c r="AH1327">
        <v>63</v>
      </c>
      <c r="AI1327" t="s">
        <v>939</v>
      </c>
      <c r="AJ1327">
        <v>2</v>
      </c>
      <c r="AK13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MIN(AJ1327/8, 1) +
  Merge1[[#This Row],[index_defensive_effort]],
  2
)</f>
        <v>0.96</v>
      </c>
    </row>
    <row r="1328" spans="1:37" x14ac:dyDescent="0.25">
      <c r="A1328" t="s">
        <v>455</v>
      </c>
      <c r="B1328" t="s">
        <v>456</v>
      </c>
      <c r="C1328">
        <v>27</v>
      </c>
      <c r="D1328" t="s">
        <v>22</v>
      </c>
      <c r="E1328">
        <v>73</v>
      </c>
      <c r="F1328">
        <v>210</v>
      </c>
      <c r="G1328" t="s">
        <v>94</v>
      </c>
      <c r="H1328">
        <v>2020</v>
      </c>
      <c r="I1328" t="s">
        <v>33</v>
      </c>
      <c r="J1328">
        <v>2</v>
      </c>
      <c r="K1328">
        <v>6</v>
      </c>
      <c r="L1328">
        <v>0</v>
      </c>
      <c r="M1328">
        <v>0</v>
      </c>
      <c r="N1328">
        <v>0</v>
      </c>
      <c r="O1328">
        <v>0</v>
      </c>
      <c r="P1328">
        <v>1</v>
      </c>
      <c r="Q1328">
        <v>3</v>
      </c>
      <c r="R1328">
        <v>0</v>
      </c>
      <c r="S1328">
        <v>69</v>
      </c>
      <c r="T1328">
        <v>65</v>
      </c>
      <c r="U1328" s="5">
        <f>IF(Merge1[[#This Row],[team_defense_snaps]]=0, "", Merge1[[#This Row],[defense_snaps]] / Merge1[[#This Row],[team_defense_snaps]])</f>
        <v>0.98484848484848486</v>
      </c>
      <c r="V1328">
        <v>66</v>
      </c>
      <c r="W1328">
        <v>4</v>
      </c>
      <c r="X1328" s="5" t="s">
        <v>181</v>
      </c>
      <c r="Y1328">
        <v>4</v>
      </c>
      <c r="Z1328">
        <v>0</v>
      </c>
      <c r="AA1328" t="s">
        <v>25</v>
      </c>
      <c r="AB1328" t="s">
        <v>26</v>
      </c>
      <c r="AC1328" t="s">
        <v>27</v>
      </c>
      <c r="AD1328" t="s">
        <v>42</v>
      </c>
      <c r="AE1328" t="s">
        <v>25</v>
      </c>
      <c r="AF13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0.28985507246376813</v>
      </c>
      <c r="AG1328" t="s">
        <v>942</v>
      </c>
      <c r="AH1328">
        <v>69</v>
      </c>
      <c r="AI1328" t="s">
        <v>939</v>
      </c>
      <c r="AJ1328">
        <v>3</v>
      </c>
      <c r="AK13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MIN(AJ1328/8, 1) +
  Merge1[[#This Row],[index_defensive_effort]],
  2
)</f>
        <v>1.26</v>
      </c>
    </row>
    <row r="1329" spans="1:37" x14ac:dyDescent="0.25">
      <c r="A1329" t="s">
        <v>455</v>
      </c>
      <c r="B1329" t="s">
        <v>456</v>
      </c>
      <c r="C1329">
        <v>27</v>
      </c>
      <c r="D1329" t="s">
        <v>22</v>
      </c>
      <c r="E1329">
        <v>73</v>
      </c>
      <c r="F1329">
        <v>210</v>
      </c>
      <c r="G1329" t="s">
        <v>94</v>
      </c>
      <c r="H1329">
        <v>2020</v>
      </c>
      <c r="I1329" t="s">
        <v>33</v>
      </c>
      <c r="J1329">
        <v>3</v>
      </c>
      <c r="K1329">
        <v>2</v>
      </c>
      <c r="L1329">
        <v>1</v>
      </c>
      <c r="M1329">
        <v>0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88</v>
      </c>
      <c r="T1329">
        <v>79</v>
      </c>
      <c r="U1329" s="5">
        <f>IF(Merge1[[#This Row],[team_defense_snaps]]=0, "", Merge1[[#This Row],[defense_snaps]] / Merge1[[#This Row],[team_defense_snaps]])</f>
        <v>0.96341463414634143</v>
      </c>
      <c r="V1329">
        <v>82</v>
      </c>
      <c r="W1329">
        <v>9</v>
      </c>
      <c r="X1329" s="5" t="s">
        <v>134</v>
      </c>
      <c r="Y1329">
        <v>4</v>
      </c>
      <c r="Z1329">
        <v>0</v>
      </c>
      <c r="AA1329" t="s">
        <v>25</v>
      </c>
      <c r="AB1329" t="s">
        <v>26</v>
      </c>
      <c r="AC1329" t="s">
        <v>27</v>
      </c>
      <c r="AD1329" t="s">
        <v>42</v>
      </c>
      <c r="AE1329" t="s">
        <v>25</v>
      </c>
      <c r="AF13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5.113636363636364E-2</v>
      </c>
      <c r="AG1329" t="s">
        <v>942</v>
      </c>
      <c r="AH1329">
        <v>72</v>
      </c>
      <c r="AI1329" t="s">
        <v>939</v>
      </c>
      <c r="AJ1329">
        <v>4</v>
      </c>
      <c r="AK13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MIN(AJ1329/8, 1) +
  Merge1[[#This Row],[index_defensive_effort]],
  2
)</f>
        <v>1.1499999999999999</v>
      </c>
    </row>
    <row r="1330" spans="1:37" x14ac:dyDescent="0.25">
      <c r="A1330" t="s">
        <v>455</v>
      </c>
      <c r="B1330" t="s">
        <v>456</v>
      </c>
      <c r="C1330">
        <v>27</v>
      </c>
      <c r="D1330" t="s">
        <v>22</v>
      </c>
      <c r="E1330">
        <v>73</v>
      </c>
      <c r="F1330">
        <v>210</v>
      </c>
      <c r="G1330" t="s">
        <v>94</v>
      </c>
      <c r="H1330">
        <v>2020</v>
      </c>
      <c r="I1330" t="s">
        <v>33</v>
      </c>
      <c r="J1330">
        <v>4</v>
      </c>
      <c r="K1330">
        <v>3</v>
      </c>
      <c r="L1330">
        <v>1</v>
      </c>
      <c r="M1330">
        <v>1</v>
      </c>
      <c r="N1330">
        <v>2</v>
      </c>
      <c r="O1330">
        <v>0</v>
      </c>
      <c r="P1330">
        <v>1</v>
      </c>
      <c r="Q1330">
        <v>0</v>
      </c>
      <c r="R1330">
        <v>0</v>
      </c>
      <c r="S1330">
        <v>65</v>
      </c>
      <c r="T1330">
        <v>57</v>
      </c>
      <c r="U1330" s="5">
        <f>IF(Merge1[[#This Row],[team_defense_snaps]]=0, "", Merge1[[#This Row],[defense_snaps]] / Merge1[[#This Row],[team_defense_snaps]])</f>
        <v>0.98275862068965514</v>
      </c>
      <c r="V1330">
        <v>58</v>
      </c>
      <c r="W1330">
        <v>8</v>
      </c>
      <c r="X1330" s="5" t="s">
        <v>70</v>
      </c>
      <c r="Y1330">
        <v>4</v>
      </c>
      <c r="Z1330">
        <v>0</v>
      </c>
      <c r="AA1330" t="s">
        <v>25</v>
      </c>
      <c r="AB1330" t="s">
        <v>26</v>
      </c>
      <c r="AC1330" t="s">
        <v>27</v>
      </c>
      <c r="AD1330" t="s">
        <v>42</v>
      </c>
      <c r="AE1330" t="s">
        <v>25</v>
      </c>
      <c r="AF13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9.2307692307692313E-2</v>
      </c>
      <c r="AG1330" t="s">
        <v>942</v>
      </c>
      <c r="AH1330">
        <v>48</v>
      </c>
      <c r="AI1330" t="s">
        <v>939</v>
      </c>
      <c r="AJ1330">
        <v>5</v>
      </c>
      <c r="AK13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MIN(AJ1330/8, 1) +
  Merge1[[#This Row],[index_defensive_effort]],
  2
)</f>
        <v>1.32</v>
      </c>
    </row>
    <row r="1331" spans="1:37" x14ac:dyDescent="0.25">
      <c r="A1331" t="s">
        <v>455</v>
      </c>
      <c r="B1331" t="s">
        <v>456</v>
      </c>
      <c r="C1331">
        <v>27</v>
      </c>
      <c r="D1331" t="s">
        <v>22</v>
      </c>
      <c r="E1331">
        <v>73</v>
      </c>
      <c r="F1331">
        <v>210</v>
      </c>
      <c r="G1331" t="s">
        <v>94</v>
      </c>
      <c r="H1331">
        <v>2020</v>
      </c>
      <c r="I1331" t="s">
        <v>33</v>
      </c>
      <c r="J1331">
        <v>5</v>
      </c>
      <c r="K1331">
        <v>1</v>
      </c>
      <c r="L1331">
        <v>1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71</v>
      </c>
      <c r="T1331">
        <v>64</v>
      </c>
      <c r="U1331" s="5">
        <f>IF(Merge1[[#This Row],[team_defense_snaps]]=0, "", Merge1[[#This Row],[defense_snaps]] / Merge1[[#This Row],[team_defense_snaps]])</f>
        <v>0.96969696969696972</v>
      </c>
      <c r="V1331">
        <v>66</v>
      </c>
      <c r="W1331">
        <v>7</v>
      </c>
      <c r="X1331" s="5" t="s">
        <v>293</v>
      </c>
      <c r="Y1331">
        <v>4</v>
      </c>
      <c r="Z1331">
        <v>0</v>
      </c>
      <c r="AA1331" t="s">
        <v>25</v>
      </c>
      <c r="AB1331" t="s">
        <v>26</v>
      </c>
      <c r="AC1331" t="s">
        <v>27</v>
      </c>
      <c r="AD1331" t="s">
        <v>42</v>
      </c>
      <c r="AE1331" t="s">
        <v>25</v>
      </c>
      <c r="AF13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2.1126760563380281E-2</v>
      </c>
      <c r="AG1331" t="s">
        <v>942</v>
      </c>
      <c r="AH1331">
        <v>61.5</v>
      </c>
      <c r="AI1331" t="s">
        <v>939</v>
      </c>
      <c r="AJ1331">
        <v>6</v>
      </c>
      <c r="AK13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MIN(AJ1331/8, 1) +
  Merge1[[#This Row],[index_defensive_effort]],
  2
)</f>
        <v>1.37</v>
      </c>
    </row>
    <row r="1332" spans="1:37" x14ac:dyDescent="0.25">
      <c r="A1332" t="s">
        <v>455</v>
      </c>
      <c r="B1332" t="s">
        <v>456</v>
      </c>
      <c r="C1332">
        <v>27</v>
      </c>
      <c r="D1332" t="s">
        <v>22</v>
      </c>
      <c r="E1332">
        <v>73</v>
      </c>
      <c r="F1332">
        <v>210</v>
      </c>
      <c r="G1332" t="s">
        <v>94</v>
      </c>
      <c r="H1332">
        <v>2020</v>
      </c>
      <c r="I1332" t="s">
        <v>33</v>
      </c>
      <c r="J1332">
        <v>6</v>
      </c>
      <c r="K1332">
        <v>3</v>
      </c>
      <c r="L1332">
        <v>2</v>
      </c>
      <c r="M1332">
        <v>0</v>
      </c>
      <c r="N1332">
        <v>2</v>
      </c>
      <c r="O1332">
        <v>0</v>
      </c>
      <c r="P1332">
        <v>0</v>
      </c>
      <c r="Q1332">
        <v>2</v>
      </c>
      <c r="R1332">
        <v>0</v>
      </c>
      <c r="S1332">
        <v>77</v>
      </c>
      <c r="T1332">
        <v>73</v>
      </c>
      <c r="U1332" s="5">
        <f>IF(Merge1[[#This Row],[team_defense_snaps]]=0, "", Merge1[[#This Row],[defense_snaps]] / Merge1[[#This Row],[team_defense_snaps]])</f>
        <v>1</v>
      </c>
      <c r="V1332">
        <v>73</v>
      </c>
      <c r="W1332">
        <v>4</v>
      </c>
      <c r="X1332" s="5" t="s">
        <v>181</v>
      </c>
      <c r="Y1332">
        <v>4</v>
      </c>
      <c r="Z1332">
        <v>0</v>
      </c>
      <c r="AA1332" t="s">
        <v>25</v>
      </c>
      <c r="AB1332" t="s">
        <v>26</v>
      </c>
      <c r="AC1332" t="s">
        <v>27</v>
      </c>
      <c r="AD1332" t="s">
        <v>42</v>
      </c>
      <c r="AE1332" t="s">
        <v>25</v>
      </c>
      <c r="AF13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0.15584415584415584</v>
      </c>
      <c r="AG1332" t="s">
        <v>942</v>
      </c>
      <c r="AH1332">
        <v>66</v>
      </c>
      <c r="AI1332" t="s">
        <v>939</v>
      </c>
      <c r="AJ1332">
        <v>7</v>
      </c>
      <c r="AK13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MIN(AJ1332/8, 1) +
  Merge1[[#This Row],[index_defensive_effort]],
  2
)</f>
        <v>1.63</v>
      </c>
    </row>
    <row r="1333" spans="1:37" x14ac:dyDescent="0.25">
      <c r="A1333" t="s">
        <v>455</v>
      </c>
      <c r="B1333" t="s">
        <v>456</v>
      </c>
      <c r="C1333">
        <v>27</v>
      </c>
      <c r="D1333" t="s">
        <v>22</v>
      </c>
      <c r="E1333">
        <v>73</v>
      </c>
      <c r="F1333">
        <v>210</v>
      </c>
      <c r="G1333" t="s">
        <v>94</v>
      </c>
      <c r="H1333">
        <v>2020</v>
      </c>
      <c r="I1333" t="s">
        <v>33</v>
      </c>
      <c r="J1333">
        <v>7</v>
      </c>
      <c r="K1333">
        <v>5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2</v>
      </c>
      <c r="R1333">
        <v>0</v>
      </c>
      <c r="S1333">
        <v>84</v>
      </c>
      <c r="T1333">
        <v>81</v>
      </c>
      <c r="U1333" s="5">
        <f>IF(Merge1[[#This Row],[team_defense_snaps]]=0, "", Merge1[[#This Row],[defense_snaps]] / Merge1[[#This Row],[team_defense_snaps]])</f>
        <v>0.98780487804878048</v>
      </c>
      <c r="V1333">
        <v>82</v>
      </c>
      <c r="W1333">
        <v>3</v>
      </c>
      <c r="X1333" s="5" t="s">
        <v>251</v>
      </c>
      <c r="Y1333">
        <v>4</v>
      </c>
      <c r="Z1333">
        <v>0</v>
      </c>
      <c r="AA1333" t="s">
        <v>25</v>
      </c>
      <c r="AB1333" t="s">
        <v>26</v>
      </c>
      <c r="AC1333" t="s">
        <v>27</v>
      </c>
      <c r="AD1333" t="s">
        <v>42</v>
      </c>
      <c r="AE1333" t="s">
        <v>25</v>
      </c>
      <c r="AF13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0.15476190476190477</v>
      </c>
      <c r="AG1333" t="s">
        <v>942</v>
      </c>
      <c r="AH1333">
        <v>58.5</v>
      </c>
      <c r="AI1333" t="s">
        <v>939</v>
      </c>
      <c r="AJ1333">
        <v>8</v>
      </c>
      <c r="AK13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MIN(AJ1333/8, 1) +
  Merge1[[#This Row],[index_defensive_effort]],
  2
)</f>
        <v>1.75</v>
      </c>
    </row>
    <row r="1334" spans="1:37" x14ac:dyDescent="0.25">
      <c r="A1334" t="s">
        <v>455</v>
      </c>
      <c r="B1334" t="s">
        <v>456</v>
      </c>
      <c r="C1334">
        <v>27</v>
      </c>
      <c r="D1334" t="s">
        <v>22</v>
      </c>
      <c r="E1334">
        <v>73</v>
      </c>
      <c r="F1334">
        <v>210</v>
      </c>
      <c r="G1334" t="s">
        <v>94</v>
      </c>
      <c r="H1334">
        <v>2020</v>
      </c>
      <c r="I1334" t="s">
        <v>33</v>
      </c>
      <c r="J1334">
        <v>8</v>
      </c>
      <c r="K1334">
        <v>2</v>
      </c>
      <c r="L1334">
        <v>1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75</v>
      </c>
      <c r="T1334">
        <v>70</v>
      </c>
      <c r="U1334" s="5">
        <f>IF(Merge1[[#This Row],[team_defense_snaps]]=0, "", Merge1[[#This Row],[defense_snaps]] / Merge1[[#This Row],[team_defense_snaps]])</f>
        <v>1</v>
      </c>
      <c r="V1334">
        <v>70</v>
      </c>
      <c r="W1334">
        <v>5</v>
      </c>
      <c r="X1334" s="5" t="s">
        <v>59</v>
      </c>
      <c r="Y1334">
        <v>4</v>
      </c>
      <c r="Z1334">
        <v>0</v>
      </c>
      <c r="AA1334" t="s">
        <v>25</v>
      </c>
      <c r="AB1334" t="s">
        <v>26</v>
      </c>
      <c r="AC1334" t="s">
        <v>27</v>
      </c>
      <c r="AD1334" t="s">
        <v>42</v>
      </c>
      <c r="AE1334" t="s">
        <v>25</v>
      </c>
      <c r="AF13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3.3333333333333333E-2</v>
      </c>
      <c r="AG1334" t="s">
        <v>942</v>
      </c>
      <c r="AH1334">
        <v>55.5</v>
      </c>
      <c r="AI1334" t="s">
        <v>939</v>
      </c>
      <c r="AJ1334">
        <v>1</v>
      </c>
      <c r="AK13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MIN(AJ1334/8, 1) +
  Merge1[[#This Row],[index_defensive_effort]],
  2
)</f>
        <v>0.76</v>
      </c>
    </row>
    <row r="1335" spans="1:37" x14ac:dyDescent="0.25">
      <c r="A1335" t="s">
        <v>455</v>
      </c>
      <c r="B1335" t="s">
        <v>456</v>
      </c>
      <c r="C1335">
        <v>27</v>
      </c>
      <c r="D1335" t="s">
        <v>22</v>
      </c>
      <c r="E1335">
        <v>73</v>
      </c>
      <c r="F1335">
        <v>210</v>
      </c>
      <c r="G1335" t="s">
        <v>94</v>
      </c>
      <c r="H1335">
        <v>2020</v>
      </c>
      <c r="I1335" t="s">
        <v>33</v>
      </c>
      <c r="J1335">
        <v>10</v>
      </c>
      <c r="K1335">
        <v>4</v>
      </c>
      <c r="L1335">
        <v>0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68</v>
      </c>
      <c r="T1335">
        <v>67</v>
      </c>
      <c r="U1335" s="5">
        <f>IF(Merge1[[#This Row],[team_defense_snaps]]=0, "", Merge1[[#This Row],[defense_snaps]] / Merge1[[#This Row],[team_defense_snaps]])</f>
        <v>1</v>
      </c>
      <c r="V1335">
        <v>67</v>
      </c>
      <c r="W1335">
        <v>1</v>
      </c>
      <c r="X1335" s="5" t="s">
        <v>193</v>
      </c>
      <c r="Y1335">
        <v>4</v>
      </c>
      <c r="Z1335">
        <v>0</v>
      </c>
      <c r="AA1335" t="s">
        <v>25</v>
      </c>
      <c r="AB1335" t="s">
        <v>26</v>
      </c>
      <c r="AC1335" t="s">
        <v>27</v>
      </c>
      <c r="AD1335" t="s">
        <v>42</v>
      </c>
      <c r="AE1335" t="s">
        <v>25</v>
      </c>
      <c r="AF13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8.8235294117647065E-2</v>
      </c>
      <c r="AG1335" t="s">
        <v>942</v>
      </c>
      <c r="AH1335">
        <v>49.5</v>
      </c>
      <c r="AI1335" t="s">
        <v>939</v>
      </c>
      <c r="AJ1335">
        <v>1</v>
      </c>
      <c r="AK13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MIN(AJ1335/8, 1) +
  Merge1[[#This Row],[index_defensive_effort]],
  2
)</f>
        <v>0.81</v>
      </c>
    </row>
    <row r="1336" spans="1:37" x14ac:dyDescent="0.25">
      <c r="A1336" t="s">
        <v>455</v>
      </c>
      <c r="B1336" t="s">
        <v>456</v>
      </c>
      <c r="C1336">
        <v>27</v>
      </c>
      <c r="D1336" t="s">
        <v>22</v>
      </c>
      <c r="E1336">
        <v>73</v>
      </c>
      <c r="F1336">
        <v>210</v>
      </c>
      <c r="G1336" t="s">
        <v>94</v>
      </c>
      <c r="H1336">
        <v>2020</v>
      </c>
      <c r="I1336" t="s">
        <v>33</v>
      </c>
      <c r="J1336">
        <v>12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53</v>
      </c>
      <c r="T1336">
        <v>49</v>
      </c>
      <c r="U1336" s="5">
        <f>IF(Merge1[[#This Row],[team_defense_snaps]]=0, "", Merge1[[#This Row],[defense_snaps]] / Merge1[[#This Row],[team_defense_snaps]])</f>
        <v>1</v>
      </c>
      <c r="V1336">
        <v>49</v>
      </c>
      <c r="W1336">
        <v>4</v>
      </c>
      <c r="X1336" s="5" t="s">
        <v>212</v>
      </c>
      <c r="Y1336">
        <v>4</v>
      </c>
      <c r="Z1336">
        <v>0</v>
      </c>
      <c r="AA1336" t="s">
        <v>25</v>
      </c>
      <c r="AB1336" t="s">
        <v>26</v>
      </c>
      <c r="AC1336" t="s">
        <v>27</v>
      </c>
      <c r="AD1336" t="s">
        <v>42</v>
      </c>
      <c r="AE1336" t="s">
        <v>25</v>
      </c>
      <c r="AF13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5.6603773584905662E-2</v>
      </c>
      <c r="AG1336" t="s">
        <v>942</v>
      </c>
      <c r="AH1336">
        <v>64.5</v>
      </c>
      <c r="AI1336" t="s">
        <v>939</v>
      </c>
      <c r="AJ1336">
        <v>2</v>
      </c>
      <c r="AK13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MIN(AJ1336/8, 1) +
  Merge1[[#This Row],[index_defensive_effort]],
  2
)</f>
        <v>0.91</v>
      </c>
    </row>
    <row r="1337" spans="1:37" x14ac:dyDescent="0.25">
      <c r="A1337" t="s">
        <v>455</v>
      </c>
      <c r="B1337" t="s">
        <v>456</v>
      </c>
      <c r="C1337">
        <v>27</v>
      </c>
      <c r="D1337" t="s">
        <v>22</v>
      </c>
      <c r="E1337">
        <v>73</v>
      </c>
      <c r="F1337">
        <v>210</v>
      </c>
      <c r="G1337" t="s">
        <v>94</v>
      </c>
      <c r="H1337">
        <v>2020</v>
      </c>
      <c r="I1337" t="s">
        <v>33</v>
      </c>
      <c r="J1337">
        <v>13</v>
      </c>
      <c r="K1337">
        <v>4</v>
      </c>
      <c r="L1337">
        <v>3</v>
      </c>
      <c r="M1337">
        <v>2</v>
      </c>
      <c r="N1337">
        <v>5</v>
      </c>
      <c r="O1337">
        <v>0</v>
      </c>
      <c r="P1337">
        <v>1</v>
      </c>
      <c r="Q1337">
        <v>0</v>
      </c>
      <c r="R1337">
        <v>2</v>
      </c>
      <c r="S1337">
        <v>74</v>
      </c>
      <c r="T1337">
        <v>72</v>
      </c>
      <c r="U1337" s="5">
        <f>IF(Merge1[[#This Row],[team_defense_snaps]]=0, "", Merge1[[#This Row],[defense_snaps]] / Merge1[[#This Row],[team_defense_snaps]])</f>
        <v>1</v>
      </c>
      <c r="V1337">
        <v>72</v>
      </c>
      <c r="W1337">
        <v>2</v>
      </c>
      <c r="X1337" s="5" t="s">
        <v>167</v>
      </c>
      <c r="Y1337">
        <v>4</v>
      </c>
      <c r="Z1337">
        <v>0</v>
      </c>
      <c r="AA1337" t="s">
        <v>25</v>
      </c>
      <c r="AB1337" t="s">
        <v>26</v>
      </c>
      <c r="AC1337" t="s">
        <v>27</v>
      </c>
      <c r="AD1337" t="s">
        <v>42</v>
      </c>
      <c r="AE1337" t="s">
        <v>25</v>
      </c>
      <c r="AF13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0.16891891891891891</v>
      </c>
      <c r="AG1337" t="s">
        <v>942</v>
      </c>
      <c r="AH1337">
        <v>70.5</v>
      </c>
      <c r="AI1337" t="s">
        <v>939</v>
      </c>
      <c r="AJ1337">
        <v>3</v>
      </c>
      <c r="AK13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MIN(AJ1337/8, 1) +
  Merge1[[#This Row],[index_defensive_effort]],
  2
)</f>
        <v>1.1399999999999999</v>
      </c>
    </row>
    <row r="1338" spans="1:37" x14ac:dyDescent="0.25">
      <c r="A1338" t="s">
        <v>455</v>
      </c>
      <c r="B1338" t="s">
        <v>456</v>
      </c>
      <c r="C1338">
        <v>27</v>
      </c>
      <c r="D1338" t="s">
        <v>22</v>
      </c>
      <c r="E1338">
        <v>73</v>
      </c>
      <c r="F1338">
        <v>210</v>
      </c>
      <c r="G1338" t="s">
        <v>94</v>
      </c>
      <c r="H1338">
        <v>2020</v>
      </c>
      <c r="I1338" t="s">
        <v>33</v>
      </c>
      <c r="J1338">
        <v>14</v>
      </c>
      <c r="K1338">
        <v>7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88</v>
      </c>
      <c r="T1338">
        <v>79</v>
      </c>
      <c r="U1338" s="5">
        <f>IF(Merge1[[#This Row],[team_defense_snaps]]=0, "", Merge1[[#This Row],[defense_snaps]] / Merge1[[#This Row],[team_defense_snaps]])</f>
        <v>1</v>
      </c>
      <c r="V1338">
        <v>79</v>
      </c>
      <c r="W1338">
        <v>9</v>
      </c>
      <c r="X1338" s="5" t="s">
        <v>108</v>
      </c>
      <c r="Y1338">
        <v>4</v>
      </c>
      <c r="Z1338">
        <v>0</v>
      </c>
      <c r="AA1338" t="s">
        <v>25</v>
      </c>
      <c r="AB1338" t="s">
        <v>26</v>
      </c>
      <c r="AC1338" t="s">
        <v>27</v>
      </c>
      <c r="AD1338" t="s">
        <v>42</v>
      </c>
      <c r="AE1338" t="s">
        <v>25</v>
      </c>
      <c r="AF13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7.9545454545454544E-2</v>
      </c>
      <c r="AG1338" t="s">
        <v>942</v>
      </c>
      <c r="AH1338">
        <v>67.5</v>
      </c>
      <c r="AI1338" t="s">
        <v>939</v>
      </c>
      <c r="AJ1338">
        <v>1</v>
      </c>
      <c r="AK13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MIN(AJ1338/8, 1) +
  Merge1[[#This Row],[index_defensive_effort]],
  2
)</f>
        <v>0.8</v>
      </c>
    </row>
    <row r="1339" spans="1:37" x14ac:dyDescent="0.25">
      <c r="A1339" t="s">
        <v>455</v>
      </c>
      <c r="B1339" t="s">
        <v>456</v>
      </c>
      <c r="C1339">
        <v>27</v>
      </c>
      <c r="D1339" t="s">
        <v>22</v>
      </c>
      <c r="E1339">
        <v>73</v>
      </c>
      <c r="F1339">
        <v>210</v>
      </c>
      <c r="G1339" t="s">
        <v>94</v>
      </c>
      <c r="H1339">
        <v>2020</v>
      </c>
      <c r="I1339" t="s">
        <v>33</v>
      </c>
      <c r="J1339">
        <v>16</v>
      </c>
      <c r="K1339">
        <v>1</v>
      </c>
      <c r="L1339">
        <v>2</v>
      </c>
      <c r="M1339">
        <v>0</v>
      </c>
      <c r="N1339">
        <v>2</v>
      </c>
      <c r="O1339">
        <v>0</v>
      </c>
      <c r="P1339">
        <v>0</v>
      </c>
      <c r="Q1339">
        <v>0</v>
      </c>
      <c r="R1339">
        <v>0</v>
      </c>
      <c r="S1339">
        <v>72</v>
      </c>
      <c r="T1339">
        <v>65</v>
      </c>
      <c r="U1339" s="5">
        <f>IF(Merge1[[#This Row],[team_defense_snaps]]=0, "", Merge1[[#This Row],[defense_snaps]] / Merge1[[#This Row],[team_defense_snaps]])</f>
        <v>0.94202898550724634</v>
      </c>
      <c r="V1339">
        <v>69</v>
      </c>
      <c r="W1339">
        <v>7</v>
      </c>
      <c r="X1339" s="5" t="s">
        <v>138</v>
      </c>
      <c r="Y1339">
        <v>4</v>
      </c>
      <c r="Z1339">
        <v>0</v>
      </c>
      <c r="AA1339" t="s">
        <v>25</v>
      </c>
      <c r="AB1339" t="s">
        <v>26</v>
      </c>
      <c r="AC1339" t="s">
        <v>27</v>
      </c>
      <c r="AD1339" t="s">
        <v>42</v>
      </c>
      <c r="AE1339" t="s">
        <v>25</v>
      </c>
      <c r="AF13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2.7777777777777776E-2</v>
      </c>
      <c r="AG1339" t="s">
        <v>942</v>
      </c>
      <c r="AH1339">
        <v>54</v>
      </c>
      <c r="AI1339" t="s">
        <v>939</v>
      </c>
      <c r="AJ1339">
        <v>2</v>
      </c>
      <c r="AK13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MIN(AJ1339/8, 1) +
  Merge1[[#This Row],[index_defensive_effort]],
  2
)</f>
        <v>0.88</v>
      </c>
    </row>
    <row r="1340" spans="1:37" x14ac:dyDescent="0.25">
      <c r="A1340" t="s">
        <v>455</v>
      </c>
      <c r="B1340" t="s">
        <v>456</v>
      </c>
      <c r="C1340">
        <v>27</v>
      </c>
      <c r="D1340" t="s">
        <v>22</v>
      </c>
      <c r="E1340">
        <v>73</v>
      </c>
      <c r="F1340">
        <v>210</v>
      </c>
      <c r="G1340" t="s">
        <v>94</v>
      </c>
      <c r="H1340">
        <v>2020</v>
      </c>
      <c r="I1340" t="s">
        <v>33</v>
      </c>
      <c r="J1340">
        <v>17</v>
      </c>
      <c r="K1340">
        <v>4</v>
      </c>
      <c r="L1340">
        <v>0</v>
      </c>
      <c r="M1340">
        <v>0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92</v>
      </c>
      <c r="T1340">
        <v>82</v>
      </c>
      <c r="U1340" s="5">
        <f>IF(Merge1[[#This Row],[team_defense_snaps]]=0, "", Merge1[[#This Row],[defense_snaps]] / Merge1[[#This Row],[team_defense_snaps]])</f>
        <v>0.98795180722891562</v>
      </c>
      <c r="V1340">
        <v>83</v>
      </c>
      <c r="W1340">
        <v>10</v>
      </c>
      <c r="X1340" s="5" t="s">
        <v>123</v>
      </c>
      <c r="Y1340">
        <v>4</v>
      </c>
      <c r="Z1340">
        <v>0</v>
      </c>
      <c r="AA1340" t="s">
        <v>25</v>
      </c>
      <c r="AB1340" t="s">
        <v>26</v>
      </c>
      <c r="AC1340" t="s">
        <v>27</v>
      </c>
      <c r="AD1340" t="s">
        <v>42</v>
      </c>
      <c r="AE1340" t="s">
        <v>25</v>
      </c>
      <c r="AF13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6.5217391304347824E-2</v>
      </c>
      <c r="AG1340" t="s">
        <v>942</v>
      </c>
      <c r="AH1340">
        <v>52.5</v>
      </c>
      <c r="AI1340" t="s">
        <v>939</v>
      </c>
      <c r="AJ1340">
        <v>1</v>
      </c>
      <c r="AK13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MIN(AJ1340/8, 1) +
  Merge1[[#This Row],[index_defensive_effort]],
  2
)</f>
        <v>0.79</v>
      </c>
    </row>
    <row r="1341" spans="1:37" x14ac:dyDescent="0.25">
      <c r="A1341" t="s">
        <v>521</v>
      </c>
      <c r="B1341" t="s">
        <v>522</v>
      </c>
      <c r="C1341">
        <v>24</v>
      </c>
      <c r="D1341" t="s">
        <v>56</v>
      </c>
      <c r="E1341">
        <v>74</v>
      </c>
      <c r="F1341">
        <v>185</v>
      </c>
      <c r="G1341" t="s">
        <v>74</v>
      </c>
      <c r="H1341">
        <v>2020</v>
      </c>
      <c r="I1341" t="s">
        <v>33</v>
      </c>
      <c r="J1341">
        <v>11</v>
      </c>
      <c r="K1341">
        <v>2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20</v>
      </c>
      <c r="T1341">
        <v>4</v>
      </c>
      <c r="U1341" s="5">
        <f>IF(Merge1[[#This Row],[team_defense_snaps]]=0, "", Merge1[[#This Row],[defense_snaps]] / Merge1[[#This Row],[team_defense_snaps]])</f>
        <v>6.8965517241379309E-2</v>
      </c>
      <c r="V1341">
        <v>58</v>
      </c>
      <c r="W1341">
        <v>16</v>
      </c>
      <c r="X1341" s="5" t="s">
        <v>256</v>
      </c>
      <c r="Y1341">
        <v>0</v>
      </c>
      <c r="Z1341">
        <v>0</v>
      </c>
      <c r="AA1341" t="s">
        <v>25</v>
      </c>
      <c r="AB1341" t="s">
        <v>26</v>
      </c>
      <c r="AC1341" t="s">
        <v>27</v>
      </c>
      <c r="AD1341" t="s">
        <v>28</v>
      </c>
      <c r="AE1341" t="s">
        <v>25</v>
      </c>
      <c r="AF13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1341" t="s">
        <v>941</v>
      </c>
      <c r="AH1341">
        <v>56</v>
      </c>
      <c r="AI1341" t="s">
        <v>939</v>
      </c>
      <c r="AJ1341">
        <v>1</v>
      </c>
      <c r="AK13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MIN(AJ1341/8, 1) +
  Merge1[[#This Row],[index_defensive_effort]],
  2
)</f>
        <v>0.63</v>
      </c>
    </row>
    <row r="1342" spans="1:37" x14ac:dyDescent="0.25">
      <c r="A1342" t="s">
        <v>521</v>
      </c>
      <c r="B1342" t="s">
        <v>522</v>
      </c>
      <c r="C1342">
        <v>24</v>
      </c>
      <c r="D1342" t="s">
        <v>56</v>
      </c>
      <c r="E1342">
        <v>74</v>
      </c>
      <c r="F1342">
        <v>185</v>
      </c>
      <c r="G1342" t="s">
        <v>74</v>
      </c>
      <c r="H1342">
        <v>2020</v>
      </c>
      <c r="I1342" t="s">
        <v>24</v>
      </c>
      <c r="J1342">
        <v>18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22</v>
      </c>
      <c r="T1342">
        <v>8</v>
      </c>
      <c r="U1342" s="5">
        <f>IF(Merge1[[#This Row],[team_defense_snaps]]=0, "", Merge1[[#This Row],[defense_snaps]] / Merge1[[#This Row],[team_defense_snaps]])</f>
        <v>0.11940298507462686</v>
      </c>
      <c r="V1342">
        <v>67</v>
      </c>
      <c r="W1342">
        <v>14</v>
      </c>
      <c r="X1342" s="5" t="s">
        <v>221</v>
      </c>
      <c r="Y1342">
        <v>0</v>
      </c>
      <c r="Z1342">
        <v>0</v>
      </c>
      <c r="AA1342" t="s">
        <v>25</v>
      </c>
      <c r="AB1342" t="s">
        <v>26</v>
      </c>
      <c r="AC1342" t="s">
        <v>27</v>
      </c>
      <c r="AD1342" t="s">
        <v>28</v>
      </c>
      <c r="AE1342" t="s">
        <v>25</v>
      </c>
      <c r="AF13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1342" t="s">
        <v>941</v>
      </c>
      <c r="AH1342">
        <v>51</v>
      </c>
      <c r="AI1342" t="s">
        <v>939</v>
      </c>
      <c r="AJ1342">
        <v>1</v>
      </c>
      <c r="AK13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MIN(AJ1342/8, 1) +
  Merge1[[#This Row],[index_defensive_effort]],
  2
)</f>
        <v>0.73</v>
      </c>
    </row>
    <row r="1343" spans="1:37" x14ac:dyDescent="0.25">
      <c r="A1343" t="s">
        <v>485</v>
      </c>
      <c r="B1343" t="s">
        <v>486</v>
      </c>
      <c r="C1343">
        <v>32</v>
      </c>
      <c r="D1343" t="s">
        <v>56</v>
      </c>
      <c r="E1343">
        <v>70</v>
      </c>
      <c r="F1343">
        <v>190</v>
      </c>
      <c r="G1343" t="s">
        <v>28</v>
      </c>
      <c r="H1343">
        <v>2020</v>
      </c>
      <c r="I1343" t="s">
        <v>33</v>
      </c>
      <c r="J1343">
        <v>1</v>
      </c>
      <c r="K1343">
        <v>8</v>
      </c>
      <c r="L1343">
        <v>1</v>
      </c>
      <c r="M1343">
        <v>0</v>
      </c>
      <c r="N1343">
        <v>1</v>
      </c>
      <c r="O1343">
        <v>0</v>
      </c>
      <c r="P1343">
        <v>2</v>
      </c>
      <c r="Q1343">
        <v>2</v>
      </c>
      <c r="R1343">
        <v>0</v>
      </c>
      <c r="S1343">
        <v>64</v>
      </c>
      <c r="T1343">
        <v>64</v>
      </c>
      <c r="U1343" s="5">
        <f>IF(Merge1[[#This Row],[team_defense_snaps]]=0, "", Merge1[[#This Row],[defense_snaps]] / Merge1[[#This Row],[team_defense_snaps]])</f>
        <v>0.91428571428571426</v>
      </c>
      <c r="V1343">
        <v>70</v>
      </c>
      <c r="W1343">
        <v>0</v>
      </c>
      <c r="X1343" s="5" t="s">
        <v>29</v>
      </c>
      <c r="Y1343">
        <v>8</v>
      </c>
      <c r="Z1343">
        <v>0</v>
      </c>
      <c r="AA1343" t="s">
        <v>25</v>
      </c>
      <c r="AB1343" t="s">
        <v>26</v>
      </c>
      <c r="AC1343" t="s">
        <v>27</v>
      </c>
      <c r="AD1343" t="s">
        <v>42</v>
      </c>
      <c r="AE1343" t="s">
        <v>25</v>
      </c>
      <c r="AF13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0.3203125</v>
      </c>
      <c r="AG1343" t="s">
        <v>942</v>
      </c>
      <c r="AH1343">
        <v>68.5</v>
      </c>
      <c r="AI1343" t="s">
        <v>939</v>
      </c>
      <c r="AJ1343">
        <v>2</v>
      </c>
      <c r="AK13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MIN(AJ1343/8, 1) +
  Merge1[[#This Row],[index_defensive_effort]],
  2
)</f>
        <v>1.27</v>
      </c>
    </row>
    <row r="1344" spans="1:37" x14ac:dyDescent="0.25">
      <c r="A1344" t="s">
        <v>485</v>
      </c>
      <c r="B1344" t="s">
        <v>486</v>
      </c>
      <c r="C1344">
        <v>32</v>
      </c>
      <c r="D1344" t="s">
        <v>56</v>
      </c>
      <c r="E1344">
        <v>70</v>
      </c>
      <c r="F1344">
        <v>190</v>
      </c>
      <c r="G1344" t="s">
        <v>28</v>
      </c>
      <c r="H1344">
        <v>2020</v>
      </c>
      <c r="I1344" t="s">
        <v>33</v>
      </c>
      <c r="J1344">
        <v>2</v>
      </c>
      <c r="K1344">
        <v>3</v>
      </c>
      <c r="L1344">
        <v>2</v>
      </c>
      <c r="M1344">
        <v>0</v>
      </c>
      <c r="N1344">
        <v>2</v>
      </c>
      <c r="O1344">
        <v>0</v>
      </c>
      <c r="P1344">
        <v>0</v>
      </c>
      <c r="Q1344">
        <v>0</v>
      </c>
      <c r="R1344">
        <v>0</v>
      </c>
      <c r="S1344">
        <v>76</v>
      </c>
      <c r="T1344">
        <v>76</v>
      </c>
      <c r="U1344" s="5">
        <f>IF(Merge1[[#This Row],[team_defense_snaps]]=0, "", Merge1[[#This Row],[defense_snaps]] / Merge1[[#This Row],[team_defense_snaps]])</f>
        <v>0.93827160493827155</v>
      </c>
      <c r="V1344">
        <v>81</v>
      </c>
      <c r="W1344">
        <v>0</v>
      </c>
      <c r="X1344" s="5" t="s">
        <v>29</v>
      </c>
      <c r="Y1344">
        <v>8</v>
      </c>
      <c r="Z1344">
        <v>0</v>
      </c>
      <c r="AA1344" t="s">
        <v>25</v>
      </c>
      <c r="AB1344" t="s">
        <v>26</v>
      </c>
      <c r="AC1344" t="s">
        <v>27</v>
      </c>
      <c r="AD1344" t="s">
        <v>42</v>
      </c>
      <c r="AE1344" t="s">
        <v>25</v>
      </c>
      <c r="AF13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5.2631578947368418E-2</v>
      </c>
      <c r="AG1344" t="s">
        <v>942</v>
      </c>
      <c r="AH1344">
        <v>62.5</v>
      </c>
      <c r="AI1344" t="s">
        <v>939</v>
      </c>
      <c r="AJ1344">
        <v>3</v>
      </c>
      <c r="AK13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MIN(AJ1344/8, 1) +
  Merge1[[#This Row],[index_defensive_effort]],
  2
)</f>
        <v>1.1299999999999999</v>
      </c>
    </row>
    <row r="1345" spans="1:37" x14ac:dyDescent="0.25">
      <c r="A1345" t="s">
        <v>485</v>
      </c>
      <c r="B1345" t="s">
        <v>486</v>
      </c>
      <c r="C1345">
        <v>32</v>
      </c>
      <c r="D1345" t="s">
        <v>56</v>
      </c>
      <c r="E1345">
        <v>70</v>
      </c>
      <c r="F1345">
        <v>190</v>
      </c>
      <c r="G1345" t="s">
        <v>28</v>
      </c>
      <c r="H1345">
        <v>2020</v>
      </c>
      <c r="I1345" t="s">
        <v>33</v>
      </c>
      <c r="J1345">
        <v>3</v>
      </c>
      <c r="K1345">
        <v>5</v>
      </c>
      <c r="L1345">
        <v>2</v>
      </c>
      <c r="M1345">
        <v>0</v>
      </c>
      <c r="N1345">
        <v>2</v>
      </c>
      <c r="O1345">
        <v>0</v>
      </c>
      <c r="P1345">
        <v>0</v>
      </c>
      <c r="Q1345">
        <v>0</v>
      </c>
      <c r="R1345">
        <v>0</v>
      </c>
      <c r="S1345">
        <v>61</v>
      </c>
      <c r="T1345">
        <v>61</v>
      </c>
      <c r="U1345" s="5">
        <f>IF(Merge1[[#This Row],[team_defense_snaps]]=0, "", Merge1[[#This Row],[defense_snaps]] / Merge1[[#This Row],[team_defense_snaps]])</f>
        <v>0.9838709677419355</v>
      </c>
      <c r="V1345">
        <v>62</v>
      </c>
      <c r="W1345">
        <v>0</v>
      </c>
      <c r="X1345" s="5" t="s">
        <v>29</v>
      </c>
      <c r="Y1345">
        <v>8</v>
      </c>
      <c r="Z1345">
        <v>0</v>
      </c>
      <c r="AA1345" t="s">
        <v>25</v>
      </c>
      <c r="AB1345" t="s">
        <v>26</v>
      </c>
      <c r="AC1345" t="s">
        <v>27</v>
      </c>
      <c r="AD1345" t="s">
        <v>42</v>
      </c>
      <c r="AE1345" t="s">
        <v>25</v>
      </c>
      <c r="AF13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9.8360655737704916E-2</v>
      </c>
      <c r="AG1345" t="s">
        <v>942</v>
      </c>
      <c r="AH1345">
        <v>65</v>
      </c>
      <c r="AI1345" t="s">
        <v>939</v>
      </c>
      <c r="AJ1345">
        <v>1</v>
      </c>
      <c r="AK13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MIN(AJ1345/8, 1) +
  Merge1[[#This Row],[index_defensive_effort]],
  2
)</f>
        <v>0.92</v>
      </c>
    </row>
    <row r="1346" spans="1:37" x14ac:dyDescent="0.25">
      <c r="A1346" t="s">
        <v>485</v>
      </c>
      <c r="B1346" t="s">
        <v>486</v>
      </c>
      <c r="C1346">
        <v>32</v>
      </c>
      <c r="D1346" t="s">
        <v>56</v>
      </c>
      <c r="E1346">
        <v>70</v>
      </c>
      <c r="F1346">
        <v>190</v>
      </c>
      <c r="G1346" t="s">
        <v>28</v>
      </c>
      <c r="H1346">
        <v>2020</v>
      </c>
      <c r="I1346" t="s">
        <v>33</v>
      </c>
      <c r="J1346">
        <v>7</v>
      </c>
      <c r="K1346">
        <v>3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46</v>
      </c>
      <c r="T1346">
        <v>46</v>
      </c>
      <c r="U1346" s="5">
        <f>IF(Merge1[[#This Row],[team_defense_snaps]]=0, "", Merge1[[#This Row],[defense_snaps]] / Merge1[[#This Row],[team_defense_snaps]])</f>
        <v>1</v>
      </c>
      <c r="V1346">
        <v>46</v>
      </c>
      <c r="W1346">
        <v>0</v>
      </c>
      <c r="X1346" s="5" t="s">
        <v>29</v>
      </c>
      <c r="Y1346">
        <v>8</v>
      </c>
      <c r="Z1346">
        <v>0</v>
      </c>
      <c r="AA1346" t="s">
        <v>25</v>
      </c>
      <c r="AB1346" t="s">
        <v>26</v>
      </c>
      <c r="AC1346" t="s">
        <v>27</v>
      </c>
      <c r="AD1346" t="s">
        <v>42</v>
      </c>
      <c r="AE1346" t="s">
        <v>25</v>
      </c>
      <c r="AF13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6.5217391304347824E-2</v>
      </c>
      <c r="AG1346" t="s">
        <v>942</v>
      </c>
      <c r="AH1346">
        <v>65</v>
      </c>
      <c r="AI1346" t="s">
        <v>939</v>
      </c>
      <c r="AJ1346">
        <v>2</v>
      </c>
      <c r="AK13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MIN(AJ1346/8, 1) +
  Merge1[[#This Row],[index_defensive_effort]],
  2
)</f>
        <v>1.02</v>
      </c>
    </row>
    <row r="1347" spans="1:37" x14ac:dyDescent="0.25">
      <c r="A1347" t="s">
        <v>485</v>
      </c>
      <c r="B1347" t="s">
        <v>486</v>
      </c>
      <c r="C1347">
        <v>32</v>
      </c>
      <c r="D1347" t="s">
        <v>56</v>
      </c>
      <c r="E1347">
        <v>70</v>
      </c>
      <c r="F1347">
        <v>190</v>
      </c>
      <c r="G1347" t="s">
        <v>28</v>
      </c>
      <c r="H1347">
        <v>2020</v>
      </c>
      <c r="I1347" t="s">
        <v>33</v>
      </c>
      <c r="J1347">
        <v>8</v>
      </c>
      <c r="K1347">
        <v>5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70</v>
      </c>
      <c r="T1347">
        <v>70</v>
      </c>
      <c r="U1347" s="5">
        <f>IF(Merge1[[#This Row],[team_defense_snaps]]=0, "", Merge1[[#This Row],[defense_snaps]] / Merge1[[#This Row],[team_defense_snaps]])</f>
        <v>1</v>
      </c>
      <c r="V1347">
        <v>70</v>
      </c>
      <c r="W1347">
        <v>0</v>
      </c>
      <c r="X1347" s="5" t="s">
        <v>29</v>
      </c>
      <c r="Y1347">
        <v>8</v>
      </c>
      <c r="Z1347">
        <v>0</v>
      </c>
      <c r="AA1347" t="s">
        <v>25</v>
      </c>
      <c r="AB1347" t="s">
        <v>26</v>
      </c>
      <c r="AC1347" t="s">
        <v>27</v>
      </c>
      <c r="AD1347" t="s">
        <v>42</v>
      </c>
      <c r="AE1347" t="s">
        <v>25</v>
      </c>
      <c r="AF13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1347" t="s">
        <v>942</v>
      </c>
      <c r="AH1347">
        <v>65.5</v>
      </c>
      <c r="AI1347" t="s">
        <v>939</v>
      </c>
      <c r="AJ1347">
        <v>3</v>
      </c>
      <c r="AK13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MIN(AJ1347/8, 1) +
  Merge1[[#This Row],[index_defensive_effort]],
  2
)</f>
        <v>1.1499999999999999</v>
      </c>
    </row>
    <row r="1348" spans="1:37" x14ac:dyDescent="0.25">
      <c r="A1348" t="s">
        <v>485</v>
      </c>
      <c r="B1348" t="s">
        <v>486</v>
      </c>
      <c r="C1348">
        <v>32</v>
      </c>
      <c r="D1348" t="s">
        <v>56</v>
      </c>
      <c r="E1348">
        <v>70</v>
      </c>
      <c r="F1348">
        <v>190</v>
      </c>
      <c r="G1348" t="s">
        <v>28</v>
      </c>
      <c r="H1348">
        <v>2020</v>
      </c>
      <c r="I1348" t="s">
        <v>33</v>
      </c>
      <c r="J1348">
        <v>9</v>
      </c>
      <c r="K1348">
        <v>2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49</v>
      </c>
      <c r="T1348">
        <v>49</v>
      </c>
      <c r="U1348" s="5">
        <f>IF(Merge1[[#This Row],[team_defense_snaps]]=0, "", Merge1[[#This Row],[defense_snaps]] / Merge1[[#This Row],[team_defense_snaps]])</f>
        <v>0.98</v>
      </c>
      <c r="V1348">
        <v>50</v>
      </c>
      <c r="W1348">
        <v>0</v>
      </c>
      <c r="X1348" s="5" t="s">
        <v>29</v>
      </c>
      <c r="Y1348">
        <v>8</v>
      </c>
      <c r="Z1348">
        <v>0</v>
      </c>
      <c r="AA1348" t="s">
        <v>25</v>
      </c>
      <c r="AB1348" t="s">
        <v>26</v>
      </c>
      <c r="AC1348" t="s">
        <v>27</v>
      </c>
      <c r="AD1348" t="s">
        <v>42</v>
      </c>
      <c r="AE1348" t="s">
        <v>25</v>
      </c>
      <c r="AF13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4.0816326530612242E-2</v>
      </c>
      <c r="AG1348" t="s">
        <v>942</v>
      </c>
      <c r="AH1348">
        <v>83.5</v>
      </c>
      <c r="AI1348" t="s">
        <v>939</v>
      </c>
      <c r="AJ1348">
        <v>4</v>
      </c>
      <c r="AK13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MIN(AJ1348/8, 1) +
  Merge1[[#This Row],[index_defensive_effort]],
  2
)</f>
        <v>1.24</v>
      </c>
    </row>
    <row r="1349" spans="1:37" x14ac:dyDescent="0.25">
      <c r="A1349" t="s">
        <v>485</v>
      </c>
      <c r="B1349" t="s">
        <v>486</v>
      </c>
      <c r="C1349">
        <v>32</v>
      </c>
      <c r="D1349" t="s">
        <v>56</v>
      </c>
      <c r="E1349">
        <v>70</v>
      </c>
      <c r="F1349">
        <v>190</v>
      </c>
      <c r="G1349" t="s">
        <v>28</v>
      </c>
      <c r="H1349">
        <v>2020</v>
      </c>
      <c r="I1349" t="s">
        <v>33</v>
      </c>
      <c r="J1349">
        <v>10</v>
      </c>
      <c r="K1349">
        <v>1</v>
      </c>
      <c r="L1349">
        <v>2</v>
      </c>
      <c r="M1349">
        <v>1</v>
      </c>
      <c r="N1349">
        <v>3</v>
      </c>
      <c r="O1349">
        <v>0</v>
      </c>
      <c r="P1349">
        <v>0</v>
      </c>
      <c r="Q1349">
        <v>0</v>
      </c>
      <c r="R1349">
        <v>0</v>
      </c>
      <c r="S1349">
        <v>72</v>
      </c>
      <c r="T1349">
        <v>71</v>
      </c>
      <c r="U1349" s="5">
        <f>IF(Merge1[[#This Row],[team_defense_snaps]]=0, "", Merge1[[#This Row],[defense_snaps]] / Merge1[[#This Row],[team_defense_snaps]])</f>
        <v>0.98611111111111116</v>
      </c>
      <c r="V1349">
        <v>72</v>
      </c>
      <c r="W1349">
        <v>1</v>
      </c>
      <c r="X1349" s="5" t="s">
        <v>193</v>
      </c>
      <c r="Y1349">
        <v>8</v>
      </c>
      <c r="Z1349">
        <v>0</v>
      </c>
      <c r="AA1349" t="s">
        <v>25</v>
      </c>
      <c r="AB1349" t="s">
        <v>26</v>
      </c>
      <c r="AC1349" t="s">
        <v>27</v>
      </c>
      <c r="AD1349" t="s">
        <v>42</v>
      </c>
      <c r="AE1349" t="s">
        <v>25</v>
      </c>
      <c r="AF13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3.4722222222222224E-2</v>
      </c>
      <c r="AG1349" t="s">
        <v>942</v>
      </c>
      <c r="AH1349">
        <v>85</v>
      </c>
      <c r="AI1349" t="s">
        <v>939</v>
      </c>
      <c r="AJ1349">
        <v>5</v>
      </c>
      <c r="AK13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MIN(AJ1349/8, 1) +
  Merge1[[#This Row],[index_defensive_effort]],
  2
)</f>
        <v>1.36</v>
      </c>
    </row>
    <row r="1350" spans="1:37" x14ac:dyDescent="0.25">
      <c r="A1350" t="s">
        <v>485</v>
      </c>
      <c r="B1350" t="s">
        <v>486</v>
      </c>
      <c r="C1350">
        <v>32</v>
      </c>
      <c r="D1350" t="s">
        <v>56</v>
      </c>
      <c r="E1350">
        <v>70</v>
      </c>
      <c r="F1350">
        <v>190</v>
      </c>
      <c r="G1350" t="s">
        <v>28</v>
      </c>
      <c r="H1350">
        <v>2020</v>
      </c>
      <c r="I1350" t="s">
        <v>33</v>
      </c>
      <c r="J1350">
        <v>11</v>
      </c>
      <c r="K1350">
        <v>6</v>
      </c>
      <c r="L1350">
        <v>1</v>
      </c>
      <c r="M1350">
        <v>0</v>
      </c>
      <c r="N1350">
        <v>1</v>
      </c>
      <c r="O1350">
        <v>0</v>
      </c>
      <c r="P1350">
        <v>3</v>
      </c>
      <c r="Q1350">
        <v>2</v>
      </c>
      <c r="R1350">
        <v>0</v>
      </c>
      <c r="S1350">
        <v>62</v>
      </c>
      <c r="T1350">
        <v>62</v>
      </c>
      <c r="U1350" s="5">
        <f>IF(Merge1[[#This Row],[team_defense_snaps]]=0, "", Merge1[[#This Row],[defense_snaps]] / Merge1[[#This Row],[team_defense_snaps]])</f>
        <v>1</v>
      </c>
      <c r="V1350">
        <v>62</v>
      </c>
      <c r="W1350">
        <v>0</v>
      </c>
      <c r="X1350" s="5" t="s">
        <v>29</v>
      </c>
      <c r="Y1350">
        <v>8</v>
      </c>
      <c r="Z1350">
        <v>0</v>
      </c>
      <c r="AA1350" t="s">
        <v>25</v>
      </c>
      <c r="AB1350" t="s">
        <v>26</v>
      </c>
      <c r="AC1350" t="s">
        <v>27</v>
      </c>
      <c r="AD1350" t="s">
        <v>42</v>
      </c>
      <c r="AE1350" t="s">
        <v>25</v>
      </c>
      <c r="AF13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0.33064516129032256</v>
      </c>
      <c r="AG1350" t="s">
        <v>942</v>
      </c>
      <c r="AH1350">
        <v>70</v>
      </c>
      <c r="AI1350" t="s">
        <v>939</v>
      </c>
      <c r="AJ1350">
        <v>6</v>
      </c>
      <c r="AK13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MIN(AJ1350/8, 1) +
  Merge1[[#This Row],[index_defensive_effort]],
  2
)</f>
        <v>1.78</v>
      </c>
    </row>
    <row r="1351" spans="1:37" x14ac:dyDescent="0.25">
      <c r="A1351" t="s">
        <v>485</v>
      </c>
      <c r="B1351" t="s">
        <v>486</v>
      </c>
      <c r="C1351">
        <v>32</v>
      </c>
      <c r="D1351" t="s">
        <v>56</v>
      </c>
      <c r="E1351">
        <v>70</v>
      </c>
      <c r="F1351">
        <v>190</v>
      </c>
      <c r="G1351" t="s">
        <v>28</v>
      </c>
      <c r="H1351">
        <v>2020</v>
      </c>
      <c r="I1351" t="s">
        <v>33</v>
      </c>
      <c r="J1351">
        <v>12</v>
      </c>
      <c r="K1351">
        <v>2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2</v>
      </c>
      <c r="R1351">
        <v>0</v>
      </c>
      <c r="S1351">
        <v>23</v>
      </c>
      <c r="T1351">
        <v>22</v>
      </c>
      <c r="U1351" s="5">
        <f>IF(Merge1[[#This Row],[team_defense_snaps]]=0, "", Merge1[[#This Row],[defense_snaps]] / Merge1[[#This Row],[team_defense_snaps]])</f>
        <v>0.5</v>
      </c>
      <c r="V1351">
        <v>44</v>
      </c>
      <c r="W1351">
        <v>1</v>
      </c>
      <c r="X1351" s="5" t="s">
        <v>193</v>
      </c>
      <c r="Y1351">
        <v>8</v>
      </c>
      <c r="Z1351">
        <v>0</v>
      </c>
      <c r="AA1351" t="s">
        <v>25</v>
      </c>
      <c r="AB1351" t="s">
        <v>26</v>
      </c>
      <c r="AC1351" t="s">
        <v>27</v>
      </c>
      <c r="AD1351" t="s">
        <v>42</v>
      </c>
      <c r="AE1351" t="s">
        <v>25</v>
      </c>
      <c r="AF13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0.43478260869565216</v>
      </c>
      <c r="AG1351" t="s">
        <v>942</v>
      </c>
      <c r="AH1351">
        <v>73</v>
      </c>
      <c r="AI1351" t="s">
        <v>939</v>
      </c>
      <c r="AJ1351">
        <v>1</v>
      </c>
      <c r="AK13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MIN(AJ1351/8, 1) +
  Merge1[[#This Row],[index_defensive_effort]],
  2
)</f>
        <v>1.26</v>
      </c>
    </row>
    <row r="1352" spans="1:37" x14ac:dyDescent="0.25">
      <c r="A1352" t="s">
        <v>485</v>
      </c>
      <c r="B1352" t="s">
        <v>486</v>
      </c>
      <c r="C1352">
        <v>32</v>
      </c>
      <c r="D1352" t="s">
        <v>56</v>
      </c>
      <c r="E1352">
        <v>70</v>
      </c>
      <c r="F1352">
        <v>190</v>
      </c>
      <c r="G1352" t="s">
        <v>28</v>
      </c>
      <c r="H1352">
        <v>2020</v>
      </c>
      <c r="I1352" t="s">
        <v>33</v>
      </c>
      <c r="J1352">
        <v>14</v>
      </c>
      <c r="K1352">
        <v>3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69</v>
      </c>
      <c r="T1352">
        <v>69</v>
      </c>
      <c r="U1352" s="5">
        <f>IF(Merge1[[#This Row],[team_defense_snaps]]=0, "", Merge1[[#This Row],[defense_snaps]] / Merge1[[#This Row],[team_defense_snaps]])</f>
        <v>1</v>
      </c>
      <c r="V1352">
        <v>69</v>
      </c>
      <c r="W1352">
        <v>0</v>
      </c>
      <c r="X1352" s="5" t="s">
        <v>29</v>
      </c>
      <c r="Y1352">
        <v>8</v>
      </c>
      <c r="Z1352">
        <v>0</v>
      </c>
      <c r="AA1352" t="s">
        <v>25</v>
      </c>
      <c r="AB1352" t="s">
        <v>26</v>
      </c>
      <c r="AC1352" t="s">
        <v>27</v>
      </c>
      <c r="AD1352" t="s">
        <v>42</v>
      </c>
      <c r="AE1352" t="s">
        <v>25</v>
      </c>
      <c r="AF13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4.3478260869565216E-2</v>
      </c>
      <c r="AG1352" t="s">
        <v>942</v>
      </c>
      <c r="AH1352">
        <v>71.5</v>
      </c>
      <c r="AI1352" t="s">
        <v>939</v>
      </c>
      <c r="AJ1352">
        <v>2</v>
      </c>
      <c r="AK13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MIN(AJ1352/8, 1) +
  Merge1[[#This Row],[index_defensive_effort]],
  2
)</f>
        <v>0.99</v>
      </c>
    </row>
    <row r="1353" spans="1:37" x14ac:dyDescent="0.25">
      <c r="A1353" t="s">
        <v>485</v>
      </c>
      <c r="B1353" t="s">
        <v>486</v>
      </c>
      <c r="C1353">
        <v>32</v>
      </c>
      <c r="D1353" t="s">
        <v>56</v>
      </c>
      <c r="E1353">
        <v>70</v>
      </c>
      <c r="F1353">
        <v>190</v>
      </c>
      <c r="G1353" t="s">
        <v>28</v>
      </c>
      <c r="H1353">
        <v>2020</v>
      </c>
      <c r="I1353" t="s">
        <v>33</v>
      </c>
      <c r="J1353">
        <v>15</v>
      </c>
      <c r="K1353">
        <v>4</v>
      </c>
      <c r="L1353">
        <v>2</v>
      </c>
      <c r="M1353">
        <v>0</v>
      </c>
      <c r="N1353">
        <v>2</v>
      </c>
      <c r="O1353">
        <v>0</v>
      </c>
      <c r="P1353">
        <v>0</v>
      </c>
      <c r="Q1353">
        <v>0</v>
      </c>
      <c r="R1353">
        <v>0</v>
      </c>
      <c r="S1353">
        <v>99</v>
      </c>
      <c r="T1353">
        <v>97</v>
      </c>
      <c r="U1353" s="5">
        <f>IF(Merge1[[#This Row],[team_defense_snaps]]=0, "", Merge1[[#This Row],[defense_snaps]] / Merge1[[#This Row],[team_defense_snaps]])</f>
        <v>0.97979797979797978</v>
      </c>
      <c r="V1353">
        <v>99</v>
      </c>
      <c r="W1353">
        <v>2</v>
      </c>
      <c r="X1353" s="5" t="s">
        <v>114</v>
      </c>
      <c r="Y1353">
        <v>8</v>
      </c>
      <c r="Z1353">
        <v>0</v>
      </c>
      <c r="AA1353" t="s">
        <v>25</v>
      </c>
      <c r="AB1353" t="s">
        <v>26</v>
      </c>
      <c r="AC1353" t="s">
        <v>27</v>
      </c>
      <c r="AD1353" t="s">
        <v>42</v>
      </c>
      <c r="AE1353" t="s">
        <v>25</v>
      </c>
      <c r="AF13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5.0505050505050504E-2</v>
      </c>
      <c r="AG1353" t="s">
        <v>942</v>
      </c>
      <c r="AH1353">
        <v>61</v>
      </c>
      <c r="AI1353" t="s">
        <v>939</v>
      </c>
      <c r="AJ1353">
        <v>3</v>
      </c>
      <c r="AK13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MIN(AJ1353/8, 1) +
  Merge1[[#This Row],[index_defensive_effort]],
  2
)</f>
        <v>1.1299999999999999</v>
      </c>
    </row>
    <row r="1354" spans="1:37" x14ac:dyDescent="0.25">
      <c r="A1354" t="s">
        <v>485</v>
      </c>
      <c r="B1354" t="s">
        <v>486</v>
      </c>
      <c r="C1354">
        <v>32</v>
      </c>
      <c r="D1354" t="s">
        <v>56</v>
      </c>
      <c r="E1354">
        <v>70</v>
      </c>
      <c r="F1354">
        <v>190</v>
      </c>
      <c r="G1354" t="s">
        <v>28</v>
      </c>
      <c r="H1354">
        <v>2020</v>
      </c>
      <c r="I1354" t="s">
        <v>33</v>
      </c>
      <c r="J1354">
        <v>16</v>
      </c>
      <c r="K1354">
        <v>2</v>
      </c>
      <c r="L1354">
        <v>2</v>
      </c>
      <c r="M1354">
        <v>1</v>
      </c>
      <c r="N1354">
        <v>3</v>
      </c>
      <c r="O1354">
        <v>0</v>
      </c>
      <c r="P1354">
        <v>0</v>
      </c>
      <c r="Q1354">
        <v>0</v>
      </c>
      <c r="R1354">
        <v>0</v>
      </c>
      <c r="S1354">
        <v>61</v>
      </c>
      <c r="T1354">
        <v>61</v>
      </c>
      <c r="U1354" s="5">
        <f>IF(Merge1[[#This Row],[team_defense_snaps]]=0, "", Merge1[[#This Row],[defense_snaps]] / Merge1[[#This Row],[team_defense_snaps]])</f>
        <v>0.953125</v>
      </c>
      <c r="V1354">
        <v>64</v>
      </c>
      <c r="W1354">
        <v>0</v>
      </c>
      <c r="X1354" s="5" t="s">
        <v>29</v>
      </c>
      <c r="Y1354">
        <v>8</v>
      </c>
      <c r="Z1354">
        <v>0</v>
      </c>
      <c r="AA1354" t="s">
        <v>25</v>
      </c>
      <c r="AB1354" t="s">
        <v>26</v>
      </c>
      <c r="AC1354" t="s">
        <v>27</v>
      </c>
      <c r="AD1354" t="s">
        <v>42</v>
      </c>
      <c r="AE1354" t="s">
        <v>25</v>
      </c>
      <c r="AF13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5.737704918032787E-2</v>
      </c>
      <c r="AG1354" t="s">
        <v>942</v>
      </c>
      <c r="AH1354">
        <v>82</v>
      </c>
      <c r="AI1354" t="s">
        <v>939</v>
      </c>
      <c r="AJ1354">
        <v>4</v>
      </c>
      <c r="AK13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MIN(AJ1354/8, 1) +
  Merge1[[#This Row],[index_defensive_effort]],
  2
)</f>
        <v>1.26</v>
      </c>
    </row>
    <row r="1355" spans="1:37" x14ac:dyDescent="0.25">
      <c r="A1355" t="s">
        <v>485</v>
      </c>
      <c r="B1355" t="s">
        <v>486</v>
      </c>
      <c r="C1355">
        <v>32</v>
      </c>
      <c r="D1355" t="s">
        <v>56</v>
      </c>
      <c r="E1355">
        <v>70</v>
      </c>
      <c r="F1355">
        <v>190</v>
      </c>
      <c r="G1355" t="s">
        <v>28</v>
      </c>
      <c r="H1355">
        <v>2020</v>
      </c>
      <c r="I1355" t="s">
        <v>33</v>
      </c>
      <c r="J1355">
        <v>17</v>
      </c>
      <c r="K1355">
        <v>5</v>
      </c>
      <c r="L1355">
        <v>0</v>
      </c>
      <c r="M1355">
        <v>0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57</v>
      </c>
      <c r="T1355">
        <v>57</v>
      </c>
      <c r="U1355" s="5">
        <f>IF(Merge1[[#This Row],[team_defense_snaps]]=0, "", Merge1[[#This Row],[defense_snaps]] / Merge1[[#This Row],[team_defense_snaps]])</f>
        <v>0.91935483870967738</v>
      </c>
      <c r="V1355">
        <v>62</v>
      </c>
      <c r="W1355">
        <v>0</v>
      </c>
      <c r="X1355" s="5" t="s">
        <v>29</v>
      </c>
      <c r="Y1355">
        <v>8</v>
      </c>
      <c r="Z1355">
        <v>0</v>
      </c>
      <c r="AA1355" t="s">
        <v>25</v>
      </c>
      <c r="AB1355" t="s">
        <v>26</v>
      </c>
      <c r="AC1355" t="s">
        <v>27</v>
      </c>
      <c r="AD1355" t="s">
        <v>42</v>
      </c>
      <c r="AE1355" t="s">
        <v>25</v>
      </c>
      <c r="AF13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0.12280701754385964</v>
      </c>
      <c r="AG1355" t="s">
        <v>942</v>
      </c>
      <c r="AH1355">
        <v>76</v>
      </c>
      <c r="AI1355" t="s">
        <v>939</v>
      </c>
      <c r="AJ1355">
        <v>5</v>
      </c>
      <c r="AK13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MIN(AJ1355/8, 1) +
  Merge1[[#This Row],[index_defensive_effort]],
  2
)</f>
        <v>1.45</v>
      </c>
    </row>
    <row r="1356" spans="1:37" x14ac:dyDescent="0.25">
      <c r="A1356" t="s">
        <v>485</v>
      </c>
      <c r="B1356" t="s">
        <v>486</v>
      </c>
      <c r="C1356">
        <v>32</v>
      </c>
      <c r="D1356" t="s">
        <v>56</v>
      </c>
      <c r="E1356">
        <v>70</v>
      </c>
      <c r="F1356">
        <v>190</v>
      </c>
      <c r="G1356" t="s">
        <v>28</v>
      </c>
      <c r="H1356">
        <v>2020</v>
      </c>
      <c r="I1356" t="s">
        <v>24</v>
      </c>
      <c r="J1356">
        <v>18</v>
      </c>
      <c r="K1356">
        <v>5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51</v>
      </c>
      <c r="T1356">
        <v>49</v>
      </c>
      <c r="U1356" s="5">
        <f>IF(Merge1[[#This Row],[team_defense_snaps]]=0, "", Merge1[[#This Row],[defense_snaps]] / Merge1[[#This Row],[team_defense_snaps]])</f>
        <v>1</v>
      </c>
      <c r="V1356">
        <v>49</v>
      </c>
      <c r="W1356">
        <v>2</v>
      </c>
      <c r="X1356" s="5" t="s">
        <v>167</v>
      </c>
      <c r="Y1356">
        <v>8</v>
      </c>
      <c r="Z1356">
        <v>0</v>
      </c>
      <c r="AA1356" t="s">
        <v>25</v>
      </c>
      <c r="AB1356" t="s">
        <v>26</v>
      </c>
      <c r="AC1356" t="s">
        <v>27</v>
      </c>
      <c r="AD1356" t="s">
        <v>42</v>
      </c>
      <c r="AE1356" t="s">
        <v>25</v>
      </c>
      <c r="AF13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0.13725490196078433</v>
      </c>
      <c r="AG1356" t="s">
        <v>942</v>
      </c>
      <c r="AH1356">
        <v>64</v>
      </c>
      <c r="AI1356" t="s">
        <v>939</v>
      </c>
      <c r="AJ1356">
        <v>6</v>
      </c>
      <c r="AK13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MIN(AJ1356/8, 1) +
  Merge1[[#This Row],[index_defensive_effort]],
  2
)</f>
        <v>1.79</v>
      </c>
    </row>
    <row r="1357" spans="1:37" x14ac:dyDescent="0.25">
      <c r="A1357" t="s">
        <v>485</v>
      </c>
      <c r="B1357" t="s">
        <v>486</v>
      </c>
      <c r="C1357">
        <v>32</v>
      </c>
      <c r="D1357" t="s">
        <v>56</v>
      </c>
      <c r="E1357">
        <v>70</v>
      </c>
      <c r="F1357">
        <v>190</v>
      </c>
      <c r="G1357" t="s">
        <v>28</v>
      </c>
      <c r="H1357">
        <v>2020</v>
      </c>
      <c r="I1357" t="s">
        <v>24</v>
      </c>
      <c r="J1357">
        <v>19</v>
      </c>
      <c r="K1357">
        <v>3</v>
      </c>
      <c r="L1357">
        <v>1</v>
      </c>
      <c r="M1357">
        <v>0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65</v>
      </c>
      <c r="T1357">
        <v>64</v>
      </c>
      <c r="U1357" s="5">
        <f>IF(Merge1[[#This Row],[team_defense_snaps]]=0, "", Merge1[[#This Row],[defense_snaps]] / Merge1[[#This Row],[team_defense_snaps]])</f>
        <v>0.91428571428571426</v>
      </c>
      <c r="V1357">
        <v>70</v>
      </c>
      <c r="W1357">
        <v>1</v>
      </c>
      <c r="X1357" s="5" t="s">
        <v>193</v>
      </c>
      <c r="Y1357">
        <v>8</v>
      </c>
      <c r="Z1357">
        <v>0</v>
      </c>
      <c r="AA1357" t="s">
        <v>25</v>
      </c>
      <c r="AB1357" t="s">
        <v>26</v>
      </c>
      <c r="AC1357" t="s">
        <v>27</v>
      </c>
      <c r="AD1357" t="s">
        <v>42</v>
      </c>
      <c r="AE1357" t="s">
        <v>25</v>
      </c>
      <c r="AF13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5.3846153846153849E-2</v>
      </c>
      <c r="AG1357" t="s">
        <v>942</v>
      </c>
      <c r="AH1357">
        <v>74.5</v>
      </c>
      <c r="AI1357" t="s">
        <v>939</v>
      </c>
      <c r="AJ1357">
        <v>1</v>
      </c>
      <c r="AK13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MIN(AJ1357/8, 1) +
  Merge1[[#This Row],[index_defensive_effort]],
  2
)</f>
        <v>1.08</v>
      </c>
    </row>
    <row r="1358" spans="1:37" x14ac:dyDescent="0.25">
      <c r="A1358" t="s">
        <v>487</v>
      </c>
      <c r="B1358" t="s">
        <v>488</v>
      </c>
      <c r="C1358">
        <v>25</v>
      </c>
      <c r="D1358" t="s">
        <v>22</v>
      </c>
      <c r="E1358">
        <v>70</v>
      </c>
      <c r="F1358">
        <v>191</v>
      </c>
      <c r="G1358" t="s">
        <v>339</v>
      </c>
      <c r="H1358">
        <v>2020</v>
      </c>
      <c r="I1358" t="s">
        <v>33</v>
      </c>
      <c r="J1358">
        <v>17</v>
      </c>
      <c r="K1358">
        <v>1</v>
      </c>
      <c r="L1358">
        <v>1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68</v>
      </c>
      <c r="T1358">
        <v>41</v>
      </c>
      <c r="U1358" s="5">
        <f>IF(Merge1[[#This Row],[team_defense_snaps]]=0, "", Merge1[[#This Row],[defense_snaps]] / Merge1[[#This Row],[team_defense_snaps]])</f>
        <v>0.48809523809523808</v>
      </c>
      <c r="V1358">
        <v>84</v>
      </c>
      <c r="W1358">
        <v>27</v>
      </c>
      <c r="X1358" s="5" t="s">
        <v>81</v>
      </c>
      <c r="Y1358">
        <v>1</v>
      </c>
      <c r="Z1358">
        <v>0</v>
      </c>
      <c r="AA1358" t="s">
        <v>25</v>
      </c>
      <c r="AB1358" t="s">
        <v>26</v>
      </c>
      <c r="AC1358" t="s">
        <v>27</v>
      </c>
      <c r="AD1358" t="s">
        <v>28</v>
      </c>
      <c r="AE1358" t="s">
        <v>25</v>
      </c>
      <c r="AF13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2.2058823529411766E-2</v>
      </c>
      <c r="AG1358" t="s">
        <v>942</v>
      </c>
      <c r="AH1358">
        <v>44</v>
      </c>
      <c r="AI1358" t="s">
        <v>939</v>
      </c>
      <c r="AJ1358">
        <v>1</v>
      </c>
      <c r="AK13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MIN(AJ1358/8, 1) +
  Merge1[[#This Row],[index_defensive_effort]],
  2
)</f>
        <v>0.65</v>
      </c>
    </row>
    <row r="1359" spans="1:37" x14ac:dyDescent="0.25">
      <c r="A1359" t="s">
        <v>540</v>
      </c>
      <c r="B1359" t="s">
        <v>541</v>
      </c>
      <c r="C1359">
        <v>28</v>
      </c>
      <c r="D1359" t="s">
        <v>22</v>
      </c>
      <c r="E1359">
        <v>73</v>
      </c>
      <c r="F1359">
        <v>215</v>
      </c>
      <c r="G1359" t="s">
        <v>144</v>
      </c>
      <c r="H1359">
        <v>2020</v>
      </c>
      <c r="I1359" t="s">
        <v>33</v>
      </c>
      <c r="J1359">
        <v>1</v>
      </c>
      <c r="K1359">
        <v>5</v>
      </c>
      <c r="L1359">
        <v>2</v>
      </c>
      <c r="M1359">
        <v>0</v>
      </c>
      <c r="N1359">
        <v>2</v>
      </c>
      <c r="O1359">
        <v>0</v>
      </c>
      <c r="P1359">
        <v>0</v>
      </c>
      <c r="Q1359">
        <v>2</v>
      </c>
      <c r="R1359">
        <v>1</v>
      </c>
      <c r="S1359">
        <v>93</v>
      </c>
      <c r="T1359">
        <v>82</v>
      </c>
      <c r="U1359" s="5">
        <f>IF(Merge1[[#This Row],[team_defense_snaps]]=0, "", Merge1[[#This Row],[defense_snaps]] / Merge1[[#This Row],[team_defense_snaps]])</f>
        <v>0.82</v>
      </c>
      <c r="V1359">
        <v>100</v>
      </c>
      <c r="W1359">
        <v>11</v>
      </c>
      <c r="X1359" s="5" t="s">
        <v>57</v>
      </c>
      <c r="Y1359">
        <v>5</v>
      </c>
      <c r="Z1359">
        <v>0</v>
      </c>
      <c r="AA1359" t="s">
        <v>25</v>
      </c>
      <c r="AB1359" t="s">
        <v>26</v>
      </c>
      <c r="AC1359" t="s">
        <v>27</v>
      </c>
      <c r="AD1359" t="s">
        <v>42</v>
      </c>
      <c r="AE1359" t="s">
        <v>25</v>
      </c>
      <c r="AF13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0.17204301075268819</v>
      </c>
      <c r="AG1359" t="s">
        <v>941</v>
      </c>
      <c r="AH1359">
        <v>76.5</v>
      </c>
      <c r="AI1359" t="s">
        <v>939</v>
      </c>
      <c r="AJ1359">
        <v>2</v>
      </c>
      <c r="AK13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MIN(AJ1359/8, 1) +
  Merge1[[#This Row],[index_defensive_effort]],
  2
)</f>
        <v>1.02</v>
      </c>
    </row>
    <row r="1360" spans="1:37" x14ac:dyDescent="0.25">
      <c r="A1360" t="s">
        <v>540</v>
      </c>
      <c r="B1360" t="s">
        <v>541</v>
      </c>
      <c r="C1360">
        <v>28</v>
      </c>
      <c r="D1360" t="s">
        <v>22</v>
      </c>
      <c r="E1360">
        <v>73</v>
      </c>
      <c r="F1360">
        <v>215</v>
      </c>
      <c r="G1360" t="s">
        <v>144</v>
      </c>
      <c r="H1360">
        <v>2020</v>
      </c>
      <c r="I1360" t="s">
        <v>33</v>
      </c>
      <c r="J1360">
        <v>2</v>
      </c>
      <c r="K1360">
        <v>3</v>
      </c>
      <c r="L1360">
        <v>1</v>
      </c>
      <c r="M1360">
        <v>0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62</v>
      </c>
      <c r="T1360">
        <v>52</v>
      </c>
      <c r="U1360" s="5">
        <f>IF(Merge1[[#This Row],[team_defense_snaps]]=0, "", Merge1[[#This Row],[defense_snaps]] / Merge1[[#This Row],[team_defense_snaps]])</f>
        <v>0.77611940298507465</v>
      </c>
      <c r="V1360">
        <v>67</v>
      </c>
      <c r="W1360">
        <v>10</v>
      </c>
      <c r="X1360" s="5" t="s">
        <v>60</v>
      </c>
      <c r="Y1360">
        <v>5</v>
      </c>
      <c r="Z1360">
        <v>0</v>
      </c>
      <c r="AA1360" t="s">
        <v>25</v>
      </c>
      <c r="AB1360" t="s">
        <v>26</v>
      </c>
      <c r="AC1360" t="s">
        <v>27</v>
      </c>
      <c r="AD1360" t="s">
        <v>42</v>
      </c>
      <c r="AE1360" t="s">
        <v>25</v>
      </c>
      <c r="AF13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5.6451612903225805E-2</v>
      </c>
      <c r="AG1360" t="s">
        <v>941</v>
      </c>
      <c r="AH1360">
        <v>66</v>
      </c>
      <c r="AI1360" t="s">
        <v>939</v>
      </c>
      <c r="AJ1360">
        <v>3</v>
      </c>
      <c r="AK13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MIN(AJ1360/8, 1) +
  Merge1[[#This Row],[index_defensive_effort]],
  2
)</f>
        <v>1.03</v>
      </c>
    </row>
    <row r="1361" spans="1:37" x14ac:dyDescent="0.25">
      <c r="A1361" t="s">
        <v>540</v>
      </c>
      <c r="B1361" t="s">
        <v>541</v>
      </c>
      <c r="C1361">
        <v>28</v>
      </c>
      <c r="D1361" t="s">
        <v>22</v>
      </c>
      <c r="E1361">
        <v>73</v>
      </c>
      <c r="F1361">
        <v>215</v>
      </c>
      <c r="G1361" t="s">
        <v>144</v>
      </c>
      <c r="H1361">
        <v>2020</v>
      </c>
      <c r="I1361" t="s">
        <v>33</v>
      </c>
      <c r="J1361">
        <v>3</v>
      </c>
      <c r="K1361">
        <v>2</v>
      </c>
      <c r="L1361">
        <v>1</v>
      </c>
      <c r="M1361">
        <v>0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53</v>
      </c>
      <c r="T1361">
        <v>45</v>
      </c>
      <c r="U1361" s="5">
        <f>IF(Merge1[[#This Row],[team_defense_snaps]]=0, "", Merge1[[#This Row],[defense_snaps]] / Merge1[[#This Row],[team_defense_snaps]])</f>
        <v>0.83333333333333337</v>
      </c>
      <c r="V1361">
        <v>54</v>
      </c>
      <c r="W1361">
        <v>8</v>
      </c>
      <c r="X1361" s="5" t="s">
        <v>108</v>
      </c>
      <c r="Y1361">
        <v>5</v>
      </c>
      <c r="Z1361">
        <v>0</v>
      </c>
      <c r="AA1361" t="s">
        <v>25</v>
      </c>
      <c r="AB1361" t="s">
        <v>26</v>
      </c>
      <c r="AC1361" t="s">
        <v>27</v>
      </c>
      <c r="AD1361" t="s">
        <v>42</v>
      </c>
      <c r="AE1361" t="s">
        <v>25</v>
      </c>
      <c r="AF13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4.716981132075472E-2</v>
      </c>
      <c r="AG1361" t="s">
        <v>941</v>
      </c>
      <c r="AH1361">
        <v>72</v>
      </c>
      <c r="AI1361" t="s">
        <v>939</v>
      </c>
      <c r="AJ1361">
        <v>4</v>
      </c>
      <c r="AK13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MIN(AJ1361/8, 1) +
  Merge1[[#This Row],[index_defensive_effort]],
  2
)</f>
        <v>1.1499999999999999</v>
      </c>
    </row>
    <row r="1362" spans="1:37" x14ac:dyDescent="0.25">
      <c r="A1362" t="s">
        <v>540</v>
      </c>
      <c r="B1362" t="s">
        <v>541</v>
      </c>
      <c r="C1362">
        <v>28</v>
      </c>
      <c r="D1362" t="s">
        <v>22</v>
      </c>
      <c r="E1362">
        <v>73</v>
      </c>
      <c r="F1362">
        <v>215</v>
      </c>
      <c r="G1362" t="s">
        <v>144</v>
      </c>
      <c r="H1362">
        <v>2020</v>
      </c>
      <c r="I1362" t="s">
        <v>33</v>
      </c>
      <c r="J1362">
        <v>4</v>
      </c>
      <c r="K1362">
        <v>4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70</v>
      </c>
      <c r="T1362">
        <v>62</v>
      </c>
      <c r="U1362" s="5">
        <f>IF(Merge1[[#This Row],[team_defense_snaps]]=0, "", Merge1[[#This Row],[defense_snaps]] / Merge1[[#This Row],[team_defense_snaps]])</f>
        <v>1</v>
      </c>
      <c r="V1362">
        <v>62</v>
      </c>
      <c r="W1362">
        <v>8</v>
      </c>
      <c r="X1362" s="5" t="s">
        <v>123</v>
      </c>
      <c r="Y1362">
        <v>5</v>
      </c>
      <c r="Z1362">
        <v>0</v>
      </c>
      <c r="AA1362" t="s">
        <v>25</v>
      </c>
      <c r="AB1362" t="s">
        <v>26</v>
      </c>
      <c r="AC1362" t="s">
        <v>27</v>
      </c>
      <c r="AD1362" t="s">
        <v>42</v>
      </c>
      <c r="AE1362" t="s">
        <v>25</v>
      </c>
      <c r="AF13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5.7142857142857141E-2</v>
      </c>
      <c r="AG1362" t="s">
        <v>941</v>
      </c>
      <c r="AH1362">
        <v>78</v>
      </c>
      <c r="AI1362" t="s">
        <v>939</v>
      </c>
      <c r="AJ1362">
        <v>5</v>
      </c>
      <c r="AK13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MIN(AJ1362/8, 1) +
  Merge1[[#This Row],[index_defensive_effort]],
  2
)</f>
        <v>1.28</v>
      </c>
    </row>
    <row r="1363" spans="1:37" x14ac:dyDescent="0.25">
      <c r="A1363" t="s">
        <v>540</v>
      </c>
      <c r="B1363" t="s">
        <v>541</v>
      </c>
      <c r="C1363">
        <v>28</v>
      </c>
      <c r="D1363" t="s">
        <v>22</v>
      </c>
      <c r="E1363">
        <v>73</v>
      </c>
      <c r="F1363">
        <v>215</v>
      </c>
      <c r="G1363" t="s">
        <v>144</v>
      </c>
      <c r="H1363">
        <v>2020</v>
      </c>
      <c r="I1363" t="s">
        <v>33</v>
      </c>
      <c r="J1363">
        <v>5</v>
      </c>
      <c r="K1363">
        <v>5</v>
      </c>
      <c r="L1363">
        <v>2</v>
      </c>
      <c r="M1363">
        <v>1</v>
      </c>
      <c r="N1363">
        <v>3</v>
      </c>
      <c r="O1363">
        <v>0</v>
      </c>
      <c r="P1363">
        <v>1</v>
      </c>
      <c r="Q1363">
        <v>0</v>
      </c>
      <c r="R1363">
        <v>0</v>
      </c>
      <c r="S1363">
        <v>79</v>
      </c>
      <c r="T1363">
        <v>67</v>
      </c>
      <c r="U1363" s="5">
        <f>IF(Merge1[[#This Row],[team_defense_snaps]]=0, "", Merge1[[#This Row],[defense_snaps]] / Merge1[[#This Row],[team_defense_snaps]])</f>
        <v>1</v>
      </c>
      <c r="V1363">
        <v>67</v>
      </c>
      <c r="W1363">
        <v>12</v>
      </c>
      <c r="X1363" s="5" t="s">
        <v>57</v>
      </c>
      <c r="Y1363">
        <v>5</v>
      </c>
      <c r="Z1363">
        <v>0</v>
      </c>
      <c r="AA1363" t="s">
        <v>25</v>
      </c>
      <c r="AB1363" t="s">
        <v>26</v>
      </c>
      <c r="AC1363" t="s">
        <v>27</v>
      </c>
      <c r="AD1363" t="s">
        <v>42</v>
      </c>
      <c r="AE1363" t="s">
        <v>25</v>
      </c>
      <c r="AF13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0.10759493670886076</v>
      </c>
      <c r="AG1363" t="s">
        <v>941</v>
      </c>
      <c r="AH1363">
        <v>75</v>
      </c>
      <c r="AI1363" t="s">
        <v>939</v>
      </c>
      <c r="AJ1363">
        <v>1</v>
      </c>
      <c r="AK13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MIN(AJ1363/8, 1) +
  Merge1[[#This Row],[index_defensive_effort]],
  2
)</f>
        <v>0.83</v>
      </c>
    </row>
    <row r="1364" spans="1:37" x14ac:dyDescent="0.25">
      <c r="A1364" t="s">
        <v>540</v>
      </c>
      <c r="B1364" t="s">
        <v>541</v>
      </c>
      <c r="C1364">
        <v>28</v>
      </c>
      <c r="D1364" t="s">
        <v>22</v>
      </c>
      <c r="E1364">
        <v>73</v>
      </c>
      <c r="F1364">
        <v>215</v>
      </c>
      <c r="G1364" t="s">
        <v>144</v>
      </c>
      <c r="H1364">
        <v>2020</v>
      </c>
      <c r="I1364" t="s">
        <v>33</v>
      </c>
      <c r="J1364">
        <v>9</v>
      </c>
      <c r="K1364">
        <v>3</v>
      </c>
      <c r="L1364">
        <v>4</v>
      </c>
      <c r="M1364">
        <v>1</v>
      </c>
      <c r="N1364">
        <v>5</v>
      </c>
      <c r="O1364">
        <v>0</v>
      </c>
      <c r="P1364">
        <v>0</v>
      </c>
      <c r="Q1364">
        <v>0</v>
      </c>
      <c r="R1364">
        <v>0</v>
      </c>
      <c r="S1364">
        <v>33</v>
      </c>
      <c r="T1364">
        <v>33</v>
      </c>
      <c r="U1364" s="5">
        <f>IF(Merge1[[#This Row],[team_defense_snaps]]=0, "", Merge1[[#This Row],[defense_snaps]] / Merge1[[#This Row],[team_defense_snaps]])</f>
        <v>0.5</v>
      </c>
      <c r="V1364">
        <v>66</v>
      </c>
      <c r="W1364">
        <v>0</v>
      </c>
      <c r="X1364" s="5" t="s">
        <v>29</v>
      </c>
      <c r="Y1364">
        <v>5</v>
      </c>
      <c r="Z1364">
        <v>0</v>
      </c>
      <c r="AA1364" t="s">
        <v>25</v>
      </c>
      <c r="AB1364" t="s">
        <v>36</v>
      </c>
      <c r="AC1364" t="s">
        <v>50</v>
      </c>
      <c r="AD1364" t="s">
        <v>42</v>
      </c>
      <c r="AE1364" t="s">
        <v>25</v>
      </c>
      <c r="AF13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AG1364" t="s">
        <v>941</v>
      </c>
      <c r="AH1364">
        <v>73.5</v>
      </c>
      <c r="AI1364" t="s">
        <v>939</v>
      </c>
      <c r="AJ1364">
        <v>1</v>
      </c>
      <c r="AK13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MIN(AJ1364/8, 1) +
  Merge1[[#This Row],[index_defensive_effort]],
  2
)</f>
        <v>0.89</v>
      </c>
    </row>
    <row r="1365" spans="1:37" x14ac:dyDescent="0.25">
      <c r="A1365" t="s">
        <v>562</v>
      </c>
      <c r="B1365" t="s">
        <v>563</v>
      </c>
      <c r="C1365">
        <v>26</v>
      </c>
      <c r="D1365" t="s">
        <v>22</v>
      </c>
      <c r="E1365">
        <v>74</v>
      </c>
      <c r="F1365">
        <v>210</v>
      </c>
      <c r="G1365" t="s">
        <v>180</v>
      </c>
      <c r="H1365">
        <v>2020</v>
      </c>
      <c r="I1365" t="s">
        <v>33</v>
      </c>
      <c r="J1365">
        <v>1</v>
      </c>
      <c r="K1365">
        <v>2</v>
      </c>
      <c r="L1365">
        <v>2</v>
      </c>
      <c r="M1365">
        <v>1</v>
      </c>
      <c r="N1365">
        <v>3</v>
      </c>
      <c r="O1365">
        <v>0</v>
      </c>
      <c r="P1365">
        <v>0</v>
      </c>
      <c r="Q1365">
        <v>0</v>
      </c>
      <c r="R1365">
        <v>0</v>
      </c>
      <c r="S1365">
        <v>68</v>
      </c>
      <c r="T1365">
        <v>63</v>
      </c>
      <c r="U1365" s="5">
        <f>IF(Merge1[[#This Row],[team_defense_snaps]]=0, "", Merge1[[#This Row],[defense_snaps]] / Merge1[[#This Row],[team_defense_snaps]])</f>
        <v>0.85135135135135132</v>
      </c>
      <c r="V1365">
        <v>74</v>
      </c>
      <c r="W1365">
        <v>5</v>
      </c>
      <c r="X1365" s="5" t="s">
        <v>293</v>
      </c>
      <c r="Y1365">
        <v>4</v>
      </c>
      <c r="Z1365">
        <v>0</v>
      </c>
      <c r="AA1365" t="s">
        <v>25</v>
      </c>
      <c r="AB1365" t="s">
        <v>26</v>
      </c>
      <c r="AC1365" t="s">
        <v>27</v>
      </c>
      <c r="AD1365" t="s">
        <v>42</v>
      </c>
      <c r="AE1365" t="s">
        <v>25</v>
      </c>
      <c r="AF13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5.1470588235294115E-2</v>
      </c>
      <c r="AG1365" t="s">
        <v>941</v>
      </c>
      <c r="AH1365">
        <v>66.5</v>
      </c>
      <c r="AI1365" t="s">
        <v>938</v>
      </c>
      <c r="AJ1365">
        <v>1</v>
      </c>
      <c r="AK13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MIN(AJ1365/8, 1) +
  Merge1[[#This Row],[index_defensive_effort]],
  2
)</f>
        <v>0.68</v>
      </c>
    </row>
    <row r="1366" spans="1:37" x14ac:dyDescent="0.25">
      <c r="A1366" t="s">
        <v>562</v>
      </c>
      <c r="B1366" t="s">
        <v>563</v>
      </c>
      <c r="C1366">
        <v>26</v>
      </c>
      <c r="D1366" t="s">
        <v>22</v>
      </c>
      <c r="E1366">
        <v>74</v>
      </c>
      <c r="F1366">
        <v>210</v>
      </c>
      <c r="G1366" t="s">
        <v>180</v>
      </c>
      <c r="H1366">
        <v>2020</v>
      </c>
      <c r="I1366" t="s">
        <v>33</v>
      </c>
      <c r="J1366">
        <v>5</v>
      </c>
      <c r="K1366">
        <v>4</v>
      </c>
      <c r="L1366">
        <v>2</v>
      </c>
      <c r="M1366">
        <v>1</v>
      </c>
      <c r="N1366">
        <v>3</v>
      </c>
      <c r="O1366">
        <v>0</v>
      </c>
      <c r="P1366">
        <v>0</v>
      </c>
      <c r="Q1366">
        <v>2</v>
      </c>
      <c r="R1366">
        <v>0</v>
      </c>
      <c r="S1366">
        <v>69</v>
      </c>
      <c r="T1366">
        <v>58</v>
      </c>
      <c r="U1366" s="5">
        <f>IF(Merge1[[#This Row],[team_defense_snaps]]=0, "", Merge1[[#This Row],[defense_snaps]] / Merge1[[#This Row],[team_defense_snaps]])</f>
        <v>1</v>
      </c>
      <c r="V1366">
        <v>58</v>
      </c>
      <c r="W1366">
        <v>11</v>
      </c>
      <c r="X1366" s="5" t="s">
        <v>260</v>
      </c>
      <c r="Y1366">
        <v>4</v>
      </c>
      <c r="Z1366">
        <v>0</v>
      </c>
      <c r="AA1366" t="s">
        <v>25</v>
      </c>
      <c r="AB1366" t="s">
        <v>62</v>
      </c>
      <c r="AC1366" t="s">
        <v>27</v>
      </c>
      <c r="AD1366" t="s">
        <v>42</v>
      </c>
      <c r="AE1366" t="s">
        <v>25</v>
      </c>
      <c r="AF13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0.19565217391304349</v>
      </c>
      <c r="AG1366" t="s">
        <v>941</v>
      </c>
      <c r="AH1366">
        <v>69.5</v>
      </c>
      <c r="AI1366" t="s">
        <v>939</v>
      </c>
      <c r="AJ1366">
        <v>2</v>
      </c>
      <c r="AK13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MIN(AJ1366/8, 1) +
  Merge1[[#This Row],[index_defensive_effort]],
  2
)</f>
        <v>0.95</v>
      </c>
    </row>
    <row r="1367" spans="1:37" x14ac:dyDescent="0.25">
      <c r="A1367" t="s">
        <v>562</v>
      </c>
      <c r="B1367" t="s">
        <v>563</v>
      </c>
      <c r="C1367">
        <v>26</v>
      </c>
      <c r="D1367" t="s">
        <v>22</v>
      </c>
      <c r="E1367">
        <v>74</v>
      </c>
      <c r="F1367">
        <v>210</v>
      </c>
      <c r="G1367" t="s">
        <v>180</v>
      </c>
      <c r="H1367">
        <v>2020</v>
      </c>
      <c r="I1367" t="s">
        <v>33</v>
      </c>
      <c r="J1367">
        <v>6</v>
      </c>
      <c r="K1367">
        <v>4</v>
      </c>
      <c r="L1367">
        <v>1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55</v>
      </c>
      <c r="T1367">
        <v>51</v>
      </c>
      <c r="U1367" s="5">
        <f>IF(Merge1[[#This Row],[team_defense_snaps]]=0, "", Merge1[[#This Row],[defense_snaps]] / Merge1[[#This Row],[team_defense_snaps]])</f>
        <v>0.66233766233766234</v>
      </c>
      <c r="V1367">
        <v>77</v>
      </c>
      <c r="W1367">
        <v>4</v>
      </c>
      <c r="X1367" s="5" t="s">
        <v>168</v>
      </c>
      <c r="Y1367">
        <v>4</v>
      </c>
      <c r="Z1367">
        <v>0</v>
      </c>
      <c r="AA1367" t="s">
        <v>25</v>
      </c>
      <c r="AB1367" t="s">
        <v>26</v>
      </c>
      <c r="AC1367" t="s">
        <v>27</v>
      </c>
      <c r="AD1367" t="s">
        <v>42</v>
      </c>
      <c r="AE1367" t="s">
        <v>25</v>
      </c>
      <c r="AF13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8.1818181818181818E-2</v>
      </c>
      <c r="AG1367" t="s">
        <v>941</v>
      </c>
      <c r="AH1367">
        <v>80</v>
      </c>
      <c r="AI1367" t="s">
        <v>939</v>
      </c>
      <c r="AJ1367">
        <v>1</v>
      </c>
      <c r="AK13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MIN(AJ1367/8, 1) +
  Merge1[[#This Row],[index_defensive_effort]],
  2
)</f>
        <v>0.71</v>
      </c>
    </row>
    <row r="1368" spans="1:37" x14ac:dyDescent="0.25">
      <c r="A1368" t="s">
        <v>562</v>
      </c>
      <c r="B1368" t="s">
        <v>563</v>
      </c>
      <c r="C1368">
        <v>26</v>
      </c>
      <c r="D1368" t="s">
        <v>22</v>
      </c>
      <c r="E1368">
        <v>74</v>
      </c>
      <c r="F1368">
        <v>210</v>
      </c>
      <c r="G1368" t="s">
        <v>180</v>
      </c>
      <c r="H1368">
        <v>2020</v>
      </c>
      <c r="I1368" t="s">
        <v>33</v>
      </c>
      <c r="J1368">
        <v>9</v>
      </c>
      <c r="K1368">
        <v>2</v>
      </c>
      <c r="L1368">
        <v>1</v>
      </c>
      <c r="M1368">
        <v>0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64</v>
      </c>
      <c r="T1368">
        <v>64</v>
      </c>
      <c r="U1368" s="5">
        <f>IF(Merge1[[#This Row],[team_defense_snaps]]=0, "", Merge1[[#This Row],[defense_snaps]] / Merge1[[#This Row],[team_defense_snaps]])</f>
        <v>0.98461538461538467</v>
      </c>
      <c r="V1368">
        <v>65</v>
      </c>
      <c r="W1368">
        <v>0</v>
      </c>
      <c r="X1368" s="5" t="s">
        <v>29</v>
      </c>
      <c r="Y1368">
        <v>4</v>
      </c>
      <c r="Z1368">
        <v>0</v>
      </c>
      <c r="AA1368" t="s">
        <v>25</v>
      </c>
      <c r="AB1368" t="s">
        <v>26</v>
      </c>
      <c r="AC1368" t="s">
        <v>27</v>
      </c>
      <c r="AD1368" t="s">
        <v>42</v>
      </c>
      <c r="AE1368" t="s">
        <v>25</v>
      </c>
      <c r="AF13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3.90625E-2</v>
      </c>
      <c r="AG1368" t="s">
        <v>941</v>
      </c>
      <c r="AH1368">
        <v>63.5</v>
      </c>
      <c r="AI1368" t="s">
        <v>939</v>
      </c>
      <c r="AJ1368">
        <v>2</v>
      </c>
      <c r="AK13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MIN(AJ1368/8, 1) +
  Merge1[[#This Row],[index_defensive_effort]],
  2
)</f>
        <v>0.79</v>
      </c>
    </row>
    <row r="1369" spans="1:37" x14ac:dyDescent="0.25">
      <c r="A1369" t="s">
        <v>562</v>
      </c>
      <c r="B1369" t="s">
        <v>563</v>
      </c>
      <c r="C1369">
        <v>26</v>
      </c>
      <c r="D1369" t="s">
        <v>22</v>
      </c>
      <c r="E1369">
        <v>74</v>
      </c>
      <c r="F1369">
        <v>210</v>
      </c>
      <c r="G1369" t="s">
        <v>180</v>
      </c>
      <c r="H1369">
        <v>2020</v>
      </c>
      <c r="I1369" t="s">
        <v>33</v>
      </c>
      <c r="J1369">
        <v>10</v>
      </c>
      <c r="K1369">
        <v>1</v>
      </c>
      <c r="L1369">
        <v>4</v>
      </c>
      <c r="M1369">
        <v>3</v>
      </c>
      <c r="N1369">
        <v>7</v>
      </c>
      <c r="O1369">
        <v>0</v>
      </c>
      <c r="P1369">
        <v>0</v>
      </c>
      <c r="Q1369">
        <v>0</v>
      </c>
      <c r="R1369">
        <v>0</v>
      </c>
      <c r="S1369">
        <v>67</v>
      </c>
      <c r="T1369">
        <v>65</v>
      </c>
      <c r="U1369" s="5">
        <f>IF(Merge1[[#This Row],[team_defense_snaps]]=0, "", Merge1[[#This Row],[defense_snaps]] / Merge1[[#This Row],[team_defense_snaps]])</f>
        <v>0.97014925373134331</v>
      </c>
      <c r="V1369">
        <v>67</v>
      </c>
      <c r="W1369">
        <v>2</v>
      </c>
      <c r="X1369" s="5" t="s">
        <v>208</v>
      </c>
      <c r="Y1369">
        <v>4</v>
      </c>
      <c r="Z1369">
        <v>0</v>
      </c>
      <c r="AA1369" t="s">
        <v>25</v>
      </c>
      <c r="AB1369" t="s">
        <v>26</v>
      </c>
      <c r="AC1369" t="s">
        <v>27</v>
      </c>
      <c r="AD1369" t="s">
        <v>42</v>
      </c>
      <c r="AE1369" t="s">
        <v>25</v>
      </c>
      <c r="AF13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6.7164179104477612E-2</v>
      </c>
      <c r="AG1369" t="s">
        <v>941</v>
      </c>
      <c r="AH1369">
        <v>72.5</v>
      </c>
      <c r="AI1369" t="s">
        <v>939</v>
      </c>
      <c r="AJ1369">
        <v>3</v>
      </c>
      <c r="AK13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MIN(AJ1369/8, 1) +
  Merge1[[#This Row],[index_defensive_effort]],
  2
)</f>
        <v>0.94</v>
      </c>
    </row>
    <row r="1370" spans="1:37" x14ac:dyDescent="0.25">
      <c r="A1370" t="s">
        <v>562</v>
      </c>
      <c r="B1370" t="s">
        <v>563</v>
      </c>
      <c r="C1370">
        <v>26</v>
      </c>
      <c r="D1370" t="s">
        <v>22</v>
      </c>
      <c r="E1370">
        <v>74</v>
      </c>
      <c r="F1370">
        <v>210</v>
      </c>
      <c r="G1370" t="s">
        <v>180</v>
      </c>
      <c r="H1370">
        <v>2020</v>
      </c>
      <c r="I1370" t="s">
        <v>33</v>
      </c>
      <c r="J1370">
        <v>11</v>
      </c>
      <c r="K1370">
        <v>7</v>
      </c>
      <c r="L1370">
        <v>3</v>
      </c>
      <c r="M1370">
        <v>0</v>
      </c>
      <c r="N1370">
        <v>3</v>
      </c>
      <c r="O1370">
        <v>0</v>
      </c>
      <c r="P1370">
        <v>1</v>
      </c>
      <c r="Q1370">
        <v>0</v>
      </c>
      <c r="R1370">
        <v>0</v>
      </c>
      <c r="S1370">
        <v>73</v>
      </c>
      <c r="T1370">
        <v>68</v>
      </c>
      <c r="U1370" s="5">
        <f>IF(Merge1[[#This Row],[team_defense_snaps]]=0, "", Merge1[[#This Row],[defense_snaps]] / Merge1[[#This Row],[team_defense_snaps]])</f>
        <v>0.85</v>
      </c>
      <c r="V1370">
        <v>80</v>
      </c>
      <c r="W1370">
        <v>5</v>
      </c>
      <c r="X1370" s="5" t="s">
        <v>59</v>
      </c>
      <c r="Y1370">
        <v>4</v>
      </c>
      <c r="Z1370">
        <v>0</v>
      </c>
      <c r="AA1370" t="s">
        <v>25</v>
      </c>
      <c r="AB1370" t="s">
        <v>26</v>
      </c>
      <c r="AC1370" t="s">
        <v>27</v>
      </c>
      <c r="AD1370" t="s">
        <v>42</v>
      </c>
      <c r="AE1370" t="s">
        <v>25</v>
      </c>
      <c r="AF13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0.14383561643835616</v>
      </c>
      <c r="AG1370" t="s">
        <v>941</v>
      </c>
      <c r="AH1370">
        <v>62</v>
      </c>
      <c r="AI1370" t="s">
        <v>939</v>
      </c>
      <c r="AJ1370">
        <v>4</v>
      </c>
      <c r="AK13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MIN(AJ1370/8, 1) +
  Merge1[[#This Row],[index_defensive_effort]],
  2
)</f>
        <v>1.1399999999999999</v>
      </c>
    </row>
    <row r="1371" spans="1:37" x14ac:dyDescent="0.25">
      <c r="A1371" t="s">
        <v>562</v>
      </c>
      <c r="B1371" t="s">
        <v>563</v>
      </c>
      <c r="C1371">
        <v>26</v>
      </c>
      <c r="D1371" t="s">
        <v>22</v>
      </c>
      <c r="E1371">
        <v>74</v>
      </c>
      <c r="F1371">
        <v>210</v>
      </c>
      <c r="G1371" t="s">
        <v>180</v>
      </c>
      <c r="H1371">
        <v>2020</v>
      </c>
      <c r="I1371" t="s">
        <v>33</v>
      </c>
      <c r="J1371">
        <v>12</v>
      </c>
      <c r="K1371">
        <v>4</v>
      </c>
      <c r="L1371">
        <v>3</v>
      </c>
      <c r="M1371">
        <v>0</v>
      </c>
      <c r="N1371">
        <v>3</v>
      </c>
      <c r="O1371">
        <v>0</v>
      </c>
      <c r="P1371">
        <v>0</v>
      </c>
      <c r="Q1371">
        <v>0</v>
      </c>
      <c r="R1371">
        <v>0</v>
      </c>
      <c r="S1371">
        <v>48</v>
      </c>
      <c r="T1371">
        <v>44</v>
      </c>
      <c r="U1371" s="5">
        <f>IF(Merge1[[#This Row],[team_defense_snaps]]=0, "", Merge1[[#This Row],[defense_snaps]] / Merge1[[#This Row],[team_defense_snaps]])</f>
        <v>0.65671641791044777</v>
      </c>
      <c r="V1371">
        <v>67</v>
      </c>
      <c r="W1371">
        <v>4</v>
      </c>
      <c r="X1371" s="5" t="s">
        <v>168</v>
      </c>
      <c r="Y1371">
        <v>4</v>
      </c>
      <c r="Z1371">
        <v>0</v>
      </c>
      <c r="AA1371" t="s">
        <v>25</v>
      </c>
      <c r="AB1371" t="s">
        <v>26</v>
      </c>
      <c r="AC1371" t="s">
        <v>27</v>
      </c>
      <c r="AD1371" t="s">
        <v>42</v>
      </c>
      <c r="AE1371" t="s">
        <v>25</v>
      </c>
      <c r="AF13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0.11458333333333333</v>
      </c>
      <c r="AG1371" t="s">
        <v>941</v>
      </c>
      <c r="AH1371">
        <v>74</v>
      </c>
      <c r="AI1371" t="s">
        <v>939</v>
      </c>
      <c r="AJ1371">
        <v>5</v>
      </c>
      <c r="AK13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MIN(AJ1371/8, 1) +
  Merge1[[#This Row],[index_defensive_effort]],
  2
)</f>
        <v>1.24</v>
      </c>
    </row>
    <row r="1372" spans="1:37" x14ac:dyDescent="0.25">
      <c r="A1372" t="s">
        <v>562</v>
      </c>
      <c r="B1372" t="s">
        <v>563</v>
      </c>
      <c r="C1372">
        <v>26</v>
      </c>
      <c r="D1372" t="s">
        <v>22</v>
      </c>
      <c r="E1372">
        <v>74</v>
      </c>
      <c r="F1372">
        <v>210</v>
      </c>
      <c r="G1372" t="s">
        <v>180</v>
      </c>
      <c r="H1372">
        <v>2020</v>
      </c>
      <c r="I1372" t="s">
        <v>33</v>
      </c>
      <c r="J1372">
        <v>13</v>
      </c>
      <c r="K1372">
        <v>3</v>
      </c>
      <c r="L1372">
        <v>2</v>
      </c>
      <c r="M1372">
        <v>0</v>
      </c>
      <c r="N1372">
        <v>2</v>
      </c>
      <c r="O1372">
        <v>0</v>
      </c>
      <c r="P1372">
        <v>0</v>
      </c>
      <c r="Q1372">
        <v>0</v>
      </c>
      <c r="R1372">
        <v>0</v>
      </c>
      <c r="S1372">
        <v>91</v>
      </c>
      <c r="T1372">
        <v>91</v>
      </c>
      <c r="U1372" s="5">
        <f>IF(Merge1[[#This Row],[team_defense_snaps]]=0, "", Merge1[[#This Row],[defense_snaps]] / Merge1[[#This Row],[team_defense_snaps]])</f>
        <v>0.98913043478260865</v>
      </c>
      <c r="V1372">
        <v>92</v>
      </c>
      <c r="W1372">
        <v>0</v>
      </c>
      <c r="X1372" s="5" t="s">
        <v>29</v>
      </c>
      <c r="Y1372">
        <v>4</v>
      </c>
      <c r="Z1372">
        <v>0</v>
      </c>
      <c r="AA1372" t="s">
        <v>25</v>
      </c>
      <c r="AB1372" t="s">
        <v>36</v>
      </c>
      <c r="AC1372" t="s">
        <v>362</v>
      </c>
      <c r="AD1372" t="s">
        <v>42</v>
      </c>
      <c r="AE1372" t="s">
        <v>25</v>
      </c>
      <c r="AF13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4.3956043956043959E-2</v>
      </c>
      <c r="AG1372" t="s">
        <v>941</v>
      </c>
      <c r="AH1372">
        <v>78.5</v>
      </c>
      <c r="AI1372" t="s">
        <v>939</v>
      </c>
      <c r="AJ1372">
        <v>6</v>
      </c>
      <c r="AK13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MIN(AJ1372/8, 1) +
  Merge1[[#This Row],[index_defensive_effort]],
  2
)</f>
        <v>1.29</v>
      </c>
    </row>
    <row r="1373" spans="1:37" x14ac:dyDescent="0.25">
      <c r="A1373" t="s">
        <v>562</v>
      </c>
      <c r="B1373" t="s">
        <v>563</v>
      </c>
      <c r="C1373">
        <v>26</v>
      </c>
      <c r="D1373" t="s">
        <v>22</v>
      </c>
      <c r="E1373">
        <v>74</v>
      </c>
      <c r="F1373">
        <v>210</v>
      </c>
      <c r="G1373" t="s">
        <v>180</v>
      </c>
      <c r="H1373">
        <v>2020</v>
      </c>
      <c r="I1373" t="s">
        <v>33</v>
      </c>
      <c r="J1373">
        <v>14</v>
      </c>
      <c r="K1373">
        <v>4</v>
      </c>
      <c r="L1373">
        <v>4</v>
      </c>
      <c r="M1373">
        <v>2</v>
      </c>
      <c r="N1373">
        <v>6</v>
      </c>
      <c r="O1373">
        <v>0</v>
      </c>
      <c r="P1373">
        <v>0</v>
      </c>
      <c r="Q1373">
        <v>0</v>
      </c>
      <c r="R1373">
        <v>0</v>
      </c>
      <c r="S1373">
        <v>55</v>
      </c>
      <c r="T1373">
        <v>55</v>
      </c>
      <c r="U1373" s="5">
        <f>IF(Merge1[[#This Row],[team_defense_snaps]]=0, "", Merge1[[#This Row],[defense_snaps]] / Merge1[[#This Row],[team_defense_snaps]])</f>
        <v>0.82089552238805974</v>
      </c>
      <c r="V1373">
        <v>67</v>
      </c>
      <c r="W1373">
        <v>0</v>
      </c>
      <c r="X1373" s="5" t="s">
        <v>29</v>
      </c>
      <c r="Y1373">
        <v>4</v>
      </c>
      <c r="Z1373">
        <v>0</v>
      </c>
      <c r="AA1373" t="s">
        <v>25</v>
      </c>
      <c r="AB1373" t="s">
        <v>26</v>
      </c>
      <c r="AC1373" t="s">
        <v>27</v>
      </c>
      <c r="AD1373" t="s">
        <v>42</v>
      </c>
      <c r="AE1373" t="s">
        <v>25</v>
      </c>
      <c r="AF13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0.12727272727272726</v>
      </c>
      <c r="AG1373" t="s">
        <v>941</v>
      </c>
      <c r="AH1373">
        <v>65</v>
      </c>
      <c r="AI1373" t="s">
        <v>939</v>
      </c>
      <c r="AJ1373">
        <v>7</v>
      </c>
      <c r="AK13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MIN(AJ1373/8, 1) +
  Merge1[[#This Row],[index_defensive_effort]],
  2
)</f>
        <v>1.5</v>
      </c>
    </row>
    <row r="1374" spans="1:37" x14ac:dyDescent="0.25">
      <c r="A1374" t="s">
        <v>562</v>
      </c>
      <c r="B1374" t="s">
        <v>563</v>
      </c>
      <c r="C1374">
        <v>26</v>
      </c>
      <c r="D1374" t="s">
        <v>22</v>
      </c>
      <c r="E1374">
        <v>74</v>
      </c>
      <c r="F1374">
        <v>210</v>
      </c>
      <c r="G1374" t="s">
        <v>180</v>
      </c>
      <c r="H1374">
        <v>2020</v>
      </c>
      <c r="I1374" t="s">
        <v>33</v>
      </c>
      <c r="J1374">
        <v>15</v>
      </c>
      <c r="K1374">
        <v>9</v>
      </c>
      <c r="L1374">
        <v>1</v>
      </c>
      <c r="M1374">
        <v>1</v>
      </c>
      <c r="N1374">
        <v>2</v>
      </c>
      <c r="O1374">
        <v>1</v>
      </c>
      <c r="P1374">
        <v>1</v>
      </c>
      <c r="Q1374">
        <v>0</v>
      </c>
      <c r="R1374">
        <v>1</v>
      </c>
      <c r="S1374">
        <v>66</v>
      </c>
      <c r="T1374">
        <v>66</v>
      </c>
      <c r="U1374" s="5">
        <f>IF(Merge1[[#This Row],[team_defense_snaps]]=0, "", Merge1[[#This Row],[defense_snaps]] / Merge1[[#This Row],[team_defense_snaps]])</f>
        <v>0.9850746268656716</v>
      </c>
      <c r="V1374">
        <v>67</v>
      </c>
      <c r="W1374">
        <v>0</v>
      </c>
      <c r="X1374" s="5" t="s">
        <v>29</v>
      </c>
      <c r="Y1374">
        <v>4</v>
      </c>
      <c r="Z1374">
        <v>0</v>
      </c>
      <c r="AA1374" t="s">
        <v>25</v>
      </c>
      <c r="AB1374" t="s">
        <v>26</v>
      </c>
      <c r="AC1374" t="s">
        <v>27</v>
      </c>
      <c r="AD1374" t="s">
        <v>42</v>
      </c>
      <c r="AE1374" t="s">
        <v>25</v>
      </c>
      <c r="AF13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0.25757575757575757</v>
      </c>
      <c r="AG1374" t="s">
        <v>941</v>
      </c>
      <c r="AH1374">
        <v>68</v>
      </c>
      <c r="AI1374" t="s">
        <v>939</v>
      </c>
      <c r="AJ1374">
        <v>8</v>
      </c>
      <c r="AK13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MIN(AJ1374/8, 1) +
  Merge1[[#This Row],[index_defensive_effort]],
  2
)</f>
        <v>1.76</v>
      </c>
    </row>
    <row r="1375" spans="1:37" x14ac:dyDescent="0.25">
      <c r="A1375" t="s">
        <v>562</v>
      </c>
      <c r="B1375" t="s">
        <v>563</v>
      </c>
      <c r="C1375">
        <v>26</v>
      </c>
      <c r="D1375" t="s">
        <v>22</v>
      </c>
      <c r="E1375">
        <v>74</v>
      </c>
      <c r="F1375">
        <v>210</v>
      </c>
      <c r="G1375" t="s">
        <v>180</v>
      </c>
      <c r="H1375">
        <v>2020</v>
      </c>
      <c r="I1375" t="s">
        <v>33</v>
      </c>
      <c r="J1375">
        <v>16</v>
      </c>
      <c r="K1375">
        <v>0</v>
      </c>
      <c r="L1375">
        <v>1</v>
      </c>
      <c r="M1375">
        <v>0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72</v>
      </c>
      <c r="T1375">
        <v>72</v>
      </c>
      <c r="U1375" s="5">
        <f>IF(Merge1[[#This Row],[team_defense_snaps]]=0, "", Merge1[[#This Row],[defense_snaps]] / Merge1[[#This Row],[team_defense_snaps]])</f>
        <v>1</v>
      </c>
      <c r="V1375">
        <v>72</v>
      </c>
      <c r="W1375">
        <v>0</v>
      </c>
      <c r="X1375" s="5" t="s">
        <v>29</v>
      </c>
      <c r="Y1375">
        <v>4</v>
      </c>
      <c r="Z1375">
        <v>0</v>
      </c>
      <c r="AA1375" t="s">
        <v>25</v>
      </c>
      <c r="AB1375" t="s">
        <v>26</v>
      </c>
      <c r="AC1375" t="s">
        <v>27</v>
      </c>
      <c r="AD1375" t="s">
        <v>42</v>
      </c>
      <c r="AE1375" t="s">
        <v>25</v>
      </c>
      <c r="AF13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6.9444444444444441E-3</v>
      </c>
      <c r="AG1375" t="s">
        <v>941</v>
      </c>
      <c r="AH1375">
        <v>71</v>
      </c>
      <c r="AI1375" t="s">
        <v>939</v>
      </c>
      <c r="AJ1375">
        <v>9</v>
      </c>
      <c r="AK13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MIN(AJ1375/8, 1) +
  Merge1[[#This Row],[index_defensive_effort]],
  2
)</f>
        <v>1.51</v>
      </c>
    </row>
    <row r="1376" spans="1:37" x14ac:dyDescent="0.25">
      <c r="A1376" t="s">
        <v>562</v>
      </c>
      <c r="B1376" t="s">
        <v>563</v>
      </c>
      <c r="C1376">
        <v>26</v>
      </c>
      <c r="D1376" t="s">
        <v>22</v>
      </c>
      <c r="E1376">
        <v>74</v>
      </c>
      <c r="F1376">
        <v>210</v>
      </c>
      <c r="G1376" t="s">
        <v>180</v>
      </c>
      <c r="H1376">
        <v>2020</v>
      </c>
      <c r="I1376" t="s">
        <v>33</v>
      </c>
      <c r="J1376">
        <v>17</v>
      </c>
      <c r="K1376">
        <v>3</v>
      </c>
      <c r="L1376">
        <v>6</v>
      </c>
      <c r="M1376">
        <v>3</v>
      </c>
      <c r="N1376">
        <v>9</v>
      </c>
      <c r="O1376">
        <v>0</v>
      </c>
      <c r="P1376">
        <v>0</v>
      </c>
      <c r="Q1376">
        <v>0</v>
      </c>
      <c r="R1376">
        <v>0</v>
      </c>
      <c r="S1376">
        <v>68</v>
      </c>
      <c r="T1376">
        <v>67</v>
      </c>
      <c r="U1376" s="5">
        <f>IF(Merge1[[#This Row],[team_defense_snaps]]=0, "", Merge1[[#This Row],[defense_snaps]] / Merge1[[#This Row],[team_defense_snaps]])</f>
        <v>0.98529411764705888</v>
      </c>
      <c r="V1376">
        <v>68</v>
      </c>
      <c r="W1376">
        <v>1</v>
      </c>
      <c r="X1376" s="5" t="s">
        <v>193</v>
      </c>
      <c r="Y1376">
        <v>4</v>
      </c>
      <c r="Z1376">
        <v>0</v>
      </c>
      <c r="AA1376" t="s">
        <v>25</v>
      </c>
      <c r="AB1376" t="s">
        <v>26</v>
      </c>
      <c r="AC1376" t="s">
        <v>27</v>
      </c>
      <c r="AD1376" t="s">
        <v>42</v>
      </c>
      <c r="AE1376" t="s">
        <v>25</v>
      </c>
      <c r="AF13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0.11029411764705882</v>
      </c>
      <c r="AG1376" t="s">
        <v>941</v>
      </c>
      <c r="AH1376">
        <v>86</v>
      </c>
      <c r="AI1376" t="s">
        <v>939</v>
      </c>
      <c r="AJ1376">
        <v>1</v>
      </c>
      <c r="AK13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MIN(AJ1376/8, 1) +
  Merge1[[#This Row],[index_defensive_effort]],
  2
)</f>
        <v>0.74</v>
      </c>
    </row>
    <row r="1377" spans="1:37" x14ac:dyDescent="0.25">
      <c r="A1377" t="s">
        <v>507</v>
      </c>
      <c r="B1377" t="s">
        <v>508</v>
      </c>
      <c r="C1377">
        <v>33</v>
      </c>
      <c r="D1377" t="s">
        <v>56</v>
      </c>
      <c r="E1377">
        <v>71</v>
      </c>
      <c r="F1377">
        <v>195</v>
      </c>
      <c r="G1377" t="s">
        <v>99</v>
      </c>
      <c r="H1377">
        <v>2020</v>
      </c>
      <c r="I1377" t="s">
        <v>33</v>
      </c>
      <c r="J1377">
        <v>1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50</v>
      </c>
      <c r="T1377">
        <v>46</v>
      </c>
      <c r="U1377" s="5">
        <f>IF(Merge1[[#This Row],[team_defense_snaps]]=0, "", Merge1[[#This Row],[defense_snaps]] / Merge1[[#This Row],[team_defense_snaps]])</f>
        <v>0.74193548387096775</v>
      </c>
      <c r="V1377">
        <v>62</v>
      </c>
      <c r="W1377">
        <v>4</v>
      </c>
      <c r="X1377" s="5" t="s">
        <v>139</v>
      </c>
      <c r="Y1377">
        <v>11</v>
      </c>
      <c r="Z1377">
        <v>0</v>
      </c>
      <c r="AA1377" t="s">
        <v>25</v>
      </c>
      <c r="AB1377" t="s">
        <v>26</v>
      </c>
      <c r="AC1377" t="s">
        <v>27</v>
      </c>
      <c r="AD1377" t="s">
        <v>42</v>
      </c>
      <c r="AE1377" t="s">
        <v>25</v>
      </c>
      <c r="AF13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0.02</v>
      </c>
      <c r="AG1377" t="s">
        <v>942</v>
      </c>
      <c r="AH1377">
        <v>59</v>
      </c>
      <c r="AI1377" t="s">
        <v>939</v>
      </c>
      <c r="AJ1377">
        <v>2</v>
      </c>
      <c r="AK13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MIN(AJ1377/8, 1) +
  Merge1[[#This Row],[index_defensive_effort]],
  2
)</f>
        <v>0.97</v>
      </c>
    </row>
    <row r="1378" spans="1:37" x14ac:dyDescent="0.25">
      <c r="A1378" t="s">
        <v>507</v>
      </c>
      <c r="B1378" t="s">
        <v>508</v>
      </c>
      <c r="C1378">
        <v>33</v>
      </c>
      <c r="D1378" t="s">
        <v>56</v>
      </c>
      <c r="E1378">
        <v>71</v>
      </c>
      <c r="F1378">
        <v>195</v>
      </c>
      <c r="G1378" t="s">
        <v>99</v>
      </c>
      <c r="H1378">
        <v>2020</v>
      </c>
      <c r="I1378" t="s">
        <v>33</v>
      </c>
      <c r="J1378">
        <v>2</v>
      </c>
      <c r="K1378">
        <v>3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36</v>
      </c>
      <c r="T1378">
        <v>30</v>
      </c>
      <c r="U1378" s="5">
        <f>IF(Merge1[[#This Row],[team_defense_snaps]]=0, "", Merge1[[#This Row],[defense_snaps]] / Merge1[[#This Row],[team_defense_snaps]])</f>
        <v>0.47619047619047616</v>
      </c>
      <c r="V1378">
        <v>63</v>
      </c>
      <c r="W1378">
        <v>6</v>
      </c>
      <c r="X1378" s="5" t="s">
        <v>293</v>
      </c>
      <c r="Y1378">
        <v>11</v>
      </c>
      <c r="Z1378">
        <v>0</v>
      </c>
      <c r="AA1378" t="s">
        <v>25</v>
      </c>
      <c r="AB1378" t="s">
        <v>26</v>
      </c>
      <c r="AC1378" t="s">
        <v>27</v>
      </c>
      <c r="AD1378" t="s">
        <v>42</v>
      </c>
      <c r="AE1378" t="s">
        <v>25</v>
      </c>
      <c r="AF13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1378" t="s">
        <v>942</v>
      </c>
      <c r="AH1378">
        <v>56</v>
      </c>
      <c r="AI1378" t="s">
        <v>939</v>
      </c>
      <c r="AJ1378">
        <v>3</v>
      </c>
      <c r="AK13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MIN(AJ1378/8, 1) +
  Merge1[[#This Row],[index_defensive_effort]],
  2
)</f>
        <v>1.1599999999999999</v>
      </c>
    </row>
    <row r="1379" spans="1:37" x14ac:dyDescent="0.25">
      <c r="A1379" t="s">
        <v>507</v>
      </c>
      <c r="B1379" t="s">
        <v>508</v>
      </c>
      <c r="C1379">
        <v>33</v>
      </c>
      <c r="D1379" t="s">
        <v>56</v>
      </c>
      <c r="E1379">
        <v>71</v>
      </c>
      <c r="F1379">
        <v>195</v>
      </c>
      <c r="G1379" t="s">
        <v>99</v>
      </c>
      <c r="H1379">
        <v>2020</v>
      </c>
      <c r="I1379" t="s">
        <v>33</v>
      </c>
      <c r="J1379">
        <v>3</v>
      </c>
      <c r="K1379">
        <v>1</v>
      </c>
      <c r="L1379">
        <v>3</v>
      </c>
      <c r="M1379">
        <v>2</v>
      </c>
      <c r="N1379">
        <v>5</v>
      </c>
      <c r="O1379">
        <v>0</v>
      </c>
      <c r="P1379">
        <v>0</v>
      </c>
      <c r="Q1379">
        <v>0</v>
      </c>
      <c r="R1379">
        <v>0</v>
      </c>
      <c r="S1379">
        <v>40</v>
      </c>
      <c r="T1379">
        <v>40</v>
      </c>
      <c r="U1379" s="5">
        <f>IF(Merge1[[#This Row],[team_defense_snaps]]=0, "", Merge1[[#This Row],[defense_snaps]] / Merge1[[#This Row],[team_defense_snaps]])</f>
        <v>0.66666666666666663</v>
      </c>
      <c r="V1379">
        <v>60</v>
      </c>
      <c r="W1379">
        <v>0</v>
      </c>
      <c r="X1379" s="5" t="s">
        <v>29</v>
      </c>
      <c r="Y1379">
        <v>11</v>
      </c>
      <c r="Z1379">
        <v>0</v>
      </c>
      <c r="AA1379" t="s">
        <v>25</v>
      </c>
      <c r="AB1379" t="s">
        <v>26</v>
      </c>
      <c r="AC1379" t="s">
        <v>27</v>
      </c>
      <c r="AD1379" t="s">
        <v>42</v>
      </c>
      <c r="AE1379" t="s">
        <v>25</v>
      </c>
      <c r="AF13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8.7499999999999994E-2</v>
      </c>
      <c r="AG1379" t="s">
        <v>942</v>
      </c>
      <c r="AH1379">
        <v>65</v>
      </c>
      <c r="AI1379" t="s">
        <v>939</v>
      </c>
      <c r="AJ1379">
        <v>4</v>
      </c>
      <c r="AK13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MIN(AJ1379/8, 1) +
  Merge1[[#This Row],[index_defensive_effort]],
  2
)</f>
        <v>1.29</v>
      </c>
    </row>
    <row r="1380" spans="1:37" x14ac:dyDescent="0.25">
      <c r="A1380" t="s">
        <v>507</v>
      </c>
      <c r="B1380" t="s">
        <v>508</v>
      </c>
      <c r="C1380">
        <v>33</v>
      </c>
      <c r="D1380" t="s">
        <v>56</v>
      </c>
      <c r="E1380">
        <v>71</v>
      </c>
      <c r="F1380">
        <v>195</v>
      </c>
      <c r="G1380" t="s">
        <v>99</v>
      </c>
      <c r="H1380">
        <v>2020</v>
      </c>
      <c r="I1380" t="s">
        <v>33</v>
      </c>
      <c r="J1380">
        <v>4</v>
      </c>
      <c r="K1380">
        <v>3</v>
      </c>
      <c r="L1380">
        <v>2</v>
      </c>
      <c r="M1380">
        <v>0</v>
      </c>
      <c r="N1380">
        <v>2</v>
      </c>
      <c r="O1380">
        <v>0</v>
      </c>
      <c r="P1380">
        <v>0</v>
      </c>
      <c r="Q1380">
        <v>0</v>
      </c>
      <c r="R1380">
        <v>0</v>
      </c>
      <c r="S1380">
        <v>36</v>
      </c>
      <c r="T1380">
        <v>35</v>
      </c>
      <c r="U1380" s="5">
        <f>IF(Merge1[[#This Row],[team_defense_snaps]]=0, "", Merge1[[#This Row],[defense_snaps]] / Merge1[[#This Row],[team_defense_snaps]])</f>
        <v>0.625</v>
      </c>
      <c r="V1380">
        <v>56</v>
      </c>
      <c r="W1380">
        <v>1</v>
      </c>
      <c r="X1380" s="5" t="s">
        <v>193</v>
      </c>
      <c r="Y1380">
        <v>11</v>
      </c>
      <c r="Z1380">
        <v>0</v>
      </c>
      <c r="AA1380" t="s">
        <v>25</v>
      </c>
      <c r="AB1380" t="s">
        <v>26</v>
      </c>
      <c r="AC1380" t="s">
        <v>27</v>
      </c>
      <c r="AD1380" t="s">
        <v>42</v>
      </c>
      <c r="AE1380" t="s">
        <v>25</v>
      </c>
      <c r="AF13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0.1111111111111111</v>
      </c>
      <c r="AG1380" t="s">
        <v>942</v>
      </c>
      <c r="AH1380">
        <v>50</v>
      </c>
      <c r="AI1380" t="s">
        <v>939</v>
      </c>
      <c r="AJ1380">
        <v>1</v>
      </c>
      <c r="AK13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MIN(AJ1380/8, 1) +
  Merge1[[#This Row],[index_defensive_effort]],
  2
)</f>
        <v>0.94</v>
      </c>
    </row>
    <row r="1381" spans="1:37" x14ac:dyDescent="0.25">
      <c r="A1381" t="s">
        <v>507</v>
      </c>
      <c r="B1381" t="s">
        <v>508</v>
      </c>
      <c r="C1381">
        <v>33</v>
      </c>
      <c r="D1381" t="s">
        <v>56</v>
      </c>
      <c r="E1381">
        <v>71</v>
      </c>
      <c r="F1381">
        <v>195</v>
      </c>
      <c r="G1381" t="s">
        <v>99</v>
      </c>
      <c r="H1381">
        <v>2020</v>
      </c>
      <c r="I1381" t="s">
        <v>33</v>
      </c>
      <c r="J1381">
        <v>6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31</v>
      </c>
      <c r="T1381">
        <v>31</v>
      </c>
      <c r="U1381" s="5">
        <f>IF(Merge1[[#This Row],[team_defense_snaps]]=0, "", Merge1[[#This Row],[defense_snaps]] / Merge1[[#This Row],[team_defense_snaps]])</f>
        <v>0.47692307692307695</v>
      </c>
      <c r="V1381">
        <v>65</v>
      </c>
      <c r="W1381">
        <v>0</v>
      </c>
      <c r="X1381" s="5" t="s">
        <v>29</v>
      </c>
      <c r="Y1381">
        <v>11</v>
      </c>
      <c r="Z1381">
        <v>0</v>
      </c>
      <c r="AA1381" t="s">
        <v>25</v>
      </c>
      <c r="AB1381" t="s">
        <v>26</v>
      </c>
      <c r="AC1381" t="s">
        <v>27</v>
      </c>
      <c r="AD1381" t="s">
        <v>42</v>
      </c>
      <c r="AE1381" t="s">
        <v>25</v>
      </c>
      <c r="AF13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3.2258064516129031E-2</v>
      </c>
      <c r="AG1381" t="s">
        <v>942</v>
      </c>
      <c r="AH1381">
        <v>68</v>
      </c>
      <c r="AI1381" t="s">
        <v>939</v>
      </c>
      <c r="AJ1381">
        <v>2</v>
      </c>
      <c r="AK13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MIN(AJ1381/8, 1) +
  Merge1[[#This Row],[index_defensive_effort]],
  2
)</f>
        <v>0.98</v>
      </c>
    </row>
    <row r="1382" spans="1:37" x14ac:dyDescent="0.25">
      <c r="A1382" t="s">
        <v>507</v>
      </c>
      <c r="B1382" t="s">
        <v>508</v>
      </c>
      <c r="C1382">
        <v>33</v>
      </c>
      <c r="D1382" t="s">
        <v>56</v>
      </c>
      <c r="E1382">
        <v>71</v>
      </c>
      <c r="F1382">
        <v>195</v>
      </c>
      <c r="G1382" t="s">
        <v>99</v>
      </c>
      <c r="H1382">
        <v>2020</v>
      </c>
      <c r="I1382" t="s">
        <v>33</v>
      </c>
      <c r="J1382">
        <v>7</v>
      </c>
      <c r="K1382">
        <v>1</v>
      </c>
      <c r="L1382">
        <v>3</v>
      </c>
      <c r="M1382">
        <v>2</v>
      </c>
      <c r="N1382">
        <v>5</v>
      </c>
      <c r="O1382">
        <v>0</v>
      </c>
      <c r="P1382">
        <v>0</v>
      </c>
      <c r="Q1382">
        <v>0</v>
      </c>
      <c r="R1382">
        <v>0</v>
      </c>
      <c r="S1382">
        <v>44</v>
      </c>
      <c r="T1382">
        <v>44</v>
      </c>
      <c r="U1382" s="5">
        <f>IF(Merge1[[#This Row],[team_defense_snaps]]=0, "", Merge1[[#This Row],[defense_snaps]] / Merge1[[#This Row],[team_defense_snaps]])</f>
        <v>0.66666666666666663</v>
      </c>
      <c r="V1382">
        <v>66</v>
      </c>
      <c r="W1382">
        <v>0</v>
      </c>
      <c r="X1382" s="5" t="s">
        <v>29</v>
      </c>
      <c r="Y1382">
        <v>11</v>
      </c>
      <c r="Z1382">
        <v>0</v>
      </c>
      <c r="AA1382" t="s">
        <v>25</v>
      </c>
      <c r="AB1382" t="s">
        <v>26</v>
      </c>
      <c r="AC1382" t="s">
        <v>27</v>
      </c>
      <c r="AD1382" t="s">
        <v>42</v>
      </c>
      <c r="AE1382" t="s">
        <v>25</v>
      </c>
      <c r="AF13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7.9545454545454544E-2</v>
      </c>
      <c r="AG1382" t="s">
        <v>942</v>
      </c>
      <c r="AH1382">
        <v>44</v>
      </c>
      <c r="AI1382" t="s">
        <v>939</v>
      </c>
      <c r="AJ1382">
        <v>3</v>
      </c>
      <c r="AK13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MIN(AJ1382/8, 1) +
  Merge1[[#This Row],[index_defensive_effort]],
  2
)</f>
        <v>1.1499999999999999</v>
      </c>
    </row>
    <row r="1383" spans="1:37" x14ac:dyDescent="0.25">
      <c r="A1383" t="s">
        <v>507</v>
      </c>
      <c r="B1383" t="s">
        <v>508</v>
      </c>
      <c r="C1383">
        <v>33</v>
      </c>
      <c r="D1383" t="s">
        <v>56</v>
      </c>
      <c r="E1383">
        <v>71</v>
      </c>
      <c r="F1383">
        <v>195</v>
      </c>
      <c r="G1383" t="s">
        <v>99</v>
      </c>
      <c r="H1383">
        <v>2020</v>
      </c>
      <c r="I1383" t="s">
        <v>33</v>
      </c>
      <c r="J1383">
        <v>8</v>
      </c>
      <c r="K1383">
        <v>3</v>
      </c>
      <c r="L1383">
        <v>1</v>
      </c>
      <c r="M1383">
        <v>1</v>
      </c>
      <c r="N1383">
        <v>2</v>
      </c>
      <c r="O1383">
        <v>0</v>
      </c>
      <c r="P1383">
        <v>0</v>
      </c>
      <c r="Q1383">
        <v>0</v>
      </c>
      <c r="R1383">
        <v>0</v>
      </c>
      <c r="S1383">
        <v>58</v>
      </c>
      <c r="T1383">
        <v>58</v>
      </c>
      <c r="U1383" s="5">
        <f>IF(Merge1[[#This Row],[team_defense_snaps]]=0, "", Merge1[[#This Row],[defense_snaps]] / Merge1[[#This Row],[team_defense_snaps]])</f>
        <v>0.98305084745762716</v>
      </c>
      <c r="V1383">
        <v>59</v>
      </c>
      <c r="W1383">
        <v>0</v>
      </c>
      <c r="X1383" s="5" t="s">
        <v>29</v>
      </c>
      <c r="Y1383">
        <v>11</v>
      </c>
      <c r="Z1383">
        <v>0</v>
      </c>
      <c r="AA1383" t="s">
        <v>25</v>
      </c>
      <c r="AB1383" t="s">
        <v>26</v>
      </c>
      <c r="AC1383" t="s">
        <v>27</v>
      </c>
      <c r="AD1383" t="s">
        <v>42</v>
      </c>
      <c r="AE1383" t="s">
        <v>25</v>
      </c>
      <c r="AF13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6.8965517241379309E-2</v>
      </c>
      <c r="AG1383" t="s">
        <v>942</v>
      </c>
      <c r="AH1383">
        <v>45.5</v>
      </c>
      <c r="AI1383" t="s">
        <v>939</v>
      </c>
      <c r="AJ1383">
        <v>4</v>
      </c>
      <c r="AK13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MIN(AJ1383/8, 1) +
  Merge1[[#This Row],[index_defensive_effort]],
  2
)</f>
        <v>1.27</v>
      </c>
    </row>
    <row r="1384" spans="1:37" x14ac:dyDescent="0.25">
      <c r="A1384" t="s">
        <v>507</v>
      </c>
      <c r="B1384" t="s">
        <v>508</v>
      </c>
      <c r="C1384">
        <v>33</v>
      </c>
      <c r="D1384" t="s">
        <v>56</v>
      </c>
      <c r="E1384">
        <v>71</v>
      </c>
      <c r="F1384">
        <v>195</v>
      </c>
      <c r="G1384" t="s">
        <v>99</v>
      </c>
      <c r="H1384">
        <v>2020</v>
      </c>
      <c r="I1384" t="s">
        <v>33</v>
      </c>
      <c r="J1384">
        <v>9</v>
      </c>
      <c r="K1384">
        <v>2</v>
      </c>
      <c r="L1384">
        <v>1</v>
      </c>
      <c r="M1384">
        <v>0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46</v>
      </c>
      <c r="T1384">
        <v>46</v>
      </c>
      <c r="U1384" s="5">
        <f>IF(Merge1[[#This Row],[team_defense_snaps]]=0, "", Merge1[[#This Row],[defense_snaps]] / Merge1[[#This Row],[team_defense_snaps]])</f>
        <v>1</v>
      </c>
      <c r="V1384">
        <v>46</v>
      </c>
      <c r="W1384">
        <v>0</v>
      </c>
      <c r="X1384" s="5" t="s">
        <v>29</v>
      </c>
      <c r="Y1384">
        <v>11</v>
      </c>
      <c r="Z1384">
        <v>0</v>
      </c>
      <c r="AA1384" t="s">
        <v>25</v>
      </c>
      <c r="AB1384" t="s">
        <v>26</v>
      </c>
      <c r="AC1384" t="s">
        <v>27</v>
      </c>
      <c r="AD1384" t="s">
        <v>42</v>
      </c>
      <c r="AE1384" t="s">
        <v>25</v>
      </c>
      <c r="AF13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5.434782608695652E-2</v>
      </c>
      <c r="AG1384" t="s">
        <v>942</v>
      </c>
      <c r="AH1384">
        <v>57.5</v>
      </c>
      <c r="AI1384" t="s">
        <v>939</v>
      </c>
      <c r="AJ1384">
        <v>5</v>
      </c>
      <c r="AK13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MIN(AJ1384/8, 1) +
  Merge1[[#This Row],[index_defensive_effort]],
  2
)</f>
        <v>1.38</v>
      </c>
    </row>
    <row r="1385" spans="1:37" x14ac:dyDescent="0.25">
      <c r="A1385" t="s">
        <v>507</v>
      </c>
      <c r="B1385" t="s">
        <v>508</v>
      </c>
      <c r="C1385">
        <v>33</v>
      </c>
      <c r="D1385" t="s">
        <v>56</v>
      </c>
      <c r="E1385">
        <v>71</v>
      </c>
      <c r="F1385">
        <v>195</v>
      </c>
      <c r="G1385" t="s">
        <v>99</v>
      </c>
      <c r="H1385">
        <v>2020</v>
      </c>
      <c r="I1385" t="s">
        <v>33</v>
      </c>
      <c r="J1385">
        <v>10</v>
      </c>
      <c r="K1385">
        <v>3</v>
      </c>
      <c r="L1385">
        <v>1</v>
      </c>
      <c r="M1385">
        <v>1</v>
      </c>
      <c r="N1385">
        <v>2</v>
      </c>
      <c r="O1385">
        <v>0</v>
      </c>
      <c r="P1385">
        <v>0</v>
      </c>
      <c r="Q1385">
        <v>0</v>
      </c>
      <c r="R1385">
        <v>0</v>
      </c>
      <c r="S1385">
        <v>66</v>
      </c>
      <c r="T1385">
        <v>66</v>
      </c>
      <c r="U1385" s="5">
        <f>IF(Merge1[[#This Row],[team_defense_snaps]]=0, "", Merge1[[#This Row],[defense_snaps]] / Merge1[[#This Row],[team_defense_snaps]])</f>
        <v>0.9850746268656716</v>
      </c>
      <c r="V1385">
        <v>67</v>
      </c>
      <c r="W1385">
        <v>0</v>
      </c>
      <c r="X1385" s="5" t="s">
        <v>29</v>
      </c>
      <c r="Y1385">
        <v>11</v>
      </c>
      <c r="Z1385">
        <v>0</v>
      </c>
      <c r="AA1385" t="s">
        <v>25</v>
      </c>
      <c r="AB1385" t="s">
        <v>26</v>
      </c>
      <c r="AC1385" t="s">
        <v>27</v>
      </c>
      <c r="AD1385" t="s">
        <v>42</v>
      </c>
      <c r="AE1385" t="s">
        <v>25</v>
      </c>
      <c r="AF13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6.0606060606060608E-2</v>
      </c>
      <c r="AG1385" t="s">
        <v>942</v>
      </c>
      <c r="AH1385">
        <v>54.5</v>
      </c>
      <c r="AI1385" t="s">
        <v>939</v>
      </c>
      <c r="AJ1385">
        <v>6</v>
      </c>
      <c r="AK13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MIN(AJ1385/8, 1) +
  Merge1[[#This Row],[index_defensive_effort]],
  2
)</f>
        <v>1.51</v>
      </c>
    </row>
    <row r="1386" spans="1:37" x14ac:dyDescent="0.25">
      <c r="A1386" t="s">
        <v>507</v>
      </c>
      <c r="B1386" t="s">
        <v>508</v>
      </c>
      <c r="C1386">
        <v>33</v>
      </c>
      <c r="D1386" t="s">
        <v>56</v>
      </c>
      <c r="E1386">
        <v>71</v>
      </c>
      <c r="F1386">
        <v>195</v>
      </c>
      <c r="G1386" t="s">
        <v>99</v>
      </c>
      <c r="H1386">
        <v>2020</v>
      </c>
      <c r="I1386" t="s">
        <v>33</v>
      </c>
      <c r="J1386">
        <v>11</v>
      </c>
      <c r="K1386">
        <v>1</v>
      </c>
      <c r="L1386">
        <v>1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29</v>
      </c>
      <c r="T1386">
        <v>27</v>
      </c>
      <c r="U1386" s="5">
        <f>IF(Merge1[[#This Row],[team_defense_snaps]]=0, "", Merge1[[#This Row],[defense_snaps]] / Merge1[[#This Row],[team_defense_snaps]])</f>
        <v>0.44262295081967212</v>
      </c>
      <c r="V1386">
        <v>61</v>
      </c>
      <c r="W1386">
        <v>2</v>
      </c>
      <c r="X1386" s="5" t="s">
        <v>208</v>
      </c>
      <c r="Y1386">
        <v>11</v>
      </c>
      <c r="Z1386">
        <v>0</v>
      </c>
      <c r="AA1386" t="s">
        <v>25</v>
      </c>
      <c r="AB1386" t="s">
        <v>26</v>
      </c>
      <c r="AC1386" t="s">
        <v>27</v>
      </c>
      <c r="AD1386" t="s">
        <v>28</v>
      </c>
      <c r="AE1386" t="s">
        <v>25</v>
      </c>
      <c r="AF13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5.1724137931034482E-2</v>
      </c>
      <c r="AG1386" t="s">
        <v>942</v>
      </c>
      <c r="AH1386">
        <v>51.5</v>
      </c>
      <c r="AI1386" t="s">
        <v>939</v>
      </c>
      <c r="AJ1386">
        <v>7</v>
      </c>
      <c r="AK13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MIN(AJ1386/8, 1) +
  Merge1[[#This Row],[index_defensive_effort]],
  2
)</f>
        <v>1.63</v>
      </c>
    </row>
    <row r="1387" spans="1:37" x14ac:dyDescent="0.25">
      <c r="A1387" t="s">
        <v>507</v>
      </c>
      <c r="B1387" t="s">
        <v>508</v>
      </c>
      <c r="C1387">
        <v>33</v>
      </c>
      <c r="D1387" t="s">
        <v>56</v>
      </c>
      <c r="E1387">
        <v>71</v>
      </c>
      <c r="F1387">
        <v>195</v>
      </c>
      <c r="G1387" t="s">
        <v>99</v>
      </c>
      <c r="H1387">
        <v>2020</v>
      </c>
      <c r="I1387" t="s">
        <v>33</v>
      </c>
      <c r="J1387">
        <v>12</v>
      </c>
      <c r="K1387">
        <v>2</v>
      </c>
      <c r="L1387">
        <v>1</v>
      </c>
      <c r="M1387">
        <v>1</v>
      </c>
      <c r="N1387">
        <v>2</v>
      </c>
      <c r="O1387">
        <v>0</v>
      </c>
      <c r="P1387">
        <v>1</v>
      </c>
      <c r="Q1387">
        <v>0</v>
      </c>
      <c r="R1387">
        <v>0</v>
      </c>
      <c r="S1387">
        <v>33</v>
      </c>
      <c r="T1387">
        <v>31</v>
      </c>
      <c r="U1387" s="5">
        <f>IF(Merge1[[#This Row],[team_defense_snaps]]=0, "", Merge1[[#This Row],[defense_snaps]] / Merge1[[#This Row],[team_defense_snaps]])</f>
        <v>0.41891891891891891</v>
      </c>
      <c r="V1387">
        <v>74</v>
      </c>
      <c r="W1387">
        <v>2</v>
      </c>
      <c r="X1387" s="5" t="s">
        <v>250</v>
      </c>
      <c r="Y1387">
        <v>11</v>
      </c>
      <c r="Z1387">
        <v>0</v>
      </c>
      <c r="AA1387" t="s">
        <v>25</v>
      </c>
      <c r="AB1387" t="s">
        <v>26</v>
      </c>
      <c r="AC1387" t="s">
        <v>27</v>
      </c>
      <c r="AD1387" t="s">
        <v>28</v>
      </c>
      <c r="AE1387" t="s">
        <v>25</v>
      </c>
      <c r="AF13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0.15151515151515152</v>
      </c>
      <c r="AG1387" t="s">
        <v>942</v>
      </c>
      <c r="AH1387">
        <v>63.5</v>
      </c>
      <c r="AI1387" t="s">
        <v>939</v>
      </c>
      <c r="AJ1387">
        <v>8</v>
      </c>
      <c r="AK13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MIN(AJ1387/8, 1) +
  Merge1[[#This Row],[index_defensive_effort]],
  2
)</f>
        <v>1.85</v>
      </c>
    </row>
    <row r="1388" spans="1:37" x14ac:dyDescent="0.25">
      <c r="A1388" t="s">
        <v>507</v>
      </c>
      <c r="B1388" t="s">
        <v>508</v>
      </c>
      <c r="C1388">
        <v>33</v>
      </c>
      <c r="D1388" t="s">
        <v>56</v>
      </c>
      <c r="E1388">
        <v>71</v>
      </c>
      <c r="F1388">
        <v>195</v>
      </c>
      <c r="G1388" t="s">
        <v>99</v>
      </c>
      <c r="H1388">
        <v>2020</v>
      </c>
      <c r="I1388" t="s">
        <v>33</v>
      </c>
      <c r="J1388">
        <v>13</v>
      </c>
      <c r="K1388">
        <v>1</v>
      </c>
      <c r="L1388">
        <v>1</v>
      </c>
      <c r="M1388">
        <v>1</v>
      </c>
      <c r="N1388">
        <v>2</v>
      </c>
      <c r="O1388">
        <v>0</v>
      </c>
      <c r="P1388">
        <v>0</v>
      </c>
      <c r="Q1388">
        <v>0</v>
      </c>
      <c r="R1388">
        <v>0</v>
      </c>
      <c r="S1388">
        <v>66</v>
      </c>
      <c r="T1388">
        <v>60</v>
      </c>
      <c r="U1388" s="5">
        <f>IF(Merge1[[#This Row],[team_defense_snaps]]=0, "", Merge1[[#This Row],[defense_snaps]] / Merge1[[#This Row],[team_defense_snaps]])</f>
        <v>0.82191780821917804</v>
      </c>
      <c r="V1388">
        <v>73</v>
      </c>
      <c r="W1388">
        <v>6</v>
      </c>
      <c r="X1388" s="5" t="s">
        <v>132</v>
      </c>
      <c r="Y1388">
        <v>11</v>
      </c>
      <c r="Z1388">
        <v>0</v>
      </c>
      <c r="AA1388" t="s">
        <v>25</v>
      </c>
      <c r="AB1388" t="s">
        <v>26</v>
      </c>
      <c r="AC1388" t="s">
        <v>27</v>
      </c>
      <c r="AD1388" t="s">
        <v>28</v>
      </c>
      <c r="AE1388" t="s">
        <v>25</v>
      </c>
      <c r="AF13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3.0303030303030304E-2</v>
      </c>
      <c r="AG1388" t="s">
        <v>942</v>
      </c>
      <c r="AH1388">
        <v>66.5</v>
      </c>
      <c r="AI1388" t="s">
        <v>939</v>
      </c>
      <c r="AJ1388">
        <v>1</v>
      </c>
      <c r="AK13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MIN(AJ1388/8, 1) +
  Merge1[[#This Row],[index_defensive_effort]],
  2
)</f>
        <v>0.86</v>
      </c>
    </row>
    <row r="1389" spans="1:37" x14ac:dyDescent="0.25">
      <c r="A1389" t="s">
        <v>507</v>
      </c>
      <c r="B1389" t="s">
        <v>508</v>
      </c>
      <c r="C1389">
        <v>33</v>
      </c>
      <c r="D1389" t="s">
        <v>56</v>
      </c>
      <c r="E1389">
        <v>71</v>
      </c>
      <c r="F1389">
        <v>195</v>
      </c>
      <c r="G1389" t="s">
        <v>99</v>
      </c>
      <c r="H1389">
        <v>2020</v>
      </c>
      <c r="I1389" t="s">
        <v>33</v>
      </c>
      <c r="J1389">
        <v>16</v>
      </c>
      <c r="K1389">
        <v>2</v>
      </c>
      <c r="L1389">
        <v>1</v>
      </c>
      <c r="M1389">
        <v>1</v>
      </c>
      <c r="N1389">
        <v>2</v>
      </c>
      <c r="O1389">
        <v>0</v>
      </c>
      <c r="P1389">
        <v>0</v>
      </c>
      <c r="Q1389">
        <v>0</v>
      </c>
      <c r="R1389">
        <v>0</v>
      </c>
      <c r="S1389">
        <v>57</v>
      </c>
      <c r="T1389">
        <v>57</v>
      </c>
      <c r="U1389" s="5">
        <f>IF(Merge1[[#This Row],[team_defense_snaps]]=0, "", Merge1[[#This Row],[defense_snaps]] / Merge1[[#This Row],[team_defense_snaps]])</f>
        <v>0.79166666666666663</v>
      </c>
      <c r="V1389">
        <v>72</v>
      </c>
      <c r="W1389">
        <v>0</v>
      </c>
      <c r="X1389" s="5" t="s">
        <v>29</v>
      </c>
      <c r="Y1389">
        <v>11</v>
      </c>
      <c r="Z1389">
        <v>0</v>
      </c>
      <c r="AA1389" t="s">
        <v>25</v>
      </c>
      <c r="AB1389" t="s">
        <v>26</v>
      </c>
      <c r="AC1389" t="s">
        <v>27</v>
      </c>
      <c r="AD1389" t="s">
        <v>42</v>
      </c>
      <c r="AE1389" t="s">
        <v>25</v>
      </c>
      <c r="AF13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5.2631578947368418E-2</v>
      </c>
      <c r="AG1389" t="s">
        <v>942</v>
      </c>
      <c r="AH1389">
        <v>60.5</v>
      </c>
      <c r="AI1389" t="s">
        <v>939</v>
      </c>
      <c r="AJ1389">
        <v>2</v>
      </c>
      <c r="AK13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MIN(AJ1389/8, 1) +
  Merge1[[#This Row],[index_defensive_effort]],
  2
)</f>
        <v>1</v>
      </c>
    </row>
    <row r="1390" spans="1:37" x14ac:dyDescent="0.25">
      <c r="A1390" t="s">
        <v>507</v>
      </c>
      <c r="B1390" t="s">
        <v>508</v>
      </c>
      <c r="C1390">
        <v>33</v>
      </c>
      <c r="D1390" t="s">
        <v>56</v>
      </c>
      <c r="E1390">
        <v>71</v>
      </c>
      <c r="F1390">
        <v>195</v>
      </c>
      <c r="G1390" t="s">
        <v>99</v>
      </c>
      <c r="H1390">
        <v>2020</v>
      </c>
      <c r="I1390" t="s">
        <v>33</v>
      </c>
      <c r="J1390">
        <v>17</v>
      </c>
      <c r="K1390">
        <v>1</v>
      </c>
      <c r="L1390">
        <v>1</v>
      </c>
      <c r="M1390">
        <v>1</v>
      </c>
      <c r="N1390">
        <v>2</v>
      </c>
      <c r="O1390">
        <v>0</v>
      </c>
      <c r="P1390">
        <v>0</v>
      </c>
      <c r="Q1390">
        <v>0</v>
      </c>
      <c r="R1390">
        <v>0</v>
      </c>
      <c r="S1390">
        <v>32</v>
      </c>
      <c r="T1390">
        <v>29</v>
      </c>
      <c r="U1390" s="5">
        <f>IF(Merge1[[#This Row],[team_defense_snaps]]=0, "", Merge1[[#This Row],[defense_snaps]] / Merge1[[#This Row],[team_defense_snaps]])</f>
        <v>0.43283582089552236</v>
      </c>
      <c r="V1390">
        <v>67</v>
      </c>
      <c r="W1390">
        <v>3</v>
      </c>
      <c r="X1390" s="5" t="s">
        <v>251</v>
      </c>
      <c r="Y1390">
        <v>11</v>
      </c>
      <c r="Z1390">
        <v>0</v>
      </c>
      <c r="AA1390" t="s">
        <v>25</v>
      </c>
      <c r="AB1390" t="s">
        <v>26</v>
      </c>
      <c r="AC1390" t="s">
        <v>27</v>
      </c>
      <c r="AD1390" t="s">
        <v>42</v>
      </c>
      <c r="AE1390" t="s">
        <v>25</v>
      </c>
      <c r="AF13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1390" t="s">
        <v>942</v>
      </c>
      <c r="AH1390">
        <v>53</v>
      </c>
      <c r="AI1390" t="s">
        <v>939</v>
      </c>
      <c r="AJ1390">
        <v>1</v>
      </c>
      <c r="AK13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MIN(AJ1390/8, 1) +
  Merge1[[#This Row],[index_defensive_effort]],
  2
)</f>
        <v>0.89</v>
      </c>
    </row>
    <row r="1391" spans="1:37" x14ac:dyDescent="0.25">
      <c r="A1391" t="s">
        <v>549</v>
      </c>
      <c r="B1391" t="s">
        <v>550</v>
      </c>
      <c r="C1391">
        <v>29</v>
      </c>
      <c r="D1391" t="s">
        <v>56</v>
      </c>
      <c r="E1391">
        <v>70</v>
      </c>
      <c r="F1391">
        <v>188</v>
      </c>
      <c r="G1391" t="s">
        <v>144</v>
      </c>
      <c r="H1391">
        <v>2020</v>
      </c>
      <c r="I1391" t="s">
        <v>33</v>
      </c>
      <c r="J1391">
        <v>3</v>
      </c>
      <c r="K1391">
        <v>2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45</v>
      </c>
      <c r="T1391">
        <v>45</v>
      </c>
      <c r="U1391" s="5">
        <f>IF(Merge1[[#This Row],[team_defense_snaps]]=0, "", Merge1[[#This Row],[defense_snaps]] / Merge1[[#This Row],[team_defense_snaps]])</f>
        <v>0.83333333333333337</v>
      </c>
      <c r="V1391">
        <v>54</v>
      </c>
      <c r="W1391">
        <v>0</v>
      </c>
      <c r="X1391" s="5" t="s">
        <v>29</v>
      </c>
      <c r="Y1391">
        <v>6</v>
      </c>
      <c r="Z1391">
        <v>0</v>
      </c>
      <c r="AA1391" t="s">
        <v>25</v>
      </c>
      <c r="AB1391" t="s">
        <v>26</v>
      </c>
      <c r="AC1391" t="s">
        <v>27</v>
      </c>
      <c r="AD1391" t="s">
        <v>42</v>
      </c>
      <c r="AE1391" t="s">
        <v>25</v>
      </c>
      <c r="AF13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4.4444444444444446E-2</v>
      </c>
      <c r="AG1391" t="s">
        <v>941</v>
      </c>
      <c r="AH1391">
        <v>54</v>
      </c>
      <c r="AI1391" t="s">
        <v>939</v>
      </c>
      <c r="AJ1391">
        <v>2</v>
      </c>
      <c r="AK13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MIN(AJ1391/8, 1) +
  Merge1[[#This Row],[index_defensive_effort]],
  2
)</f>
        <v>0.79</v>
      </c>
    </row>
    <row r="1392" spans="1:37" x14ac:dyDescent="0.25">
      <c r="A1392" t="s">
        <v>549</v>
      </c>
      <c r="B1392" t="s">
        <v>550</v>
      </c>
      <c r="C1392">
        <v>29</v>
      </c>
      <c r="D1392" t="s">
        <v>56</v>
      </c>
      <c r="E1392">
        <v>70</v>
      </c>
      <c r="F1392">
        <v>188</v>
      </c>
      <c r="G1392" t="s">
        <v>144</v>
      </c>
      <c r="H1392">
        <v>2020</v>
      </c>
      <c r="I1392" t="s">
        <v>33</v>
      </c>
      <c r="J1392">
        <v>4</v>
      </c>
      <c r="K1392">
        <v>3</v>
      </c>
      <c r="L1392">
        <v>1</v>
      </c>
      <c r="M1392">
        <v>0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61</v>
      </c>
      <c r="T1392">
        <v>61</v>
      </c>
      <c r="U1392" s="5">
        <f>IF(Merge1[[#This Row],[team_defense_snaps]]=0, "", Merge1[[#This Row],[defense_snaps]] / Merge1[[#This Row],[team_defense_snaps]])</f>
        <v>0.9838709677419355</v>
      </c>
      <c r="V1392">
        <v>62</v>
      </c>
      <c r="W1392">
        <v>0</v>
      </c>
      <c r="X1392" s="5" t="s">
        <v>29</v>
      </c>
      <c r="Y1392">
        <v>6</v>
      </c>
      <c r="Z1392">
        <v>0</v>
      </c>
      <c r="AA1392" t="s">
        <v>25</v>
      </c>
      <c r="AB1392" t="s">
        <v>26</v>
      </c>
      <c r="AC1392" t="s">
        <v>27</v>
      </c>
      <c r="AD1392" t="s">
        <v>42</v>
      </c>
      <c r="AE1392" t="s">
        <v>25</v>
      </c>
      <c r="AF13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5.737704918032787E-2</v>
      </c>
      <c r="AG1392" t="s">
        <v>941</v>
      </c>
      <c r="AH1392">
        <v>64.5</v>
      </c>
      <c r="AI1392" t="s">
        <v>939</v>
      </c>
      <c r="AJ1392">
        <v>3</v>
      </c>
      <c r="AK13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MIN(AJ1392/8, 1) +
  Merge1[[#This Row],[index_defensive_effort]],
  2
)</f>
        <v>0.93</v>
      </c>
    </row>
    <row r="1393" spans="1:37" x14ac:dyDescent="0.25">
      <c r="A1393" t="s">
        <v>549</v>
      </c>
      <c r="B1393" t="s">
        <v>550</v>
      </c>
      <c r="C1393">
        <v>29</v>
      </c>
      <c r="D1393" t="s">
        <v>56</v>
      </c>
      <c r="E1393">
        <v>70</v>
      </c>
      <c r="F1393">
        <v>188</v>
      </c>
      <c r="G1393" t="s">
        <v>144</v>
      </c>
      <c r="H1393">
        <v>2020</v>
      </c>
      <c r="I1393" t="s">
        <v>33</v>
      </c>
      <c r="J1393">
        <v>5</v>
      </c>
      <c r="K1393">
        <v>2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65</v>
      </c>
      <c r="T1393">
        <v>65</v>
      </c>
      <c r="U1393" s="5">
        <f>IF(Merge1[[#This Row],[team_defense_snaps]]=0, "", Merge1[[#This Row],[defense_snaps]] / Merge1[[#This Row],[team_defense_snaps]])</f>
        <v>0.97014925373134331</v>
      </c>
      <c r="V1393">
        <v>67</v>
      </c>
      <c r="W1393">
        <v>0</v>
      </c>
      <c r="X1393" s="5" t="s">
        <v>29</v>
      </c>
      <c r="Y1393">
        <v>6</v>
      </c>
      <c r="Z1393">
        <v>0</v>
      </c>
      <c r="AA1393" t="s">
        <v>25</v>
      </c>
      <c r="AB1393" t="s">
        <v>26</v>
      </c>
      <c r="AC1393" t="s">
        <v>27</v>
      </c>
      <c r="AD1393" t="s">
        <v>42</v>
      </c>
      <c r="AE1393" t="s">
        <v>25</v>
      </c>
      <c r="AF13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6.1538461538461542E-2</v>
      </c>
      <c r="AG1393" t="s">
        <v>941</v>
      </c>
      <c r="AH1393">
        <v>70.5</v>
      </c>
      <c r="AI1393" t="s">
        <v>939</v>
      </c>
      <c r="AJ1393">
        <v>4</v>
      </c>
      <c r="AK13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MIN(AJ1393/8, 1) +
  Merge1[[#This Row],[index_defensive_effort]],
  2
)</f>
        <v>1.06</v>
      </c>
    </row>
    <row r="1394" spans="1:37" x14ac:dyDescent="0.25">
      <c r="A1394" t="s">
        <v>549</v>
      </c>
      <c r="B1394" t="s">
        <v>550</v>
      </c>
      <c r="C1394">
        <v>29</v>
      </c>
      <c r="D1394" t="s">
        <v>56</v>
      </c>
      <c r="E1394">
        <v>70</v>
      </c>
      <c r="F1394">
        <v>188</v>
      </c>
      <c r="G1394" t="s">
        <v>144</v>
      </c>
      <c r="H1394">
        <v>2020</v>
      </c>
      <c r="I1394" t="s">
        <v>33</v>
      </c>
      <c r="J1394">
        <v>6</v>
      </c>
      <c r="K1394">
        <v>3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2</v>
      </c>
      <c r="R1394">
        <v>0</v>
      </c>
      <c r="S1394">
        <v>60</v>
      </c>
      <c r="T1394">
        <v>60</v>
      </c>
      <c r="U1394" s="5">
        <f>IF(Merge1[[#This Row],[team_defense_snaps]]=0, "", Merge1[[#This Row],[defense_snaps]] / Merge1[[#This Row],[team_defense_snaps]])</f>
        <v>1</v>
      </c>
      <c r="V1394">
        <v>60</v>
      </c>
      <c r="W1394">
        <v>0</v>
      </c>
      <c r="X1394" s="5" t="s">
        <v>29</v>
      </c>
      <c r="Y1394">
        <v>6</v>
      </c>
      <c r="Z1394">
        <v>0</v>
      </c>
      <c r="AA1394" t="s">
        <v>25</v>
      </c>
      <c r="AB1394" t="s">
        <v>26</v>
      </c>
      <c r="AC1394" t="s">
        <v>27</v>
      </c>
      <c r="AD1394" t="s">
        <v>42</v>
      </c>
      <c r="AE1394" t="s">
        <v>25</v>
      </c>
      <c r="AF13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0.18333333333333332</v>
      </c>
      <c r="AG1394" t="s">
        <v>941</v>
      </c>
      <c r="AH1394">
        <v>67.5</v>
      </c>
      <c r="AI1394" t="s">
        <v>939</v>
      </c>
      <c r="AJ1394">
        <v>5</v>
      </c>
      <c r="AK13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MIN(AJ1394/8, 1) +
  Merge1[[#This Row],[index_defensive_effort]],
  2
)</f>
        <v>1.31</v>
      </c>
    </row>
    <row r="1395" spans="1:37" x14ac:dyDescent="0.25">
      <c r="A1395" t="s">
        <v>549</v>
      </c>
      <c r="B1395" t="s">
        <v>550</v>
      </c>
      <c r="C1395">
        <v>29</v>
      </c>
      <c r="D1395" t="s">
        <v>56</v>
      </c>
      <c r="E1395">
        <v>70</v>
      </c>
      <c r="F1395">
        <v>188</v>
      </c>
      <c r="G1395" t="s">
        <v>144</v>
      </c>
      <c r="H1395">
        <v>2020</v>
      </c>
      <c r="I1395" t="s">
        <v>33</v>
      </c>
      <c r="J1395">
        <v>7</v>
      </c>
      <c r="K1395">
        <v>2</v>
      </c>
      <c r="L1395">
        <v>1</v>
      </c>
      <c r="M1395">
        <v>1</v>
      </c>
      <c r="N1395">
        <v>2</v>
      </c>
      <c r="O1395">
        <v>0</v>
      </c>
      <c r="P1395">
        <v>0</v>
      </c>
      <c r="Q1395">
        <v>0</v>
      </c>
      <c r="R1395">
        <v>0</v>
      </c>
      <c r="S1395">
        <v>40</v>
      </c>
      <c r="T1395">
        <v>40</v>
      </c>
      <c r="U1395" s="5">
        <f>IF(Merge1[[#This Row],[team_defense_snaps]]=0, "", Merge1[[#This Row],[defense_snaps]] / Merge1[[#This Row],[team_defense_snaps]])</f>
        <v>0.76923076923076927</v>
      </c>
      <c r="V1395">
        <v>52</v>
      </c>
      <c r="W1395">
        <v>0</v>
      </c>
      <c r="X1395" s="5" t="s">
        <v>29</v>
      </c>
      <c r="Y1395">
        <v>6</v>
      </c>
      <c r="Z1395">
        <v>0</v>
      </c>
      <c r="AA1395" t="s">
        <v>25</v>
      </c>
      <c r="AB1395" t="s">
        <v>26</v>
      </c>
      <c r="AC1395" t="s">
        <v>27</v>
      </c>
      <c r="AD1395" t="s">
        <v>42</v>
      </c>
      <c r="AE1395" t="s">
        <v>25</v>
      </c>
      <c r="AF13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7.4999999999999997E-2</v>
      </c>
      <c r="AG1395" t="s">
        <v>941</v>
      </c>
      <c r="AH1395">
        <v>73.5</v>
      </c>
      <c r="AI1395" t="s">
        <v>939</v>
      </c>
      <c r="AJ1395">
        <v>6</v>
      </c>
      <c r="AK13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MIN(AJ1395/8, 1) +
  Merge1[[#This Row],[index_defensive_effort]],
  2
)</f>
        <v>1.33</v>
      </c>
    </row>
    <row r="1396" spans="1:37" x14ac:dyDescent="0.25">
      <c r="A1396" t="s">
        <v>549</v>
      </c>
      <c r="B1396" t="s">
        <v>550</v>
      </c>
      <c r="C1396">
        <v>29</v>
      </c>
      <c r="D1396" t="s">
        <v>56</v>
      </c>
      <c r="E1396">
        <v>70</v>
      </c>
      <c r="F1396">
        <v>188</v>
      </c>
      <c r="G1396" t="s">
        <v>144</v>
      </c>
      <c r="H1396">
        <v>2020</v>
      </c>
      <c r="I1396" t="s">
        <v>33</v>
      </c>
      <c r="J1396">
        <v>8</v>
      </c>
      <c r="K1396">
        <v>6</v>
      </c>
      <c r="L1396">
        <v>2</v>
      </c>
      <c r="M1396">
        <v>0</v>
      </c>
      <c r="N1396">
        <v>2</v>
      </c>
      <c r="O1396">
        <v>0</v>
      </c>
      <c r="P1396">
        <v>0</v>
      </c>
      <c r="Q1396">
        <v>0</v>
      </c>
      <c r="R1396">
        <v>0</v>
      </c>
      <c r="S1396">
        <v>68</v>
      </c>
      <c r="T1396">
        <v>68</v>
      </c>
      <c r="U1396" s="5">
        <f>IF(Merge1[[#This Row],[team_defense_snaps]]=0, "", Merge1[[#This Row],[defense_snaps]] / Merge1[[#This Row],[team_defense_snaps]])</f>
        <v>1</v>
      </c>
      <c r="V1396">
        <v>68</v>
      </c>
      <c r="W1396">
        <v>0</v>
      </c>
      <c r="X1396" s="5" t="s">
        <v>29</v>
      </c>
      <c r="Y1396">
        <v>6</v>
      </c>
      <c r="Z1396">
        <v>0</v>
      </c>
      <c r="AA1396" t="s">
        <v>25</v>
      </c>
      <c r="AB1396" t="s">
        <v>26</v>
      </c>
      <c r="AC1396" t="s">
        <v>27</v>
      </c>
      <c r="AD1396" t="s">
        <v>42</v>
      </c>
      <c r="AE1396" t="s">
        <v>25</v>
      </c>
      <c r="AF13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0.10294117647058823</v>
      </c>
      <c r="AG1396" t="s">
        <v>941</v>
      </c>
      <c r="AH1396">
        <v>66</v>
      </c>
      <c r="AI1396" t="s">
        <v>939</v>
      </c>
      <c r="AJ1396">
        <v>7</v>
      </c>
      <c r="AK13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MIN(AJ1396/8, 1) +
  Merge1[[#This Row],[index_defensive_effort]],
  2
)</f>
        <v>1.48</v>
      </c>
    </row>
    <row r="1397" spans="1:37" x14ac:dyDescent="0.25">
      <c r="A1397" t="s">
        <v>549</v>
      </c>
      <c r="B1397" t="s">
        <v>550</v>
      </c>
      <c r="C1397">
        <v>29</v>
      </c>
      <c r="D1397" t="s">
        <v>56</v>
      </c>
      <c r="E1397">
        <v>70</v>
      </c>
      <c r="F1397">
        <v>188</v>
      </c>
      <c r="G1397" t="s">
        <v>144</v>
      </c>
      <c r="H1397">
        <v>2020</v>
      </c>
      <c r="I1397" t="s">
        <v>33</v>
      </c>
      <c r="J1397">
        <v>9</v>
      </c>
      <c r="K1397">
        <v>1</v>
      </c>
      <c r="L1397">
        <v>3</v>
      </c>
      <c r="M1397">
        <v>0</v>
      </c>
      <c r="N1397">
        <v>3</v>
      </c>
      <c r="O1397">
        <v>0</v>
      </c>
      <c r="P1397">
        <v>0</v>
      </c>
      <c r="Q1397">
        <v>0</v>
      </c>
      <c r="R1397">
        <v>0</v>
      </c>
      <c r="S1397">
        <v>62</v>
      </c>
      <c r="T1397">
        <v>62</v>
      </c>
      <c r="U1397" s="5">
        <f>IF(Merge1[[#This Row],[team_defense_snaps]]=0, "", Merge1[[#This Row],[defense_snaps]] / Merge1[[#This Row],[team_defense_snaps]])</f>
        <v>0.93939393939393945</v>
      </c>
      <c r="V1397">
        <v>66</v>
      </c>
      <c r="W1397">
        <v>0</v>
      </c>
      <c r="X1397" s="5" t="s">
        <v>29</v>
      </c>
      <c r="Y1397">
        <v>6</v>
      </c>
      <c r="Z1397">
        <v>0</v>
      </c>
      <c r="AA1397" t="s">
        <v>25</v>
      </c>
      <c r="AB1397" t="s">
        <v>26</v>
      </c>
      <c r="AC1397" t="s">
        <v>27</v>
      </c>
      <c r="AD1397" t="s">
        <v>42</v>
      </c>
      <c r="AE1397" t="s">
        <v>25</v>
      </c>
      <c r="AF13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4.0322580645161289E-2</v>
      </c>
      <c r="AG1397" t="s">
        <v>941</v>
      </c>
      <c r="AH1397">
        <v>61.5</v>
      </c>
      <c r="AI1397" t="s">
        <v>939</v>
      </c>
      <c r="AJ1397">
        <v>8</v>
      </c>
      <c r="AK13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MIN(AJ1397/8, 1) +
  Merge1[[#This Row],[index_defensive_effort]],
  2
)</f>
        <v>1.54</v>
      </c>
    </row>
    <row r="1398" spans="1:37" x14ac:dyDescent="0.25">
      <c r="A1398" t="s">
        <v>549</v>
      </c>
      <c r="B1398" t="s">
        <v>550</v>
      </c>
      <c r="C1398">
        <v>29</v>
      </c>
      <c r="D1398" t="s">
        <v>56</v>
      </c>
      <c r="E1398">
        <v>70</v>
      </c>
      <c r="F1398">
        <v>188</v>
      </c>
      <c r="G1398" t="s">
        <v>144</v>
      </c>
      <c r="H1398">
        <v>2020</v>
      </c>
      <c r="I1398" t="s">
        <v>33</v>
      </c>
      <c r="J1398">
        <v>10</v>
      </c>
      <c r="K1398">
        <v>1</v>
      </c>
      <c r="L1398">
        <v>1</v>
      </c>
      <c r="M1398">
        <v>0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58</v>
      </c>
      <c r="T1398">
        <v>58</v>
      </c>
      <c r="U1398" s="5">
        <f>IF(Merge1[[#This Row],[team_defense_snaps]]=0, "", Merge1[[#This Row],[defense_snaps]] / Merge1[[#This Row],[team_defense_snaps]])</f>
        <v>0.98305084745762716</v>
      </c>
      <c r="V1398">
        <v>59</v>
      </c>
      <c r="W1398">
        <v>0</v>
      </c>
      <c r="X1398" s="5" t="s">
        <v>29</v>
      </c>
      <c r="Y1398">
        <v>6</v>
      </c>
      <c r="Z1398">
        <v>0</v>
      </c>
      <c r="AA1398" t="s">
        <v>25</v>
      </c>
      <c r="AB1398" t="s">
        <v>26</v>
      </c>
      <c r="AC1398" t="s">
        <v>27</v>
      </c>
      <c r="AD1398" t="s">
        <v>42</v>
      </c>
      <c r="AE1398" t="s">
        <v>25</v>
      </c>
      <c r="AF13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2.5862068965517241E-2</v>
      </c>
      <c r="AG1398" t="s">
        <v>941</v>
      </c>
      <c r="AH1398">
        <v>58.5</v>
      </c>
      <c r="AI1398" t="s">
        <v>939</v>
      </c>
      <c r="AJ1398">
        <v>1</v>
      </c>
      <c r="AK13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MIN(AJ1398/8, 1) +
  Merge1[[#This Row],[index_defensive_effort]],
  2
)</f>
        <v>0.65</v>
      </c>
    </row>
    <row r="1399" spans="1:37" x14ac:dyDescent="0.25">
      <c r="A1399" t="s">
        <v>549</v>
      </c>
      <c r="B1399" t="s">
        <v>550</v>
      </c>
      <c r="C1399">
        <v>29</v>
      </c>
      <c r="D1399" t="s">
        <v>56</v>
      </c>
      <c r="E1399">
        <v>70</v>
      </c>
      <c r="F1399">
        <v>188</v>
      </c>
      <c r="G1399" t="s">
        <v>144</v>
      </c>
      <c r="H1399">
        <v>2020</v>
      </c>
      <c r="I1399" t="s">
        <v>33</v>
      </c>
      <c r="J1399">
        <v>12</v>
      </c>
      <c r="K1399">
        <v>3</v>
      </c>
      <c r="L1399">
        <v>2</v>
      </c>
      <c r="M1399">
        <v>1</v>
      </c>
      <c r="N1399">
        <v>3</v>
      </c>
      <c r="O1399">
        <v>0</v>
      </c>
      <c r="P1399">
        <v>0</v>
      </c>
      <c r="Q1399">
        <v>0</v>
      </c>
      <c r="R1399">
        <v>0</v>
      </c>
      <c r="S1399">
        <v>62</v>
      </c>
      <c r="T1399">
        <v>62</v>
      </c>
      <c r="U1399" s="5">
        <f>IF(Merge1[[#This Row],[team_defense_snaps]]=0, "", Merge1[[#This Row],[defense_snaps]] / Merge1[[#This Row],[team_defense_snaps]])</f>
        <v>1</v>
      </c>
      <c r="V1399">
        <v>62</v>
      </c>
      <c r="W1399">
        <v>0</v>
      </c>
      <c r="X1399" s="5" t="s">
        <v>29</v>
      </c>
      <c r="Y1399">
        <v>6</v>
      </c>
      <c r="Z1399">
        <v>0</v>
      </c>
      <c r="AA1399" t="s">
        <v>25</v>
      </c>
      <c r="AB1399" t="s">
        <v>26</v>
      </c>
      <c r="AC1399" t="s">
        <v>27</v>
      </c>
      <c r="AD1399" t="s">
        <v>42</v>
      </c>
      <c r="AE1399" t="s">
        <v>25</v>
      </c>
      <c r="AF13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7.2580645161290328E-2</v>
      </c>
      <c r="AG1399" t="s">
        <v>941</v>
      </c>
      <c r="AH1399">
        <v>69</v>
      </c>
      <c r="AI1399" t="s">
        <v>939</v>
      </c>
      <c r="AJ1399">
        <v>2</v>
      </c>
      <c r="AK13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MIN(AJ1399/8, 1) +
  Merge1[[#This Row],[index_defensive_effort]],
  2
)</f>
        <v>0.82</v>
      </c>
    </row>
    <row r="1400" spans="1:37" x14ac:dyDescent="0.25">
      <c r="A1400" t="s">
        <v>549</v>
      </c>
      <c r="B1400" t="s">
        <v>550</v>
      </c>
      <c r="C1400">
        <v>29</v>
      </c>
      <c r="D1400" t="s">
        <v>56</v>
      </c>
      <c r="E1400">
        <v>70</v>
      </c>
      <c r="F1400">
        <v>188</v>
      </c>
      <c r="G1400" t="s">
        <v>144</v>
      </c>
      <c r="H1400">
        <v>2020</v>
      </c>
      <c r="I1400" t="s">
        <v>33</v>
      </c>
      <c r="J1400">
        <v>13</v>
      </c>
      <c r="K1400">
        <v>10</v>
      </c>
      <c r="L1400">
        <v>1</v>
      </c>
      <c r="M1400">
        <v>1</v>
      </c>
      <c r="N1400">
        <v>2</v>
      </c>
      <c r="O1400">
        <v>0</v>
      </c>
      <c r="P1400">
        <v>0</v>
      </c>
      <c r="Q1400">
        <v>0</v>
      </c>
      <c r="R1400">
        <v>0</v>
      </c>
      <c r="S1400">
        <v>72</v>
      </c>
      <c r="T1400">
        <v>72</v>
      </c>
      <c r="U1400" s="5">
        <f>IF(Merge1[[#This Row],[team_defense_snaps]]=0, "", Merge1[[#This Row],[defense_snaps]] / Merge1[[#This Row],[team_defense_snaps]])</f>
        <v>0.98630136986301364</v>
      </c>
      <c r="V1400">
        <v>73</v>
      </c>
      <c r="W1400">
        <v>0</v>
      </c>
      <c r="X1400" s="5" t="s">
        <v>29</v>
      </c>
      <c r="Y1400">
        <v>6</v>
      </c>
      <c r="Z1400">
        <v>0</v>
      </c>
      <c r="AA1400" t="s">
        <v>25</v>
      </c>
      <c r="AB1400" t="s">
        <v>26</v>
      </c>
      <c r="AC1400" t="s">
        <v>27</v>
      </c>
      <c r="AD1400" t="s">
        <v>42</v>
      </c>
      <c r="AE1400" t="s">
        <v>25</v>
      </c>
      <c r="AF14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0.15277777777777779</v>
      </c>
      <c r="AG1400" t="s">
        <v>941</v>
      </c>
      <c r="AH1400">
        <v>60</v>
      </c>
      <c r="AI1400" t="s">
        <v>939</v>
      </c>
      <c r="AJ1400">
        <v>3</v>
      </c>
      <c r="AK14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MIN(AJ1400/8, 1) +
  Merge1[[#This Row],[index_defensive_effort]],
  2
)</f>
        <v>1.03</v>
      </c>
    </row>
    <row r="1401" spans="1:37" x14ac:dyDescent="0.25">
      <c r="A1401" t="s">
        <v>549</v>
      </c>
      <c r="B1401" t="s">
        <v>550</v>
      </c>
      <c r="C1401">
        <v>29</v>
      </c>
      <c r="D1401" t="s">
        <v>56</v>
      </c>
      <c r="E1401">
        <v>70</v>
      </c>
      <c r="F1401">
        <v>188</v>
      </c>
      <c r="G1401" t="s">
        <v>144</v>
      </c>
      <c r="H1401">
        <v>2020</v>
      </c>
      <c r="I1401" t="s">
        <v>33</v>
      </c>
      <c r="J1401">
        <v>14</v>
      </c>
      <c r="K1401">
        <v>3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2</v>
      </c>
      <c r="R1401">
        <v>0</v>
      </c>
      <c r="S1401">
        <v>63</v>
      </c>
      <c r="T1401">
        <v>63</v>
      </c>
      <c r="U1401" s="5">
        <f>IF(Merge1[[#This Row],[team_defense_snaps]]=0, "", Merge1[[#This Row],[defense_snaps]] / Merge1[[#This Row],[team_defense_snaps]])</f>
        <v>0.94029850746268662</v>
      </c>
      <c r="V1401">
        <v>67</v>
      </c>
      <c r="W1401">
        <v>0</v>
      </c>
      <c r="X1401" s="5" t="s">
        <v>29</v>
      </c>
      <c r="Y1401">
        <v>6</v>
      </c>
      <c r="Z1401">
        <v>0</v>
      </c>
      <c r="AA1401" t="s">
        <v>25</v>
      </c>
      <c r="AB1401" t="s">
        <v>26</v>
      </c>
      <c r="AC1401" t="s">
        <v>27</v>
      </c>
      <c r="AD1401" t="s">
        <v>42</v>
      </c>
      <c r="AE1401" t="s">
        <v>25</v>
      </c>
      <c r="AF14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0.17460317460317459</v>
      </c>
      <c r="AG1401" t="s">
        <v>941</v>
      </c>
      <c r="AH1401">
        <v>55.5</v>
      </c>
      <c r="AI1401" t="s">
        <v>939</v>
      </c>
      <c r="AJ1401">
        <v>1</v>
      </c>
      <c r="AK14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MIN(AJ1401/8, 1) +
  Merge1[[#This Row],[index_defensive_effort]],
  2
)</f>
        <v>0.8</v>
      </c>
    </row>
    <row r="1402" spans="1:37" x14ac:dyDescent="0.25">
      <c r="A1402" t="s">
        <v>549</v>
      </c>
      <c r="B1402" t="s">
        <v>550</v>
      </c>
      <c r="C1402">
        <v>29</v>
      </c>
      <c r="D1402" t="s">
        <v>56</v>
      </c>
      <c r="E1402">
        <v>70</v>
      </c>
      <c r="F1402">
        <v>188</v>
      </c>
      <c r="G1402" t="s">
        <v>144</v>
      </c>
      <c r="H1402">
        <v>2020</v>
      </c>
      <c r="I1402" t="s">
        <v>33</v>
      </c>
      <c r="J1402">
        <v>16</v>
      </c>
      <c r="K1402">
        <v>7</v>
      </c>
      <c r="L1402">
        <v>1</v>
      </c>
      <c r="M1402">
        <v>0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82</v>
      </c>
      <c r="T1402">
        <v>82</v>
      </c>
      <c r="U1402" s="5">
        <f>IF(Merge1[[#This Row],[team_defense_snaps]]=0, "", Merge1[[#This Row],[defense_snaps]] / Merge1[[#This Row],[team_defense_snaps]])</f>
        <v>1</v>
      </c>
      <c r="V1402">
        <v>82</v>
      </c>
      <c r="W1402">
        <v>0</v>
      </c>
      <c r="X1402" s="5" t="s">
        <v>29</v>
      </c>
      <c r="Y1402">
        <v>6</v>
      </c>
      <c r="Z1402">
        <v>0</v>
      </c>
      <c r="AA1402" t="s">
        <v>25</v>
      </c>
      <c r="AB1402" t="s">
        <v>26</v>
      </c>
      <c r="AC1402" t="s">
        <v>27</v>
      </c>
      <c r="AD1402" t="s">
        <v>42</v>
      </c>
      <c r="AE1402" t="s">
        <v>25</v>
      </c>
      <c r="AF14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9.1463414634146339E-2</v>
      </c>
      <c r="AG1402" t="s">
        <v>941</v>
      </c>
      <c r="AH1402">
        <v>75</v>
      </c>
      <c r="AI1402" t="s">
        <v>939</v>
      </c>
      <c r="AJ1402">
        <v>2</v>
      </c>
      <c r="AK14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MIN(AJ1402/8, 1) +
  Merge1[[#This Row],[index_defensive_effort]],
  2
)</f>
        <v>0.84</v>
      </c>
    </row>
    <row r="1403" spans="1:37" x14ac:dyDescent="0.25">
      <c r="A1403" t="s">
        <v>549</v>
      </c>
      <c r="B1403" t="s">
        <v>550</v>
      </c>
      <c r="C1403">
        <v>29</v>
      </c>
      <c r="D1403" t="s">
        <v>56</v>
      </c>
      <c r="E1403">
        <v>70</v>
      </c>
      <c r="F1403">
        <v>188</v>
      </c>
      <c r="G1403" t="s">
        <v>144</v>
      </c>
      <c r="H1403">
        <v>2020</v>
      </c>
      <c r="I1403" t="s">
        <v>33</v>
      </c>
      <c r="J1403">
        <v>17</v>
      </c>
      <c r="K1403">
        <v>8</v>
      </c>
      <c r="L1403">
        <v>1</v>
      </c>
      <c r="M1403">
        <v>0</v>
      </c>
      <c r="N1403">
        <v>1</v>
      </c>
      <c r="O1403">
        <v>0</v>
      </c>
      <c r="P1403">
        <v>1</v>
      </c>
      <c r="Q1403">
        <v>0</v>
      </c>
      <c r="R1403">
        <v>0</v>
      </c>
      <c r="S1403">
        <v>64</v>
      </c>
      <c r="T1403">
        <v>64</v>
      </c>
      <c r="U1403" s="5">
        <f>IF(Merge1[[#This Row],[team_defense_snaps]]=0, "", Merge1[[#This Row],[defense_snaps]] / Merge1[[#This Row],[team_defense_snaps]])</f>
        <v>0.98461538461538467</v>
      </c>
      <c r="V1403">
        <v>65</v>
      </c>
      <c r="W1403">
        <v>0</v>
      </c>
      <c r="X1403" s="5" t="s">
        <v>29</v>
      </c>
      <c r="Y1403">
        <v>6</v>
      </c>
      <c r="Z1403">
        <v>0</v>
      </c>
      <c r="AA1403" t="s">
        <v>25</v>
      </c>
      <c r="AB1403" t="s">
        <v>26</v>
      </c>
      <c r="AC1403" t="s">
        <v>27</v>
      </c>
      <c r="AD1403" t="s">
        <v>42</v>
      </c>
      <c r="AE1403" t="s">
        <v>25</v>
      </c>
      <c r="AF14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0.1640625</v>
      </c>
      <c r="AG1403" t="s">
        <v>941</v>
      </c>
      <c r="AH1403">
        <v>72</v>
      </c>
      <c r="AI1403" t="s">
        <v>939</v>
      </c>
      <c r="AJ1403">
        <v>1</v>
      </c>
      <c r="AK14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MIN(AJ1403/8, 1) +
  Merge1[[#This Row],[index_defensive_effort]],
  2
)</f>
        <v>0.79</v>
      </c>
    </row>
    <row r="1404" spans="1:37" x14ac:dyDescent="0.25">
      <c r="A1404" t="s">
        <v>473</v>
      </c>
      <c r="B1404" t="s">
        <v>474</v>
      </c>
      <c r="C1404">
        <v>22</v>
      </c>
      <c r="D1404" t="s">
        <v>56</v>
      </c>
      <c r="E1404">
        <v>69</v>
      </c>
      <c r="F1404">
        <v>191</v>
      </c>
      <c r="G1404" t="s">
        <v>107</v>
      </c>
      <c r="H1404">
        <v>2020</v>
      </c>
      <c r="I1404" t="s">
        <v>33</v>
      </c>
      <c r="J1404">
        <v>12</v>
      </c>
      <c r="K1404">
        <v>2</v>
      </c>
      <c r="L1404">
        <v>0</v>
      </c>
      <c r="M1404">
        <v>0</v>
      </c>
      <c r="N1404">
        <v>0</v>
      </c>
      <c r="O1404">
        <v>0</v>
      </c>
      <c r="P1404">
        <v>1</v>
      </c>
      <c r="Q1404">
        <v>0</v>
      </c>
      <c r="R1404">
        <v>2</v>
      </c>
      <c r="S1404">
        <v>12</v>
      </c>
      <c r="T1404">
        <v>7</v>
      </c>
      <c r="U1404" s="5">
        <f>IF(Merge1[[#This Row],[team_defense_snaps]]=0, "", Merge1[[#This Row],[defense_snaps]] / Merge1[[#This Row],[team_defense_snaps]])</f>
        <v>9.8591549295774641E-2</v>
      </c>
      <c r="V1404">
        <v>71</v>
      </c>
      <c r="W1404">
        <v>5</v>
      </c>
      <c r="X1404" s="5" t="s">
        <v>139</v>
      </c>
      <c r="Y1404">
        <v>0</v>
      </c>
      <c r="Z1404">
        <v>0</v>
      </c>
      <c r="AA1404" t="s">
        <v>25</v>
      </c>
      <c r="AB1404" t="s">
        <v>26</v>
      </c>
      <c r="AC1404" t="s">
        <v>27</v>
      </c>
      <c r="AD1404" t="s">
        <v>28</v>
      </c>
      <c r="AE1404" t="s">
        <v>25</v>
      </c>
      <c r="AF14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0.66666666666666663</v>
      </c>
      <c r="AG1404" t="s">
        <v>942</v>
      </c>
      <c r="AH1404">
        <v>55.5</v>
      </c>
      <c r="AI1404" t="s">
        <v>939</v>
      </c>
      <c r="AJ1404">
        <v>2</v>
      </c>
      <c r="AK14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MIN(AJ1404/8, 1) +
  Merge1[[#This Row],[index_defensive_effort]],
  2
)</f>
        <v>1.42</v>
      </c>
    </row>
    <row r="1405" spans="1:37" x14ac:dyDescent="0.25">
      <c r="A1405" t="s">
        <v>473</v>
      </c>
      <c r="B1405" t="s">
        <v>474</v>
      </c>
      <c r="C1405">
        <v>22</v>
      </c>
      <c r="D1405" t="s">
        <v>56</v>
      </c>
      <c r="E1405">
        <v>69</v>
      </c>
      <c r="F1405">
        <v>191</v>
      </c>
      <c r="G1405" t="s">
        <v>107</v>
      </c>
      <c r="H1405">
        <v>2020</v>
      </c>
      <c r="I1405" t="s">
        <v>33</v>
      </c>
      <c r="J1405">
        <v>13</v>
      </c>
      <c r="K1405">
        <v>4</v>
      </c>
      <c r="L1405">
        <v>2</v>
      </c>
      <c r="M1405">
        <v>1</v>
      </c>
      <c r="N1405">
        <v>3</v>
      </c>
      <c r="O1405">
        <v>0</v>
      </c>
      <c r="P1405">
        <v>1</v>
      </c>
      <c r="Q1405">
        <v>0</v>
      </c>
      <c r="R1405">
        <v>4</v>
      </c>
      <c r="S1405">
        <v>43</v>
      </c>
      <c r="T1405">
        <v>36</v>
      </c>
      <c r="U1405" s="5">
        <f>IF(Merge1[[#This Row],[team_defense_snaps]]=0, "", Merge1[[#This Row],[defense_snaps]] / Merge1[[#This Row],[team_defense_snaps]])</f>
        <v>0.45569620253164556</v>
      </c>
      <c r="V1405">
        <v>79</v>
      </c>
      <c r="W1405">
        <v>7</v>
      </c>
      <c r="X1405" s="5" t="s">
        <v>136</v>
      </c>
      <c r="Y1405">
        <v>0</v>
      </c>
      <c r="Z1405">
        <v>0</v>
      </c>
      <c r="AA1405" t="s">
        <v>25</v>
      </c>
      <c r="AB1405" t="s">
        <v>26</v>
      </c>
      <c r="AC1405" t="s">
        <v>27</v>
      </c>
      <c r="AD1405" t="s">
        <v>28</v>
      </c>
      <c r="AE1405" t="s">
        <v>25</v>
      </c>
      <c r="AF14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0.36046511627906974</v>
      </c>
      <c r="AG1405" t="s">
        <v>942</v>
      </c>
      <c r="AH1405">
        <v>51</v>
      </c>
      <c r="AI1405" t="s">
        <v>939</v>
      </c>
      <c r="AJ1405">
        <v>3</v>
      </c>
      <c r="AK14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MIN(AJ1405/8, 1) +
  Merge1[[#This Row],[index_defensive_effort]],
  2
)</f>
        <v>1.24</v>
      </c>
    </row>
    <row r="1406" spans="1:37" x14ac:dyDescent="0.25">
      <c r="A1406" t="s">
        <v>473</v>
      </c>
      <c r="B1406" t="s">
        <v>474</v>
      </c>
      <c r="C1406">
        <v>22</v>
      </c>
      <c r="D1406" t="s">
        <v>56</v>
      </c>
      <c r="E1406">
        <v>69</v>
      </c>
      <c r="F1406">
        <v>191</v>
      </c>
      <c r="G1406" t="s">
        <v>107</v>
      </c>
      <c r="H1406">
        <v>2020</v>
      </c>
      <c r="I1406" t="s">
        <v>33</v>
      </c>
      <c r="J1406">
        <v>14</v>
      </c>
      <c r="K1406">
        <v>1</v>
      </c>
      <c r="L1406">
        <v>4</v>
      </c>
      <c r="M1406">
        <v>1</v>
      </c>
      <c r="N1406">
        <v>5</v>
      </c>
      <c r="O1406">
        <v>0</v>
      </c>
      <c r="P1406">
        <v>1</v>
      </c>
      <c r="Q1406">
        <v>0</v>
      </c>
      <c r="R1406">
        <v>0</v>
      </c>
      <c r="S1406">
        <v>68</v>
      </c>
      <c r="T1406">
        <v>63</v>
      </c>
      <c r="U1406" s="5">
        <f>IF(Merge1[[#This Row],[team_defense_snaps]]=0, "", Merge1[[#This Row],[defense_snaps]] / Merge1[[#This Row],[team_defense_snaps]])</f>
        <v>0.86301369863013699</v>
      </c>
      <c r="V1406">
        <v>73</v>
      </c>
      <c r="W1406">
        <v>5</v>
      </c>
      <c r="X1406" s="5" t="s">
        <v>181</v>
      </c>
      <c r="Y1406">
        <v>0</v>
      </c>
      <c r="Z1406">
        <v>0</v>
      </c>
      <c r="AA1406" t="s">
        <v>25</v>
      </c>
      <c r="AB1406" t="s">
        <v>26</v>
      </c>
      <c r="AC1406" t="s">
        <v>27</v>
      </c>
      <c r="AD1406" t="s">
        <v>42</v>
      </c>
      <c r="AE1406" t="s">
        <v>25</v>
      </c>
      <c r="AF14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8.0882352941176475E-2</v>
      </c>
      <c r="AG1406" t="s">
        <v>942</v>
      </c>
      <c r="AH1406">
        <v>52.5</v>
      </c>
      <c r="AI1406" t="s">
        <v>939</v>
      </c>
      <c r="AJ1406">
        <v>4</v>
      </c>
      <c r="AK14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MIN(AJ1406/8, 1) +
  Merge1[[#This Row],[index_defensive_effort]],
  2
)</f>
        <v>1.08</v>
      </c>
    </row>
    <row r="1407" spans="1:37" x14ac:dyDescent="0.25">
      <c r="A1407" t="s">
        <v>473</v>
      </c>
      <c r="B1407" t="s">
        <v>474</v>
      </c>
      <c r="C1407">
        <v>22</v>
      </c>
      <c r="D1407" t="s">
        <v>56</v>
      </c>
      <c r="E1407">
        <v>69</v>
      </c>
      <c r="F1407">
        <v>191</v>
      </c>
      <c r="G1407" t="s">
        <v>107</v>
      </c>
      <c r="H1407">
        <v>2020</v>
      </c>
      <c r="I1407" t="s">
        <v>33</v>
      </c>
      <c r="J1407">
        <v>15</v>
      </c>
      <c r="K1407">
        <v>5</v>
      </c>
      <c r="L1407">
        <v>1</v>
      </c>
      <c r="M1407">
        <v>1</v>
      </c>
      <c r="N1407">
        <v>2</v>
      </c>
      <c r="O1407">
        <v>0</v>
      </c>
      <c r="P1407">
        <v>1</v>
      </c>
      <c r="Q1407">
        <v>0</v>
      </c>
      <c r="R1407">
        <v>0</v>
      </c>
      <c r="S1407">
        <v>69</v>
      </c>
      <c r="T1407">
        <v>59</v>
      </c>
      <c r="U1407" s="5">
        <f>IF(Merge1[[#This Row],[team_defense_snaps]]=0, "", Merge1[[#This Row],[defense_snaps]] / Merge1[[#This Row],[team_defense_snaps]])</f>
        <v>1</v>
      </c>
      <c r="V1407">
        <v>59</v>
      </c>
      <c r="W1407">
        <v>10</v>
      </c>
      <c r="X1407" s="5" t="s">
        <v>334</v>
      </c>
      <c r="Y1407">
        <v>0</v>
      </c>
      <c r="Z1407">
        <v>0</v>
      </c>
      <c r="AA1407" t="s">
        <v>25</v>
      </c>
      <c r="AB1407" t="s">
        <v>26</v>
      </c>
      <c r="AC1407" t="s">
        <v>27</v>
      </c>
      <c r="AD1407" t="s">
        <v>42</v>
      </c>
      <c r="AE1407" t="s">
        <v>25</v>
      </c>
      <c r="AF14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0.11594202898550725</v>
      </c>
      <c r="AG1407" t="s">
        <v>942</v>
      </c>
      <c r="AH1407">
        <v>48</v>
      </c>
      <c r="AI1407" t="s">
        <v>938</v>
      </c>
      <c r="AJ1407">
        <v>1</v>
      </c>
      <c r="AK14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MIN(AJ1407/8, 1) +
  Merge1[[#This Row],[index_defensive_effort]],
  2
)</f>
        <v>0.74</v>
      </c>
    </row>
    <row r="1408" spans="1:37" x14ac:dyDescent="0.25">
      <c r="A1408" t="s">
        <v>473</v>
      </c>
      <c r="B1408" t="s">
        <v>474</v>
      </c>
      <c r="C1408">
        <v>22</v>
      </c>
      <c r="D1408" t="s">
        <v>56</v>
      </c>
      <c r="E1408">
        <v>69</v>
      </c>
      <c r="F1408">
        <v>191</v>
      </c>
      <c r="G1408" t="s">
        <v>107</v>
      </c>
      <c r="H1408">
        <v>2020</v>
      </c>
      <c r="I1408" t="s">
        <v>33</v>
      </c>
      <c r="J1408">
        <v>17</v>
      </c>
      <c r="K1408">
        <v>0</v>
      </c>
      <c r="L1408">
        <v>2</v>
      </c>
      <c r="M1408">
        <v>2</v>
      </c>
      <c r="N1408">
        <v>4</v>
      </c>
      <c r="O1408">
        <v>0</v>
      </c>
      <c r="P1408">
        <v>0</v>
      </c>
      <c r="Q1408">
        <v>0</v>
      </c>
      <c r="R1408">
        <v>2</v>
      </c>
      <c r="S1408">
        <v>10</v>
      </c>
      <c r="T1408">
        <v>5</v>
      </c>
      <c r="U1408" s="5">
        <f>IF(Merge1[[#This Row],[team_defense_snaps]]=0, "", Merge1[[#This Row],[defense_snaps]] / Merge1[[#This Row],[team_defense_snaps]])</f>
        <v>7.6923076923076927E-2</v>
      </c>
      <c r="V1408">
        <v>65</v>
      </c>
      <c r="W1408">
        <v>5</v>
      </c>
      <c r="X1408" s="5" t="s">
        <v>58</v>
      </c>
      <c r="Y1408">
        <v>0</v>
      </c>
      <c r="Z1408">
        <v>0</v>
      </c>
      <c r="AA1408" t="s">
        <v>25</v>
      </c>
      <c r="AB1408" t="s">
        <v>36</v>
      </c>
      <c r="AC1408" t="s">
        <v>247</v>
      </c>
      <c r="AD1408" t="s">
        <v>28</v>
      </c>
      <c r="AE1408" t="s">
        <v>25</v>
      </c>
      <c r="AF14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</v>
      </c>
      <c r="AG1408" t="s">
        <v>942</v>
      </c>
      <c r="AH1408">
        <v>54</v>
      </c>
      <c r="AI1408" t="s">
        <v>939</v>
      </c>
      <c r="AJ1408">
        <v>1</v>
      </c>
      <c r="AK14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MIN(AJ1408/8, 1) +
  Merge1[[#This Row],[index_defensive_effort]],
  2
)</f>
        <v>1.23</v>
      </c>
    </row>
    <row r="1409" spans="1:37" x14ac:dyDescent="0.25">
      <c r="A1409" t="s">
        <v>554</v>
      </c>
      <c r="B1409" t="s">
        <v>555</v>
      </c>
      <c r="C1409">
        <v>28</v>
      </c>
      <c r="D1409" t="s">
        <v>22</v>
      </c>
      <c r="E1409">
        <v>71</v>
      </c>
      <c r="F1409">
        <v>194</v>
      </c>
      <c r="G1409" t="s">
        <v>120</v>
      </c>
      <c r="H1409">
        <v>2020</v>
      </c>
      <c r="I1409" t="s">
        <v>33</v>
      </c>
      <c r="J1409">
        <v>15</v>
      </c>
      <c r="K1409">
        <v>6</v>
      </c>
      <c r="L1409">
        <v>0</v>
      </c>
      <c r="M1409">
        <v>0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75</v>
      </c>
      <c r="T1409">
        <v>74</v>
      </c>
      <c r="U1409" s="5">
        <f>IF(Merge1[[#This Row],[team_defense_snaps]]=0, "", Merge1[[#This Row],[defense_snaps]] / Merge1[[#This Row],[team_defense_snaps]])</f>
        <v>0.96103896103896103</v>
      </c>
      <c r="V1409">
        <v>77</v>
      </c>
      <c r="W1409">
        <v>1</v>
      </c>
      <c r="X1409" s="5" t="s">
        <v>193</v>
      </c>
      <c r="Y1409">
        <v>6</v>
      </c>
      <c r="Z1409">
        <v>0</v>
      </c>
      <c r="AA1409" t="s">
        <v>25</v>
      </c>
      <c r="AB1409" t="s">
        <v>26</v>
      </c>
      <c r="AC1409" t="s">
        <v>27</v>
      </c>
      <c r="AD1409" t="s">
        <v>42</v>
      </c>
      <c r="AE1409" t="s">
        <v>25</v>
      </c>
      <c r="AF14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0.10666666666666667</v>
      </c>
      <c r="AG1409" t="s">
        <v>942</v>
      </c>
      <c r="AH1409">
        <v>58</v>
      </c>
      <c r="AI1409" t="s">
        <v>939</v>
      </c>
      <c r="AJ1409">
        <v>1</v>
      </c>
      <c r="AK14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MIN(AJ1409/8, 1) +
  Merge1[[#This Row],[index_defensive_effort]],
  2
)</f>
        <v>0.83</v>
      </c>
    </row>
    <row r="1410" spans="1:37" x14ac:dyDescent="0.25">
      <c r="A1410" t="s">
        <v>554</v>
      </c>
      <c r="B1410" t="s">
        <v>555</v>
      </c>
      <c r="C1410">
        <v>28</v>
      </c>
      <c r="D1410" t="s">
        <v>22</v>
      </c>
      <c r="E1410">
        <v>71</v>
      </c>
      <c r="F1410">
        <v>194</v>
      </c>
      <c r="G1410" t="s">
        <v>120</v>
      </c>
      <c r="H1410">
        <v>2020</v>
      </c>
      <c r="I1410" t="s">
        <v>33</v>
      </c>
      <c r="J1410">
        <v>17</v>
      </c>
      <c r="K1410">
        <v>1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18</v>
      </c>
      <c r="T1410">
        <v>12</v>
      </c>
      <c r="U1410" s="5">
        <f>IF(Merge1[[#This Row],[team_defense_snaps]]=0, "", Merge1[[#This Row],[defense_snaps]] / Merge1[[#This Row],[team_defense_snaps]])</f>
        <v>0.22641509433962265</v>
      </c>
      <c r="V1410">
        <v>53</v>
      </c>
      <c r="W1410">
        <v>6</v>
      </c>
      <c r="X1410" s="5" t="s">
        <v>136</v>
      </c>
      <c r="Y1410">
        <v>6</v>
      </c>
      <c r="Z1410">
        <v>0</v>
      </c>
      <c r="AA1410" t="s">
        <v>25</v>
      </c>
      <c r="AB1410" t="s">
        <v>26</v>
      </c>
      <c r="AC1410" t="s">
        <v>27</v>
      </c>
      <c r="AD1410" t="s">
        <v>28</v>
      </c>
      <c r="AE1410" t="s">
        <v>25</v>
      </c>
      <c r="AF14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1410" t="s">
        <v>942</v>
      </c>
      <c r="AH1410">
        <v>61</v>
      </c>
      <c r="AI1410" t="s">
        <v>939</v>
      </c>
      <c r="AJ1410">
        <v>1</v>
      </c>
      <c r="AK14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MIN(AJ1410/8, 1) +
  Merge1[[#This Row],[index_defensive_effort]],
  2
)</f>
        <v>0.78</v>
      </c>
    </row>
    <row r="1411" spans="1:37" x14ac:dyDescent="0.25">
      <c r="A1411" t="s">
        <v>477</v>
      </c>
      <c r="B1411" t="s">
        <v>478</v>
      </c>
      <c r="C1411">
        <v>23</v>
      </c>
      <c r="D1411" t="s">
        <v>22</v>
      </c>
      <c r="E1411">
        <v>73</v>
      </c>
      <c r="F1411">
        <v>208</v>
      </c>
      <c r="G1411" t="s">
        <v>173</v>
      </c>
      <c r="H1411">
        <v>2020</v>
      </c>
      <c r="I1411" t="s">
        <v>33</v>
      </c>
      <c r="J1411">
        <v>3</v>
      </c>
      <c r="K1411">
        <v>1</v>
      </c>
      <c r="L1411">
        <v>1</v>
      </c>
      <c r="M1411">
        <v>0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40</v>
      </c>
      <c r="T1411">
        <v>24</v>
      </c>
      <c r="U1411" s="5">
        <f>IF(Merge1[[#This Row],[team_defense_snaps]]=0, "", Merge1[[#This Row],[defense_snaps]] / Merge1[[#This Row],[team_defense_snaps]])</f>
        <v>0.28915662650602408</v>
      </c>
      <c r="V1411">
        <v>83</v>
      </c>
      <c r="W1411">
        <v>16</v>
      </c>
      <c r="X1411" s="5" t="s">
        <v>200</v>
      </c>
      <c r="Y1411">
        <v>0</v>
      </c>
      <c r="Z1411">
        <v>0</v>
      </c>
      <c r="AA1411" t="s">
        <v>25</v>
      </c>
      <c r="AB1411" t="s">
        <v>26</v>
      </c>
      <c r="AC1411" t="s">
        <v>27</v>
      </c>
      <c r="AD1411" t="s">
        <v>42</v>
      </c>
      <c r="AE1411" t="s">
        <v>25</v>
      </c>
      <c r="AF14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3.7499999999999999E-2</v>
      </c>
      <c r="AG1411" t="s">
        <v>942</v>
      </c>
      <c r="AH1411">
        <v>73.5</v>
      </c>
      <c r="AI1411" t="s">
        <v>939</v>
      </c>
      <c r="AJ1411">
        <v>2</v>
      </c>
      <c r="AK14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MIN(AJ1411/8, 1) +
  Merge1[[#This Row],[index_defensive_effort]],
  2
)</f>
        <v>0.79</v>
      </c>
    </row>
    <row r="1412" spans="1:37" x14ac:dyDescent="0.25">
      <c r="A1412" t="s">
        <v>477</v>
      </c>
      <c r="B1412" t="s">
        <v>478</v>
      </c>
      <c r="C1412">
        <v>23</v>
      </c>
      <c r="D1412" t="s">
        <v>22</v>
      </c>
      <c r="E1412">
        <v>73</v>
      </c>
      <c r="F1412">
        <v>208</v>
      </c>
      <c r="G1412" t="s">
        <v>173</v>
      </c>
      <c r="H1412">
        <v>2020</v>
      </c>
      <c r="I1412" t="s">
        <v>33</v>
      </c>
      <c r="J1412">
        <v>4</v>
      </c>
      <c r="K1412">
        <v>2</v>
      </c>
      <c r="L1412">
        <v>2</v>
      </c>
      <c r="M1412">
        <v>0</v>
      </c>
      <c r="N1412">
        <v>2</v>
      </c>
      <c r="O1412">
        <v>0</v>
      </c>
      <c r="P1412">
        <v>0</v>
      </c>
      <c r="Q1412">
        <v>0</v>
      </c>
      <c r="R1412">
        <v>0</v>
      </c>
      <c r="S1412">
        <v>33</v>
      </c>
      <c r="T1412">
        <v>26</v>
      </c>
      <c r="U1412" s="5">
        <f>IF(Merge1[[#This Row],[team_defense_snaps]]=0, "", Merge1[[#This Row],[defense_snaps]] / Merge1[[#This Row],[team_defense_snaps]])</f>
        <v>0.40625</v>
      </c>
      <c r="V1412">
        <v>64</v>
      </c>
      <c r="W1412">
        <v>7</v>
      </c>
      <c r="X1412" s="5" t="s">
        <v>138</v>
      </c>
      <c r="Y1412">
        <v>0</v>
      </c>
      <c r="Z1412">
        <v>0</v>
      </c>
      <c r="AA1412" t="s">
        <v>25</v>
      </c>
      <c r="AB1412" t="s">
        <v>26</v>
      </c>
      <c r="AC1412" t="s">
        <v>27</v>
      </c>
      <c r="AD1412" t="s">
        <v>42</v>
      </c>
      <c r="AE1412" t="s">
        <v>25</v>
      </c>
      <c r="AF14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9.0909090909090912E-2</v>
      </c>
      <c r="AG1412" t="s">
        <v>942</v>
      </c>
      <c r="AH1412">
        <v>75</v>
      </c>
      <c r="AI1412" t="s">
        <v>939</v>
      </c>
      <c r="AJ1412">
        <v>1</v>
      </c>
      <c r="AK14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MIN(AJ1412/8, 1) +
  Merge1[[#This Row],[index_defensive_effort]],
  2
)</f>
        <v>0.72</v>
      </c>
    </row>
    <row r="1413" spans="1:37" x14ac:dyDescent="0.25">
      <c r="A1413" t="s">
        <v>477</v>
      </c>
      <c r="B1413" t="s">
        <v>478</v>
      </c>
      <c r="C1413">
        <v>23</v>
      </c>
      <c r="D1413" t="s">
        <v>22</v>
      </c>
      <c r="E1413">
        <v>73</v>
      </c>
      <c r="F1413">
        <v>208</v>
      </c>
      <c r="G1413" t="s">
        <v>173</v>
      </c>
      <c r="H1413">
        <v>2020</v>
      </c>
      <c r="I1413" t="s">
        <v>33</v>
      </c>
      <c r="J1413">
        <v>12</v>
      </c>
      <c r="K1413">
        <v>0</v>
      </c>
      <c r="L1413">
        <v>3</v>
      </c>
      <c r="M1413">
        <v>0</v>
      </c>
      <c r="N1413">
        <v>3</v>
      </c>
      <c r="O1413">
        <v>3</v>
      </c>
      <c r="P1413">
        <v>3</v>
      </c>
      <c r="Q1413">
        <v>0</v>
      </c>
      <c r="R1413">
        <v>0</v>
      </c>
      <c r="S1413">
        <v>27</v>
      </c>
      <c r="T1413">
        <v>8</v>
      </c>
      <c r="U1413" s="5">
        <f>IF(Merge1[[#This Row],[team_defense_snaps]]=0, "", Merge1[[#This Row],[defense_snaps]] / Merge1[[#This Row],[team_defense_snaps]])</f>
        <v>0.12698412698412698</v>
      </c>
      <c r="V1413">
        <v>63</v>
      </c>
      <c r="W1413">
        <v>19</v>
      </c>
      <c r="X1413" s="5" t="s">
        <v>189</v>
      </c>
      <c r="Y1413">
        <v>0</v>
      </c>
      <c r="Z1413">
        <v>0</v>
      </c>
      <c r="AA1413" t="s">
        <v>25</v>
      </c>
      <c r="AB1413" t="s">
        <v>26</v>
      </c>
      <c r="AC1413" t="s">
        <v>27</v>
      </c>
      <c r="AD1413" t="s">
        <v>28</v>
      </c>
      <c r="AE1413" t="s">
        <v>25</v>
      </c>
      <c r="AF14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0.61111111111111116</v>
      </c>
      <c r="AG1413" t="s">
        <v>942</v>
      </c>
      <c r="AH1413">
        <v>61.5</v>
      </c>
      <c r="AI1413" t="s">
        <v>939</v>
      </c>
      <c r="AJ1413">
        <v>1</v>
      </c>
      <c r="AK14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MIN(AJ1413/8, 1) +
  Merge1[[#This Row],[index_defensive_effort]],
  2
)</f>
        <v>1.24</v>
      </c>
    </row>
    <row r="1414" spans="1:37" x14ac:dyDescent="0.25">
      <c r="A1414" t="s">
        <v>489</v>
      </c>
      <c r="B1414" t="s">
        <v>490</v>
      </c>
      <c r="C1414">
        <v>21</v>
      </c>
      <c r="D1414" t="s">
        <v>56</v>
      </c>
      <c r="E1414">
        <v>72</v>
      </c>
      <c r="F1414">
        <v>196</v>
      </c>
      <c r="G1414" t="s">
        <v>228</v>
      </c>
      <c r="H1414">
        <v>2020</v>
      </c>
      <c r="I1414" t="s">
        <v>33</v>
      </c>
      <c r="J1414">
        <v>1</v>
      </c>
      <c r="K1414">
        <v>6</v>
      </c>
      <c r="L1414">
        <v>1</v>
      </c>
      <c r="M1414">
        <v>0</v>
      </c>
      <c r="N1414">
        <v>1</v>
      </c>
      <c r="O1414">
        <v>0</v>
      </c>
      <c r="P1414">
        <v>1</v>
      </c>
      <c r="Q1414">
        <v>1</v>
      </c>
      <c r="R1414">
        <v>0</v>
      </c>
      <c r="S1414">
        <v>80</v>
      </c>
      <c r="T1414">
        <v>78</v>
      </c>
      <c r="U1414" s="5">
        <f>IF(Merge1[[#This Row],[team_defense_snaps]]=0, "", Merge1[[#This Row],[defense_snaps]] / Merge1[[#This Row],[team_defense_snaps]])</f>
        <v>1</v>
      </c>
      <c r="V1414">
        <v>78</v>
      </c>
      <c r="W1414">
        <v>2</v>
      </c>
      <c r="X1414" s="5" t="s">
        <v>114</v>
      </c>
      <c r="Y1414">
        <v>0</v>
      </c>
      <c r="Z1414">
        <v>0</v>
      </c>
      <c r="AA1414" t="s">
        <v>25</v>
      </c>
      <c r="AB1414" t="s">
        <v>26</v>
      </c>
      <c r="AC1414" t="s">
        <v>27</v>
      </c>
      <c r="AD1414" t="s">
        <v>42</v>
      </c>
      <c r="AE1414" t="s">
        <v>25</v>
      </c>
      <c r="AF14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0.15625</v>
      </c>
      <c r="AG1414" t="s">
        <v>941</v>
      </c>
      <c r="AH1414">
        <v>70</v>
      </c>
      <c r="AI1414" t="s">
        <v>939</v>
      </c>
      <c r="AJ1414">
        <v>2</v>
      </c>
      <c r="AK14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MIN(AJ1414/8, 1) +
  Merge1[[#This Row],[index_defensive_effort]],
  2
)</f>
        <v>0.81</v>
      </c>
    </row>
    <row r="1415" spans="1:37" x14ac:dyDescent="0.25">
      <c r="A1415" t="s">
        <v>489</v>
      </c>
      <c r="B1415" t="s">
        <v>490</v>
      </c>
      <c r="C1415">
        <v>21</v>
      </c>
      <c r="D1415" t="s">
        <v>56</v>
      </c>
      <c r="E1415">
        <v>72</v>
      </c>
      <c r="F1415">
        <v>196</v>
      </c>
      <c r="G1415" t="s">
        <v>228</v>
      </c>
      <c r="H1415">
        <v>2020</v>
      </c>
      <c r="I1415" t="s">
        <v>33</v>
      </c>
      <c r="J1415">
        <v>2</v>
      </c>
      <c r="K1415">
        <v>3</v>
      </c>
      <c r="L1415">
        <v>1</v>
      </c>
      <c r="M1415">
        <v>0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64</v>
      </c>
      <c r="T1415">
        <v>63</v>
      </c>
      <c r="U1415" s="5">
        <f>IF(Merge1[[#This Row],[team_defense_snaps]]=0, "", Merge1[[#This Row],[defense_snaps]] / Merge1[[#This Row],[team_defense_snaps]])</f>
        <v>0.95454545454545459</v>
      </c>
      <c r="V1415">
        <v>66</v>
      </c>
      <c r="W1415">
        <v>1</v>
      </c>
      <c r="X1415" s="5" t="s">
        <v>34</v>
      </c>
      <c r="Y1415">
        <v>0</v>
      </c>
      <c r="Z1415">
        <v>0</v>
      </c>
      <c r="AA1415" t="s">
        <v>25</v>
      </c>
      <c r="AB1415" t="s">
        <v>26</v>
      </c>
      <c r="AC1415" t="s">
        <v>27</v>
      </c>
      <c r="AD1415" t="s">
        <v>42</v>
      </c>
      <c r="AE1415" t="s">
        <v>25</v>
      </c>
      <c r="AF14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5.46875E-2</v>
      </c>
      <c r="AG1415" t="s">
        <v>941</v>
      </c>
      <c r="AH1415">
        <v>58</v>
      </c>
      <c r="AI1415" t="s">
        <v>939</v>
      </c>
      <c r="AJ1415">
        <v>3</v>
      </c>
      <c r="AK14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MIN(AJ1415/8, 1) +
  Merge1[[#This Row],[index_defensive_effort]],
  2
)</f>
        <v>0.83</v>
      </c>
    </row>
    <row r="1416" spans="1:37" x14ac:dyDescent="0.25">
      <c r="A1416" t="s">
        <v>489</v>
      </c>
      <c r="B1416" t="s">
        <v>490</v>
      </c>
      <c r="C1416">
        <v>21</v>
      </c>
      <c r="D1416" t="s">
        <v>56</v>
      </c>
      <c r="E1416">
        <v>72</v>
      </c>
      <c r="F1416">
        <v>196</v>
      </c>
      <c r="G1416" t="s">
        <v>228</v>
      </c>
      <c r="H1416">
        <v>2020</v>
      </c>
      <c r="I1416" t="s">
        <v>33</v>
      </c>
      <c r="J1416">
        <v>3</v>
      </c>
      <c r="K1416">
        <v>2</v>
      </c>
      <c r="L1416">
        <v>2</v>
      </c>
      <c r="M1416">
        <v>1</v>
      </c>
      <c r="N1416">
        <v>3</v>
      </c>
      <c r="O1416">
        <v>0</v>
      </c>
      <c r="P1416">
        <v>0</v>
      </c>
      <c r="Q1416">
        <v>0</v>
      </c>
      <c r="R1416">
        <v>0</v>
      </c>
      <c r="S1416">
        <v>73</v>
      </c>
      <c r="T1416">
        <v>66</v>
      </c>
      <c r="U1416" s="5">
        <f>IF(Merge1[[#This Row],[team_defense_snaps]]=0, "", Merge1[[#This Row],[defense_snaps]] / Merge1[[#This Row],[team_defense_snaps]])</f>
        <v>0.97058823529411764</v>
      </c>
      <c r="V1416">
        <v>68</v>
      </c>
      <c r="W1416">
        <v>7</v>
      </c>
      <c r="X1416" s="5" t="s">
        <v>293</v>
      </c>
      <c r="Y1416">
        <v>0</v>
      </c>
      <c r="Z1416">
        <v>0</v>
      </c>
      <c r="AA1416" t="s">
        <v>25</v>
      </c>
      <c r="AB1416" t="s">
        <v>26</v>
      </c>
      <c r="AC1416" t="s">
        <v>27</v>
      </c>
      <c r="AD1416" t="s">
        <v>42</v>
      </c>
      <c r="AE1416" t="s">
        <v>25</v>
      </c>
      <c r="AF14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4.7945205479452052E-2</v>
      </c>
      <c r="AG1416" t="s">
        <v>941</v>
      </c>
      <c r="AH1416">
        <v>64</v>
      </c>
      <c r="AI1416" t="s">
        <v>939</v>
      </c>
      <c r="AJ1416">
        <v>4</v>
      </c>
      <c r="AK14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MIN(AJ1416/8, 1) +
  Merge1[[#This Row],[index_defensive_effort]],
  2
)</f>
        <v>0.95</v>
      </c>
    </row>
    <row r="1417" spans="1:37" x14ac:dyDescent="0.25">
      <c r="A1417" t="s">
        <v>489</v>
      </c>
      <c r="B1417" t="s">
        <v>490</v>
      </c>
      <c r="C1417">
        <v>21</v>
      </c>
      <c r="D1417" t="s">
        <v>56</v>
      </c>
      <c r="E1417">
        <v>72</v>
      </c>
      <c r="F1417">
        <v>196</v>
      </c>
      <c r="G1417" t="s">
        <v>228</v>
      </c>
      <c r="H1417">
        <v>2020</v>
      </c>
      <c r="I1417" t="s">
        <v>33</v>
      </c>
      <c r="J1417">
        <v>4</v>
      </c>
      <c r="K1417">
        <v>2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71</v>
      </c>
      <c r="T1417">
        <v>71</v>
      </c>
      <c r="U1417" s="5">
        <f>IF(Merge1[[#This Row],[team_defense_snaps]]=0, "", Merge1[[#This Row],[defense_snaps]] / Merge1[[#This Row],[team_defense_snaps]])</f>
        <v>0.98611111111111116</v>
      </c>
      <c r="V1417">
        <v>72</v>
      </c>
      <c r="W1417">
        <v>0</v>
      </c>
      <c r="X1417" s="5" t="s">
        <v>29</v>
      </c>
      <c r="Y1417">
        <v>0</v>
      </c>
      <c r="Z1417">
        <v>0</v>
      </c>
      <c r="AA1417" t="s">
        <v>25</v>
      </c>
      <c r="AB1417" t="s">
        <v>26</v>
      </c>
      <c r="AC1417" t="s">
        <v>27</v>
      </c>
      <c r="AD1417" t="s">
        <v>42</v>
      </c>
      <c r="AE1417" t="s">
        <v>25</v>
      </c>
      <c r="AF14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2.8169014084507043E-2</v>
      </c>
      <c r="AG1417" t="s">
        <v>941</v>
      </c>
      <c r="AH1417">
        <v>68.5</v>
      </c>
      <c r="AI1417" t="s">
        <v>939</v>
      </c>
      <c r="AJ1417">
        <v>5</v>
      </c>
      <c r="AK14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MIN(AJ1417/8, 1) +
  Merge1[[#This Row],[index_defensive_effort]],
  2
)</f>
        <v>1.05</v>
      </c>
    </row>
    <row r="1418" spans="1:37" x14ac:dyDescent="0.25">
      <c r="A1418" t="s">
        <v>489</v>
      </c>
      <c r="B1418" t="s">
        <v>490</v>
      </c>
      <c r="C1418">
        <v>21</v>
      </c>
      <c r="D1418" t="s">
        <v>56</v>
      </c>
      <c r="E1418">
        <v>72</v>
      </c>
      <c r="F1418">
        <v>196</v>
      </c>
      <c r="G1418" t="s">
        <v>228</v>
      </c>
      <c r="H1418">
        <v>2020</v>
      </c>
      <c r="I1418" t="s">
        <v>33</v>
      </c>
      <c r="J1418">
        <v>5</v>
      </c>
      <c r="K1418">
        <v>2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72</v>
      </c>
      <c r="T1418">
        <v>71</v>
      </c>
      <c r="U1418" s="5">
        <f>IF(Merge1[[#This Row],[team_defense_snaps]]=0, "", Merge1[[#This Row],[defense_snaps]] / Merge1[[#This Row],[team_defense_snaps]])</f>
        <v>1</v>
      </c>
      <c r="V1418">
        <v>71</v>
      </c>
      <c r="W1418">
        <v>1</v>
      </c>
      <c r="X1418" s="5" t="s">
        <v>193</v>
      </c>
      <c r="Y1418">
        <v>0</v>
      </c>
      <c r="Z1418">
        <v>0</v>
      </c>
      <c r="AA1418" t="s">
        <v>25</v>
      </c>
      <c r="AB1418" t="s">
        <v>26</v>
      </c>
      <c r="AC1418" t="s">
        <v>27</v>
      </c>
      <c r="AD1418" t="s">
        <v>42</v>
      </c>
      <c r="AE1418" t="s">
        <v>25</v>
      </c>
      <c r="AF14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2.7777777777777776E-2</v>
      </c>
      <c r="AG1418" t="s">
        <v>941</v>
      </c>
      <c r="AH1418">
        <v>56.5</v>
      </c>
      <c r="AI1418" t="s">
        <v>939</v>
      </c>
      <c r="AJ1418">
        <v>6</v>
      </c>
      <c r="AK14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MIN(AJ1418/8, 1) +
  Merge1[[#This Row],[index_defensive_effort]],
  2
)</f>
        <v>1.18</v>
      </c>
    </row>
    <row r="1419" spans="1:37" x14ac:dyDescent="0.25">
      <c r="A1419" t="s">
        <v>489</v>
      </c>
      <c r="B1419" t="s">
        <v>490</v>
      </c>
      <c r="C1419">
        <v>21</v>
      </c>
      <c r="D1419" t="s">
        <v>56</v>
      </c>
      <c r="E1419">
        <v>72</v>
      </c>
      <c r="F1419">
        <v>196</v>
      </c>
      <c r="G1419" t="s">
        <v>228</v>
      </c>
      <c r="H1419">
        <v>2020</v>
      </c>
      <c r="I1419" t="s">
        <v>33</v>
      </c>
      <c r="J1419">
        <v>6</v>
      </c>
      <c r="K1419">
        <v>2</v>
      </c>
      <c r="L1419">
        <v>2</v>
      </c>
      <c r="M1419">
        <v>0</v>
      </c>
      <c r="N1419">
        <v>2</v>
      </c>
      <c r="O1419">
        <v>0</v>
      </c>
      <c r="P1419">
        <v>0</v>
      </c>
      <c r="Q1419">
        <v>1</v>
      </c>
      <c r="R1419">
        <v>0</v>
      </c>
      <c r="S1419">
        <v>68</v>
      </c>
      <c r="T1419">
        <v>68</v>
      </c>
      <c r="U1419" s="5">
        <f>IF(Merge1[[#This Row],[team_defense_snaps]]=0, "", Merge1[[#This Row],[defense_snaps]] / Merge1[[#This Row],[team_defense_snaps]])</f>
        <v>0.98550724637681164</v>
      </c>
      <c r="V1419">
        <v>69</v>
      </c>
      <c r="W1419">
        <v>0</v>
      </c>
      <c r="X1419" s="5" t="s">
        <v>29</v>
      </c>
      <c r="Y1419">
        <v>0</v>
      </c>
      <c r="Z1419">
        <v>0</v>
      </c>
      <c r="AA1419" t="s">
        <v>25</v>
      </c>
      <c r="AB1419" t="s">
        <v>26</v>
      </c>
      <c r="AC1419" t="s">
        <v>27</v>
      </c>
      <c r="AD1419" t="s">
        <v>42</v>
      </c>
      <c r="AE1419" t="s">
        <v>25</v>
      </c>
      <c r="AF14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0.10294117647058823</v>
      </c>
      <c r="AG1419" t="s">
        <v>941</v>
      </c>
      <c r="AH1419">
        <v>61</v>
      </c>
      <c r="AI1419" t="s">
        <v>939</v>
      </c>
      <c r="AJ1419">
        <v>7</v>
      </c>
      <c r="AK14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MIN(AJ1419/8, 1) +
  Merge1[[#This Row],[index_defensive_effort]],
  2
)</f>
        <v>1.38</v>
      </c>
    </row>
    <row r="1420" spans="1:37" x14ac:dyDescent="0.25">
      <c r="A1420" t="s">
        <v>489</v>
      </c>
      <c r="B1420" t="s">
        <v>490</v>
      </c>
      <c r="C1420">
        <v>21</v>
      </c>
      <c r="D1420" t="s">
        <v>56</v>
      </c>
      <c r="E1420">
        <v>72</v>
      </c>
      <c r="F1420">
        <v>196</v>
      </c>
      <c r="G1420" t="s">
        <v>228</v>
      </c>
      <c r="H1420">
        <v>2020</v>
      </c>
      <c r="I1420" t="s">
        <v>33</v>
      </c>
      <c r="J1420">
        <v>7</v>
      </c>
      <c r="K1420">
        <v>2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74</v>
      </c>
      <c r="T1420">
        <v>72</v>
      </c>
      <c r="U1420" s="5">
        <f>IF(Merge1[[#This Row],[team_defense_snaps]]=0, "", Merge1[[#This Row],[defense_snaps]] / Merge1[[#This Row],[team_defense_snaps]])</f>
        <v>1</v>
      </c>
      <c r="V1420">
        <v>72</v>
      </c>
      <c r="W1420">
        <v>2</v>
      </c>
      <c r="X1420" s="5" t="s">
        <v>167</v>
      </c>
      <c r="Y1420">
        <v>0</v>
      </c>
      <c r="Z1420">
        <v>0</v>
      </c>
      <c r="AA1420" t="s">
        <v>25</v>
      </c>
      <c r="AB1420" t="s">
        <v>26</v>
      </c>
      <c r="AC1420" t="s">
        <v>27</v>
      </c>
      <c r="AD1420" t="s">
        <v>42</v>
      </c>
      <c r="AE1420" t="s">
        <v>25</v>
      </c>
      <c r="AF14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2.7027027027027029E-2</v>
      </c>
      <c r="AG1420" t="s">
        <v>941</v>
      </c>
      <c r="AH1420">
        <v>67</v>
      </c>
      <c r="AI1420" t="s">
        <v>939</v>
      </c>
      <c r="AJ1420">
        <v>8</v>
      </c>
      <c r="AK14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MIN(AJ1420/8, 1) +
  Merge1[[#This Row],[index_defensive_effort]],
  2
)</f>
        <v>1.43</v>
      </c>
    </row>
    <row r="1421" spans="1:37" x14ac:dyDescent="0.25">
      <c r="A1421" t="s">
        <v>489</v>
      </c>
      <c r="B1421" t="s">
        <v>490</v>
      </c>
      <c r="C1421">
        <v>21</v>
      </c>
      <c r="D1421" t="s">
        <v>56</v>
      </c>
      <c r="E1421">
        <v>72</v>
      </c>
      <c r="F1421">
        <v>196</v>
      </c>
      <c r="G1421" t="s">
        <v>228</v>
      </c>
      <c r="H1421">
        <v>2020</v>
      </c>
      <c r="I1421" t="s">
        <v>33</v>
      </c>
      <c r="J1421">
        <v>8</v>
      </c>
      <c r="K1421">
        <v>3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75</v>
      </c>
      <c r="T1421">
        <v>74</v>
      </c>
      <c r="U1421" s="5">
        <f>IF(Merge1[[#This Row],[team_defense_snaps]]=0, "", Merge1[[#This Row],[defense_snaps]] / Merge1[[#This Row],[team_defense_snaps]])</f>
        <v>1</v>
      </c>
      <c r="V1421">
        <v>74</v>
      </c>
      <c r="W1421">
        <v>1</v>
      </c>
      <c r="X1421" s="5" t="s">
        <v>303</v>
      </c>
      <c r="Y1421">
        <v>0</v>
      </c>
      <c r="Z1421">
        <v>0</v>
      </c>
      <c r="AA1421" t="s">
        <v>25</v>
      </c>
      <c r="AB1421" t="s">
        <v>26</v>
      </c>
      <c r="AC1421" t="s">
        <v>27</v>
      </c>
      <c r="AD1421" t="s">
        <v>42</v>
      </c>
      <c r="AE1421" t="s">
        <v>25</v>
      </c>
      <c r="AF14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0.04</v>
      </c>
      <c r="AG1421" t="s">
        <v>941</v>
      </c>
      <c r="AH1421">
        <v>50.5</v>
      </c>
      <c r="AI1421" t="s">
        <v>939</v>
      </c>
      <c r="AJ1421">
        <v>9</v>
      </c>
      <c r="AK14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MIN(AJ1421/8, 1) +
  Merge1[[#This Row],[index_defensive_effort]],
  2
)</f>
        <v>1.44</v>
      </c>
    </row>
    <row r="1422" spans="1:37" x14ac:dyDescent="0.25">
      <c r="A1422" t="s">
        <v>489</v>
      </c>
      <c r="B1422" t="s">
        <v>490</v>
      </c>
      <c r="C1422">
        <v>21</v>
      </c>
      <c r="D1422" t="s">
        <v>56</v>
      </c>
      <c r="E1422">
        <v>72</v>
      </c>
      <c r="F1422">
        <v>196</v>
      </c>
      <c r="G1422" t="s">
        <v>228</v>
      </c>
      <c r="H1422">
        <v>2020</v>
      </c>
      <c r="I1422" t="s">
        <v>33</v>
      </c>
      <c r="J1422">
        <v>9</v>
      </c>
      <c r="K1422">
        <v>0</v>
      </c>
      <c r="L1422">
        <v>2</v>
      </c>
      <c r="M1422">
        <v>1</v>
      </c>
      <c r="N1422">
        <v>3</v>
      </c>
      <c r="O1422">
        <v>0</v>
      </c>
      <c r="P1422">
        <v>0</v>
      </c>
      <c r="Q1422">
        <v>0</v>
      </c>
      <c r="R1422">
        <v>0</v>
      </c>
      <c r="S1422">
        <v>58</v>
      </c>
      <c r="T1422">
        <v>55</v>
      </c>
      <c r="U1422" s="5">
        <f>IF(Merge1[[#This Row],[team_defense_snaps]]=0, "", Merge1[[#This Row],[defense_snaps]] / Merge1[[#This Row],[team_defense_snaps]])</f>
        <v>1</v>
      </c>
      <c r="V1422">
        <v>55</v>
      </c>
      <c r="W1422">
        <v>3</v>
      </c>
      <c r="X1422" s="5" t="s">
        <v>250</v>
      </c>
      <c r="Y1422">
        <v>0</v>
      </c>
      <c r="Z1422">
        <v>0</v>
      </c>
      <c r="AA1422" t="s">
        <v>25</v>
      </c>
      <c r="AB1422" t="s">
        <v>26</v>
      </c>
      <c r="AC1422" t="s">
        <v>27</v>
      </c>
      <c r="AD1422" t="s">
        <v>42</v>
      </c>
      <c r="AE1422" t="s">
        <v>25</v>
      </c>
      <c r="AF14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2.5862068965517241E-2</v>
      </c>
      <c r="AG1422" t="s">
        <v>941</v>
      </c>
      <c r="AH1422">
        <v>65.5</v>
      </c>
      <c r="AI1422" t="s">
        <v>939</v>
      </c>
      <c r="AJ1422">
        <v>10</v>
      </c>
      <c r="AK14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MIN(AJ1422/8, 1) +
  Merge1[[#This Row],[index_defensive_effort]],
  2
)</f>
        <v>1.43</v>
      </c>
    </row>
    <row r="1423" spans="1:37" x14ac:dyDescent="0.25">
      <c r="A1423" t="s">
        <v>489</v>
      </c>
      <c r="B1423" t="s">
        <v>490</v>
      </c>
      <c r="C1423">
        <v>21</v>
      </c>
      <c r="D1423" t="s">
        <v>56</v>
      </c>
      <c r="E1423">
        <v>72</v>
      </c>
      <c r="F1423">
        <v>196</v>
      </c>
      <c r="G1423" t="s">
        <v>228</v>
      </c>
      <c r="H1423">
        <v>2020</v>
      </c>
      <c r="I1423" t="s">
        <v>33</v>
      </c>
      <c r="J1423">
        <v>10</v>
      </c>
      <c r="K1423">
        <v>5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64</v>
      </c>
      <c r="T1423">
        <v>63</v>
      </c>
      <c r="U1423" s="5">
        <f>IF(Merge1[[#This Row],[team_defense_snaps]]=0, "", Merge1[[#This Row],[defense_snaps]] / Merge1[[#This Row],[team_defense_snaps]])</f>
        <v>0.85135135135135132</v>
      </c>
      <c r="V1423">
        <v>74</v>
      </c>
      <c r="W1423">
        <v>1</v>
      </c>
      <c r="X1423" s="5" t="s">
        <v>193</v>
      </c>
      <c r="Y1423">
        <v>0</v>
      </c>
      <c r="Z1423">
        <v>0</v>
      </c>
      <c r="AA1423" t="s">
        <v>25</v>
      </c>
      <c r="AB1423" t="s">
        <v>26</v>
      </c>
      <c r="AC1423" t="s">
        <v>27</v>
      </c>
      <c r="AD1423" t="s">
        <v>42</v>
      </c>
      <c r="AE1423" t="s">
        <v>25</v>
      </c>
      <c r="AF14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7.8125E-2</v>
      </c>
      <c r="AG1423" t="s">
        <v>941</v>
      </c>
      <c r="AH1423">
        <v>59.5</v>
      </c>
      <c r="AI1423" t="s">
        <v>939</v>
      </c>
      <c r="AJ1423">
        <v>1</v>
      </c>
      <c r="AK14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MIN(AJ1423/8, 1) +
  Merge1[[#This Row],[index_defensive_effort]],
  2
)</f>
        <v>0.6</v>
      </c>
    </row>
    <row r="1424" spans="1:37" x14ac:dyDescent="0.25">
      <c r="A1424" t="s">
        <v>489</v>
      </c>
      <c r="B1424" t="s">
        <v>490</v>
      </c>
      <c r="C1424">
        <v>21</v>
      </c>
      <c r="D1424" t="s">
        <v>56</v>
      </c>
      <c r="E1424">
        <v>72</v>
      </c>
      <c r="F1424">
        <v>196</v>
      </c>
      <c r="G1424" t="s">
        <v>228</v>
      </c>
      <c r="H1424">
        <v>2020</v>
      </c>
      <c r="I1424" t="s">
        <v>33</v>
      </c>
      <c r="J1424">
        <v>12</v>
      </c>
      <c r="K1424">
        <v>2</v>
      </c>
      <c r="L1424">
        <v>3</v>
      </c>
      <c r="M1424">
        <v>0</v>
      </c>
      <c r="N1424">
        <v>3</v>
      </c>
      <c r="O1424">
        <v>0</v>
      </c>
      <c r="P1424">
        <v>0</v>
      </c>
      <c r="Q1424">
        <v>0</v>
      </c>
      <c r="R1424">
        <v>0</v>
      </c>
      <c r="S1424">
        <v>71</v>
      </c>
      <c r="T1424">
        <v>71</v>
      </c>
      <c r="U1424" s="5">
        <f>IF(Merge1[[#This Row],[team_defense_snaps]]=0, "", Merge1[[#This Row],[defense_snaps]] / Merge1[[#This Row],[team_defense_snaps]])</f>
        <v>0.94666666666666666</v>
      </c>
      <c r="V1424">
        <v>75</v>
      </c>
      <c r="W1424">
        <v>0</v>
      </c>
      <c r="X1424" s="5" t="s">
        <v>29</v>
      </c>
      <c r="Y1424">
        <v>0</v>
      </c>
      <c r="Z1424">
        <v>0</v>
      </c>
      <c r="AA1424" t="s">
        <v>25</v>
      </c>
      <c r="AB1424" t="s">
        <v>26</v>
      </c>
      <c r="AC1424" t="s">
        <v>27</v>
      </c>
      <c r="AD1424" t="s">
        <v>42</v>
      </c>
      <c r="AE1424" t="s">
        <v>25</v>
      </c>
      <c r="AF14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4.9295774647887321E-2</v>
      </c>
      <c r="AG1424" t="s">
        <v>941</v>
      </c>
      <c r="AH1424">
        <v>62.5</v>
      </c>
      <c r="AI1424" t="s">
        <v>939</v>
      </c>
      <c r="AJ1424">
        <v>2</v>
      </c>
      <c r="AK14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MIN(AJ1424/8, 1) +
  Merge1[[#This Row],[index_defensive_effort]],
  2
)</f>
        <v>0.7</v>
      </c>
    </row>
    <row r="1425" spans="1:37" x14ac:dyDescent="0.25">
      <c r="A1425" t="s">
        <v>489</v>
      </c>
      <c r="B1425" t="s">
        <v>490</v>
      </c>
      <c r="C1425">
        <v>21</v>
      </c>
      <c r="D1425" t="s">
        <v>56</v>
      </c>
      <c r="E1425">
        <v>72</v>
      </c>
      <c r="F1425">
        <v>196</v>
      </c>
      <c r="G1425" t="s">
        <v>228</v>
      </c>
      <c r="H1425">
        <v>2020</v>
      </c>
      <c r="I1425" t="s">
        <v>33</v>
      </c>
      <c r="J1425">
        <v>13</v>
      </c>
      <c r="K1425">
        <v>3</v>
      </c>
      <c r="L1425">
        <v>1</v>
      </c>
      <c r="M1425">
        <v>0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68</v>
      </c>
      <c r="T1425">
        <v>68</v>
      </c>
      <c r="U1425" s="5">
        <f>IF(Merge1[[#This Row],[team_defense_snaps]]=0, "", Merge1[[#This Row],[defense_snaps]] / Merge1[[#This Row],[team_defense_snaps]])</f>
        <v>0.90666666666666662</v>
      </c>
      <c r="V1425">
        <v>75</v>
      </c>
      <c r="W1425">
        <v>0</v>
      </c>
      <c r="X1425" s="5" t="s">
        <v>29</v>
      </c>
      <c r="Y1425">
        <v>0</v>
      </c>
      <c r="Z1425">
        <v>0</v>
      </c>
      <c r="AA1425" t="s">
        <v>25</v>
      </c>
      <c r="AB1425" t="s">
        <v>26</v>
      </c>
      <c r="AC1425" t="s">
        <v>27</v>
      </c>
      <c r="AD1425" t="s">
        <v>42</v>
      </c>
      <c r="AE1425" t="s">
        <v>25</v>
      </c>
      <c r="AF14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5.1470588235294115E-2</v>
      </c>
      <c r="AG1425" t="s">
        <v>941</v>
      </c>
      <c r="AH1425">
        <v>53.5</v>
      </c>
      <c r="AI1425" t="s">
        <v>939</v>
      </c>
      <c r="AJ1425">
        <v>3</v>
      </c>
      <c r="AK14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MIN(AJ1425/8, 1) +
  Merge1[[#This Row],[index_defensive_effort]],
  2
)</f>
        <v>0.83</v>
      </c>
    </row>
    <row r="1426" spans="1:37" x14ac:dyDescent="0.25">
      <c r="A1426" t="s">
        <v>489</v>
      </c>
      <c r="B1426" t="s">
        <v>490</v>
      </c>
      <c r="C1426">
        <v>21</v>
      </c>
      <c r="D1426" t="s">
        <v>56</v>
      </c>
      <c r="E1426">
        <v>72</v>
      </c>
      <c r="F1426">
        <v>196</v>
      </c>
      <c r="G1426" t="s">
        <v>228</v>
      </c>
      <c r="H1426">
        <v>2020</v>
      </c>
      <c r="I1426" t="s">
        <v>33</v>
      </c>
      <c r="J1426">
        <v>14</v>
      </c>
      <c r="K1426">
        <v>3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48</v>
      </c>
      <c r="T1426">
        <v>47</v>
      </c>
      <c r="U1426" s="5">
        <f>IF(Merge1[[#This Row],[team_defense_snaps]]=0, "", Merge1[[#This Row],[defense_snaps]] / Merge1[[#This Row],[team_defense_snaps]])</f>
        <v>0.70149253731343286</v>
      </c>
      <c r="V1426">
        <v>67</v>
      </c>
      <c r="W1426">
        <v>1</v>
      </c>
      <c r="X1426" s="5" t="s">
        <v>193</v>
      </c>
      <c r="Y1426">
        <v>0</v>
      </c>
      <c r="Z1426">
        <v>0</v>
      </c>
      <c r="AA1426" t="s">
        <v>25</v>
      </c>
      <c r="AB1426" t="s">
        <v>26</v>
      </c>
      <c r="AC1426" t="s">
        <v>27</v>
      </c>
      <c r="AD1426" t="s">
        <v>42</v>
      </c>
      <c r="AE1426" t="s">
        <v>25</v>
      </c>
      <c r="AF14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1426" t="s">
        <v>941</v>
      </c>
      <c r="AH1426">
        <v>52</v>
      </c>
      <c r="AI1426" t="s">
        <v>939</v>
      </c>
      <c r="AJ1426">
        <v>1</v>
      </c>
      <c r="AK14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MIN(AJ1426/8, 1) +
  Merge1[[#This Row],[index_defensive_effort]],
  2
)</f>
        <v>0.59</v>
      </c>
    </row>
    <row r="1427" spans="1:37" x14ac:dyDescent="0.25">
      <c r="A1427" t="s">
        <v>884</v>
      </c>
      <c r="B1427" t="s">
        <v>885</v>
      </c>
      <c r="C1427">
        <v>26</v>
      </c>
      <c r="D1427" t="s">
        <v>22</v>
      </c>
      <c r="E1427">
        <v>76</v>
      </c>
      <c r="F1427">
        <v>215</v>
      </c>
      <c r="G1427" t="s">
        <v>162</v>
      </c>
      <c r="H1427">
        <v>2020</v>
      </c>
      <c r="I1427" t="s">
        <v>33</v>
      </c>
      <c r="J1427">
        <v>4</v>
      </c>
      <c r="K1427">
        <v>0</v>
      </c>
      <c r="L1427">
        <v>1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10</v>
      </c>
      <c r="T1427">
        <v>10</v>
      </c>
      <c r="U1427" s="5">
        <f>IF(Merge1[[#This Row],[team_defense_snaps]]=0, "", Merge1[[#This Row],[defense_snaps]] / Merge1[[#This Row],[team_defense_snaps]])</f>
        <v>0.14084507042253522</v>
      </c>
      <c r="V1427">
        <v>71</v>
      </c>
      <c r="W1427">
        <v>0</v>
      </c>
      <c r="X1427" s="5">
        <v>0</v>
      </c>
      <c r="Y1427">
        <v>4</v>
      </c>
      <c r="Z1427">
        <v>0</v>
      </c>
      <c r="AA1427" t="s">
        <v>25</v>
      </c>
      <c r="AB1427" t="s">
        <v>26</v>
      </c>
      <c r="AC1427" t="s">
        <v>27</v>
      </c>
      <c r="AD1427" t="s">
        <v>42</v>
      </c>
      <c r="AE1427" t="s">
        <v>25</v>
      </c>
      <c r="AF14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1427" t="s">
        <v>942</v>
      </c>
      <c r="AH1427">
        <v>65.5</v>
      </c>
      <c r="AI1427" t="s">
        <v>939</v>
      </c>
      <c r="AJ1427">
        <v>1</v>
      </c>
      <c r="AK14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MIN(AJ1427/8, 1) +
  Merge1[[#This Row],[index_defensive_effort]],
  2
)</f>
        <v>0.68</v>
      </c>
    </row>
    <row r="1428" spans="1:37" x14ac:dyDescent="0.25">
      <c r="A1428" t="s">
        <v>884</v>
      </c>
      <c r="B1428" t="s">
        <v>885</v>
      </c>
      <c r="C1428">
        <v>26</v>
      </c>
      <c r="D1428" t="s">
        <v>22</v>
      </c>
      <c r="E1428">
        <v>76</v>
      </c>
      <c r="F1428">
        <v>215</v>
      </c>
      <c r="G1428" t="s">
        <v>162</v>
      </c>
      <c r="H1428">
        <v>2020</v>
      </c>
      <c r="I1428" t="s">
        <v>33</v>
      </c>
      <c r="J1428">
        <v>6</v>
      </c>
      <c r="K1428">
        <v>0</v>
      </c>
      <c r="L1428">
        <v>1</v>
      </c>
      <c r="M1428">
        <v>0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38</v>
      </c>
      <c r="T1428">
        <v>38</v>
      </c>
      <c r="U1428" s="5">
        <f>IF(Merge1[[#This Row],[team_defense_snaps]]=0, "", Merge1[[#This Row],[defense_snaps]] / Merge1[[#This Row],[team_defense_snaps]])</f>
        <v>0.59375</v>
      </c>
      <c r="V1428">
        <v>64</v>
      </c>
      <c r="W1428">
        <v>0</v>
      </c>
      <c r="X1428" s="5">
        <v>0</v>
      </c>
      <c r="Y1428">
        <v>4</v>
      </c>
      <c r="Z1428">
        <v>0</v>
      </c>
      <c r="AA1428" t="s">
        <v>25</v>
      </c>
      <c r="AB1428" t="s">
        <v>26</v>
      </c>
      <c r="AC1428" t="s">
        <v>27</v>
      </c>
      <c r="AD1428" t="s">
        <v>42</v>
      </c>
      <c r="AE1428" t="s">
        <v>25</v>
      </c>
      <c r="AF14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1.3157894736842105E-2</v>
      </c>
      <c r="AG1428" t="s">
        <v>942</v>
      </c>
      <c r="AH1428">
        <v>62.5</v>
      </c>
      <c r="AI1428" t="s">
        <v>939</v>
      </c>
      <c r="AJ1428">
        <v>1</v>
      </c>
      <c r="AK14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MIN(AJ1428/8, 1) +
  Merge1[[#This Row],[index_defensive_effort]],
  2
)</f>
        <v>0.64</v>
      </c>
    </row>
    <row r="1429" spans="1:37" x14ac:dyDescent="0.25">
      <c r="A1429" t="s">
        <v>884</v>
      </c>
      <c r="B1429" t="s">
        <v>885</v>
      </c>
      <c r="C1429">
        <v>26</v>
      </c>
      <c r="D1429" t="s">
        <v>22</v>
      </c>
      <c r="E1429">
        <v>76</v>
      </c>
      <c r="F1429">
        <v>215</v>
      </c>
      <c r="G1429" t="s">
        <v>162</v>
      </c>
      <c r="H1429">
        <v>2020</v>
      </c>
      <c r="I1429" t="s">
        <v>33</v>
      </c>
      <c r="J1429">
        <v>7</v>
      </c>
      <c r="K1429">
        <v>4</v>
      </c>
      <c r="L1429">
        <v>1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31</v>
      </c>
      <c r="T1429">
        <v>31</v>
      </c>
      <c r="U1429" s="5">
        <f>IF(Merge1[[#This Row],[team_defense_snaps]]=0, "", Merge1[[#This Row],[defense_snaps]] / Merge1[[#This Row],[team_defense_snaps]])</f>
        <v>0.40789473684210525</v>
      </c>
      <c r="V1429">
        <v>76</v>
      </c>
      <c r="W1429">
        <v>0</v>
      </c>
      <c r="X1429" s="5">
        <v>0</v>
      </c>
      <c r="Y1429">
        <v>4</v>
      </c>
      <c r="Z1429">
        <v>0</v>
      </c>
      <c r="AA1429" t="s">
        <v>25</v>
      </c>
      <c r="AB1429" t="s">
        <v>36</v>
      </c>
      <c r="AC1429" t="s">
        <v>188</v>
      </c>
      <c r="AD1429" t="s">
        <v>42</v>
      </c>
      <c r="AE1429" t="s">
        <v>25</v>
      </c>
      <c r="AF14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0.14516129032258066</v>
      </c>
      <c r="AG1429" t="s">
        <v>942</v>
      </c>
      <c r="AH1429">
        <v>61</v>
      </c>
      <c r="AI1429" t="s">
        <v>939</v>
      </c>
      <c r="AJ1429">
        <v>2</v>
      </c>
      <c r="AK14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MIN(AJ1429/8, 1) +
  Merge1[[#This Row],[index_defensive_effort]],
  2
)</f>
        <v>0.9</v>
      </c>
    </row>
    <row r="1430" spans="1:37" x14ac:dyDescent="0.25">
      <c r="A1430" t="s">
        <v>884</v>
      </c>
      <c r="B1430" t="s">
        <v>885</v>
      </c>
      <c r="C1430">
        <v>26</v>
      </c>
      <c r="D1430" t="s">
        <v>22</v>
      </c>
      <c r="E1430">
        <v>76</v>
      </c>
      <c r="F1430">
        <v>215</v>
      </c>
      <c r="G1430" t="s">
        <v>162</v>
      </c>
      <c r="H1430">
        <v>2020</v>
      </c>
      <c r="I1430" t="s">
        <v>33</v>
      </c>
      <c r="J1430">
        <v>8</v>
      </c>
      <c r="K1430">
        <v>2</v>
      </c>
      <c r="L1430">
        <v>0</v>
      </c>
      <c r="M1430">
        <v>0</v>
      </c>
      <c r="N1430">
        <v>0</v>
      </c>
      <c r="O1430">
        <v>0</v>
      </c>
      <c r="P1430">
        <v>1</v>
      </c>
      <c r="Q1430">
        <v>0</v>
      </c>
      <c r="R1430">
        <v>2</v>
      </c>
      <c r="S1430">
        <v>27</v>
      </c>
      <c r="T1430">
        <v>27</v>
      </c>
      <c r="U1430" s="5">
        <f>IF(Merge1[[#This Row],[team_defense_snaps]]=0, "", Merge1[[#This Row],[defense_snaps]] / Merge1[[#This Row],[team_defense_snaps]])</f>
        <v>0.35064935064935066</v>
      </c>
      <c r="V1430">
        <v>77</v>
      </c>
      <c r="W1430">
        <v>0</v>
      </c>
      <c r="X1430" s="5">
        <v>0</v>
      </c>
      <c r="Y1430">
        <v>4</v>
      </c>
      <c r="Z1430">
        <v>0</v>
      </c>
      <c r="AA1430" t="s">
        <v>25</v>
      </c>
      <c r="AB1430" t="s">
        <v>26</v>
      </c>
      <c r="AC1430" t="s">
        <v>27</v>
      </c>
      <c r="AD1430" t="s">
        <v>42</v>
      </c>
      <c r="AE1430" t="s">
        <v>25</v>
      </c>
      <c r="AF14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0.29629629629629628</v>
      </c>
      <c r="AG1430" t="s">
        <v>942</v>
      </c>
      <c r="AH1430">
        <v>59.5</v>
      </c>
      <c r="AI1430" t="s">
        <v>939</v>
      </c>
      <c r="AJ1430">
        <v>3</v>
      </c>
      <c r="AK14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MIN(AJ1430/8, 1) +
  Merge1[[#This Row],[index_defensive_effort]],
  2
)</f>
        <v>1.17</v>
      </c>
    </row>
    <row r="1431" spans="1:37" x14ac:dyDescent="0.25">
      <c r="A1431" t="s">
        <v>884</v>
      </c>
      <c r="B1431" t="s">
        <v>885</v>
      </c>
      <c r="C1431">
        <v>26</v>
      </c>
      <c r="D1431" t="s">
        <v>22</v>
      </c>
      <c r="E1431">
        <v>76</v>
      </c>
      <c r="F1431">
        <v>215</v>
      </c>
      <c r="G1431" t="s">
        <v>162</v>
      </c>
      <c r="H1431">
        <v>2020</v>
      </c>
      <c r="I1431" t="s">
        <v>33</v>
      </c>
      <c r="J1431">
        <v>9</v>
      </c>
      <c r="K1431">
        <v>3</v>
      </c>
      <c r="L1431">
        <v>5</v>
      </c>
      <c r="M1431">
        <v>0</v>
      </c>
      <c r="N1431">
        <v>5</v>
      </c>
      <c r="O1431">
        <v>0</v>
      </c>
      <c r="P1431">
        <v>0</v>
      </c>
      <c r="Q1431">
        <v>0</v>
      </c>
      <c r="R1431">
        <v>0</v>
      </c>
      <c r="S1431">
        <v>56</v>
      </c>
      <c r="T1431">
        <v>56</v>
      </c>
      <c r="U1431" s="5">
        <f>IF(Merge1[[#This Row],[team_defense_snaps]]=0, "", Merge1[[#This Row],[defense_snaps]] / Merge1[[#This Row],[team_defense_snaps]])</f>
        <v>0.94915254237288138</v>
      </c>
      <c r="V1431">
        <v>59</v>
      </c>
      <c r="W1431">
        <v>0</v>
      </c>
      <c r="X1431" s="5">
        <v>0</v>
      </c>
      <c r="Y1431">
        <v>4</v>
      </c>
      <c r="Z1431">
        <v>0</v>
      </c>
      <c r="AA1431" t="s">
        <v>25</v>
      </c>
      <c r="AB1431" t="s">
        <v>26</v>
      </c>
      <c r="AC1431" t="s">
        <v>27</v>
      </c>
      <c r="AD1431" t="s">
        <v>42</v>
      </c>
      <c r="AE1431" t="s">
        <v>25</v>
      </c>
      <c r="AF14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9.8214285714285712E-2</v>
      </c>
      <c r="AG1431" t="s">
        <v>942</v>
      </c>
      <c r="AH1431">
        <v>58</v>
      </c>
      <c r="AI1431" t="s">
        <v>939</v>
      </c>
      <c r="AJ1431">
        <v>4</v>
      </c>
      <c r="AK14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MIN(AJ1431/8, 1) +
  Merge1[[#This Row],[index_defensive_effort]],
  2
)</f>
        <v>1.1000000000000001</v>
      </c>
    </row>
    <row r="1432" spans="1:37" x14ac:dyDescent="0.25">
      <c r="A1432" t="s">
        <v>884</v>
      </c>
      <c r="B1432" t="s">
        <v>885</v>
      </c>
      <c r="C1432">
        <v>26</v>
      </c>
      <c r="D1432" t="s">
        <v>22</v>
      </c>
      <c r="E1432">
        <v>76</v>
      </c>
      <c r="F1432">
        <v>215</v>
      </c>
      <c r="G1432" t="s">
        <v>162</v>
      </c>
      <c r="H1432">
        <v>2020</v>
      </c>
      <c r="I1432" t="s">
        <v>33</v>
      </c>
      <c r="J1432">
        <v>10</v>
      </c>
      <c r="K1432">
        <v>6</v>
      </c>
      <c r="L1432">
        <v>2</v>
      </c>
      <c r="M1432">
        <v>1</v>
      </c>
      <c r="N1432">
        <v>3</v>
      </c>
      <c r="O1432">
        <v>0</v>
      </c>
      <c r="P1432">
        <v>0</v>
      </c>
      <c r="Q1432">
        <v>0</v>
      </c>
      <c r="R1432">
        <v>0</v>
      </c>
      <c r="S1432">
        <v>80</v>
      </c>
      <c r="T1432">
        <v>80</v>
      </c>
      <c r="U1432" s="5">
        <f>IF(Merge1[[#This Row],[team_defense_snaps]]=0, "", Merge1[[#This Row],[defense_snaps]] / Merge1[[#This Row],[team_defense_snaps]])</f>
        <v>0.898876404494382</v>
      </c>
      <c r="V1432">
        <v>89</v>
      </c>
      <c r="W1432">
        <v>0</v>
      </c>
      <c r="X1432" s="5">
        <v>0</v>
      </c>
      <c r="Y1432">
        <v>4</v>
      </c>
      <c r="Z1432">
        <v>0</v>
      </c>
      <c r="AA1432" t="s">
        <v>25</v>
      </c>
      <c r="AB1432" t="s">
        <v>26</v>
      </c>
      <c r="AC1432" t="s">
        <v>27</v>
      </c>
      <c r="AD1432" t="s">
        <v>42</v>
      </c>
      <c r="AE1432" t="s">
        <v>25</v>
      </c>
      <c r="AF14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9.375E-2</v>
      </c>
      <c r="AG1432" t="s">
        <v>942</v>
      </c>
      <c r="AH1432">
        <v>56.5</v>
      </c>
      <c r="AI1432" t="s">
        <v>939</v>
      </c>
      <c r="AJ1432">
        <v>5</v>
      </c>
      <c r="AK14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MIN(AJ1432/8, 1) +
  Merge1[[#This Row],[index_defensive_effort]],
  2
)</f>
        <v>1.22</v>
      </c>
    </row>
    <row r="1433" spans="1:37" x14ac:dyDescent="0.25">
      <c r="A1433" t="s">
        <v>884</v>
      </c>
      <c r="B1433" t="s">
        <v>885</v>
      </c>
      <c r="C1433">
        <v>26</v>
      </c>
      <c r="D1433" t="s">
        <v>22</v>
      </c>
      <c r="E1433">
        <v>76</v>
      </c>
      <c r="F1433">
        <v>215</v>
      </c>
      <c r="G1433" t="s">
        <v>162</v>
      </c>
      <c r="H1433">
        <v>2020</v>
      </c>
      <c r="I1433" t="s">
        <v>33</v>
      </c>
      <c r="J1433">
        <v>11</v>
      </c>
      <c r="K1433">
        <v>5</v>
      </c>
      <c r="L1433">
        <v>1</v>
      </c>
      <c r="M1433">
        <v>0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49</v>
      </c>
      <c r="T1433">
        <v>49</v>
      </c>
      <c r="U1433" s="5">
        <f>IF(Merge1[[#This Row],[team_defense_snaps]]=0, "", Merge1[[#This Row],[defense_snaps]] / Merge1[[#This Row],[team_defense_snaps]])</f>
        <v>0.6901408450704225</v>
      </c>
      <c r="V1433">
        <v>71</v>
      </c>
      <c r="W1433">
        <v>0</v>
      </c>
      <c r="X1433" s="5">
        <v>0</v>
      </c>
      <c r="Y1433">
        <v>4</v>
      </c>
      <c r="Z1433">
        <v>0</v>
      </c>
      <c r="AA1433" t="s">
        <v>25</v>
      </c>
      <c r="AB1433" t="s">
        <v>26</v>
      </c>
      <c r="AC1433" t="s">
        <v>27</v>
      </c>
      <c r="AD1433" t="s">
        <v>42</v>
      </c>
      <c r="AE1433" t="s">
        <v>25</v>
      </c>
      <c r="AF14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0.11224489795918367</v>
      </c>
      <c r="AG1433" t="s">
        <v>942</v>
      </c>
      <c r="AH1433">
        <v>55</v>
      </c>
      <c r="AI1433" t="s">
        <v>939</v>
      </c>
      <c r="AJ1433">
        <v>6</v>
      </c>
      <c r="AK14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MIN(AJ1433/8, 1) +
  Merge1[[#This Row],[index_defensive_effort]],
  2
)</f>
        <v>1.36</v>
      </c>
    </row>
    <row r="1434" spans="1:37" x14ac:dyDescent="0.25">
      <c r="A1434" t="s">
        <v>884</v>
      </c>
      <c r="B1434" t="s">
        <v>885</v>
      </c>
      <c r="C1434">
        <v>26</v>
      </c>
      <c r="D1434" t="s">
        <v>22</v>
      </c>
      <c r="E1434">
        <v>76</v>
      </c>
      <c r="F1434">
        <v>215</v>
      </c>
      <c r="G1434" t="s">
        <v>162</v>
      </c>
      <c r="H1434">
        <v>2020</v>
      </c>
      <c r="I1434" t="s">
        <v>33</v>
      </c>
      <c r="J1434">
        <v>12</v>
      </c>
      <c r="K1434">
        <v>2</v>
      </c>
      <c r="L1434">
        <v>2</v>
      </c>
      <c r="M1434">
        <v>0</v>
      </c>
      <c r="N1434">
        <v>2</v>
      </c>
      <c r="O1434">
        <v>0</v>
      </c>
      <c r="P1434">
        <v>0</v>
      </c>
      <c r="Q1434">
        <v>0</v>
      </c>
      <c r="R1434">
        <v>0</v>
      </c>
      <c r="S1434">
        <v>48</v>
      </c>
      <c r="T1434">
        <v>48</v>
      </c>
      <c r="U1434" s="5">
        <f>IF(Merge1[[#This Row],[team_defense_snaps]]=0, "", Merge1[[#This Row],[defense_snaps]] / Merge1[[#This Row],[team_defense_snaps]])</f>
        <v>0.82758620689655171</v>
      </c>
      <c r="V1434">
        <v>58</v>
      </c>
      <c r="W1434">
        <v>0</v>
      </c>
      <c r="X1434" s="5">
        <v>0</v>
      </c>
      <c r="Y1434">
        <v>4</v>
      </c>
      <c r="Z1434">
        <v>0</v>
      </c>
      <c r="AA1434" t="s">
        <v>25</v>
      </c>
      <c r="AB1434" t="s">
        <v>26</v>
      </c>
      <c r="AC1434" t="s">
        <v>27</v>
      </c>
      <c r="AD1434" t="s">
        <v>42</v>
      </c>
      <c r="AE1434" t="s">
        <v>25</v>
      </c>
      <c r="AF14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1434" t="s">
        <v>942</v>
      </c>
      <c r="AH1434">
        <v>53.5</v>
      </c>
      <c r="AI1434" t="s">
        <v>939</v>
      </c>
      <c r="AJ1434">
        <v>7</v>
      </c>
      <c r="AK14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MIN(AJ1434/8, 1) +
  Merge1[[#This Row],[index_defensive_effort]],
  2
)</f>
        <v>1.44</v>
      </c>
    </row>
    <row r="1435" spans="1:37" x14ac:dyDescent="0.25">
      <c r="A1435" t="s">
        <v>884</v>
      </c>
      <c r="B1435" t="s">
        <v>885</v>
      </c>
      <c r="C1435">
        <v>26</v>
      </c>
      <c r="D1435" t="s">
        <v>22</v>
      </c>
      <c r="E1435">
        <v>76</v>
      </c>
      <c r="F1435">
        <v>215</v>
      </c>
      <c r="G1435" t="s">
        <v>162</v>
      </c>
      <c r="H1435">
        <v>2020</v>
      </c>
      <c r="I1435" t="s">
        <v>33</v>
      </c>
      <c r="J1435">
        <v>13</v>
      </c>
      <c r="K1435">
        <v>6</v>
      </c>
      <c r="L1435">
        <v>2</v>
      </c>
      <c r="M1435">
        <v>0</v>
      </c>
      <c r="N1435">
        <v>2</v>
      </c>
      <c r="O1435">
        <v>0</v>
      </c>
      <c r="P1435">
        <v>0</v>
      </c>
      <c r="Q1435">
        <v>0</v>
      </c>
      <c r="R1435">
        <v>0</v>
      </c>
      <c r="S1435">
        <v>48</v>
      </c>
      <c r="T1435">
        <v>48</v>
      </c>
      <c r="U1435" s="5">
        <f>IF(Merge1[[#This Row],[team_defense_snaps]]=0, "", Merge1[[#This Row],[defense_snaps]] / Merge1[[#This Row],[team_defense_snaps]])</f>
        <v>0.676056338028169</v>
      </c>
      <c r="V1435">
        <v>71</v>
      </c>
      <c r="W1435">
        <v>0</v>
      </c>
      <c r="X1435" s="5">
        <v>0</v>
      </c>
      <c r="Y1435">
        <v>4</v>
      </c>
      <c r="Z1435">
        <v>0</v>
      </c>
      <c r="AA1435" t="s">
        <v>25</v>
      </c>
      <c r="AB1435" t="s">
        <v>26</v>
      </c>
      <c r="AC1435" t="s">
        <v>27</v>
      </c>
      <c r="AD1435" t="s">
        <v>42</v>
      </c>
      <c r="AE1435" t="s">
        <v>25</v>
      </c>
      <c r="AF14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0.14583333333333334</v>
      </c>
      <c r="AG1435" t="s">
        <v>942</v>
      </c>
      <c r="AH1435">
        <v>52</v>
      </c>
      <c r="AI1435" t="s">
        <v>939</v>
      </c>
      <c r="AJ1435">
        <v>8</v>
      </c>
      <c r="AK14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MIN(AJ1435/8, 1) +
  Merge1[[#This Row],[index_defensive_effort]],
  2
)</f>
        <v>1.65</v>
      </c>
    </row>
    <row r="1436" spans="1:37" x14ac:dyDescent="0.25">
      <c r="A1436" t="s">
        <v>884</v>
      </c>
      <c r="B1436" t="s">
        <v>885</v>
      </c>
      <c r="C1436">
        <v>26</v>
      </c>
      <c r="D1436" t="s">
        <v>22</v>
      </c>
      <c r="E1436">
        <v>76</v>
      </c>
      <c r="F1436">
        <v>215</v>
      </c>
      <c r="G1436" t="s">
        <v>162</v>
      </c>
      <c r="H1436">
        <v>2020</v>
      </c>
      <c r="I1436" t="s">
        <v>33</v>
      </c>
      <c r="J1436">
        <v>14</v>
      </c>
      <c r="K1436">
        <v>4</v>
      </c>
      <c r="L1436">
        <v>2</v>
      </c>
      <c r="M1436">
        <v>1</v>
      </c>
      <c r="N1436">
        <v>3</v>
      </c>
      <c r="O1436">
        <v>0</v>
      </c>
      <c r="P1436">
        <v>0</v>
      </c>
      <c r="Q1436">
        <v>0</v>
      </c>
      <c r="R1436">
        <v>0</v>
      </c>
      <c r="S1436">
        <v>49</v>
      </c>
      <c r="T1436">
        <v>49</v>
      </c>
      <c r="U1436" s="5">
        <f>IF(Merge1[[#This Row],[team_defense_snaps]]=0, "", Merge1[[#This Row],[defense_snaps]] / Merge1[[#This Row],[team_defense_snaps]])</f>
        <v>0.73134328358208955</v>
      </c>
      <c r="V1436">
        <v>67</v>
      </c>
      <c r="W1436">
        <v>0</v>
      </c>
      <c r="X1436" s="5">
        <v>0</v>
      </c>
      <c r="Y1436">
        <v>4</v>
      </c>
      <c r="Z1436">
        <v>0</v>
      </c>
      <c r="AA1436" t="s">
        <v>25</v>
      </c>
      <c r="AB1436" t="s">
        <v>26</v>
      </c>
      <c r="AC1436" t="s">
        <v>27</v>
      </c>
      <c r="AD1436" t="s">
        <v>42</v>
      </c>
      <c r="AE1436" t="s">
        <v>25</v>
      </c>
      <c r="AF14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0.11224489795918367</v>
      </c>
      <c r="AG1436" t="s">
        <v>942</v>
      </c>
      <c r="AH1436">
        <v>50.5</v>
      </c>
      <c r="AI1436" t="s">
        <v>939</v>
      </c>
      <c r="AJ1436">
        <v>9</v>
      </c>
      <c r="AK14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MIN(AJ1436/8, 1) +
  Merge1[[#This Row],[index_defensive_effort]],
  2
)</f>
        <v>1.61</v>
      </c>
    </row>
    <row r="1437" spans="1:37" x14ac:dyDescent="0.25">
      <c r="A1437" t="s">
        <v>884</v>
      </c>
      <c r="B1437" t="s">
        <v>885</v>
      </c>
      <c r="C1437">
        <v>26</v>
      </c>
      <c r="D1437" t="s">
        <v>22</v>
      </c>
      <c r="E1437">
        <v>76</v>
      </c>
      <c r="F1437">
        <v>215</v>
      </c>
      <c r="G1437" t="s">
        <v>162</v>
      </c>
      <c r="H1437">
        <v>2020</v>
      </c>
      <c r="I1437" t="s">
        <v>33</v>
      </c>
      <c r="J1437">
        <v>15</v>
      </c>
      <c r="K1437">
        <v>1</v>
      </c>
      <c r="L1437">
        <v>6</v>
      </c>
      <c r="M1437">
        <v>6</v>
      </c>
      <c r="N1437">
        <v>12</v>
      </c>
      <c r="O1437">
        <v>0</v>
      </c>
      <c r="P1437">
        <v>0</v>
      </c>
      <c r="Q1437">
        <v>0</v>
      </c>
      <c r="R1437">
        <v>0</v>
      </c>
      <c r="S1437">
        <v>67</v>
      </c>
      <c r="T1437">
        <v>67</v>
      </c>
      <c r="U1437" s="5">
        <f>IF(Merge1[[#This Row],[team_defense_snaps]]=0, "", Merge1[[#This Row],[defense_snaps]] / Merge1[[#This Row],[team_defense_snaps]])</f>
        <v>0.98529411764705888</v>
      </c>
      <c r="V1437">
        <v>68</v>
      </c>
      <c r="W1437">
        <v>0</v>
      </c>
      <c r="X1437" s="5">
        <v>0</v>
      </c>
      <c r="Y1437">
        <v>4</v>
      </c>
      <c r="Z1437">
        <v>0</v>
      </c>
      <c r="AA1437" t="s">
        <v>25</v>
      </c>
      <c r="AB1437" t="s">
        <v>26</v>
      </c>
      <c r="AC1437" t="s">
        <v>27</v>
      </c>
      <c r="AD1437" t="s">
        <v>42</v>
      </c>
      <c r="AE1437" t="s">
        <v>25</v>
      </c>
      <c r="AF14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0.1044776119402985</v>
      </c>
      <c r="AG1437" t="s">
        <v>942</v>
      </c>
      <c r="AH1437">
        <v>49</v>
      </c>
      <c r="AI1437" t="s">
        <v>939</v>
      </c>
      <c r="AJ1437">
        <v>1</v>
      </c>
      <c r="AK14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MIN(AJ1437/8, 1) +
  Merge1[[#This Row],[index_defensive_effort]],
  2
)</f>
        <v>0.73</v>
      </c>
    </row>
    <row r="1438" spans="1:37" x14ac:dyDescent="0.25">
      <c r="A1438" t="s">
        <v>469</v>
      </c>
      <c r="B1438" t="s">
        <v>470</v>
      </c>
      <c r="C1438">
        <v>24</v>
      </c>
      <c r="D1438" t="s">
        <v>56</v>
      </c>
      <c r="E1438">
        <v>72</v>
      </c>
      <c r="F1438">
        <v>183</v>
      </c>
      <c r="G1438" t="s">
        <v>117</v>
      </c>
      <c r="H1438">
        <v>2020</v>
      </c>
      <c r="I1438" t="s">
        <v>33</v>
      </c>
      <c r="J1438">
        <v>2</v>
      </c>
      <c r="K1438">
        <v>2</v>
      </c>
      <c r="L1438">
        <v>4</v>
      </c>
      <c r="M1438">
        <v>4</v>
      </c>
      <c r="N1438">
        <v>8</v>
      </c>
      <c r="O1438">
        <v>0</v>
      </c>
      <c r="P1438">
        <v>0</v>
      </c>
      <c r="Q1438">
        <v>0</v>
      </c>
      <c r="R1438">
        <v>0</v>
      </c>
      <c r="S1438">
        <v>66</v>
      </c>
      <c r="T1438">
        <v>60</v>
      </c>
      <c r="U1438" s="5">
        <f>IF(Merge1[[#This Row],[team_defense_snaps]]=0, "", Merge1[[#This Row],[defense_snaps]] / Merge1[[#This Row],[team_defense_snaps]])</f>
        <v>0.82191780821917804</v>
      </c>
      <c r="V1438">
        <v>73</v>
      </c>
      <c r="W1438">
        <v>6</v>
      </c>
      <c r="X1438" s="5" t="s">
        <v>133</v>
      </c>
      <c r="Y1438">
        <v>0</v>
      </c>
      <c r="Z1438">
        <v>0</v>
      </c>
      <c r="AA1438" t="s">
        <v>25</v>
      </c>
      <c r="AB1438" t="s">
        <v>26</v>
      </c>
      <c r="AC1438" t="s">
        <v>27</v>
      </c>
      <c r="AD1438" t="s">
        <v>42</v>
      </c>
      <c r="AE1438" t="s">
        <v>25</v>
      </c>
      <c r="AF14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9.0909090909090912E-2</v>
      </c>
      <c r="AG1438" t="s">
        <v>942</v>
      </c>
      <c r="AH1438">
        <v>46</v>
      </c>
      <c r="AI1438" t="s">
        <v>939</v>
      </c>
      <c r="AJ1438">
        <v>2</v>
      </c>
      <c r="AK14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MIN(AJ1438/8, 1) +
  Merge1[[#This Row],[index_defensive_effort]],
  2
)</f>
        <v>0.74</v>
      </c>
    </row>
    <row r="1439" spans="1:37" x14ac:dyDescent="0.25">
      <c r="A1439" t="s">
        <v>469</v>
      </c>
      <c r="B1439" t="s">
        <v>470</v>
      </c>
      <c r="C1439">
        <v>24</v>
      </c>
      <c r="D1439" t="s">
        <v>56</v>
      </c>
      <c r="E1439">
        <v>72</v>
      </c>
      <c r="F1439">
        <v>183</v>
      </c>
      <c r="G1439" t="s">
        <v>117</v>
      </c>
      <c r="H1439">
        <v>2020</v>
      </c>
      <c r="I1439" t="s">
        <v>33</v>
      </c>
      <c r="J1439">
        <v>3</v>
      </c>
      <c r="K1439">
        <v>6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81</v>
      </c>
      <c r="T1439">
        <v>73</v>
      </c>
      <c r="U1439" s="5">
        <f>IF(Merge1[[#This Row],[team_defense_snaps]]=0, "", Merge1[[#This Row],[defense_snaps]] / Merge1[[#This Row],[team_defense_snaps]])</f>
        <v>0.97333333333333338</v>
      </c>
      <c r="V1439">
        <v>75</v>
      </c>
      <c r="W1439">
        <v>8</v>
      </c>
      <c r="X1439" s="5" t="s">
        <v>133</v>
      </c>
      <c r="Y1439">
        <v>0</v>
      </c>
      <c r="Z1439">
        <v>0</v>
      </c>
      <c r="AA1439" t="s">
        <v>25</v>
      </c>
      <c r="AB1439" t="s">
        <v>26</v>
      </c>
      <c r="AC1439" t="s">
        <v>27</v>
      </c>
      <c r="AD1439" t="s">
        <v>42</v>
      </c>
      <c r="AE1439" t="s">
        <v>25</v>
      </c>
      <c r="AF14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7.407407407407407E-2</v>
      </c>
      <c r="AG1439" t="s">
        <v>942</v>
      </c>
      <c r="AH1439">
        <v>55</v>
      </c>
      <c r="AI1439" t="s">
        <v>939</v>
      </c>
      <c r="AJ1439">
        <v>3</v>
      </c>
      <c r="AK14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MIN(AJ1439/8, 1) +
  Merge1[[#This Row],[index_defensive_effort]],
  2
)</f>
        <v>0.85</v>
      </c>
    </row>
    <row r="1440" spans="1:37" x14ac:dyDescent="0.25">
      <c r="A1440" t="s">
        <v>469</v>
      </c>
      <c r="B1440" t="s">
        <v>470</v>
      </c>
      <c r="C1440">
        <v>24</v>
      </c>
      <c r="D1440" t="s">
        <v>56</v>
      </c>
      <c r="E1440">
        <v>72</v>
      </c>
      <c r="F1440">
        <v>183</v>
      </c>
      <c r="G1440" t="s">
        <v>117</v>
      </c>
      <c r="H1440">
        <v>2020</v>
      </c>
      <c r="I1440" t="s">
        <v>33</v>
      </c>
      <c r="J1440">
        <v>4</v>
      </c>
      <c r="K1440">
        <v>4</v>
      </c>
      <c r="L1440">
        <v>2</v>
      </c>
      <c r="M1440">
        <v>2</v>
      </c>
      <c r="N1440">
        <v>4</v>
      </c>
      <c r="O1440">
        <v>0</v>
      </c>
      <c r="P1440">
        <v>0</v>
      </c>
      <c r="Q1440">
        <v>0</v>
      </c>
      <c r="R1440">
        <v>0</v>
      </c>
      <c r="S1440">
        <v>71</v>
      </c>
      <c r="T1440">
        <v>65</v>
      </c>
      <c r="U1440" s="5">
        <f>IF(Merge1[[#This Row],[team_defense_snaps]]=0, "", Merge1[[#This Row],[defense_snaps]] / Merge1[[#This Row],[team_defense_snaps]])</f>
        <v>1</v>
      </c>
      <c r="V1440">
        <v>65</v>
      </c>
      <c r="W1440">
        <v>6</v>
      </c>
      <c r="X1440" s="5" t="s">
        <v>59</v>
      </c>
      <c r="Y1440">
        <v>0</v>
      </c>
      <c r="Z1440">
        <v>0</v>
      </c>
      <c r="AA1440" t="s">
        <v>25</v>
      </c>
      <c r="AB1440" t="s">
        <v>26</v>
      </c>
      <c r="AC1440" t="s">
        <v>27</v>
      </c>
      <c r="AD1440" t="s">
        <v>42</v>
      </c>
      <c r="AE1440" t="s">
        <v>25</v>
      </c>
      <c r="AF14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8.4507042253521125E-2</v>
      </c>
      <c r="AG1440" t="s">
        <v>942</v>
      </c>
      <c r="AH1440">
        <v>50.5</v>
      </c>
      <c r="AI1440" t="s">
        <v>939</v>
      </c>
      <c r="AJ1440">
        <v>4</v>
      </c>
      <c r="AK14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MIN(AJ1440/8, 1) +
  Merge1[[#This Row],[index_defensive_effort]],
  2
)</f>
        <v>0.98</v>
      </c>
    </row>
    <row r="1441" spans="1:37" x14ac:dyDescent="0.25">
      <c r="A1441" t="s">
        <v>469</v>
      </c>
      <c r="B1441" t="s">
        <v>470</v>
      </c>
      <c r="C1441">
        <v>24</v>
      </c>
      <c r="D1441" t="s">
        <v>56</v>
      </c>
      <c r="E1441">
        <v>72</v>
      </c>
      <c r="F1441">
        <v>183</v>
      </c>
      <c r="G1441" t="s">
        <v>117</v>
      </c>
      <c r="H1441">
        <v>2020</v>
      </c>
      <c r="I1441" t="s">
        <v>33</v>
      </c>
      <c r="J1441">
        <v>5</v>
      </c>
      <c r="K1441">
        <v>2</v>
      </c>
      <c r="L1441">
        <v>1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60</v>
      </c>
      <c r="T1441">
        <v>54</v>
      </c>
      <c r="U1441" s="5">
        <f>IF(Merge1[[#This Row],[team_defense_snaps]]=0, "", Merge1[[#This Row],[defense_snaps]] / Merge1[[#This Row],[team_defense_snaps]])</f>
        <v>1</v>
      </c>
      <c r="V1441">
        <v>54</v>
      </c>
      <c r="W1441">
        <v>6</v>
      </c>
      <c r="X1441" s="5" t="s">
        <v>133</v>
      </c>
      <c r="Y1441">
        <v>0</v>
      </c>
      <c r="Z1441">
        <v>0</v>
      </c>
      <c r="AA1441" t="s">
        <v>25</v>
      </c>
      <c r="AB1441" t="s">
        <v>26</v>
      </c>
      <c r="AC1441" t="s">
        <v>27</v>
      </c>
      <c r="AD1441" t="s">
        <v>42</v>
      </c>
      <c r="AE1441" t="s">
        <v>25</v>
      </c>
      <c r="AF14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1441" t="s">
        <v>942</v>
      </c>
      <c r="AH1441">
        <v>56.5</v>
      </c>
      <c r="AI1441" t="s">
        <v>939</v>
      </c>
      <c r="AJ1441">
        <v>5</v>
      </c>
      <c r="AK14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MIN(AJ1441/8, 1) +
  Merge1[[#This Row],[index_defensive_effort]],
  2
)</f>
        <v>1.07</v>
      </c>
    </row>
    <row r="1442" spans="1:37" x14ac:dyDescent="0.25">
      <c r="A1442" t="s">
        <v>469</v>
      </c>
      <c r="B1442" t="s">
        <v>470</v>
      </c>
      <c r="C1442">
        <v>24</v>
      </c>
      <c r="D1442" t="s">
        <v>56</v>
      </c>
      <c r="E1442">
        <v>72</v>
      </c>
      <c r="F1442">
        <v>183</v>
      </c>
      <c r="G1442" t="s">
        <v>117</v>
      </c>
      <c r="H1442">
        <v>2020</v>
      </c>
      <c r="I1442" t="s">
        <v>33</v>
      </c>
      <c r="J1442">
        <v>6</v>
      </c>
      <c r="K1442">
        <v>7</v>
      </c>
      <c r="L1442">
        <v>1</v>
      </c>
      <c r="M1442">
        <v>0</v>
      </c>
      <c r="N1442">
        <v>1</v>
      </c>
      <c r="O1442">
        <v>0</v>
      </c>
      <c r="P1442">
        <v>0</v>
      </c>
      <c r="Q1442">
        <v>0</v>
      </c>
      <c r="R1442">
        <v>2</v>
      </c>
      <c r="S1442">
        <v>89</v>
      </c>
      <c r="T1442">
        <v>79</v>
      </c>
      <c r="U1442" s="5">
        <f>IF(Merge1[[#This Row],[team_defense_snaps]]=0, "", Merge1[[#This Row],[defense_snaps]] / Merge1[[#This Row],[team_defense_snaps]])</f>
        <v>0.97530864197530864</v>
      </c>
      <c r="V1442">
        <v>81</v>
      </c>
      <c r="W1442">
        <v>10</v>
      </c>
      <c r="X1442" s="5" t="s">
        <v>134</v>
      </c>
      <c r="Y1442">
        <v>0</v>
      </c>
      <c r="Z1442">
        <v>0</v>
      </c>
      <c r="AA1442" t="s">
        <v>25</v>
      </c>
      <c r="AB1442" t="s">
        <v>26</v>
      </c>
      <c r="AC1442" t="s">
        <v>27</v>
      </c>
      <c r="AD1442" t="s">
        <v>42</v>
      </c>
      <c r="AE1442" t="s">
        <v>25</v>
      </c>
      <c r="AF14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0.12921348314606743</v>
      </c>
      <c r="AG1442" t="s">
        <v>942</v>
      </c>
      <c r="AH1442">
        <v>49</v>
      </c>
      <c r="AI1442" t="s">
        <v>939</v>
      </c>
      <c r="AJ1442">
        <v>1</v>
      </c>
      <c r="AK14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MIN(AJ1442/8, 1) +
  Merge1[[#This Row],[index_defensive_effort]],
  2
)</f>
        <v>0.65</v>
      </c>
    </row>
    <row r="1443" spans="1:37" x14ac:dyDescent="0.25">
      <c r="A1443" t="s">
        <v>469</v>
      </c>
      <c r="B1443" t="s">
        <v>470</v>
      </c>
      <c r="C1443">
        <v>24</v>
      </c>
      <c r="D1443" t="s">
        <v>56</v>
      </c>
      <c r="E1443">
        <v>72</v>
      </c>
      <c r="F1443">
        <v>183</v>
      </c>
      <c r="G1443" t="s">
        <v>117</v>
      </c>
      <c r="H1443">
        <v>2020</v>
      </c>
      <c r="I1443" t="s">
        <v>33</v>
      </c>
      <c r="J1443">
        <v>8</v>
      </c>
      <c r="K1443">
        <v>6</v>
      </c>
      <c r="L1443">
        <v>2</v>
      </c>
      <c r="M1443">
        <v>2</v>
      </c>
      <c r="N1443">
        <v>4</v>
      </c>
      <c r="O1443">
        <v>0</v>
      </c>
      <c r="P1443">
        <v>0</v>
      </c>
      <c r="Q1443">
        <v>0</v>
      </c>
      <c r="R1443">
        <v>0</v>
      </c>
      <c r="S1443">
        <v>76</v>
      </c>
      <c r="T1443">
        <v>74</v>
      </c>
      <c r="U1443" s="5">
        <f>IF(Merge1[[#This Row],[team_defense_snaps]]=0, "", Merge1[[#This Row],[defense_snaps]] / Merge1[[#This Row],[team_defense_snaps]])</f>
        <v>1</v>
      </c>
      <c r="V1443">
        <v>74</v>
      </c>
      <c r="W1443">
        <v>2</v>
      </c>
      <c r="X1443" s="5" t="s">
        <v>35</v>
      </c>
      <c r="Y1443">
        <v>0</v>
      </c>
      <c r="Z1443">
        <v>0</v>
      </c>
      <c r="AA1443" t="s">
        <v>25</v>
      </c>
      <c r="AB1443" t="s">
        <v>26</v>
      </c>
      <c r="AC1443" t="s">
        <v>27</v>
      </c>
      <c r="AD1443" t="s">
        <v>42</v>
      </c>
      <c r="AE1443" t="s">
        <v>25</v>
      </c>
      <c r="AF14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0.10526315789473684</v>
      </c>
      <c r="AG1443" t="s">
        <v>942</v>
      </c>
      <c r="AH1443">
        <v>58</v>
      </c>
      <c r="AI1443" t="s">
        <v>939</v>
      </c>
      <c r="AJ1443">
        <v>2</v>
      </c>
      <c r="AK14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MIN(AJ1443/8, 1) +
  Merge1[[#This Row],[index_defensive_effort]],
  2
)</f>
        <v>0.76</v>
      </c>
    </row>
    <row r="1444" spans="1:37" x14ac:dyDescent="0.25">
      <c r="A1444" t="s">
        <v>469</v>
      </c>
      <c r="B1444" t="s">
        <v>470</v>
      </c>
      <c r="C1444">
        <v>24</v>
      </c>
      <c r="D1444" t="s">
        <v>56</v>
      </c>
      <c r="E1444">
        <v>72</v>
      </c>
      <c r="F1444">
        <v>183</v>
      </c>
      <c r="G1444" t="s">
        <v>117</v>
      </c>
      <c r="H1444">
        <v>2020</v>
      </c>
      <c r="I1444" t="s">
        <v>33</v>
      </c>
      <c r="J1444">
        <v>9</v>
      </c>
      <c r="K1444">
        <v>6</v>
      </c>
      <c r="L1444">
        <v>2</v>
      </c>
      <c r="M1444">
        <v>0</v>
      </c>
      <c r="N1444">
        <v>2</v>
      </c>
      <c r="O1444">
        <v>0</v>
      </c>
      <c r="P1444">
        <v>0</v>
      </c>
      <c r="Q1444">
        <v>0</v>
      </c>
      <c r="R1444">
        <v>0</v>
      </c>
      <c r="S1444">
        <v>79</v>
      </c>
      <c r="T1444">
        <v>74</v>
      </c>
      <c r="U1444" s="5">
        <f>IF(Merge1[[#This Row],[team_defense_snaps]]=0, "", Merge1[[#This Row],[defense_snaps]] / Merge1[[#This Row],[team_defense_snaps]])</f>
        <v>0.98666666666666669</v>
      </c>
      <c r="V1444">
        <v>75</v>
      </c>
      <c r="W1444">
        <v>5</v>
      </c>
      <c r="X1444" s="5" t="s">
        <v>181</v>
      </c>
      <c r="Y1444">
        <v>0</v>
      </c>
      <c r="Z1444">
        <v>0</v>
      </c>
      <c r="AA1444" t="s">
        <v>25</v>
      </c>
      <c r="AB1444" t="s">
        <v>26</v>
      </c>
      <c r="AC1444" t="s">
        <v>27</v>
      </c>
      <c r="AD1444" t="s">
        <v>42</v>
      </c>
      <c r="AE1444" t="s">
        <v>25</v>
      </c>
      <c r="AF14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8.8607594936708861E-2</v>
      </c>
      <c r="AG1444" t="s">
        <v>942</v>
      </c>
      <c r="AH1444">
        <v>65.5</v>
      </c>
      <c r="AI1444" t="s">
        <v>939</v>
      </c>
      <c r="AJ1444">
        <v>3</v>
      </c>
      <c r="AK14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MIN(AJ1444/8, 1) +
  Merge1[[#This Row],[index_defensive_effort]],
  2
)</f>
        <v>0.86</v>
      </c>
    </row>
    <row r="1445" spans="1:37" x14ac:dyDescent="0.25">
      <c r="A1445" t="s">
        <v>469</v>
      </c>
      <c r="B1445" t="s">
        <v>470</v>
      </c>
      <c r="C1445">
        <v>24</v>
      </c>
      <c r="D1445" t="s">
        <v>56</v>
      </c>
      <c r="E1445">
        <v>72</v>
      </c>
      <c r="F1445">
        <v>183</v>
      </c>
      <c r="G1445" t="s">
        <v>117</v>
      </c>
      <c r="H1445">
        <v>2020</v>
      </c>
      <c r="I1445" t="s">
        <v>33</v>
      </c>
      <c r="J1445">
        <v>10</v>
      </c>
      <c r="K1445">
        <v>6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54</v>
      </c>
      <c r="T1445">
        <v>50</v>
      </c>
      <c r="U1445" s="5">
        <f>IF(Merge1[[#This Row],[team_defense_snaps]]=0, "", Merge1[[#This Row],[defense_snaps]] / Merge1[[#This Row],[team_defense_snaps]])</f>
        <v>1</v>
      </c>
      <c r="V1445">
        <v>50</v>
      </c>
      <c r="W1445">
        <v>4</v>
      </c>
      <c r="X1445" s="5" t="s">
        <v>168</v>
      </c>
      <c r="Y1445">
        <v>0</v>
      </c>
      <c r="Z1445">
        <v>0</v>
      </c>
      <c r="AA1445" t="s">
        <v>25</v>
      </c>
      <c r="AB1445" t="s">
        <v>26</v>
      </c>
      <c r="AC1445" t="s">
        <v>27</v>
      </c>
      <c r="AD1445" t="s">
        <v>42</v>
      </c>
      <c r="AE1445" t="s">
        <v>25</v>
      </c>
      <c r="AF14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0.1111111111111111</v>
      </c>
      <c r="AG1445" t="s">
        <v>942</v>
      </c>
      <c r="AH1445">
        <v>53.5</v>
      </c>
      <c r="AI1445" t="s">
        <v>939</v>
      </c>
      <c r="AJ1445">
        <v>4</v>
      </c>
      <c r="AK14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MIN(AJ1445/8, 1) +
  Merge1[[#This Row],[index_defensive_effort]],
  2
)</f>
        <v>1.01</v>
      </c>
    </row>
    <row r="1446" spans="1:37" x14ac:dyDescent="0.25">
      <c r="A1446" t="s">
        <v>469</v>
      </c>
      <c r="B1446" t="s">
        <v>470</v>
      </c>
      <c r="C1446">
        <v>24</v>
      </c>
      <c r="D1446" t="s">
        <v>56</v>
      </c>
      <c r="E1446">
        <v>72</v>
      </c>
      <c r="F1446">
        <v>183</v>
      </c>
      <c r="G1446" t="s">
        <v>117</v>
      </c>
      <c r="H1446">
        <v>2020</v>
      </c>
      <c r="I1446" t="s">
        <v>33</v>
      </c>
      <c r="J1446">
        <v>11</v>
      </c>
      <c r="K1446">
        <v>3</v>
      </c>
      <c r="L1446">
        <v>2</v>
      </c>
      <c r="M1446">
        <v>0</v>
      </c>
      <c r="N1446">
        <v>2</v>
      </c>
      <c r="O1446">
        <v>0</v>
      </c>
      <c r="P1446">
        <v>0</v>
      </c>
      <c r="Q1446">
        <v>0</v>
      </c>
      <c r="R1446">
        <v>0</v>
      </c>
      <c r="S1446">
        <v>71</v>
      </c>
      <c r="T1446">
        <v>66</v>
      </c>
      <c r="U1446" s="5">
        <f>IF(Merge1[[#This Row],[team_defense_snaps]]=0, "", Merge1[[#This Row],[defense_snaps]] / Merge1[[#This Row],[team_defense_snaps]])</f>
        <v>1</v>
      </c>
      <c r="V1446">
        <v>66</v>
      </c>
      <c r="W1446">
        <v>5</v>
      </c>
      <c r="X1446" s="5" t="s">
        <v>59</v>
      </c>
      <c r="Y1446">
        <v>0</v>
      </c>
      <c r="Z1446">
        <v>0</v>
      </c>
      <c r="AA1446" t="s">
        <v>25</v>
      </c>
      <c r="AB1446" t="s">
        <v>26</v>
      </c>
      <c r="AC1446" t="s">
        <v>27</v>
      </c>
      <c r="AD1446" t="s">
        <v>42</v>
      </c>
      <c r="AE1446" t="s">
        <v>25</v>
      </c>
      <c r="AF14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5.6338028169014086E-2</v>
      </c>
      <c r="AG1446" t="s">
        <v>942</v>
      </c>
      <c r="AH1446">
        <v>62.5</v>
      </c>
      <c r="AI1446" t="s">
        <v>939</v>
      </c>
      <c r="AJ1446">
        <v>5</v>
      </c>
      <c r="AK14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MIN(AJ1446/8, 1) +
  Merge1[[#This Row],[index_defensive_effort]],
  2
)</f>
        <v>1.08</v>
      </c>
    </row>
    <row r="1447" spans="1:37" x14ac:dyDescent="0.25">
      <c r="A1447" t="s">
        <v>469</v>
      </c>
      <c r="B1447" t="s">
        <v>470</v>
      </c>
      <c r="C1447">
        <v>24</v>
      </c>
      <c r="D1447" t="s">
        <v>56</v>
      </c>
      <c r="E1447">
        <v>72</v>
      </c>
      <c r="F1447">
        <v>183</v>
      </c>
      <c r="G1447" t="s">
        <v>117</v>
      </c>
      <c r="H1447">
        <v>2020</v>
      </c>
      <c r="I1447" t="s">
        <v>33</v>
      </c>
      <c r="J1447">
        <v>12</v>
      </c>
      <c r="K1447">
        <v>3</v>
      </c>
      <c r="L1447">
        <v>4</v>
      </c>
      <c r="M1447">
        <v>2</v>
      </c>
      <c r="N1447">
        <v>6</v>
      </c>
      <c r="O1447">
        <v>0</v>
      </c>
      <c r="P1447">
        <v>0</v>
      </c>
      <c r="Q1447">
        <v>0</v>
      </c>
      <c r="R1447">
        <v>0</v>
      </c>
      <c r="S1447">
        <v>68</v>
      </c>
      <c r="T1447">
        <v>62</v>
      </c>
      <c r="U1447" s="5">
        <f>IF(Merge1[[#This Row],[team_defense_snaps]]=0, "", Merge1[[#This Row],[defense_snaps]] / Merge1[[#This Row],[team_defense_snaps]])</f>
        <v>0.93939393939393945</v>
      </c>
      <c r="V1447">
        <v>66</v>
      </c>
      <c r="W1447">
        <v>6</v>
      </c>
      <c r="X1447" s="5" t="s">
        <v>293</v>
      </c>
      <c r="Y1447">
        <v>0</v>
      </c>
      <c r="Z1447">
        <v>0</v>
      </c>
      <c r="AA1447" t="s">
        <v>25</v>
      </c>
      <c r="AB1447" t="s">
        <v>26</v>
      </c>
      <c r="AC1447" t="s">
        <v>27</v>
      </c>
      <c r="AD1447" t="s">
        <v>42</v>
      </c>
      <c r="AE1447" t="s">
        <v>25</v>
      </c>
      <c r="AF14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8.8235294117647065E-2</v>
      </c>
      <c r="AG1447" t="s">
        <v>942</v>
      </c>
      <c r="AH1447">
        <v>59.5</v>
      </c>
      <c r="AI1447" t="s">
        <v>939</v>
      </c>
      <c r="AJ1447">
        <v>6</v>
      </c>
      <c r="AK14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MIN(AJ1447/8, 1) +
  Merge1[[#This Row],[index_defensive_effort]],
  2
)</f>
        <v>1.24</v>
      </c>
    </row>
    <row r="1448" spans="1:37" x14ac:dyDescent="0.25">
      <c r="A1448" t="s">
        <v>469</v>
      </c>
      <c r="B1448" t="s">
        <v>470</v>
      </c>
      <c r="C1448">
        <v>24</v>
      </c>
      <c r="D1448" t="s">
        <v>56</v>
      </c>
      <c r="E1448">
        <v>72</v>
      </c>
      <c r="F1448">
        <v>183</v>
      </c>
      <c r="G1448" t="s">
        <v>117</v>
      </c>
      <c r="H1448">
        <v>2020</v>
      </c>
      <c r="I1448" t="s">
        <v>33</v>
      </c>
      <c r="J1448">
        <v>13</v>
      </c>
      <c r="K1448">
        <v>3</v>
      </c>
      <c r="L1448">
        <v>2</v>
      </c>
      <c r="M1448">
        <v>0</v>
      </c>
      <c r="N1448">
        <v>2</v>
      </c>
      <c r="O1448">
        <v>0</v>
      </c>
      <c r="P1448">
        <v>1</v>
      </c>
      <c r="Q1448">
        <v>0</v>
      </c>
      <c r="R1448">
        <v>0</v>
      </c>
      <c r="S1448">
        <v>52</v>
      </c>
      <c r="T1448">
        <v>47</v>
      </c>
      <c r="U1448" s="5">
        <f>IF(Merge1[[#This Row],[team_defense_snaps]]=0, "", Merge1[[#This Row],[defense_snaps]] / Merge1[[#This Row],[team_defense_snaps]])</f>
        <v>0.6619718309859155</v>
      </c>
      <c r="V1448">
        <v>71</v>
      </c>
      <c r="W1448">
        <v>5</v>
      </c>
      <c r="X1448" s="5" t="s">
        <v>168</v>
      </c>
      <c r="Y1448">
        <v>0</v>
      </c>
      <c r="Z1448">
        <v>0</v>
      </c>
      <c r="AA1448" t="s">
        <v>25</v>
      </c>
      <c r="AB1448" t="s">
        <v>26</v>
      </c>
      <c r="AC1448" t="s">
        <v>27</v>
      </c>
      <c r="AD1448" t="s">
        <v>42</v>
      </c>
      <c r="AE1448" t="s">
        <v>25</v>
      </c>
      <c r="AF14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0.11538461538461539</v>
      </c>
      <c r="AG1448" t="s">
        <v>942</v>
      </c>
      <c r="AH1448">
        <v>68.5</v>
      </c>
      <c r="AI1448" t="s">
        <v>939</v>
      </c>
      <c r="AJ1448">
        <v>7</v>
      </c>
      <c r="AK14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MIN(AJ1448/8, 1) +
  Merge1[[#This Row],[index_defensive_effort]],
  2
)</f>
        <v>1.39</v>
      </c>
    </row>
    <row r="1449" spans="1:37" x14ac:dyDescent="0.25">
      <c r="A1449" t="s">
        <v>469</v>
      </c>
      <c r="B1449" t="s">
        <v>470</v>
      </c>
      <c r="C1449">
        <v>24</v>
      </c>
      <c r="D1449" t="s">
        <v>56</v>
      </c>
      <c r="E1449">
        <v>72</v>
      </c>
      <c r="F1449">
        <v>183</v>
      </c>
      <c r="G1449" t="s">
        <v>117</v>
      </c>
      <c r="H1449">
        <v>2020</v>
      </c>
      <c r="I1449" t="s">
        <v>33</v>
      </c>
      <c r="J1449">
        <v>14</v>
      </c>
      <c r="K1449">
        <v>3</v>
      </c>
      <c r="L1449">
        <v>2</v>
      </c>
      <c r="M1449">
        <v>0</v>
      </c>
      <c r="N1449">
        <v>2</v>
      </c>
      <c r="O1449">
        <v>0</v>
      </c>
      <c r="P1449">
        <v>1</v>
      </c>
      <c r="Q1449">
        <v>0</v>
      </c>
      <c r="R1449">
        <v>0</v>
      </c>
      <c r="S1449">
        <v>54</v>
      </c>
      <c r="T1449">
        <v>49</v>
      </c>
      <c r="U1449" s="5">
        <f>IF(Merge1[[#This Row],[team_defense_snaps]]=0, "", Merge1[[#This Row],[defense_snaps]] / Merge1[[#This Row],[team_defense_snaps]])</f>
        <v>0.96078431372549022</v>
      </c>
      <c r="V1449">
        <v>51</v>
      </c>
      <c r="W1449">
        <v>5</v>
      </c>
      <c r="X1449" s="5" t="s">
        <v>132</v>
      </c>
      <c r="Y1449">
        <v>0</v>
      </c>
      <c r="Z1449">
        <v>0</v>
      </c>
      <c r="AA1449" t="s">
        <v>25</v>
      </c>
      <c r="AB1449" t="s">
        <v>26</v>
      </c>
      <c r="AC1449" t="s">
        <v>27</v>
      </c>
      <c r="AD1449" t="s">
        <v>42</v>
      </c>
      <c r="AE1449" t="s">
        <v>25</v>
      </c>
      <c r="AF14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0.1111111111111111</v>
      </c>
      <c r="AG1449" t="s">
        <v>942</v>
      </c>
      <c r="AH1449">
        <v>64</v>
      </c>
      <c r="AI1449" t="s">
        <v>939</v>
      </c>
      <c r="AJ1449">
        <v>8</v>
      </c>
      <c r="AK14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MIN(AJ1449/8, 1) +
  Merge1[[#This Row],[index_defensive_effort]],
  2
)</f>
        <v>1.51</v>
      </c>
    </row>
    <row r="1450" spans="1:37" x14ac:dyDescent="0.25">
      <c r="A1450" t="s">
        <v>469</v>
      </c>
      <c r="B1450" t="s">
        <v>470</v>
      </c>
      <c r="C1450">
        <v>24</v>
      </c>
      <c r="D1450" t="s">
        <v>56</v>
      </c>
      <c r="E1450">
        <v>72</v>
      </c>
      <c r="F1450">
        <v>183</v>
      </c>
      <c r="G1450" t="s">
        <v>117</v>
      </c>
      <c r="H1450">
        <v>2020</v>
      </c>
      <c r="I1450" t="s">
        <v>33</v>
      </c>
      <c r="J1450">
        <v>15</v>
      </c>
      <c r="K1450">
        <v>5</v>
      </c>
      <c r="L1450">
        <v>2</v>
      </c>
      <c r="M1450">
        <v>0</v>
      </c>
      <c r="N1450">
        <v>2</v>
      </c>
      <c r="O1450">
        <v>0</v>
      </c>
      <c r="P1450">
        <v>0</v>
      </c>
      <c r="Q1450">
        <v>0</v>
      </c>
      <c r="R1450">
        <v>0</v>
      </c>
      <c r="S1450">
        <v>72</v>
      </c>
      <c r="T1450">
        <v>64</v>
      </c>
      <c r="U1450" s="5">
        <f>IF(Merge1[[#This Row],[team_defense_snaps]]=0, "", Merge1[[#This Row],[defense_snaps]] / Merge1[[#This Row],[team_defense_snaps]])</f>
        <v>0.98461538461538467</v>
      </c>
      <c r="V1450">
        <v>65</v>
      </c>
      <c r="W1450">
        <v>8</v>
      </c>
      <c r="X1450" s="5" t="s">
        <v>261</v>
      </c>
      <c r="Y1450">
        <v>0</v>
      </c>
      <c r="Z1450">
        <v>0</v>
      </c>
      <c r="AA1450" t="s">
        <v>25</v>
      </c>
      <c r="AB1450" t="s">
        <v>26</v>
      </c>
      <c r="AC1450" t="s">
        <v>27</v>
      </c>
      <c r="AD1450" t="s">
        <v>42</v>
      </c>
      <c r="AE1450" t="s">
        <v>25</v>
      </c>
      <c r="AF14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1450" t="s">
        <v>942</v>
      </c>
      <c r="AH1450">
        <v>67</v>
      </c>
      <c r="AI1450" t="s">
        <v>939</v>
      </c>
      <c r="AJ1450">
        <v>9</v>
      </c>
      <c r="AK14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MIN(AJ1450/8, 1) +
  Merge1[[#This Row],[index_defensive_effort]],
  2
)</f>
        <v>1.48</v>
      </c>
    </row>
    <row r="1451" spans="1:37" x14ac:dyDescent="0.25">
      <c r="A1451" t="s">
        <v>469</v>
      </c>
      <c r="B1451" t="s">
        <v>470</v>
      </c>
      <c r="C1451">
        <v>24</v>
      </c>
      <c r="D1451" t="s">
        <v>56</v>
      </c>
      <c r="E1451">
        <v>72</v>
      </c>
      <c r="F1451">
        <v>183</v>
      </c>
      <c r="G1451" t="s">
        <v>117</v>
      </c>
      <c r="H1451">
        <v>2020</v>
      </c>
      <c r="I1451" t="s">
        <v>33</v>
      </c>
      <c r="J1451">
        <v>16</v>
      </c>
      <c r="K1451">
        <v>3</v>
      </c>
      <c r="L1451">
        <v>2</v>
      </c>
      <c r="M1451">
        <v>0</v>
      </c>
      <c r="N1451">
        <v>2</v>
      </c>
      <c r="O1451">
        <v>0</v>
      </c>
      <c r="P1451">
        <v>0</v>
      </c>
      <c r="Q1451">
        <v>0</v>
      </c>
      <c r="R1451">
        <v>0</v>
      </c>
      <c r="S1451">
        <v>85</v>
      </c>
      <c r="T1451">
        <v>74</v>
      </c>
      <c r="U1451" s="5">
        <f>IF(Merge1[[#This Row],[team_defense_snaps]]=0, "", Merge1[[#This Row],[defense_snaps]] / Merge1[[#This Row],[team_defense_snaps]])</f>
        <v>0.97368421052631582</v>
      </c>
      <c r="V1451">
        <v>76</v>
      </c>
      <c r="W1451">
        <v>11</v>
      </c>
      <c r="X1451" s="5" t="s">
        <v>70</v>
      </c>
      <c r="Y1451">
        <v>0</v>
      </c>
      <c r="Z1451">
        <v>0</v>
      </c>
      <c r="AA1451" t="s">
        <v>25</v>
      </c>
      <c r="AB1451" t="s">
        <v>26</v>
      </c>
      <c r="AC1451" t="s">
        <v>27</v>
      </c>
      <c r="AD1451" t="s">
        <v>42</v>
      </c>
      <c r="AE1451" t="s">
        <v>25</v>
      </c>
      <c r="AF14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4.7058823529411764E-2</v>
      </c>
      <c r="AG1451" t="s">
        <v>942</v>
      </c>
      <c r="AH1451">
        <v>47.5</v>
      </c>
      <c r="AI1451" t="s">
        <v>939</v>
      </c>
      <c r="AJ1451">
        <v>10</v>
      </c>
      <c r="AK14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MIN(AJ1451/8, 1) +
  Merge1[[#This Row],[index_defensive_effort]],
  2
)</f>
        <v>1.45</v>
      </c>
    </row>
    <row r="1452" spans="1:37" x14ac:dyDescent="0.25">
      <c r="A1452" t="s">
        <v>469</v>
      </c>
      <c r="B1452" t="s">
        <v>470</v>
      </c>
      <c r="C1452">
        <v>24</v>
      </c>
      <c r="D1452" t="s">
        <v>56</v>
      </c>
      <c r="E1452">
        <v>72</v>
      </c>
      <c r="F1452">
        <v>183</v>
      </c>
      <c r="G1452" t="s">
        <v>117</v>
      </c>
      <c r="H1452">
        <v>2020</v>
      </c>
      <c r="I1452" t="s">
        <v>33</v>
      </c>
      <c r="J1452">
        <v>17</v>
      </c>
      <c r="K1452">
        <v>3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62</v>
      </c>
      <c r="T1452">
        <v>58</v>
      </c>
      <c r="U1452" s="5">
        <f>IF(Merge1[[#This Row],[team_defense_snaps]]=0, "", Merge1[[#This Row],[defense_snaps]] / Merge1[[#This Row],[team_defense_snaps]])</f>
        <v>1</v>
      </c>
      <c r="V1452">
        <v>58</v>
      </c>
      <c r="W1452">
        <v>4</v>
      </c>
      <c r="X1452" s="5" t="s">
        <v>209</v>
      </c>
      <c r="Y1452">
        <v>0</v>
      </c>
      <c r="Z1452">
        <v>0</v>
      </c>
      <c r="AA1452" t="s">
        <v>25</v>
      </c>
      <c r="AB1452" t="s">
        <v>26</v>
      </c>
      <c r="AC1452" t="s">
        <v>27</v>
      </c>
      <c r="AD1452" t="s">
        <v>42</v>
      </c>
      <c r="AE1452" t="s">
        <v>25</v>
      </c>
      <c r="AF14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4.8387096774193547E-2</v>
      </c>
      <c r="AG1452" t="s">
        <v>942</v>
      </c>
      <c r="AH1452">
        <v>52</v>
      </c>
      <c r="AI1452" t="s">
        <v>939</v>
      </c>
      <c r="AJ1452">
        <v>1</v>
      </c>
      <c r="AK14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MIN(AJ1452/8, 1) +
  Merge1[[#This Row],[index_defensive_effort]],
  2
)</f>
        <v>0.56999999999999995</v>
      </c>
    </row>
    <row r="1453" spans="1:37" x14ac:dyDescent="0.25">
      <c r="A1453" t="s">
        <v>479</v>
      </c>
      <c r="B1453" t="s">
        <v>480</v>
      </c>
      <c r="C1453">
        <v>29</v>
      </c>
      <c r="D1453" t="s">
        <v>22</v>
      </c>
      <c r="E1453">
        <v>73</v>
      </c>
      <c r="F1453">
        <v>212</v>
      </c>
      <c r="G1453" t="s">
        <v>166</v>
      </c>
      <c r="H1453">
        <v>2020</v>
      </c>
      <c r="I1453" t="s">
        <v>33</v>
      </c>
      <c r="J1453">
        <v>3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45</v>
      </c>
      <c r="T1453">
        <v>19</v>
      </c>
      <c r="U1453" s="5">
        <f>IF(Merge1[[#This Row],[team_defense_snaps]]=0, "", Merge1[[#This Row],[defense_snaps]] / Merge1[[#This Row],[team_defense_snaps]])</f>
        <v>0.27536231884057971</v>
      </c>
      <c r="V1453">
        <v>69</v>
      </c>
      <c r="W1453">
        <v>26</v>
      </c>
      <c r="X1453" s="5" t="s">
        <v>48</v>
      </c>
      <c r="Y1453">
        <v>7</v>
      </c>
      <c r="Z1453">
        <v>0</v>
      </c>
      <c r="AA1453" t="s">
        <v>25</v>
      </c>
      <c r="AB1453" t="s">
        <v>26</v>
      </c>
      <c r="AC1453" t="s">
        <v>27</v>
      </c>
      <c r="AD1453" t="s">
        <v>28</v>
      </c>
      <c r="AE1453" t="s">
        <v>25</v>
      </c>
      <c r="AF14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2.2222222222222223E-2</v>
      </c>
      <c r="AG1453" t="s">
        <v>941</v>
      </c>
      <c r="AH1453">
        <v>71</v>
      </c>
      <c r="AI1453" t="s">
        <v>939</v>
      </c>
      <c r="AJ1453">
        <v>2</v>
      </c>
      <c r="AK14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MIN(AJ1453/8, 1) +
  Merge1[[#This Row],[index_defensive_effort]],
  2
)</f>
        <v>0.87</v>
      </c>
    </row>
    <row r="1454" spans="1:37" x14ac:dyDescent="0.25">
      <c r="A1454" t="s">
        <v>479</v>
      </c>
      <c r="B1454" t="s">
        <v>480</v>
      </c>
      <c r="C1454">
        <v>29</v>
      </c>
      <c r="D1454" t="s">
        <v>22</v>
      </c>
      <c r="E1454">
        <v>73</v>
      </c>
      <c r="F1454">
        <v>212</v>
      </c>
      <c r="G1454" t="s">
        <v>166</v>
      </c>
      <c r="H1454">
        <v>2020</v>
      </c>
      <c r="I1454" t="s">
        <v>33</v>
      </c>
      <c r="J1454">
        <v>4</v>
      </c>
      <c r="K1454">
        <v>0</v>
      </c>
      <c r="L1454">
        <v>1</v>
      </c>
      <c r="M1454">
        <v>0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23</v>
      </c>
      <c r="T1454">
        <v>3</v>
      </c>
      <c r="U1454" s="5">
        <f>IF(Merge1[[#This Row],[team_defense_snaps]]=0, "", Merge1[[#This Row],[defense_snaps]] / Merge1[[#This Row],[team_defense_snaps]])</f>
        <v>4.8387096774193547E-2</v>
      </c>
      <c r="V1454">
        <v>62</v>
      </c>
      <c r="W1454">
        <v>20</v>
      </c>
      <c r="X1454" s="5" t="s">
        <v>218</v>
      </c>
      <c r="Y1454">
        <v>7</v>
      </c>
      <c r="Z1454">
        <v>0</v>
      </c>
      <c r="AA1454" t="s">
        <v>25</v>
      </c>
      <c r="AB1454" t="s">
        <v>26</v>
      </c>
      <c r="AC1454" t="s">
        <v>27</v>
      </c>
      <c r="AD1454" t="s">
        <v>28</v>
      </c>
      <c r="AE1454" t="s">
        <v>25</v>
      </c>
      <c r="AF14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2.1739130434782608E-2</v>
      </c>
      <c r="AG1454" t="s">
        <v>941</v>
      </c>
      <c r="AH1454">
        <v>83</v>
      </c>
      <c r="AI1454" t="s">
        <v>939</v>
      </c>
      <c r="AJ1454">
        <v>3</v>
      </c>
      <c r="AK14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MIN(AJ1454/8, 1) +
  Merge1[[#This Row],[index_defensive_effort]],
  2
)</f>
        <v>1</v>
      </c>
    </row>
    <row r="1455" spans="1:37" x14ac:dyDescent="0.25">
      <c r="A1455" t="s">
        <v>479</v>
      </c>
      <c r="B1455" t="s">
        <v>480</v>
      </c>
      <c r="C1455">
        <v>29</v>
      </c>
      <c r="D1455" t="s">
        <v>22</v>
      </c>
      <c r="E1455">
        <v>73</v>
      </c>
      <c r="F1455">
        <v>212</v>
      </c>
      <c r="G1455" t="s">
        <v>166</v>
      </c>
      <c r="H1455">
        <v>2020</v>
      </c>
      <c r="I1455" t="s">
        <v>33</v>
      </c>
      <c r="J1455">
        <v>5</v>
      </c>
      <c r="K1455">
        <v>3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2</v>
      </c>
      <c r="R1455">
        <v>0</v>
      </c>
      <c r="S1455">
        <v>54</v>
      </c>
      <c r="T1455">
        <v>30</v>
      </c>
      <c r="U1455" s="5">
        <f>IF(Merge1[[#This Row],[team_defense_snaps]]=0, "", Merge1[[#This Row],[defense_snaps]] / Merge1[[#This Row],[team_defense_snaps]])</f>
        <v>0.40540540540540543</v>
      </c>
      <c r="V1455">
        <v>74</v>
      </c>
      <c r="W1455">
        <v>24</v>
      </c>
      <c r="X1455" s="5" t="s">
        <v>218</v>
      </c>
      <c r="Y1455">
        <v>7</v>
      </c>
      <c r="Z1455">
        <v>0</v>
      </c>
      <c r="AA1455" t="s">
        <v>25</v>
      </c>
      <c r="AB1455" t="s">
        <v>26</v>
      </c>
      <c r="AC1455" t="s">
        <v>27</v>
      </c>
      <c r="AD1455" t="s">
        <v>28</v>
      </c>
      <c r="AE1455" t="s">
        <v>25</v>
      </c>
      <c r="AF14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0.20370370370370369</v>
      </c>
      <c r="AG1455" t="s">
        <v>941</v>
      </c>
      <c r="AH1455">
        <v>81.5</v>
      </c>
      <c r="AI1455" t="s">
        <v>939</v>
      </c>
      <c r="AJ1455">
        <v>1</v>
      </c>
      <c r="AK14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MIN(AJ1455/8, 1) +
  Merge1[[#This Row],[index_defensive_effort]],
  2
)</f>
        <v>0.93</v>
      </c>
    </row>
    <row r="1456" spans="1:37" x14ac:dyDescent="0.25">
      <c r="A1456" t="s">
        <v>479</v>
      </c>
      <c r="B1456" t="s">
        <v>480</v>
      </c>
      <c r="C1456">
        <v>29</v>
      </c>
      <c r="D1456" t="s">
        <v>22</v>
      </c>
      <c r="E1456">
        <v>73</v>
      </c>
      <c r="F1456">
        <v>212</v>
      </c>
      <c r="G1456" t="s">
        <v>166</v>
      </c>
      <c r="H1456">
        <v>2020</v>
      </c>
      <c r="I1456" t="s">
        <v>33</v>
      </c>
      <c r="J1456">
        <v>7</v>
      </c>
      <c r="K1456">
        <v>4</v>
      </c>
      <c r="L1456">
        <v>2</v>
      </c>
      <c r="M1456">
        <v>0</v>
      </c>
      <c r="N1456">
        <v>2</v>
      </c>
      <c r="O1456">
        <v>0</v>
      </c>
      <c r="P1456">
        <v>0</v>
      </c>
      <c r="Q1456">
        <v>0</v>
      </c>
      <c r="R1456">
        <v>0</v>
      </c>
      <c r="S1456">
        <v>91</v>
      </c>
      <c r="T1456">
        <v>72</v>
      </c>
      <c r="U1456" s="5">
        <f>IF(Merge1[[#This Row],[team_defense_snaps]]=0, "", Merge1[[#This Row],[defense_snaps]] / Merge1[[#This Row],[team_defense_snaps]])</f>
        <v>1</v>
      </c>
      <c r="V1456">
        <v>72</v>
      </c>
      <c r="W1456">
        <v>19</v>
      </c>
      <c r="X1456" s="5" t="s">
        <v>125</v>
      </c>
      <c r="Y1456">
        <v>7</v>
      </c>
      <c r="Z1456">
        <v>0</v>
      </c>
      <c r="AA1456" t="s">
        <v>25</v>
      </c>
      <c r="AB1456" t="s">
        <v>26</v>
      </c>
      <c r="AC1456" t="s">
        <v>27</v>
      </c>
      <c r="AD1456" t="s">
        <v>42</v>
      </c>
      <c r="AE1456" t="s">
        <v>25</v>
      </c>
      <c r="AF14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5.4945054945054944E-2</v>
      </c>
      <c r="AG1456" t="s">
        <v>941</v>
      </c>
      <c r="AH1456">
        <v>86</v>
      </c>
      <c r="AI1456" t="s">
        <v>938</v>
      </c>
      <c r="AJ1456">
        <v>1</v>
      </c>
      <c r="AK14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MIN(AJ1456/8, 1) +
  Merge1[[#This Row],[index_defensive_effort]],
  2
)</f>
        <v>0.78</v>
      </c>
    </row>
    <row r="1457" spans="1:37" x14ac:dyDescent="0.25">
      <c r="A1457" t="s">
        <v>479</v>
      </c>
      <c r="B1457" t="s">
        <v>480</v>
      </c>
      <c r="C1457">
        <v>29</v>
      </c>
      <c r="D1457" t="s">
        <v>22</v>
      </c>
      <c r="E1457">
        <v>73</v>
      </c>
      <c r="F1457">
        <v>212</v>
      </c>
      <c r="G1457" t="s">
        <v>166</v>
      </c>
      <c r="H1457">
        <v>2020</v>
      </c>
      <c r="I1457" t="s">
        <v>33</v>
      </c>
      <c r="J1457">
        <v>9</v>
      </c>
      <c r="K1457">
        <v>0</v>
      </c>
      <c r="L1457">
        <v>2</v>
      </c>
      <c r="M1457">
        <v>1</v>
      </c>
      <c r="N1457">
        <v>3</v>
      </c>
      <c r="O1457">
        <v>0</v>
      </c>
      <c r="P1457">
        <v>0</v>
      </c>
      <c r="Q1457">
        <v>0</v>
      </c>
      <c r="R1457">
        <v>0</v>
      </c>
      <c r="S1457">
        <v>33</v>
      </c>
      <c r="T1457">
        <v>11</v>
      </c>
      <c r="U1457" s="5">
        <f>IF(Merge1[[#This Row],[team_defense_snaps]]=0, "", Merge1[[#This Row],[defense_snaps]] / Merge1[[#This Row],[team_defense_snaps]])</f>
        <v>0.13924050632911392</v>
      </c>
      <c r="V1457">
        <v>79</v>
      </c>
      <c r="W1457">
        <v>22</v>
      </c>
      <c r="X1457" s="5" t="s">
        <v>95</v>
      </c>
      <c r="Y1457">
        <v>7</v>
      </c>
      <c r="Z1457">
        <v>0</v>
      </c>
      <c r="AA1457" t="s">
        <v>25</v>
      </c>
      <c r="AB1457" t="s">
        <v>36</v>
      </c>
      <c r="AC1457" t="s">
        <v>371</v>
      </c>
      <c r="AD1457" t="s">
        <v>28</v>
      </c>
      <c r="AE1457" t="s">
        <v>25</v>
      </c>
      <c r="AF14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G1457" t="s">
        <v>941</v>
      </c>
      <c r="AH1457">
        <v>78.5</v>
      </c>
      <c r="AI1457" t="s">
        <v>939</v>
      </c>
      <c r="AJ1457">
        <v>2</v>
      </c>
      <c r="AK14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MIN(AJ1457/8, 1) +
  Merge1[[#This Row],[index_defensive_effort]],
  2
)</f>
        <v>0.9</v>
      </c>
    </row>
    <row r="1458" spans="1:37" x14ac:dyDescent="0.25">
      <c r="A1458" t="s">
        <v>479</v>
      </c>
      <c r="B1458" t="s">
        <v>480</v>
      </c>
      <c r="C1458">
        <v>29</v>
      </c>
      <c r="D1458" t="s">
        <v>22</v>
      </c>
      <c r="E1458">
        <v>73</v>
      </c>
      <c r="F1458">
        <v>212</v>
      </c>
      <c r="G1458" t="s">
        <v>166</v>
      </c>
      <c r="H1458">
        <v>2020</v>
      </c>
      <c r="I1458" t="s">
        <v>33</v>
      </c>
      <c r="J1458">
        <v>10</v>
      </c>
      <c r="K1458">
        <v>5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4</v>
      </c>
      <c r="R1458">
        <v>0</v>
      </c>
      <c r="S1458">
        <v>56</v>
      </c>
      <c r="T1458">
        <v>34</v>
      </c>
      <c r="U1458" s="5">
        <f>IF(Merge1[[#This Row],[team_defense_snaps]]=0, "", Merge1[[#This Row],[defense_snaps]] / Merge1[[#This Row],[team_defense_snaps]])</f>
        <v>0.47887323943661969</v>
      </c>
      <c r="V1458">
        <v>71</v>
      </c>
      <c r="W1458">
        <v>22</v>
      </c>
      <c r="X1458" s="5" t="s">
        <v>95</v>
      </c>
      <c r="Y1458">
        <v>7</v>
      </c>
      <c r="Z1458">
        <v>0</v>
      </c>
      <c r="AA1458" t="s">
        <v>25</v>
      </c>
      <c r="AB1458" t="s">
        <v>26</v>
      </c>
      <c r="AC1458" t="s">
        <v>27</v>
      </c>
      <c r="AD1458" t="s">
        <v>28</v>
      </c>
      <c r="AE1458" t="s">
        <v>25</v>
      </c>
      <c r="AF14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0.375</v>
      </c>
      <c r="AG1458" t="s">
        <v>941</v>
      </c>
      <c r="AH1458">
        <v>80</v>
      </c>
      <c r="AI1458" t="s">
        <v>939</v>
      </c>
      <c r="AJ1458">
        <v>3</v>
      </c>
      <c r="AK14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MIN(AJ1458/8, 1) +
  Merge1[[#This Row],[index_defensive_effort]],
  2
)</f>
        <v>1.35</v>
      </c>
    </row>
    <row r="1459" spans="1:37" x14ac:dyDescent="0.25">
      <c r="A1459" t="s">
        <v>479</v>
      </c>
      <c r="B1459" t="s">
        <v>480</v>
      </c>
      <c r="C1459">
        <v>29</v>
      </c>
      <c r="D1459" t="s">
        <v>22</v>
      </c>
      <c r="E1459">
        <v>73</v>
      </c>
      <c r="F1459">
        <v>212</v>
      </c>
      <c r="G1459" t="s">
        <v>166</v>
      </c>
      <c r="H1459">
        <v>2020</v>
      </c>
      <c r="I1459" t="s">
        <v>33</v>
      </c>
      <c r="J1459">
        <v>11</v>
      </c>
      <c r="K1459">
        <v>2</v>
      </c>
      <c r="L1459">
        <v>1</v>
      </c>
      <c r="M1459">
        <v>0</v>
      </c>
      <c r="N1459">
        <v>1</v>
      </c>
      <c r="O1459">
        <v>0</v>
      </c>
      <c r="P1459">
        <v>1</v>
      </c>
      <c r="Q1459">
        <v>0</v>
      </c>
      <c r="R1459">
        <v>0</v>
      </c>
      <c r="S1459">
        <v>71</v>
      </c>
      <c r="T1459">
        <v>50</v>
      </c>
      <c r="U1459" s="5">
        <f>IF(Merge1[[#This Row],[team_defense_snaps]]=0, "", Merge1[[#This Row],[defense_snaps]] / Merge1[[#This Row],[team_defense_snaps]])</f>
        <v>0.64102564102564108</v>
      </c>
      <c r="V1459">
        <v>78</v>
      </c>
      <c r="W1459">
        <v>21</v>
      </c>
      <c r="X1459" s="5" t="s">
        <v>43</v>
      </c>
      <c r="Y1459">
        <v>7</v>
      </c>
      <c r="Z1459">
        <v>0</v>
      </c>
      <c r="AA1459" t="s">
        <v>25</v>
      </c>
      <c r="AB1459" t="s">
        <v>26</v>
      </c>
      <c r="AC1459" t="s">
        <v>27</v>
      </c>
      <c r="AD1459" t="s">
        <v>42</v>
      </c>
      <c r="AE1459" t="s">
        <v>25</v>
      </c>
      <c r="AF14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6.3380281690140844E-2</v>
      </c>
      <c r="AG1459" t="s">
        <v>941</v>
      </c>
      <c r="AH1459">
        <v>89</v>
      </c>
      <c r="AI1459" t="s">
        <v>939</v>
      </c>
      <c r="AJ1459">
        <v>4</v>
      </c>
      <c r="AK14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MIN(AJ1459/8, 1) +
  Merge1[[#This Row],[index_defensive_effort]],
  2
)</f>
        <v>1.1599999999999999</v>
      </c>
    </row>
    <row r="1460" spans="1:37" x14ac:dyDescent="0.25">
      <c r="A1460" t="s">
        <v>479</v>
      </c>
      <c r="B1460" t="s">
        <v>480</v>
      </c>
      <c r="C1460">
        <v>29</v>
      </c>
      <c r="D1460" t="s">
        <v>22</v>
      </c>
      <c r="E1460">
        <v>73</v>
      </c>
      <c r="F1460">
        <v>212</v>
      </c>
      <c r="G1460" t="s">
        <v>166</v>
      </c>
      <c r="H1460">
        <v>2020</v>
      </c>
      <c r="I1460" t="s">
        <v>33</v>
      </c>
      <c r="J1460">
        <v>12</v>
      </c>
      <c r="K1460">
        <v>10</v>
      </c>
      <c r="L1460">
        <v>1</v>
      </c>
      <c r="M1460">
        <v>0</v>
      </c>
      <c r="N1460">
        <v>1</v>
      </c>
      <c r="O1460">
        <v>0</v>
      </c>
      <c r="P1460">
        <v>1</v>
      </c>
      <c r="Q1460">
        <v>0</v>
      </c>
      <c r="R1460">
        <v>0</v>
      </c>
      <c r="S1460">
        <v>89</v>
      </c>
      <c r="T1460">
        <v>73</v>
      </c>
      <c r="U1460" s="5">
        <f>IF(Merge1[[#This Row],[team_defense_snaps]]=0, "", Merge1[[#This Row],[defense_snaps]] / Merge1[[#This Row],[team_defense_snaps]])</f>
        <v>0.91249999999999998</v>
      </c>
      <c r="V1460">
        <v>80</v>
      </c>
      <c r="W1460">
        <v>16</v>
      </c>
      <c r="X1460" s="5" t="s">
        <v>200</v>
      </c>
      <c r="Y1460">
        <v>7</v>
      </c>
      <c r="Z1460">
        <v>0</v>
      </c>
      <c r="AA1460" t="s">
        <v>25</v>
      </c>
      <c r="AB1460" t="s">
        <v>26</v>
      </c>
      <c r="AC1460" t="s">
        <v>27</v>
      </c>
      <c r="AD1460" t="s">
        <v>42</v>
      </c>
      <c r="AE1460" t="s">
        <v>25</v>
      </c>
      <c r="AF14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0.1404494382022472</v>
      </c>
      <c r="AG1460" t="s">
        <v>941</v>
      </c>
      <c r="AH1460">
        <v>90.5</v>
      </c>
      <c r="AI1460" t="s">
        <v>939</v>
      </c>
      <c r="AJ1460">
        <v>5</v>
      </c>
      <c r="AK14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MIN(AJ1460/8, 1) +
  Merge1[[#This Row],[index_defensive_effort]],
  2
)</f>
        <v>1.37</v>
      </c>
    </row>
    <row r="1461" spans="1:37" x14ac:dyDescent="0.25">
      <c r="A1461" t="s">
        <v>479</v>
      </c>
      <c r="B1461" t="s">
        <v>480</v>
      </c>
      <c r="C1461">
        <v>29</v>
      </c>
      <c r="D1461" t="s">
        <v>22</v>
      </c>
      <c r="E1461">
        <v>73</v>
      </c>
      <c r="F1461">
        <v>212</v>
      </c>
      <c r="G1461" t="s">
        <v>166</v>
      </c>
      <c r="H1461">
        <v>2020</v>
      </c>
      <c r="I1461" t="s">
        <v>33</v>
      </c>
      <c r="J1461">
        <v>13</v>
      </c>
      <c r="K1461">
        <v>7</v>
      </c>
      <c r="L1461">
        <v>0</v>
      </c>
      <c r="M1461">
        <v>0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64</v>
      </c>
      <c r="T1461">
        <v>50</v>
      </c>
      <c r="U1461" s="5">
        <f>IF(Merge1[[#This Row],[team_defense_snaps]]=0, "", Merge1[[#This Row],[defense_snaps]] / Merge1[[#This Row],[team_defense_snaps]])</f>
        <v>0.74626865671641796</v>
      </c>
      <c r="V1461">
        <v>67</v>
      </c>
      <c r="W1461">
        <v>14</v>
      </c>
      <c r="X1461" s="5" t="s">
        <v>112</v>
      </c>
      <c r="Y1461">
        <v>7</v>
      </c>
      <c r="Z1461">
        <v>0</v>
      </c>
      <c r="AA1461" t="s">
        <v>25</v>
      </c>
      <c r="AB1461" t="s">
        <v>26</v>
      </c>
      <c r="AC1461" t="s">
        <v>27</v>
      </c>
      <c r="AD1461" t="s">
        <v>42</v>
      </c>
      <c r="AE1461" t="s">
        <v>25</v>
      </c>
      <c r="AF14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0.140625</v>
      </c>
      <c r="AG1461" t="s">
        <v>941</v>
      </c>
      <c r="AH1461">
        <v>92</v>
      </c>
      <c r="AI1461" t="s">
        <v>938</v>
      </c>
      <c r="AJ1461">
        <v>1</v>
      </c>
      <c r="AK14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MIN(AJ1461/8, 1) +
  Merge1[[#This Row],[index_defensive_effort]],
  2
)</f>
        <v>0.87</v>
      </c>
    </row>
    <row r="1462" spans="1:37" x14ac:dyDescent="0.25">
      <c r="A1462" t="s">
        <v>479</v>
      </c>
      <c r="B1462" t="s">
        <v>480</v>
      </c>
      <c r="C1462">
        <v>29</v>
      </c>
      <c r="D1462" t="s">
        <v>22</v>
      </c>
      <c r="E1462">
        <v>73</v>
      </c>
      <c r="F1462">
        <v>212</v>
      </c>
      <c r="G1462" t="s">
        <v>166</v>
      </c>
      <c r="H1462">
        <v>2020</v>
      </c>
      <c r="I1462" t="s">
        <v>33</v>
      </c>
      <c r="J1462">
        <v>17</v>
      </c>
      <c r="K1462">
        <v>1</v>
      </c>
      <c r="L1462">
        <v>1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89</v>
      </c>
      <c r="T1462">
        <v>61</v>
      </c>
      <c r="U1462" s="5">
        <f>IF(Merge1[[#This Row],[team_defense_snaps]]=0, "", Merge1[[#This Row],[defense_snaps]] / Merge1[[#This Row],[team_defense_snaps]])</f>
        <v>0.74390243902439024</v>
      </c>
      <c r="V1462">
        <v>82</v>
      </c>
      <c r="W1462">
        <v>28</v>
      </c>
      <c r="X1462" s="5" t="s">
        <v>331</v>
      </c>
      <c r="Y1462">
        <v>7</v>
      </c>
      <c r="Z1462">
        <v>0</v>
      </c>
      <c r="AA1462" t="s">
        <v>25</v>
      </c>
      <c r="AB1462" t="s">
        <v>62</v>
      </c>
      <c r="AC1462" t="s">
        <v>27</v>
      </c>
      <c r="AD1462" t="s">
        <v>42</v>
      </c>
      <c r="AE1462" t="s">
        <v>25</v>
      </c>
      <c r="AF14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1.6853932584269662E-2</v>
      </c>
      <c r="AG1462" t="s">
        <v>941</v>
      </c>
      <c r="AH1462">
        <v>77</v>
      </c>
      <c r="AI1462" t="s">
        <v>939</v>
      </c>
      <c r="AJ1462">
        <v>1</v>
      </c>
      <c r="AK14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MIN(AJ1462/8, 1) +
  Merge1[[#This Row],[index_defensive_effort]],
  2
)</f>
        <v>0.74</v>
      </c>
    </row>
    <row r="1463" spans="1:37" x14ac:dyDescent="0.25">
      <c r="A1463" t="s">
        <v>515</v>
      </c>
      <c r="B1463" t="s">
        <v>516</v>
      </c>
      <c r="C1463">
        <v>21</v>
      </c>
      <c r="D1463" t="s">
        <v>56</v>
      </c>
      <c r="E1463">
        <v>73</v>
      </c>
      <c r="F1463">
        <v>205</v>
      </c>
      <c r="G1463" t="s">
        <v>162</v>
      </c>
      <c r="H1463">
        <v>2020</v>
      </c>
      <c r="I1463" t="s">
        <v>33</v>
      </c>
      <c r="J1463">
        <v>2</v>
      </c>
      <c r="K1463">
        <v>6</v>
      </c>
      <c r="L1463">
        <v>1</v>
      </c>
      <c r="M1463">
        <v>1</v>
      </c>
      <c r="N1463">
        <v>2</v>
      </c>
      <c r="O1463">
        <v>0</v>
      </c>
      <c r="P1463">
        <v>0</v>
      </c>
      <c r="Q1463">
        <v>0</v>
      </c>
      <c r="R1463">
        <v>0</v>
      </c>
      <c r="S1463">
        <v>73</v>
      </c>
      <c r="T1463">
        <v>73</v>
      </c>
      <c r="U1463" s="5">
        <f>IF(Merge1[[#This Row],[team_defense_snaps]]=0, "", Merge1[[#This Row],[defense_snaps]] / Merge1[[#This Row],[team_defense_snaps]])</f>
        <v>0.98648648648648651</v>
      </c>
      <c r="V1463">
        <v>74</v>
      </c>
      <c r="W1463">
        <v>0</v>
      </c>
      <c r="X1463" s="5" t="s">
        <v>29</v>
      </c>
      <c r="Y1463">
        <v>0</v>
      </c>
      <c r="Z1463">
        <v>0</v>
      </c>
      <c r="AA1463" t="s">
        <v>25</v>
      </c>
      <c r="AB1463" t="s">
        <v>26</v>
      </c>
      <c r="AC1463" t="s">
        <v>27</v>
      </c>
      <c r="AD1463" t="s">
        <v>42</v>
      </c>
      <c r="AE1463" t="s">
        <v>25</v>
      </c>
      <c r="AF14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9.5890410958904104E-2</v>
      </c>
      <c r="AG1463" t="s">
        <v>942</v>
      </c>
      <c r="AH1463">
        <v>58</v>
      </c>
      <c r="AI1463" t="s">
        <v>939</v>
      </c>
      <c r="AJ1463">
        <v>2</v>
      </c>
      <c r="AK14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MIN(AJ1463/8, 1) +
  Merge1[[#This Row],[index_defensive_effort]],
  2
)</f>
        <v>0.85</v>
      </c>
    </row>
    <row r="1464" spans="1:37" x14ac:dyDescent="0.25">
      <c r="A1464" t="s">
        <v>515</v>
      </c>
      <c r="B1464" t="s">
        <v>516</v>
      </c>
      <c r="C1464">
        <v>21</v>
      </c>
      <c r="D1464" t="s">
        <v>56</v>
      </c>
      <c r="E1464">
        <v>73</v>
      </c>
      <c r="F1464">
        <v>205</v>
      </c>
      <c r="G1464" t="s">
        <v>162</v>
      </c>
      <c r="H1464">
        <v>2020</v>
      </c>
      <c r="I1464" t="s">
        <v>33</v>
      </c>
      <c r="J1464">
        <v>3</v>
      </c>
      <c r="K1464">
        <v>10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2</v>
      </c>
      <c r="R1464">
        <v>0</v>
      </c>
      <c r="S1464">
        <v>59</v>
      </c>
      <c r="T1464">
        <v>59</v>
      </c>
      <c r="U1464" s="5">
        <f>IF(Merge1[[#This Row],[team_defense_snaps]]=0, "", Merge1[[#This Row],[defense_snaps]] / Merge1[[#This Row],[team_defense_snaps]])</f>
        <v>0.89393939393939392</v>
      </c>
      <c r="V1464">
        <v>66</v>
      </c>
      <c r="W1464">
        <v>0</v>
      </c>
      <c r="X1464" s="5" t="s">
        <v>29</v>
      </c>
      <c r="Y1464">
        <v>0</v>
      </c>
      <c r="Z1464">
        <v>0</v>
      </c>
      <c r="AA1464" t="s">
        <v>25</v>
      </c>
      <c r="AB1464" t="s">
        <v>26</v>
      </c>
      <c r="AC1464" t="s">
        <v>27</v>
      </c>
      <c r="AD1464" t="s">
        <v>42</v>
      </c>
      <c r="AE1464" t="s">
        <v>25</v>
      </c>
      <c r="AF14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0.30508474576271188</v>
      </c>
      <c r="AG1464" t="s">
        <v>942</v>
      </c>
      <c r="AH1464">
        <v>59.5</v>
      </c>
      <c r="AI1464" t="s">
        <v>939</v>
      </c>
      <c r="AJ1464">
        <v>3</v>
      </c>
      <c r="AK14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MIN(AJ1464/8, 1) +
  Merge1[[#This Row],[index_defensive_effort]],
  2
)</f>
        <v>1.18</v>
      </c>
    </row>
    <row r="1465" spans="1:37" x14ac:dyDescent="0.25">
      <c r="A1465" t="s">
        <v>515</v>
      </c>
      <c r="B1465" t="s">
        <v>516</v>
      </c>
      <c r="C1465">
        <v>21</v>
      </c>
      <c r="D1465" t="s">
        <v>56</v>
      </c>
      <c r="E1465">
        <v>73</v>
      </c>
      <c r="F1465">
        <v>205</v>
      </c>
      <c r="G1465" t="s">
        <v>162</v>
      </c>
      <c r="H1465">
        <v>2020</v>
      </c>
      <c r="I1465" t="s">
        <v>33</v>
      </c>
      <c r="J1465">
        <v>4</v>
      </c>
      <c r="K1465">
        <v>3</v>
      </c>
      <c r="L1465">
        <v>2</v>
      </c>
      <c r="M1465">
        <v>0</v>
      </c>
      <c r="N1465">
        <v>2</v>
      </c>
      <c r="O1465">
        <v>0</v>
      </c>
      <c r="P1465">
        <v>1</v>
      </c>
      <c r="Q1465">
        <v>0</v>
      </c>
      <c r="R1465">
        <v>0</v>
      </c>
      <c r="S1465">
        <v>38</v>
      </c>
      <c r="T1465">
        <v>38</v>
      </c>
      <c r="U1465" s="5">
        <f>IF(Merge1[[#This Row],[team_defense_snaps]]=0, "", Merge1[[#This Row],[defense_snaps]] / Merge1[[#This Row],[team_defense_snaps]])</f>
        <v>0.53521126760563376</v>
      </c>
      <c r="V1465">
        <v>71</v>
      </c>
      <c r="W1465">
        <v>0</v>
      </c>
      <c r="X1465" s="5" t="s">
        <v>29</v>
      </c>
      <c r="Y1465">
        <v>0</v>
      </c>
      <c r="Z1465">
        <v>0</v>
      </c>
      <c r="AA1465" t="s">
        <v>25</v>
      </c>
      <c r="AB1465" t="s">
        <v>26</v>
      </c>
      <c r="AC1465" t="s">
        <v>27</v>
      </c>
      <c r="AD1465" t="s">
        <v>28</v>
      </c>
      <c r="AE1465" t="s">
        <v>25</v>
      </c>
      <c r="AF14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0.15789473684210525</v>
      </c>
      <c r="AG1465" t="s">
        <v>942</v>
      </c>
      <c r="AH1465">
        <v>55</v>
      </c>
      <c r="AI1465" t="s">
        <v>939</v>
      </c>
      <c r="AJ1465">
        <v>1</v>
      </c>
      <c r="AK14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MIN(AJ1465/8, 1) +
  Merge1[[#This Row],[index_defensive_effort]],
  2
)</f>
        <v>0.78</v>
      </c>
    </row>
    <row r="1466" spans="1:37" x14ac:dyDescent="0.25">
      <c r="A1466" t="s">
        <v>515</v>
      </c>
      <c r="B1466" t="s">
        <v>516</v>
      </c>
      <c r="C1466">
        <v>21</v>
      </c>
      <c r="D1466" t="s">
        <v>56</v>
      </c>
      <c r="E1466">
        <v>73</v>
      </c>
      <c r="F1466">
        <v>205</v>
      </c>
      <c r="G1466" t="s">
        <v>162</v>
      </c>
      <c r="H1466">
        <v>2020</v>
      </c>
      <c r="I1466" t="s">
        <v>33</v>
      </c>
      <c r="J1466">
        <v>6</v>
      </c>
      <c r="K1466">
        <v>7</v>
      </c>
      <c r="L1466">
        <v>1</v>
      </c>
      <c r="M1466">
        <v>0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62</v>
      </c>
      <c r="T1466">
        <v>62</v>
      </c>
      <c r="U1466" s="5">
        <f>IF(Merge1[[#This Row],[team_defense_snaps]]=0, "", Merge1[[#This Row],[defense_snaps]] / Merge1[[#This Row],[team_defense_snaps]])</f>
        <v>0.96875</v>
      </c>
      <c r="V1466">
        <v>64</v>
      </c>
      <c r="W1466">
        <v>0</v>
      </c>
      <c r="X1466" s="5" t="s">
        <v>29</v>
      </c>
      <c r="Y1466">
        <v>0</v>
      </c>
      <c r="Z1466">
        <v>0</v>
      </c>
      <c r="AA1466" t="s">
        <v>25</v>
      </c>
      <c r="AB1466" t="s">
        <v>26</v>
      </c>
      <c r="AC1466" t="s">
        <v>27</v>
      </c>
      <c r="AD1466" t="s">
        <v>42</v>
      </c>
      <c r="AE1466" t="s">
        <v>25</v>
      </c>
      <c r="AF14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0.12096774193548387</v>
      </c>
      <c r="AG1466" t="s">
        <v>942</v>
      </c>
      <c r="AH1466">
        <v>62.5</v>
      </c>
      <c r="AI1466" t="s">
        <v>939</v>
      </c>
      <c r="AJ1466">
        <v>2</v>
      </c>
      <c r="AK14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MIN(AJ1466/8, 1) +
  Merge1[[#This Row],[index_defensive_effort]],
  2
)</f>
        <v>0.87</v>
      </c>
    </row>
    <row r="1467" spans="1:37" x14ac:dyDescent="0.25">
      <c r="A1467" t="s">
        <v>515</v>
      </c>
      <c r="B1467" t="s">
        <v>516</v>
      </c>
      <c r="C1467">
        <v>21</v>
      </c>
      <c r="D1467" t="s">
        <v>56</v>
      </c>
      <c r="E1467">
        <v>73</v>
      </c>
      <c r="F1467">
        <v>205</v>
      </c>
      <c r="G1467" t="s">
        <v>162</v>
      </c>
      <c r="H1467">
        <v>2020</v>
      </c>
      <c r="I1467" t="s">
        <v>33</v>
      </c>
      <c r="J1467">
        <v>7</v>
      </c>
      <c r="K1467">
        <v>4</v>
      </c>
      <c r="L1467">
        <v>0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69</v>
      </c>
      <c r="T1467">
        <v>69</v>
      </c>
      <c r="U1467" s="5">
        <f>IF(Merge1[[#This Row],[team_defense_snaps]]=0, "", Merge1[[#This Row],[defense_snaps]] / Merge1[[#This Row],[team_defense_snaps]])</f>
        <v>0.90789473684210531</v>
      </c>
      <c r="V1467">
        <v>76</v>
      </c>
      <c r="W1467">
        <v>0</v>
      </c>
      <c r="X1467" s="5" t="s">
        <v>29</v>
      </c>
      <c r="Y1467">
        <v>0</v>
      </c>
      <c r="Z1467">
        <v>0</v>
      </c>
      <c r="AA1467" t="s">
        <v>25</v>
      </c>
      <c r="AB1467" t="s">
        <v>26</v>
      </c>
      <c r="AC1467" t="s">
        <v>27</v>
      </c>
      <c r="AD1467" t="s">
        <v>42</v>
      </c>
      <c r="AE1467" t="s">
        <v>25</v>
      </c>
      <c r="AF14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8.6956521739130432E-2</v>
      </c>
      <c r="AG1467" t="s">
        <v>942</v>
      </c>
      <c r="AH1467">
        <v>65.5</v>
      </c>
      <c r="AI1467" t="s">
        <v>939</v>
      </c>
      <c r="AJ1467">
        <v>3</v>
      </c>
      <c r="AK14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MIN(AJ1467/8, 1) +
  Merge1[[#This Row],[index_defensive_effort]],
  2
)</f>
        <v>0.96</v>
      </c>
    </row>
    <row r="1468" spans="1:37" x14ac:dyDescent="0.25">
      <c r="A1468" t="s">
        <v>515</v>
      </c>
      <c r="B1468" t="s">
        <v>516</v>
      </c>
      <c r="C1468">
        <v>21</v>
      </c>
      <c r="D1468" t="s">
        <v>56</v>
      </c>
      <c r="E1468">
        <v>73</v>
      </c>
      <c r="F1468">
        <v>205</v>
      </c>
      <c r="G1468" t="s">
        <v>162</v>
      </c>
      <c r="H1468">
        <v>2020</v>
      </c>
      <c r="I1468" t="s">
        <v>33</v>
      </c>
      <c r="J1468">
        <v>8</v>
      </c>
      <c r="K1468">
        <v>4</v>
      </c>
      <c r="L1468">
        <v>1</v>
      </c>
      <c r="M1468">
        <v>1</v>
      </c>
      <c r="N1468">
        <v>2</v>
      </c>
      <c r="O1468">
        <v>0</v>
      </c>
      <c r="P1468">
        <v>1</v>
      </c>
      <c r="Q1468">
        <v>0</v>
      </c>
      <c r="R1468">
        <v>0</v>
      </c>
      <c r="S1468">
        <v>75</v>
      </c>
      <c r="T1468">
        <v>75</v>
      </c>
      <c r="U1468" s="5">
        <f>IF(Merge1[[#This Row],[team_defense_snaps]]=0, "", Merge1[[#This Row],[defense_snaps]] / Merge1[[#This Row],[team_defense_snaps]])</f>
        <v>0.97402597402597402</v>
      </c>
      <c r="V1468">
        <v>77</v>
      </c>
      <c r="W1468">
        <v>0</v>
      </c>
      <c r="X1468" s="5" t="s">
        <v>29</v>
      </c>
      <c r="Y1468">
        <v>0</v>
      </c>
      <c r="Z1468">
        <v>0</v>
      </c>
      <c r="AA1468" t="s">
        <v>25</v>
      </c>
      <c r="AB1468" t="s">
        <v>26</v>
      </c>
      <c r="AC1468" t="s">
        <v>27</v>
      </c>
      <c r="AD1468" t="s">
        <v>42</v>
      </c>
      <c r="AE1468" t="s">
        <v>25</v>
      </c>
      <c r="AF14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9.3333333333333338E-2</v>
      </c>
      <c r="AG1468" t="s">
        <v>942</v>
      </c>
      <c r="AH1468">
        <v>67</v>
      </c>
      <c r="AI1468" t="s">
        <v>939</v>
      </c>
      <c r="AJ1468">
        <v>4</v>
      </c>
      <c r="AK14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MIN(AJ1468/8, 1) +
  Merge1[[#This Row],[index_defensive_effort]],
  2
)</f>
        <v>1.0900000000000001</v>
      </c>
    </row>
    <row r="1469" spans="1:37" x14ac:dyDescent="0.25">
      <c r="A1469" t="s">
        <v>515</v>
      </c>
      <c r="B1469" t="s">
        <v>516</v>
      </c>
      <c r="C1469">
        <v>21</v>
      </c>
      <c r="D1469" t="s">
        <v>56</v>
      </c>
      <c r="E1469">
        <v>73</v>
      </c>
      <c r="F1469">
        <v>205</v>
      </c>
      <c r="G1469" t="s">
        <v>162</v>
      </c>
      <c r="H1469">
        <v>2020</v>
      </c>
      <c r="I1469" t="s">
        <v>33</v>
      </c>
      <c r="J1469">
        <v>9</v>
      </c>
      <c r="K1469">
        <v>1</v>
      </c>
      <c r="L1469">
        <v>1</v>
      </c>
      <c r="M1469">
        <v>1</v>
      </c>
      <c r="N1469">
        <v>2</v>
      </c>
      <c r="O1469">
        <v>0</v>
      </c>
      <c r="P1469">
        <v>0</v>
      </c>
      <c r="Q1469">
        <v>0</v>
      </c>
      <c r="R1469">
        <v>0</v>
      </c>
      <c r="S1469">
        <v>26</v>
      </c>
      <c r="T1469">
        <v>26</v>
      </c>
      <c r="U1469" s="5">
        <f>IF(Merge1[[#This Row],[team_defense_snaps]]=0, "", Merge1[[#This Row],[defense_snaps]] / Merge1[[#This Row],[team_defense_snaps]])</f>
        <v>0.44067796610169491</v>
      </c>
      <c r="V1469">
        <v>59</v>
      </c>
      <c r="W1469">
        <v>0</v>
      </c>
      <c r="X1469" s="5" t="s">
        <v>29</v>
      </c>
      <c r="Y1469">
        <v>0</v>
      </c>
      <c r="Z1469">
        <v>0</v>
      </c>
      <c r="AA1469" t="s">
        <v>25</v>
      </c>
      <c r="AB1469" t="s">
        <v>26</v>
      </c>
      <c r="AC1469" t="s">
        <v>27</v>
      </c>
      <c r="AD1469" t="s">
        <v>42</v>
      </c>
      <c r="AE1469" t="s">
        <v>25</v>
      </c>
      <c r="AF14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7.6923076923076927E-2</v>
      </c>
      <c r="AG1469" t="s">
        <v>942</v>
      </c>
      <c r="AH1469">
        <v>68.5</v>
      </c>
      <c r="AI1469" t="s">
        <v>939</v>
      </c>
      <c r="AJ1469">
        <v>5</v>
      </c>
      <c r="AK14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MIN(AJ1469/8, 1) +
  Merge1[[#This Row],[index_defensive_effort]],
  2
)</f>
        <v>1.2</v>
      </c>
    </row>
    <row r="1470" spans="1:37" x14ac:dyDescent="0.25">
      <c r="A1470" t="s">
        <v>515</v>
      </c>
      <c r="B1470" t="s">
        <v>516</v>
      </c>
      <c r="C1470">
        <v>21</v>
      </c>
      <c r="D1470" t="s">
        <v>56</v>
      </c>
      <c r="E1470">
        <v>73</v>
      </c>
      <c r="F1470">
        <v>205</v>
      </c>
      <c r="G1470" t="s">
        <v>162</v>
      </c>
      <c r="H1470">
        <v>2020</v>
      </c>
      <c r="I1470" t="s">
        <v>33</v>
      </c>
      <c r="J1470">
        <v>10</v>
      </c>
      <c r="K1470">
        <v>3</v>
      </c>
      <c r="L1470">
        <v>1</v>
      </c>
      <c r="M1470">
        <v>1</v>
      </c>
      <c r="N1470">
        <v>2</v>
      </c>
      <c r="O1470">
        <v>0</v>
      </c>
      <c r="P1470">
        <v>1</v>
      </c>
      <c r="Q1470">
        <v>0</v>
      </c>
      <c r="R1470">
        <v>0</v>
      </c>
      <c r="S1470">
        <v>34</v>
      </c>
      <c r="T1470">
        <v>34</v>
      </c>
      <c r="U1470" s="5">
        <f>IF(Merge1[[#This Row],[team_defense_snaps]]=0, "", Merge1[[#This Row],[defense_snaps]] / Merge1[[#This Row],[team_defense_snaps]])</f>
        <v>0.38202247191011235</v>
      </c>
      <c r="V1470">
        <v>89</v>
      </c>
      <c r="W1470">
        <v>0</v>
      </c>
      <c r="X1470" s="5" t="s">
        <v>29</v>
      </c>
      <c r="Y1470">
        <v>0</v>
      </c>
      <c r="Z1470">
        <v>0</v>
      </c>
      <c r="AA1470" t="s">
        <v>25</v>
      </c>
      <c r="AB1470" t="s">
        <v>26</v>
      </c>
      <c r="AC1470" t="s">
        <v>27</v>
      </c>
      <c r="AD1470" t="s">
        <v>28</v>
      </c>
      <c r="AE1470" t="s">
        <v>25</v>
      </c>
      <c r="AF14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0.17647058823529413</v>
      </c>
      <c r="AG1470" t="s">
        <v>942</v>
      </c>
      <c r="AH1470">
        <v>56.5</v>
      </c>
      <c r="AI1470" t="s">
        <v>939</v>
      </c>
      <c r="AJ1470">
        <v>6</v>
      </c>
      <c r="AK14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MIN(AJ1470/8, 1) +
  Merge1[[#This Row],[index_defensive_effort]],
  2
)</f>
        <v>1.43</v>
      </c>
    </row>
    <row r="1471" spans="1:37" x14ac:dyDescent="0.25">
      <c r="A1471" t="s">
        <v>515</v>
      </c>
      <c r="B1471" t="s">
        <v>516</v>
      </c>
      <c r="C1471">
        <v>21</v>
      </c>
      <c r="D1471" t="s">
        <v>56</v>
      </c>
      <c r="E1471">
        <v>73</v>
      </c>
      <c r="F1471">
        <v>205</v>
      </c>
      <c r="G1471" t="s">
        <v>162</v>
      </c>
      <c r="H1471">
        <v>2020</v>
      </c>
      <c r="I1471" t="s">
        <v>33</v>
      </c>
      <c r="J1471">
        <v>11</v>
      </c>
      <c r="K1471">
        <v>5</v>
      </c>
      <c r="L1471">
        <v>3</v>
      </c>
      <c r="M1471">
        <v>1</v>
      </c>
      <c r="N1471">
        <v>4</v>
      </c>
      <c r="O1471">
        <v>0</v>
      </c>
      <c r="P1471">
        <v>0</v>
      </c>
      <c r="Q1471">
        <v>0</v>
      </c>
      <c r="R1471">
        <v>0</v>
      </c>
      <c r="S1471">
        <v>24</v>
      </c>
      <c r="T1471">
        <v>24</v>
      </c>
      <c r="U1471" s="5">
        <f>IF(Merge1[[#This Row],[team_defense_snaps]]=0, "", Merge1[[#This Row],[defense_snaps]] / Merge1[[#This Row],[team_defense_snaps]])</f>
        <v>0.3380281690140845</v>
      </c>
      <c r="V1471">
        <v>71</v>
      </c>
      <c r="W1471">
        <v>0</v>
      </c>
      <c r="X1471" s="5" t="s">
        <v>29</v>
      </c>
      <c r="Y1471">
        <v>0</v>
      </c>
      <c r="Z1471">
        <v>0</v>
      </c>
      <c r="AA1471" t="s">
        <v>25</v>
      </c>
      <c r="AB1471" t="s">
        <v>26</v>
      </c>
      <c r="AC1471" t="s">
        <v>27</v>
      </c>
      <c r="AD1471" t="s">
        <v>28</v>
      </c>
      <c r="AE1471" t="s">
        <v>25</v>
      </c>
      <c r="AF14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0.29166666666666669</v>
      </c>
      <c r="AG1471" t="s">
        <v>942</v>
      </c>
      <c r="AH1471">
        <v>61</v>
      </c>
      <c r="AI1471" t="s">
        <v>939</v>
      </c>
      <c r="AJ1471">
        <v>1</v>
      </c>
      <c r="AK14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MIN(AJ1471/8, 1) +
  Merge1[[#This Row],[index_defensive_effort]],
  2
)</f>
        <v>0.92</v>
      </c>
    </row>
    <row r="1472" spans="1:37" x14ac:dyDescent="0.25">
      <c r="A1472" t="s">
        <v>459</v>
      </c>
      <c r="B1472" t="s">
        <v>460</v>
      </c>
      <c r="C1472">
        <v>22</v>
      </c>
      <c r="D1472" t="s">
        <v>22</v>
      </c>
      <c r="E1472">
        <v>75</v>
      </c>
      <c r="F1472">
        <v>220</v>
      </c>
      <c r="G1472" t="s">
        <v>259</v>
      </c>
      <c r="H1472">
        <v>2020</v>
      </c>
      <c r="I1472" t="s">
        <v>33</v>
      </c>
      <c r="J1472">
        <v>1</v>
      </c>
      <c r="K1472">
        <v>7</v>
      </c>
      <c r="L1472">
        <v>1</v>
      </c>
      <c r="M1472">
        <v>0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71</v>
      </c>
      <c r="T1472">
        <v>63</v>
      </c>
      <c r="U1472" s="5">
        <f>IF(Merge1[[#This Row],[team_defense_snaps]]=0, "", Merge1[[#This Row],[defense_snaps]] / Merge1[[#This Row],[team_defense_snaps]])</f>
        <v>1</v>
      </c>
      <c r="V1472">
        <v>63</v>
      </c>
      <c r="W1472">
        <v>8</v>
      </c>
      <c r="X1472" s="5" t="s">
        <v>261</v>
      </c>
      <c r="Y1472">
        <v>0</v>
      </c>
      <c r="Z1472">
        <v>0</v>
      </c>
      <c r="AA1472" t="s">
        <v>25</v>
      </c>
      <c r="AB1472" t="s">
        <v>26</v>
      </c>
      <c r="AC1472" t="s">
        <v>27</v>
      </c>
      <c r="AD1472" t="s">
        <v>42</v>
      </c>
      <c r="AE1472" t="s">
        <v>25</v>
      </c>
      <c r="AF14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0.10563380281690141</v>
      </c>
      <c r="AG1472" t="s">
        <v>942</v>
      </c>
      <c r="AH1472">
        <v>52.5</v>
      </c>
      <c r="AI1472" t="s">
        <v>939</v>
      </c>
      <c r="AJ1472">
        <v>2</v>
      </c>
      <c r="AK14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MIN(AJ1472/8, 1) +
  Merge1[[#This Row],[index_defensive_effort]],
  2
)</f>
        <v>0.86</v>
      </c>
    </row>
    <row r="1473" spans="1:37" x14ac:dyDescent="0.25">
      <c r="A1473" t="s">
        <v>459</v>
      </c>
      <c r="B1473" t="s">
        <v>460</v>
      </c>
      <c r="C1473">
        <v>22</v>
      </c>
      <c r="D1473" t="s">
        <v>22</v>
      </c>
      <c r="E1473">
        <v>75</v>
      </c>
      <c r="F1473">
        <v>220</v>
      </c>
      <c r="G1473" t="s">
        <v>259</v>
      </c>
      <c r="H1473">
        <v>2020</v>
      </c>
      <c r="I1473" t="s">
        <v>33</v>
      </c>
      <c r="J1473">
        <v>2</v>
      </c>
      <c r="K1473">
        <v>1</v>
      </c>
      <c r="L1473">
        <v>5</v>
      </c>
      <c r="M1473">
        <v>0</v>
      </c>
      <c r="N1473">
        <v>5</v>
      </c>
      <c r="O1473">
        <v>0</v>
      </c>
      <c r="P1473">
        <v>0</v>
      </c>
      <c r="Q1473">
        <v>0</v>
      </c>
      <c r="R1473">
        <v>0</v>
      </c>
      <c r="S1473">
        <v>69</v>
      </c>
      <c r="T1473">
        <v>60</v>
      </c>
      <c r="U1473" s="5">
        <f>IF(Merge1[[#This Row],[team_defense_snaps]]=0, "", Merge1[[#This Row],[defense_snaps]] / Merge1[[#This Row],[team_defense_snaps]])</f>
        <v>0.98360655737704916</v>
      </c>
      <c r="V1473">
        <v>61</v>
      </c>
      <c r="W1473">
        <v>9</v>
      </c>
      <c r="X1473" s="5" t="s">
        <v>134</v>
      </c>
      <c r="Y1473">
        <v>0</v>
      </c>
      <c r="Z1473">
        <v>0</v>
      </c>
      <c r="AA1473" t="s">
        <v>25</v>
      </c>
      <c r="AB1473" t="s">
        <v>26</v>
      </c>
      <c r="AC1473" t="s">
        <v>27</v>
      </c>
      <c r="AD1473" t="s">
        <v>42</v>
      </c>
      <c r="AE1473" t="s">
        <v>25</v>
      </c>
      <c r="AF14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5.0724637681159424E-2</v>
      </c>
      <c r="AG1473" t="s">
        <v>942</v>
      </c>
      <c r="AH1473">
        <v>72</v>
      </c>
      <c r="AI1473" t="s">
        <v>939</v>
      </c>
      <c r="AJ1473">
        <v>3</v>
      </c>
      <c r="AK14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MIN(AJ1473/8, 1) +
  Merge1[[#This Row],[index_defensive_effort]],
  2
)</f>
        <v>0.93</v>
      </c>
    </row>
    <row r="1474" spans="1:37" x14ac:dyDescent="0.25">
      <c r="A1474" t="s">
        <v>459</v>
      </c>
      <c r="B1474" t="s">
        <v>460</v>
      </c>
      <c r="C1474">
        <v>22</v>
      </c>
      <c r="D1474" t="s">
        <v>22</v>
      </c>
      <c r="E1474">
        <v>75</v>
      </c>
      <c r="F1474">
        <v>220</v>
      </c>
      <c r="G1474" t="s">
        <v>259</v>
      </c>
      <c r="H1474">
        <v>2020</v>
      </c>
      <c r="I1474" t="s">
        <v>33</v>
      </c>
      <c r="J1474">
        <v>3</v>
      </c>
      <c r="K1474">
        <v>7</v>
      </c>
      <c r="L1474">
        <v>7</v>
      </c>
      <c r="M1474">
        <v>2</v>
      </c>
      <c r="N1474">
        <v>9</v>
      </c>
      <c r="O1474">
        <v>0</v>
      </c>
      <c r="P1474">
        <v>1</v>
      </c>
      <c r="Q1474">
        <v>0</v>
      </c>
      <c r="R1474">
        <v>0</v>
      </c>
      <c r="S1474">
        <v>85</v>
      </c>
      <c r="T1474">
        <v>78</v>
      </c>
      <c r="U1474" s="5">
        <f>IF(Merge1[[#This Row],[team_defense_snaps]]=0, "", Merge1[[#This Row],[defense_snaps]] / Merge1[[#This Row],[team_defense_snaps]])</f>
        <v>1</v>
      </c>
      <c r="V1474">
        <v>78</v>
      </c>
      <c r="W1474">
        <v>7</v>
      </c>
      <c r="X1474" s="5" t="s">
        <v>136</v>
      </c>
      <c r="Y1474">
        <v>0</v>
      </c>
      <c r="Z1474">
        <v>0</v>
      </c>
      <c r="AA1474" t="s">
        <v>25</v>
      </c>
      <c r="AB1474" t="s">
        <v>26</v>
      </c>
      <c r="AC1474" t="s">
        <v>27</v>
      </c>
      <c r="AD1474" t="s">
        <v>42</v>
      </c>
      <c r="AE1474" t="s">
        <v>25</v>
      </c>
      <c r="AF14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0.1588235294117647</v>
      </c>
      <c r="AG1474" t="s">
        <v>942</v>
      </c>
      <c r="AH1474">
        <v>51</v>
      </c>
      <c r="AI1474" t="s">
        <v>939</v>
      </c>
      <c r="AJ1474">
        <v>4</v>
      </c>
      <c r="AK14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MIN(AJ1474/8, 1) +
  Merge1[[#This Row],[index_defensive_effort]],
  2
)</f>
        <v>1.1599999999999999</v>
      </c>
    </row>
    <row r="1475" spans="1:37" x14ac:dyDescent="0.25">
      <c r="A1475" t="s">
        <v>459</v>
      </c>
      <c r="B1475" t="s">
        <v>460</v>
      </c>
      <c r="C1475">
        <v>22</v>
      </c>
      <c r="D1475" t="s">
        <v>22</v>
      </c>
      <c r="E1475">
        <v>75</v>
      </c>
      <c r="F1475">
        <v>220</v>
      </c>
      <c r="G1475" t="s">
        <v>259</v>
      </c>
      <c r="H1475">
        <v>2020</v>
      </c>
      <c r="I1475" t="s">
        <v>33</v>
      </c>
      <c r="J1475">
        <v>4</v>
      </c>
      <c r="K1475">
        <v>5</v>
      </c>
      <c r="L1475">
        <v>3</v>
      </c>
      <c r="M1475">
        <v>0</v>
      </c>
      <c r="N1475">
        <v>3</v>
      </c>
      <c r="O1475">
        <v>0</v>
      </c>
      <c r="P1475">
        <v>1</v>
      </c>
      <c r="Q1475">
        <v>0</v>
      </c>
      <c r="R1475">
        <v>0</v>
      </c>
      <c r="S1475">
        <v>53</v>
      </c>
      <c r="T1475">
        <v>51</v>
      </c>
      <c r="U1475" s="5">
        <f>IF(Merge1[[#This Row],[team_defense_snaps]]=0, "", Merge1[[#This Row],[defense_snaps]] / Merge1[[#This Row],[team_defense_snaps]])</f>
        <v>0.89473684210526316</v>
      </c>
      <c r="V1475">
        <v>57</v>
      </c>
      <c r="W1475">
        <v>2</v>
      </c>
      <c r="X1475" s="5" t="s">
        <v>167</v>
      </c>
      <c r="Y1475">
        <v>0</v>
      </c>
      <c r="Z1475">
        <v>0</v>
      </c>
      <c r="AA1475" t="s">
        <v>25</v>
      </c>
      <c r="AB1475" t="s">
        <v>26</v>
      </c>
      <c r="AC1475" t="s">
        <v>27</v>
      </c>
      <c r="AD1475" t="s">
        <v>42</v>
      </c>
      <c r="AE1475" t="s">
        <v>25</v>
      </c>
      <c r="AF14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0.16037735849056603</v>
      </c>
      <c r="AG1475" t="s">
        <v>942</v>
      </c>
      <c r="AH1475">
        <v>75</v>
      </c>
      <c r="AI1475" t="s">
        <v>939</v>
      </c>
      <c r="AJ1475">
        <v>5</v>
      </c>
      <c r="AK14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MIN(AJ1475/8, 1) +
  Merge1[[#This Row],[index_defensive_effort]],
  2
)</f>
        <v>1.29</v>
      </c>
    </row>
    <row r="1476" spans="1:37" x14ac:dyDescent="0.25">
      <c r="A1476" t="s">
        <v>459</v>
      </c>
      <c r="B1476" t="s">
        <v>460</v>
      </c>
      <c r="C1476">
        <v>22</v>
      </c>
      <c r="D1476" t="s">
        <v>22</v>
      </c>
      <c r="E1476">
        <v>75</v>
      </c>
      <c r="F1476">
        <v>220</v>
      </c>
      <c r="G1476" t="s">
        <v>259</v>
      </c>
      <c r="H1476">
        <v>2020</v>
      </c>
      <c r="I1476" t="s">
        <v>33</v>
      </c>
      <c r="J1476">
        <v>5</v>
      </c>
      <c r="K1476">
        <v>5</v>
      </c>
      <c r="L1476">
        <v>4</v>
      </c>
      <c r="M1476">
        <v>0</v>
      </c>
      <c r="N1476">
        <v>4</v>
      </c>
      <c r="O1476">
        <v>0</v>
      </c>
      <c r="P1476">
        <v>0</v>
      </c>
      <c r="Q1476">
        <v>0</v>
      </c>
      <c r="R1476">
        <v>0</v>
      </c>
      <c r="S1476">
        <v>69</v>
      </c>
      <c r="T1476">
        <v>64</v>
      </c>
      <c r="U1476" s="5">
        <f>IF(Merge1[[#This Row],[team_defense_snaps]]=0, "", Merge1[[#This Row],[defense_snaps]] / Merge1[[#This Row],[team_defense_snaps]])</f>
        <v>0.98461538461538467</v>
      </c>
      <c r="V1476">
        <v>65</v>
      </c>
      <c r="W1476">
        <v>5</v>
      </c>
      <c r="X1476" s="5" t="s">
        <v>59</v>
      </c>
      <c r="Y1476">
        <v>0</v>
      </c>
      <c r="Z1476">
        <v>0</v>
      </c>
      <c r="AA1476" t="s">
        <v>25</v>
      </c>
      <c r="AB1476" t="s">
        <v>26</v>
      </c>
      <c r="AC1476" t="s">
        <v>27</v>
      </c>
      <c r="AD1476" t="s">
        <v>42</v>
      </c>
      <c r="AE1476" t="s">
        <v>25</v>
      </c>
      <c r="AF14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0.10144927536231885</v>
      </c>
      <c r="AG1476" t="s">
        <v>942</v>
      </c>
      <c r="AH1476">
        <v>55.5</v>
      </c>
      <c r="AI1476" t="s">
        <v>939</v>
      </c>
      <c r="AJ1476">
        <v>6</v>
      </c>
      <c r="AK14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MIN(AJ1476/8, 1) +
  Merge1[[#This Row],[index_defensive_effort]],
  2
)</f>
        <v>1.35</v>
      </c>
    </row>
    <row r="1477" spans="1:37" x14ac:dyDescent="0.25">
      <c r="A1477" t="s">
        <v>459</v>
      </c>
      <c r="B1477" t="s">
        <v>460</v>
      </c>
      <c r="C1477">
        <v>22</v>
      </c>
      <c r="D1477" t="s">
        <v>22</v>
      </c>
      <c r="E1477">
        <v>75</v>
      </c>
      <c r="F1477">
        <v>220</v>
      </c>
      <c r="G1477" t="s">
        <v>259</v>
      </c>
      <c r="H1477">
        <v>2020</v>
      </c>
      <c r="I1477" t="s">
        <v>33</v>
      </c>
      <c r="J1477">
        <v>6</v>
      </c>
      <c r="K1477">
        <v>6</v>
      </c>
      <c r="L1477">
        <v>1</v>
      </c>
      <c r="M1477">
        <v>0</v>
      </c>
      <c r="N1477">
        <v>1</v>
      </c>
      <c r="O1477">
        <v>0</v>
      </c>
      <c r="P1477">
        <v>2</v>
      </c>
      <c r="Q1477">
        <v>2</v>
      </c>
      <c r="R1477">
        <v>0</v>
      </c>
      <c r="S1477">
        <v>70</v>
      </c>
      <c r="T1477">
        <v>63</v>
      </c>
      <c r="U1477" s="5">
        <f>IF(Merge1[[#This Row],[team_defense_snaps]]=0, "", Merge1[[#This Row],[defense_snaps]] / Merge1[[#This Row],[team_defense_snaps]])</f>
        <v>0.94029850746268662</v>
      </c>
      <c r="V1477">
        <v>67</v>
      </c>
      <c r="W1477">
        <v>7</v>
      </c>
      <c r="X1477" s="5" t="s">
        <v>136</v>
      </c>
      <c r="Y1477">
        <v>0</v>
      </c>
      <c r="Z1477">
        <v>0</v>
      </c>
      <c r="AA1477" t="s">
        <v>25</v>
      </c>
      <c r="AB1477" t="s">
        <v>26</v>
      </c>
      <c r="AC1477" t="s">
        <v>27</v>
      </c>
      <c r="AD1477" t="s">
        <v>42</v>
      </c>
      <c r="AE1477" t="s">
        <v>25</v>
      </c>
      <c r="AF14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0.26428571428571429</v>
      </c>
      <c r="AG1477" t="s">
        <v>942</v>
      </c>
      <c r="AH1477">
        <v>67.5</v>
      </c>
      <c r="AI1477" t="s">
        <v>939</v>
      </c>
      <c r="AJ1477">
        <v>7</v>
      </c>
      <c r="AK14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MIN(AJ1477/8, 1) +
  Merge1[[#This Row],[index_defensive_effort]],
  2
)</f>
        <v>1.64</v>
      </c>
    </row>
    <row r="1478" spans="1:37" x14ac:dyDescent="0.25">
      <c r="A1478" t="s">
        <v>459</v>
      </c>
      <c r="B1478" t="s">
        <v>460</v>
      </c>
      <c r="C1478">
        <v>22</v>
      </c>
      <c r="D1478" t="s">
        <v>22</v>
      </c>
      <c r="E1478">
        <v>75</v>
      </c>
      <c r="F1478">
        <v>220</v>
      </c>
      <c r="G1478" t="s">
        <v>259</v>
      </c>
      <c r="H1478">
        <v>2020</v>
      </c>
      <c r="I1478" t="s">
        <v>33</v>
      </c>
      <c r="J1478">
        <v>7</v>
      </c>
      <c r="K1478">
        <v>4</v>
      </c>
      <c r="L1478">
        <v>4</v>
      </c>
      <c r="M1478">
        <v>0</v>
      </c>
      <c r="N1478">
        <v>4</v>
      </c>
      <c r="O1478">
        <v>0</v>
      </c>
      <c r="P1478">
        <v>2</v>
      </c>
      <c r="Q1478">
        <v>0</v>
      </c>
      <c r="R1478">
        <v>0</v>
      </c>
      <c r="S1478">
        <v>72</v>
      </c>
      <c r="T1478">
        <v>66</v>
      </c>
      <c r="U1478" s="5">
        <f>IF(Merge1[[#This Row],[team_defense_snaps]]=0, "", Merge1[[#This Row],[defense_snaps]] / Merge1[[#This Row],[team_defense_snaps]])</f>
        <v>0.94285714285714284</v>
      </c>
      <c r="V1478">
        <v>70</v>
      </c>
      <c r="W1478">
        <v>6</v>
      </c>
      <c r="X1478" s="5" t="s">
        <v>136</v>
      </c>
      <c r="Y1478">
        <v>0</v>
      </c>
      <c r="Z1478">
        <v>0</v>
      </c>
      <c r="AA1478" t="s">
        <v>25</v>
      </c>
      <c r="AB1478" t="s">
        <v>26</v>
      </c>
      <c r="AC1478" t="s">
        <v>27</v>
      </c>
      <c r="AD1478" t="s">
        <v>42</v>
      </c>
      <c r="AE1478" t="s">
        <v>25</v>
      </c>
      <c r="AF14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0.1388888888888889</v>
      </c>
      <c r="AG1478" t="s">
        <v>942</v>
      </c>
      <c r="AH1478">
        <v>69</v>
      </c>
      <c r="AI1478" t="s">
        <v>939</v>
      </c>
      <c r="AJ1478">
        <v>8</v>
      </c>
      <c r="AK14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MIN(AJ1478/8, 1) +
  Merge1[[#This Row],[index_defensive_effort]],
  2
)</f>
        <v>1.64</v>
      </c>
    </row>
    <row r="1479" spans="1:37" x14ac:dyDescent="0.25">
      <c r="A1479" t="s">
        <v>459</v>
      </c>
      <c r="B1479" t="s">
        <v>460</v>
      </c>
      <c r="C1479">
        <v>22</v>
      </c>
      <c r="D1479" t="s">
        <v>22</v>
      </c>
      <c r="E1479">
        <v>75</v>
      </c>
      <c r="F1479">
        <v>220</v>
      </c>
      <c r="G1479" t="s">
        <v>259</v>
      </c>
      <c r="H1479">
        <v>2020</v>
      </c>
      <c r="I1479" t="s">
        <v>33</v>
      </c>
      <c r="J1479">
        <v>8</v>
      </c>
      <c r="K1479">
        <v>6</v>
      </c>
      <c r="L1479">
        <v>4</v>
      </c>
      <c r="M1479">
        <v>0</v>
      </c>
      <c r="N1479">
        <v>4</v>
      </c>
      <c r="O1479">
        <v>0</v>
      </c>
      <c r="P1479">
        <v>1</v>
      </c>
      <c r="Q1479">
        <v>0</v>
      </c>
      <c r="R1479">
        <v>0</v>
      </c>
      <c r="S1479">
        <v>75</v>
      </c>
      <c r="T1479">
        <v>66</v>
      </c>
      <c r="U1479" s="5">
        <f>IF(Merge1[[#This Row],[team_defense_snaps]]=0, "", Merge1[[#This Row],[defense_snaps]] / Merge1[[#This Row],[team_defense_snaps]])</f>
        <v>0.92957746478873238</v>
      </c>
      <c r="V1479">
        <v>71</v>
      </c>
      <c r="W1479">
        <v>9</v>
      </c>
      <c r="X1479" s="5" t="s">
        <v>57</v>
      </c>
      <c r="Y1479">
        <v>0</v>
      </c>
      <c r="Z1479">
        <v>0</v>
      </c>
      <c r="AA1479" t="s">
        <v>25</v>
      </c>
      <c r="AB1479" t="s">
        <v>26</v>
      </c>
      <c r="AC1479" t="s">
        <v>27</v>
      </c>
      <c r="AD1479" t="s">
        <v>42</v>
      </c>
      <c r="AE1479" t="s">
        <v>25</v>
      </c>
      <c r="AF14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0.13333333333333333</v>
      </c>
      <c r="AG1479" t="s">
        <v>942</v>
      </c>
      <c r="AH1479">
        <v>61.5</v>
      </c>
      <c r="AI1479" t="s">
        <v>939</v>
      </c>
      <c r="AJ1479">
        <v>1</v>
      </c>
      <c r="AK14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MIN(AJ1479/8, 1) +
  Merge1[[#This Row],[index_defensive_effort]],
  2
)</f>
        <v>0.76</v>
      </c>
    </row>
    <row r="1480" spans="1:37" x14ac:dyDescent="0.25">
      <c r="A1480" t="s">
        <v>459</v>
      </c>
      <c r="B1480" t="s">
        <v>460</v>
      </c>
      <c r="C1480">
        <v>22</v>
      </c>
      <c r="D1480" t="s">
        <v>22</v>
      </c>
      <c r="E1480">
        <v>75</v>
      </c>
      <c r="F1480">
        <v>220</v>
      </c>
      <c r="G1480" t="s">
        <v>259</v>
      </c>
      <c r="H1480">
        <v>2020</v>
      </c>
      <c r="I1480" t="s">
        <v>33</v>
      </c>
      <c r="J1480">
        <v>10</v>
      </c>
      <c r="K1480">
        <v>2</v>
      </c>
      <c r="L1480">
        <v>1</v>
      </c>
      <c r="M1480">
        <v>0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86</v>
      </c>
      <c r="T1480">
        <v>72</v>
      </c>
      <c r="U1480" s="5">
        <f>IF(Merge1[[#This Row],[team_defense_snaps]]=0, "", Merge1[[#This Row],[defense_snaps]] / Merge1[[#This Row],[team_defense_snaps]])</f>
        <v>0.9</v>
      </c>
      <c r="V1480">
        <v>80</v>
      </c>
      <c r="W1480">
        <v>14</v>
      </c>
      <c r="X1480" s="5" t="s">
        <v>243</v>
      </c>
      <c r="Y1480">
        <v>0</v>
      </c>
      <c r="Z1480">
        <v>0</v>
      </c>
      <c r="AA1480" t="s">
        <v>25</v>
      </c>
      <c r="AB1480" t="s">
        <v>36</v>
      </c>
      <c r="AC1480" t="s">
        <v>247</v>
      </c>
      <c r="AD1480" t="s">
        <v>42</v>
      </c>
      <c r="AE1480" t="s">
        <v>25</v>
      </c>
      <c r="AF14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2.9069767441860465E-2</v>
      </c>
      <c r="AG1480" t="s">
        <v>942</v>
      </c>
      <c r="AH1480">
        <v>60</v>
      </c>
      <c r="AI1480" t="s">
        <v>939</v>
      </c>
      <c r="AJ1480">
        <v>2</v>
      </c>
      <c r="AK14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MIN(AJ1480/8, 1) +
  Merge1[[#This Row],[index_defensive_effort]],
  2
)</f>
        <v>0.78</v>
      </c>
    </row>
    <row r="1481" spans="1:37" x14ac:dyDescent="0.25">
      <c r="A1481" t="s">
        <v>459</v>
      </c>
      <c r="B1481" t="s">
        <v>460</v>
      </c>
      <c r="C1481">
        <v>22</v>
      </c>
      <c r="D1481" t="s">
        <v>22</v>
      </c>
      <c r="E1481">
        <v>75</v>
      </c>
      <c r="F1481">
        <v>220</v>
      </c>
      <c r="G1481" t="s">
        <v>259</v>
      </c>
      <c r="H1481">
        <v>2020</v>
      </c>
      <c r="I1481" t="s">
        <v>33</v>
      </c>
      <c r="J1481">
        <v>11</v>
      </c>
      <c r="K1481">
        <v>2</v>
      </c>
      <c r="L1481">
        <v>2</v>
      </c>
      <c r="M1481">
        <v>0</v>
      </c>
      <c r="N1481">
        <v>2</v>
      </c>
      <c r="O1481">
        <v>0</v>
      </c>
      <c r="P1481">
        <v>0</v>
      </c>
      <c r="Q1481">
        <v>0</v>
      </c>
      <c r="R1481">
        <v>0</v>
      </c>
      <c r="S1481">
        <v>64</v>
      </c>
      <c r="T1481">
        <v>56</v>
      </c>
      <c r="U1481" s="5">
        <f>IF(Merge1[[#This Row],[team_defense_snaps]]=0, "", Merge1[[#This Row],[defense_snaps]] / Merge1[[#This Row],[team_defense_snaps]])</f>
        <v>0.98245614035087714</v>
      </c>
      <c r="V1481">
        <v>57</v>
      </c>
      <c r="W1481">
        <v>8</v>
      </c>
      <c r="X1481" s="5" t="s">
        <v>134</v>
      </c>
      <c r="Y1481">
        <v>0</v>
      </c>
      <c r="Z1481">
        <v>0</v>
      </c>
      <c r="AA1481" t="s">
        <v>25</v>
      </c>
      <c r="AB1481" t="s">
        <v>26</v>
      </c>
      <c r="AC1481" t="s">
        <v>27</v>
      </c>
      <c r="AD1481" t="s">
        <v>42</v>
      </c>
      <c r="AE1481" t="s">
        <v>25</v>
      </c>
      <c r="AF14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4.6875E-2</v>
      </c>
      <c r="AG1481" t="s">
        <v>942</v>
      </c>
      <c r="AH1481">
        <v>66</v>
      </c>
      <c r="AI1481" t="s">
        <v>939</v>
      </c>
      <c r="AJ1481">
        <v>3</v>
      </c>
      <c r="AK14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MIN(AJ1481/8, 1) +
  Merge1[[#This Row],[index_defensive_effort]],
  2
)</f>
        <v>0.92</v>
      </c>
    </row>
    <row r="1482" spans="1:37" x14ac:dyDescent="0.25">
      <c r="A1482" t="s">
        <v>459</v>
      </c>
      <c r="B1482" t="s">
        <v>460</v>
      </c>
      <c r="C1482">
        <v>22</v>
      </c>
      <c r="D1482" t="s">
        <v>22</v>
      </c>
      <c r="E1482">
        <v>75</v>
      </c>
      <c r="F1482">
        <v>220</v>
      </c>
      <c r="G1482" t="s">
        <v>259</v>
      </c>
      <c r="H1482">
        <v>2020</v>
      </c>
      <c r="I1482" t="s">
        <v>33</v>
      </c>
      <c r="J1482">
        <v>12</v>
      </c>
      <c r="K1482">
        <v>7</v>
      </c>
      <c r="L1482">
        <v>6</v>
      </c>
      <c r="M1482">
        <v>1</v>
      </c>
      <c r="N1482">
        <v>7</v>
      </c>
      <c r="O1482">
        <v>0</v>
      </c>
      <c r="P1482">
        <v>2</v>
      </c>
      <c r="Q1482">
        <v>0</v>
      </c>
      <c r="R1482">
        <v>2</v>
      </c>
      <c r="S1482">
        <v>79</v>
      </c>
      <c r="T1482">
        <v>73</v>
      </c>
      <c r="U1482" s="5">
        <f>IF(Merge1[[#This Row],[team_defense_snaps]]=0, "", Merge1[[#This Row],[defense_snaps]] / Merge1[[#This Row],[team_defense_snaps]])</f>
        <v>1</v>
      </c>
      <c r="V1482">
        <v>73</v>
      </c>
      <c r="W1482">
        <v>6</v>
      </c>
      <c r="X1482" s="5" t="s">
        <v>293</v>
      </c>
      <c r="Y1482">
        <v>0</v>
      </c>
      <c r="Z1482">
        <v>0</v>
      </c>
      <c r="AA1482" t="s">
        <v>25</v>
      </c>
      <c r="AB1482" t="s">
        <v>26</v>
      </c>
      <c r="AC1482" t="s">
        <v>27</v>
      </c>
      <c r="AD1482" t="s">
        <v>42</v>
      </c>
      <c r="AE1482" t="s">
        <v>25</v>
      </c>
      <c r="AF14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0.23417721518987342</v>
      </c>
      <c r="AG1482" t="s">
        <v>942</v>
      </c>
      <c r="AH1482">
        <v>54</v>
      </c>
      <c r="AI1482" t="s">
        <v>939</v>
      </c>
      <c r="AJ1482">
        <v>1</v>
      </c>
      <c r="AK14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MIN(AJ1482/8, 1) +
  Merge1[[#This Row],[index_defensive_effort]],
  2
)</f>
        <v>0.86</v>
      </c>
    </row>
    <row r="1483" spans="1:37" x14ac:dyDescent="0.25">
      <c r="A1483" t="s">
        <v>459</v>
      </c>
      <c r="B1483" t="s">
        <v>460</v>
      </c>
      <c r="C1483">
        <v>22</v>
      </c>
      <c r="D1483" t="s">
        <v>22</v>
      </c>
      <c r="E1483">
        <v>75</v>
      </c>
      <c r="F1483">
        <v>220</v>
      </c>
      <c r="G1483" t="s">
        <v>259</v>
      </c>
      <c r="H1483">
        <v>2020</v>
      </c>
      <c r="I1483" t="s">
        <v>33</v>
      </c>
      <c r="J1483">
        <v>14</v>
      </c>
      <c r="K1483">
        <v>8</v>
      </c>
      <c r="L1483">
        <v>3</v>
      </c>
      <c r="M1483">
        <v>2</v>
      </c>
      <c r="N1483">
        <v>5</v>
      </c>
      <c r="O1483">
        <v>3</v>
      </c>
      <c r="P1483">
        <v>5</v>
      </c>
      <c r="Q1483">
        <v>0</v>
      </c>
      <c r="R1483">
        <v>4</v>
      </c>
      <c r="S1483">
        <v>67</v>
      </c>
      <c r="T1483">
        <v>61</v>
      </c>
      <c r="U1483" s="5">
        <f>IF(Merge1[[#This Row],[team_defense_snaps]]=0, "", Merge1[[#This Row],[defense_snaps]] / Merge1[[#This Row],[team_defense_snaps]])</f>
        <v>0.9838709677419355</v>
      </c>
      <c r="V1483">
        <v>62</v>
      </c>
      <c r="W1483">
        <v>6</v>
      </c>
      <c r="X1483" s="5" t="s">
        <v>58</v>
      </c>
      <c r="Y1483">
        <v>0</v>
      </c>
      <c r="Z1483">
        <v>0</v>
      </c>
      <c r="AA1483" t="s">
        <v>25</v>
      </c>
      <c r="AB1483" t="s">
        <v>26</v>
      </c>
      <c r="AC1483" t="s">
        <v>27</v>
      </c>
      <c r="AD1483" t="s">
        <v>42</v>
      </c>
      <c r="AE1483" t="s">
        <v>25</v>
      </c>
      <c r="AF14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0.55970149253731338</v>
      </c>
      <c r="AG1483" t="s">
        <v>942</v>
      </c>
      <c r="AH1483">
        <v>64.5</v>
      </c>
      <c r="AI1483" t="s">
        <v>939</v>
      </c>
      <c r="AJ1483">
        <v>2</v>
      </c>
      <c r="AK14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MIN(AJ1483/8, 1) +
  Merge1[[#This Row],[index_defensive_effort]],
  2
)</f>
        <v>1.31</v>
      </c>
    </row>
    <row r="1484" spans="1:37" x14ac:dyDescent="0.25">
      <c r="A1484" t="s">
        <v>459</v>
      </c>
      <c r="B1484" t="s">
        <v>460</v>
      </c>
      <c r="C1484">
        <v>22</v>
      </c>
      <c r="D1484" t="s">
        <v>22</v>
      </c>
      <c r="E1484">
        <v>75</v>
      </c>
      <c r="F1484">
        <v>220</v>
      </c>
      <c r="G1484" t="s">
        <v>259</v>
      </c>
      <c r="H1484">
        <v>2020</v>
      </c>
      <c r="I1484" t="s">
        <v>33</v>
      </c>
      <c r="J1484">
        <v>15</v>
      </c>
      <c r="K1484">
        <v>5</v>
      </c>
      <c r="L1484">
        <v>2</v>
      </c>
      <c r="M1484">
        <v>0</v>
      </c>
      <c r="N1484">
        <v>2</v>
      </c>
      <c r="O1484">
        <v>0</v>
      </c>
      <c r="P1484">
        <v>0</v>
      </c>
      <c r="Q1484">
        <v>0</v>
      </c>
      <c r="R1484">
        <v>0</v>
      </c>
      <c r="S1484">
        <v>66</v>
      </c>
      <c r="T1484">
        <v>62</v>
      </c>
      <c r="U1484" s="5">
        <f>IF(Merge1[[#This Row],[team_defense_snaps]]=0, "", Merge1[[#This Row],[defense_snaps]] / Merge1[[#This Row],[team_defense_snaps]])</f>
        <v>1</v>
      </c>
      <c r="V1484">
        <v>62</v>
      </c>
      <c r="W1484">
        <v>4</v>
      </c>
      <c r="X1484" s="5" t="s">
        <v>212</v>
      </c>
      <c r="Y1484">
        <v>0</v>
      </c>
      <c r="Z1484">
        <v>0</v>
      </c>
      <c r="AA1484" t="s">
        <v>25</v>
      </c>
      <c r="AB1484" t="s">
        <v>26</v>
      </c>
      <c r="AC1484" t="s">
        <v>27</v>
      </c>
      <c r="AD1484" t="s">
        <v>42</v>
      </c>
      <c r="AE1484" t="s">
        <v>25</v>
      </c>
      <c r="AF14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9.0909090909090912E-2</v>
      </c>
      <c r="AG1484" t="s">
        <v>942</v>
      </c>
      <c r="AH1484">
        <v>70.5</v>
      </c>
      <c r="AI1484" t="s">
        <v>939</v>
      </c>
      <c r="AJ1484">
        <v>3</v>
      </c>
      <c r="AK14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MIN(AJ1484/8, 1) +
  Merge1[[#This Row],[index_defensive_effort]],
  2
)</f>
        <v>0.97</v>
      </c>
    </row>
    <row r="1485" spans="1:37" x14ac:dyDescent="0.25">
      <c r="A1485" t="s">
        <v>459</v>
      </c>
      <c r="B1485" t="s">
        <v>460</v>
      </c>
      <c r="C1485">
        <v>22</v>
      </c>
      <c r="D1485" t="s">
        <v>22</v>
      </c>
      <c r="E1485">
        <v>75</v>
      </c>
      <c r="F1485">
        <v>220</v>
      </c>
      <c r="G1485" t="s">
        <v>259</v>
      </c>
      <c r="H1485">
        <v>2020</v>
      </c>
      <c r="I1485" t="s">
        <v>33</v>
      </c>
      <c r="J1485">
        <v>16</v>
      </c>
      <c r="K1485">
        <v>6</v>
      </c>
      <c r="L1485">
        <v>2</v>
      </c>
      <c r="M1485">
        <v>1</v>
      </c>
      <c r="N1485">
        <v>3</v>
      </c>
      <c r="O1485">
        <v>0</v>
      </c>
      <c r="P1485">
        <v>0</v>
      </c>
      <c r="Q1485">
        <v>0</v>
      </c>
      <c r="R1485">
        <v>0</v>
      </c>
      <c r="S1485">
        <v>76</v>
      </c>
      <c r="T1485">
        <v>71</v>
      </c>
      <c r="U1485" s="5">
        <f>IF(Merge1[[#This Row],[team_defense_snaps]]=0, "", Merge1[[#This Row],[defense_snaps]] / Merge1[[#This Row],[team_defense_snaps]])</f>
        <v>1</v>
      </c>
      <c r="V1485">
        <v>71</v>
      </c>
      <c r="W1485">
        <v>5</v>
      </c>
      <c r="X1485" s="5" t="s">
        <v>132</v>
      </c>
      <c r="Y1485">
        <v>0</v>
      </c>
      <c r="Z1485">
        <v>0</v>
      </c>
      <c r="AA1485" t="s">
        <v>25</v>
      </c>
      <c r="AB1485" t="s">
        <v>26</v>
      </c>
      <c r="AC1485" t="s">
        <v>27</v>
      </c>
      <c r="AD1485" t="s">
        <v>42</v>
      </c>
      <c r="AE1485" t="s">
        <v>25</v>
      </c>
      <c r="AF14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9.8684210526315791E-2</v>
      </c>
      <c r="AG1485" t="s">
        <v>942</v>
      </c>
      <c r="AH1485">
        <v>58.5</v>
      </c>
      <c r="AI1485" t="s">
        <v>939</v>
      </c>
      <c r="AJ1485">
        <v>4</v>
      </c>
      <c r="AK14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MIN(AJ1485/8, 1) +
  Merge1[[#This Row],[index_defensive_effort]],
  2
)</f>
        <v>1.1000000000000001</v>
      </c>
    </row>
    <row r="1486" spans="1:37" x14ac:dyDescent="0.25">
      <c r="A1486" t="s">
        <v>459</v>
      </c>
      <c r="B1486" t="s">
        <v>460</v>
      </c>
      <c r="C1486">
        <v>22</v>
      </c>
      <c r="D1486" t="s">
        <v>22</v>
      </c>
      <c r="E1486">
        <v>75</v>
      </c>
      <c r="F1486">
        <v>220</v>
      </c>
      <c r="G1486" t="s">
        <v>259</v>
      </c>
      <c r="H1486">
        <v>2020</v>
      </c>
      <c r="I1486" t="s">
        <v>33</v>
      </c>
      <c r="J1486">
        <v>17</v>
      </c>
      <c r="K1486">
        <v>1</v>
      </c>
      <c r="L1486">
        <v>6</v>
      </c>
      <c r="M1486">
        <v>0</v>
      </c>
      <c r="N1486">
        <v>6</v>
      </c>
      <c r="O1486">
        <v>0</v>
      </c>
      <c r="P1486">
        <v>1</v>
      </c>
      <c r="Q1486">
        <v>0</v>
      </c>
      <c r="R1486">
        <v>0</v>
      </c>
      <c r="S1486">
        <v>68</v>
      </c>
      <c r="T1486">
        <v>61</v>
      </c>
      <c r="U1486" s="5">
        <f>IF(Merge1[[#This Row],[team_defense_snaps]]=0, "", Merge1[[#This Row],[defense_snaps]] / Merge1[[#This Row],[team_defense_snaps]])</f>
        <v>0.953125</v>
      </c>
      <c r="V1486">
        <v>64</v>
      </c>
      <c r="W1486">
        <v>7</v>
      </c>
      <c r="X1486" s="5" t="s">
        <v>138</v>
      </c>
      <c r="Y1486">
        <v>0</v>
      </c>
      <c r="Z1486">
        <v>0</v>
      </c>
      <c r="AA1486" t="s">
        <v>25</v>
      </c>
      <c r="AB1486" t="s">
        <v>26</v>
      </c>
      <c r="AC1486" t="s">
        <v>27</v>
      </c>
      <c r="AD1486" t="s">
        <v>42</v>
      </c>
      <c r="AE1486" t="s">
        <v>25</v>
      </c>
      <c r="AF14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8.8235294117647065E-2</v>
      </c>
      <c r="AG1486" t="s">
        <v>942</v>
      </c>
      <c r="AH1486">
        <v>73.5</v>
      </c>
      <c r="AI1486" t="s">
        <v>939</v>
      </c>
      <c r="AJ1486">
        <v>1</v>
      </c>
      <c r="AK14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MIN(AJ1486/8, 1) +
  Merge1[[#This Row],[index_defensive_effort]],
  2
)</f>
        <v>0.71</v>
      </c>
    </row>
    <row r="1487" spans="1:37" x14ac:dyDescent="0.25">
      <c r="A1487" t="s">
        <v>527</v>
      </c>
      <c r="B1487" t="s">
        <v>528</v>
      </c>
      <c r="C1487">
        <v>24</v>
      </c>
      <c r="D1487" t="s">
        <v>22</v>
      </c>
      <c r="E1487">
        <v>71</v>
      </c>
      <c r="F1487">
        <v>200</v>
      </c>
      <c r="G1487" t="s">
        <v>286</v>
      </c>
      <c r="H1487">
        <v>2020</v>
      </c>
      <c r="I1487" t="s">
        <v>33</v>
      </c>
      <c r="J1487">
        <v>12</v>
      </c>
      <c r="K1487">
        <v>4</v>
      </c>
      <c r="L1487">
        <v>0</v>
      </c>
      <c r="M1487">
        <v>0</v>
      </c>
      <c r="N1487">
        <v>0</v>
      </c>
      <c r="O1487">
        <v>4</v>
      </c>
      <c r="P1487">
        <v>4</v>
      </c>
      <c r="Q1487">
        <v>0</v>
      </c>
      <c r="R1487">
        <v>0</v>
      </c>
      <c r="S1487">
        <v>51</v>
      </c>
      <c r="T1487">
        <v>29</v>
      </c>
      <c r="U1487" s="5">
        <f>IF(Merge1[[#This Row],[team_defense_snaps]]=0, "", Merge1[[#This Row],[defense_snaps]] / Merge1[[#This Row],[team_defense_snaps]])</f>
        <v>0.49152542372881358</v>
      </c>
      <c r="V1487">
        <v>59</v>
      </c>
      <c r="W1487">
        <v>22</v>
      </c>
      <c r="X1487" s="5" t="s">
        <v>95</v>
      </c>
      <c r="Y1487">
        <v>2</v>
      </c>
      <c r="Z1487">
        <v>0</v>
      </c>
      <c r="AA1487" t="s">
        <v>25</v>
      </c>
      <c r="AB1487" t="s">
        <v>26</v>
      </c>
      <c r="AC1487" t="s">
        <v>27</v>
      </c>
      <c r="AD1487" t="s">
        <v>28</v>
      </c>
      <c r="AE1487" t="s">
        <v>69</v>
      </c>
      <c r="AF14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0.47058823529411764</v>
      </c>
      <c r="AG1487" t="s">
        <v>941</v>
      </c>
      <c r="AH1487">
        <v>54.5</v>
      </c>
      <c r="AI1487" t="s">
        <v>939</v>
      </c>
      <c r="AJ1487">
        <v>1</v>
      </c>
      <c r="AK14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MIN(AJ1487/8, 1) +
  Merge1[[#This Row],[index_defensive_effort]],
  2
)</f>
        <v>1.1000000000000001</v>
      </c>
    </row>
    <row r="1488" spans="1:37" x14ac:dyDescent="0.25">
      <c r="A1488" t="s">
        <v>527</v>
      </c>
      <c r="B1488" t="s">
        <v>528</v>
      </c>
      <c r="C1488">
        <v>24</v>
      </c>
      <c r="D1488" t="s">
        <v>22</v>
      </c>
      <c r="E1488">
        <v>71</v>
      </c>
      <c r="F1488">
        <v>200</v>
      </c>
      <c r="G1488" t="s">
        <v>286</v>
      </c>
      <c r="H1488">
        <v>2020</v>
      </c>
      <c r="I1488" t="s">
        <v>33</v>
      </c>
      <c r="J1488">
        <v>12</v>
      </c>
      <c r="K1488">
        <v>4</v>
      </c>
      <c r="L1488">
        <v>0</v>
      </c>
      <c r="M1488">
        <v>0</v>
      </c>
      <c r="N1488">
        <v>0</v>
      </c>
      <c r="O1488">
        <v>4</v>
      </c>
      <c r="P1488">
        <v>4</v>
      </c>
      <c r="Q1488">
        <v>0</v>
      </c>
      <c r="R1488">
        <v>0</v>
      </c>
      <c r="S1488">
        <v>51</v>
      </c>
      <c r="T1488">
        <v>29</v>
      </c>
      <c r="U1488" s="5">
        <f>IF(Merge1[[#This Row],[team_defense_snaps]]=0, "", Merge1[[#This Row],[defense_snaps]] / Merge1[[#This Row],[team_defense_snaps]])</f>
        <v>0.49152542372881358</v>
      </c>
      <c r="V1488">
        <v>59</v>
      </c>
      <c r="W1488">
        <v>22</v>
      </c>
      <c r="X1488" s="5" t="s">
        <v>95</v>
      </c>
      <c r="Y1488">
        <v>2</v>
      </c>
      <c r="Z1488">
        <v>0</v>
      </c>
      <c r="AA1488" t="s">
        <v>25</v>
      </c>
      <c r="AB1488" t="s">
        <v>26</v>
      </c>
      <c r="AC1488" t="s">
        <v>27</v>
      </c>
      <c r="AD1488" t="s">
        <v>28</v>
      </c>
      <c r="AE1488" t="s">
        <v>69</v>
      </c>
      <c r="AF14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0.47058823529411764</v>
      </c>
      <c r="AG1488" t="s">
        <v>941</v>
      </c>
      <c r="AH1488">
        <v>56</v>
      </c>
      <c r="AI1488" t="s">
        <v>939</v>
      </c>
      <c r="AJ1488">
        <v>2</v>
      </c>
      <c r="AK14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MIN(AJ1488/8, 1) +
  Merge1[[#This Row],[index_defensive_effort]],
  2
)</f>
        <v>1.22</v>
      </c>
    </row>
    <row r="1489" spans="1:37" x14ac:dyDescent="0.25">
      <c r="A1489" t="s">
        <v>527</v>
      </c>
      <c r="B1489" t="s">
        <v>528</v>
      </c>
      <c r="C1489">
        <v>24</v>
      </c>
      <c r="D1489" t="s">
        <v>22</v>
      </c>
      <c r="E1489">
        <v>71</v>
      </c>
      <c r="F1489">
        <v>200</v>
      </c>
      <c r="G1489" t="s">
        <v>286</v>
      </c>
      <c r="H1489">
        <v>2020</v>
      </c>
      <c r="I1489" t="s">
        <v>33</v>
      </c>
      <c r="J1489">
        <v>13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26</v>
      </c>
      <c r="T1489">
        <v>10</v>
      </c>
      <c r="U1489" s="5">
        <f>IF(Merge1[[#This Row],[team_defense_snaps]]=0, "", Merge1[[#This Row],[defense_snaps]] / Merge1[[#This Row],[team_defense_snaps]])</f>
        <v>0.14084507042253522</v>
      </c>
      <c r="V1489">
        <v>71</v>
      </c>
      <c r="W1489">
        <v>16</v>
      </c>
      <c r="X1489" s="5" t="s">
        <v>275</v>
      </c>
      <c r="Y1489">
        <v>2</v>
      </c>
      <c r="Z1489">
        <v>0</v>
      </c>
      <c r="AA1489" t="s">
        <v>25</v>
      </c>
      <c r="AB1489" t="s">
        <v>26</v>
      </c>
      <c r="AC1489" t="s">
        <v>27</v>
      </c>
      <c r="AD1489" t="s">
        <v>28</v>
      </c>
      <c r="AE1489" t="s">
        <v>69</v>
      </c>
      <c r="AF14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3.8461538461538464E-2</v>
      </c>
      <c r="AG1489" t="s">
        <v>941</v>
      </c>
      <c r="AH1489">
        <v>54</v>
      </c>
      <c r="AI1489" t="s">
        <v>939</v>
      </c>
      <c r="AJ1489">
        <v>1</v>
      </c>
      <c r="AK14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MIN(AJ1489/8, 1) +
  Merge1[[#This Row],[index_defensive_effort]],
  2
)</f>
        <v>0.66</v>
      </c>
    </row>
    <row r="1490" spans="1:37" x14ac:dyDescent="0.25">
      <c r="A1490" t="s">
        <v>527</v>
      </c>
      <c r="B1490" t="s">
        <v>528</v>
      </c>
      <c r="C1490">
        <v>24</v>
      </c>
      <c r="D1490" t="s">
        <v>22</v>
      </c>
      <c r="E1490">
        <v>71</v>
      </c>
      <c r="F1490">
        <v>200</v>
      </c>
      <c r="G1490" t="s">
        <v>286</v>
      </c>
      <c r="H1490">
        <v>2020</v>
      </c>
      <c r="I1490" t="s">
        <v>33</v>
      </c>
      <c r="J1490">
        <v>13</v>
      </c>
      <c r="K1490">
        <v>1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26</v>
      </c>
      <c r="T1490">
        <v>10</v>
      </c>
      <c r="U1490" s="5">
        <f>IF(Merge1[[#This Row],[team_defense_snaps]]=0, "", Merge1[[#This Row],[defense_snaps]] / Merge1[[#This Row],[team_defense_snaps]])</f>
        <v>0.14084507042253522</v>
      </c>
      <c r="V1490">
        <v>71</v>
      </c>
      <c r="W1490">
        <v>16</v>
      </c>
      <c r="X1490" s="5" t="s">
        <v>275</v>
      </c>
      <c r="Y1490">
        <v>2</v>
      </c>
      <c r="Z1490">
        <v>0</v>
      </c>
      <c r="AA1490" t="s">
        <v>25</v>
      </c>
      <c r="AB1490" t="s">
        <v>26</v>
      </c>
      <c r="AC1490" t="s">
        <v>27</v>
      </c>
      <c r="AD1490" t="s">
        <v>28</v>
      </c>
      <c r="AE1490" t="s">
        <v>69</v>
      </c>
      <c r="AF14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3.8461538461538464E-2</v>
      </c>
      <c r="AG1490" t="s">
        <v>941</v>
      </c>
      <c r="AH1490">
        <v>57.5</v>
      </c>
      <c r="AI1490" t="s">
        <v>939</v>
      </c>
      <c r="AJ1490">
        <v>2</v>
      </c>
      <c r="AK14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MIN(AJ1490/8, 1) +
  Merge1[[#This Row],[index_defensive_effort]],
  2
)</f>
        <v>0.79</v>
      </c>
    </row>
    <row r="1491" spans="1:37" x14ac:dyDescent="0.25">
      <c r="A1491" t="s">
        <v>527</v>
      </c>
      <c r="B1491" t="s">
        <v>528</v>
      </c>
      <c r="C1491">
        <v>24</v>
      </c>
      <c r="D1491" t="s">
        <v>22</v>
      </c>
      <c r="E1491">
        <v>71</v>
      </c>
      <c r="F1491">
        <v>200</v>
      </c>
      <c r="G1491" t="s">
        <v>286</v>
      </c>
      <c r="H1491">
        <v>2020</v>
      </c>
      <c r="I1491" t="s">
        <v>33</v>
      </c>
      <c r="J1491">
        <v>14</v>
      </c>
      <c r="K1491">
        <v>3</v>
      </c>
      <c r="L1491">
        <v>3</v>
      </c>
      <c r="M1491">
        <v>1</v>
      </c>
      <c r="N1491">
        <v>4</v>
      </c>
      <c r="O1491">
        <v>0</v>
      </c>
      <c r="P1491">
        <v>1</v>
      </c>
      <c r="Q1491">
        <v>0</v>
      </c>
      <c r="R1491">
        <v>0</v>
      </c>
      <c r="S1491">
        <v>57</v>
      </c>
      <c r="T1491">
        <v>33</v>
      </c>
      <c r="U1491" s="5">
        <f>IF(Merge1[[#This Row],[team_defense_snaps]]=0, "", Merge1[[#This Row],[defense_snaps]] / Merge1[[#This Row],[team_defense_snaps]])</f>
        <v>0.40740740740740738</v>
      </c>
      <c r="V1491">
        <v>81</v>
      </c>
      <c r="W1491">
        <v>24</v>
      </c>
      <c r="X1491" s="5" t="s">
        <v>87</v>
      </c>
      <c r="Y1491">
        <v>2</v>
      </c>
      <c r="Z1491">
        <v>0</v>
      </c>
      <c r="AA1491" t="s">
        <v>25</v>
      </c>
      <c r="AB1491" t="s">
        <v>26</v>
      </c>
      <c r="AC1491" t="s">
        <v>27</v>
      </c>
      <c r="AD1491" t="s">
        <v>28</v>
      </c>
      <c r="AE1491" t="s">
        <v>69</v>
      </c>
      <c r="AF14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0.12280701754385964</v>
      </c>
      <c r="AG1491" t="s">
        <v>941</v>
      </c>
      <c r="AH1491">
        <v>50</v>
      </c>
      <c r="AI1491" t="s">
        <v>939</v>
      </c>
      <c r="AJ1491">
        <v>1</v>
      </c>
      <c r="AK14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MIN(AJ1491/8, 1) +
  Merge1[[#This Row],[index_defensive_effort]],
  2
)</f>
        <v>0.75</v>
      </c>
    </row>
    <row r="1492" spans="1:37" x14ac:dyDescent="0.25">
      <c r="A1492" t="s">
        <v>527</v>
      </c>
      <c r="B1492" t="s">
        <v>528</v>
      </c>
      <c r="C1492">
        <v>24</v>
      </c>
      <c r="D1492" t="s">
        <v>22</v>
      </c>
      <c r="E1492">
        <v>71</v>
      </c>
      <c r="F1492">
        <v>200</v>
      </c>
      <c r="G1492" t="s">
        <v>286</v>
      </c>
      <c r="H1492">
        <v>2020</v>
      </c>
      <c r="I1492" t="s">
        <v>33</v>
      </c>
      <c r="J1492">
        <v>14</v>
      </c>
      <c r="K1492">
        <v>3</v>
      </c>
      <c r="L1492">
        <v>3</v>
      </c>
      <c r="M1492">
        <v>1</v>
      </c>
      <c r="N1492">
        <v>4</v>
      </c>
      <c r="O1492">
        <v>0</v>
      </c>
      <c r="P1492">
        <v>1</v>
      </c>
      <c r="Q1492">
        <v>0</v>
      </c>
      <c r="R1492">
        <v>0</v>
      </c>
      <c r="S1492">
        <v>57</v>
      </c>
      <c r="T1492">
        <v>33</v>
      </c>
      <c r="U1492" s="5">
        <f>IF(Merge1[[#This Row],[team_defense_snaps]]=0, "", Merge1[[#This Row],[defense_snaps]] / Merge1[[#This Row],[team_defense_snaps]])</f>
        <v>0.40740740740740738</v>
      </c>
      <c r="V1492">
        <v>81</v>
      </c>
      <c r="W1492">
        <v>24</v>
      </c>
      <c r="X1492" s="5" t="s">
        <v>87</v>
      </c>
      <c r="Y1492">
        <v>2</v>
      </c>
      <c r="Z1492">
        <v>0</v>
      </c>
      <c r="AA1492" t="s">
        <v>25</v>
      </c>
      <c r="AB1492" t="s">
        <v>26</v>
      </c>
      <c r="AC1492" t="s">
        <v>27</v>
      </c>
      <c r="AD1492" t="s">
        <v>28</v>
      </c>
      <c r="AE1492" t="s">
        <v>69</v>
      </c>
      <c r="AF14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0.12280701754385964</v>
      </c>
      <c r="AG1492" t="s">
        <v>941</v>
      </c>
      <c r="AH1492">
        <v>51.5</v>
      </c>
      <c r="AI1492" t="s">
        <v>939</v>
      </c>
      <c r="AJ1492">
        <v>2</v>
      </c>
      <c r="AK14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MIN(AJ1492/8, 1) +
  Merge1[[#This Row],[index_defensive_effort]],
  2
)</f>
        <v>0.87</v>
      </c>
    </row>
    <row r="1493" spans="1:37" x14ac:dyDescent="0.25">
      <c r="A1493" t="s">
        <v>527</v>
      </c>
      <c r="B1493" t="s">
        <v>528</v>
      </c>
      <c r="C1493">
        <v>24</v>
      </c>
      <c r="D1493" t="s">
        <v>22</v>
      </c>
      <c r="E1493">
        <v>71</v>
      </c>
      <c r="F1493">
        <v>200</v>
      </c>
      <c r="G1493" t="s">
        <v>286</v>
      </c>
      <c r="H1493">
        <v>2020</v>
      </c>
      <c r="I1493" t="s">
        <v>33</v>
      </c>
      <c r="J1493">
        <v>15</v>
      </c>
      <c r="K1493">
        <v>2</v>
      </c>
      <c r="L1493">
        <v>4</v>
      </c>
      <c r="M1493">
        <v>0</v>
      </c>
      <c r="N1493">
        <v>4</v>
      </c>
      <c r="O1493">
        <v>0</v>
      </c>
      <c r="P1493">
        <v>0</v>
      </c>
      <c r="Q1493">
        <v>0</v>
      </c>
      <c r="R1493">
        <v>0</v>
      </c>
      <c r="S1493">
        <v>66</v>
      </c>
      <c r="T1493">
        <v>57</v>
      </c>
      <c r="U1493" s="5">
        <f>IF(Merge1[[#This Row],[team_defense_snaps]]=0, "", Merge1[[#This Row],[defense_snaps]] / Merge1[[#This Row],[team_defense_snaps]])</f>
        <v>1</v>
      </c>
      <c r="V1493">
        <v>57</v>
      </c>
      <c r="W1493">
        <v>9</v>
      </c>
      <c r="X1493" s="5" t="s">
        <v>57</v>
      </c>
      <c r="Y1493">
        <v>2</v>
      </c>
      <c r="Z1493">
        <v>0</v>
      </c>
      <c r="AA1493" t="s">
        <v>25</v>
      </c>
      <c r="AB1493" t="s">
        <v>26</v>
      </c>
      <c r="AC1493" t="s">
        <v>27</v>
      </c>
      <c r="AD1493" t="s">
        <v>42</v>
      </c>
      <c r="AE1493" t="s">
        <v>69</v>
      </c>
      <c r="AF14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6.0606060606060608E-2</v>
      </c>
      <c r="AG1493" t="s">
        <v>941</v>
      </c>
      <c r="AH1493">
        <v>53</v>
      </c>
      <c r="AI1493" t="s">
        <v>939</v>
      </c>
      <c r="AJ1493">
        <v>1</v>
      </c>
      <c r="AK14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MIN(AJ1493/8, 1) +
  Merge1[[#This Row],[index_defensive_effort]],
  2
)</f>
        <v>0.69</v>
      </c>
    </row>
    <row r="1494" spans="1:37" x14ac:dyDescent="0.25">
      <c r="A1494" t="s">
        <v>527</v>
      </c>
      <c r="B1494" t="s">
        <v>528</v>
      </c>
      <c r="C1494">
        <v>24</v>
      </c>
      <c r="D1494" t="s">
        <v>22</v>
      </c>
      <c r="E1494">
        <v>71</v>
      </c>
      <c r="F1494">
        <v>200</v>
      </c>
      <c r="G1494" t="s">
        <v>286</v>
      </c>
      <c r="H1494">
        <v>2020</v>
      </c>
      <c r="I1494" t="s">
        <v>33</v>
      </c>
      <c r="J1494">
        <v>15</v>
      </c>
      <c r="K1494">
        <v>2</v>
      </c>
      <c r="L1494">
        <v>4</v>
      </c>
      <c r="M1494">
        <v>0</v>
      </c>
      <c r="N1494">
        <v>4</v>
      </c>
      <c r="O1494">
        <v>0</v>
      </c>
      <c r="P1494">
        <v>0</v>
      </c>
      <c r="Q1494">
        <v>0</v>
      </c>
      <c r="R1494">
        <v>0</v>
      </c>
      <c r="S1494">
        <v>66</v>
      </c>
      <c r="T1494">
        <v>57</v>
      </c>
      <c r="U1494" s="5">
        <f>IF(Merge1[[#This Row],[team_defense_snaps]]=0, "", Merge1[[#This Row],[defense_snaps]] / Merge1[[#This Row],[team_defense_snaps]])</f>
        <v>1</v>
      </c>
      <c r="V1494">
        <v>57</v>
      </c>
      <c r="W1494">
        <v>9</v>
      </c>
      <c r="X1494" s="5" t="s">
        <v>57</v>
      </c>
      <c r="Y1494">
        <v>2</v>
      </c>
      <c r="Z1494">
        <v>0</v>
      </c>
      <c r="AA1494" t="s">
        <v>25</v>
      </c>
      <c r="AB1494" t="s">
        <v>26</v>
      </c>
      <c r="AC1494" t="s">
        <v>27</v>
      </c>
      <c r="AD1494" t="s">
        <v>42</v>
      </c>
      <c r="AE1494" t="s">
        <v>69</v>
      </c>
      <c r="AF14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6.0606060606060608E-2</v>
      </c>
      <c r="AG1494" t="s">
        <v>941</v>
      </c>
      <c r="AH1494">
        <v>53</v>
      </c>
      <c r="AI1494" t="s">
        <v>939</v>
      </c>
      <c r="AJ1494">
        <v>2</v>
      </c>
      <c r="AK14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MIN(AJ1494/8, 1) +
  Merge1[[#This Row],[index_defensive_effort]],
  2
)</f>
        <v>0.81</v>
      </c>
    </row>
    <row r="1495" spans="1:37" x14ac:dyDescent="0.25">
      <c r="A1495" t="s">
        <v>527</v>
      </c>
      <c r="B1495" t="s">
        <v>528</v>
      </c>
      <c r="C1495">
        <v>24</v>
      </c>
      <c r="D1495" t="s">
        <v>22</v>
      </c>
      <c r="E1495">
        <v>71</v>
      </c>
      <c r="F1495">
        <v>200</v>
      </c>
      <c r="G1495" t="s">
        <v>286</v>
      </c>
      <c r="H1495">
        <v>2020</v>
      </c>
      <c r="I1495" t="s">
        <v>33</v>
      </c>
      <c r="J1495">
        <v>16</v>
      </c>
      <c r="K1495">
        <v>3</v>
      </c>
      <c r="L1495">
        <v>3</v>
      </c>
      <c r="M1495">
        <v>0</v>
      </c>
      <c r="N1495">
        <v>3</v>
      </c>
      <c r="O1495">
        <v>0</v>
      </c>
      <c r="P1495">
        <v>0</v>
      </c>
      <c r="Q1495">
        <v>0</v>
      </c>
      <c r="R1495">
        <v>0</v>
      </c>
      <c r="S1495">
        <v>75</v>
      </c>
      <c r="T1495">
        <v>65</v>
      </c>
      <c r="U1495" s="5">
        <f>IF(Merge1[[#This Row],[team_defense_snaps]]=0, "", Merge1[[#This Row],[defense_snaps]] / Merge1[[#This Row],[team_defense_snaps]])</f>
        <v>0.97014925373134331</v>
      </c>
      <c r="V1495">
        <v>67</v>
      </c>
      <c r="W1495">
        <v>10</v>
      </c>
      <c r="X1495" s="5" t="s">
        <v>238</v>
      </c>
      <c r="Y1495">
        <v>2</v>
      </c>
      <c r="Z1495">
        <v>0</v>
      </c>
      <c r="AA1495" t="s">
        <v>25</v>
      </c>
      <c r="AB1495" t="s">
        <v>26</v>
      </c>
      <c r="AC1495" t="s">
        <v>27</v>
      </c>
      <c r="AD1495" t="s">
        <v>42</v>
      </c>
      <c r="AE1495" t="s">
        <v>69</v>
      </c>
      <c r="AF14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0.06</v>
      </c>
      <c r="AG1495" t="s">
        <v>941</v>
      </c>
      <c r="AH1495">
        <v>51.5</v>
      </c>
      <c r="AI1495" t="s">
        <v>939</v>
      </c>
      <c r="AJ1495">
        <v>1</v>
      </c>
      <c r="AK14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MIN(AJ1495/8, 1) +
  Merge1[[#This Row],[index_defensive_effort]],
  2
)</f>
        <v>0.69</v>
      </c>
    </row>
    <row r="1496" spans="1:37" x14ac:dyDescent="0.25">
      <c r="A1496" t="s">
        <v>527</v>
      </c>
      <c r="B1496" t="s">
        <v>528</v>
      </c>
      <c r="C1496">
        <v>24</v>
      </c>
      <c r="D1496" t="s">
        <v>22</v>
      </c>
      <c r="E1496">
        <v>71</v>
      </c>
      <c r="F1496">
        <v>200</v>
      </c>
      <c r="G1496" t="s">
        <v>286</v>
      </c>
      <c r="H1496">
        <v>2020</v>
      </c>
      <c r="I1496" t="s">
        <v>33</v>
      </c>
      <c r="J1496">
        <v>16</v>
      </c>
      <c r="K1496">
        <v>3</v>
      </c>
      <c r="L1496">
        <v>3</v>
      </c>
      <c r="M1496">
        <v>0</v>
      </c>
      <c r="N1496">
        <v>3</v>
      </c>
      <c r="O1496">
        <v>0</v>
      </c>
      <c r="P1496">
        <v>0</v>
      </c>
      <c r="Q1496">
        <v>0</v>
      </c>
      <c r="R1496">
        <v>0</v>
      </c>
      <c r="S1496">
        <v>75</v>
      </c>
      <c r="T1496">
        <v>65</v>
      </c>
      <c r="U1496" s="5">
        <f>IF(Merge1[[#This Row],[team_defense_snaps]]=0, "", Merge1[[#This Row],[defense_snaps]] / Merge1[[#This Row],[team_defense_snaps]])</f>
        <v>0.97014925373134331</v>
      </c>
      <c r="V1496">
        <v>67</v>
      </c>
      <c r="W1496">
        <v>10</v>
      </c>
      <c r="X1496" s="5" t="s">
        <v>238</v>
      </c>
      <c r="Y1496">
        <v>2</v>
      </c>
      <c r="Z1496">
        <v>0</v>
      </c>
      <c r="AA1496" t="s">
        <v>25</v>
      </c>
      <c r="AB1496" t="s">
        <v>26</v>
      </c>
      <c r="AC1496" t="s">
        <v>27</v>
      </c>
      <c r="AD1496" t="s">
        <v>42</v>
      </c>
      <c r="AE1496" t="s">
        <v>69</v>
      </c>
      <c r="AF14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0.06</v>
      </c>
      <c r="AG1496" t="s">
        <v>941</v>
      </c>
      <c r="AH1496">
        <v>57.5</v>
      </c>
      <c r="AI1496" t="s">
        <v>939</v>
      </c>
      <c r="AJ1496">
        <v>2</v>
      </c>
      <c r="AK14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MIN(AJ1496/8, 1) +
  Merge1[[#This Row],[index_defensive_effort]],
  2
)</f>
        <v>0.81</v>
      </c>
    </row>
    <row r="1497" spans="1:37" x14ac:dyDescent="0.25">
      <c r="A1497" t="s">
        <v>527</v>
      </c>
      <c r="B1497" t="s">
        <v>528</v>
      </c>
      <c r="C1497">
        <v>24</v>
      </c>
      <c r="D1497" t="s">
        <v>22</v>
      </c>
      <c r="E1497">
        <v>71</v>
      </c>
      <c r="F1497">
        <v>200</v>
      </c>
      <c r="G1497" t="s">
        <v>286</v>
      </c>
      <c r="H1497">
        <v>2020</v>
      </c>
      <c r="I1497" t="s">
        <v>33</v>
      </c>
      <c r="J1497">
        <v>17</v>
      </c>
      <c r="K1497">
        <v>6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2</v>
      </c>
      <c r="R1497">
        <v>0</v>
      </c>
      <c r="S1497">
        <v>79</v>
      </c>
      <c r="T1497">
        <v>68</v>
      </c>
      <c r="U1497" s="5">
        <f>IF(Merge1[[#This Row],[team_defense_snaps]]=0, "", Merge1[[#This Row],[defense_snaps]] / Merge1[[#This Row],[team_defense_snaps]])</f>
        <v>0.98550724637681164</v>
      </c>
      <c r="V1497">
        <v>69</v>
      </c>
      <c r="W1497">
        <v>11</v>
      </c>
      <c r="X1497" s="5" t="s">
        <v>243</v>
      </c>
      <c r="Y1497">
        <v>2</v>
      </c>
      <c r="Z1497">
        <v>0</v>
      </c>
      <c r="AA1497" t="s">
        <v>25</v>
      </c>
      <c r="AB1497" t="s">
        <v>26</v>
      </c>
      <c r="AC1497" t="s">
        <v>27</v>
      </c>
      <c r="AD1497" t="s">
        <v>42</v>
      </c>
      <c r="AE1497" t="s">
        <v>69</v>
      </c>
      <c r="AF14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0.17721518987341772</v>
      </c>
      <c r="AG1497" t="s">
        <v>941</v>
      </c>
      <c r="AH1497">
        <v>50</v>
      </c>
      <c r="AI1497" t="s">
        <v>939</v>
      </c>
      <c r="AJ1497">
        <v>1</v>
      </c>
      <c r="AK14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MIN(AJ1497/8, 1) +
  Merge1[[#This Row],[index_defensive_effort]],
  2
)</f>
        <v>0.8</v>
      </c>
    </row>
    <row r="1498" spans="1:37" x14ac:dyDescent="0.25">
      <c r="A1498" t="s">
        <v>527</v>
      </c>
      <c r="B1498" t="s">
        <v>528</v>
      </c>
      <c r="C1498">
        <v>24</v>
      </c>
      <c r="D1498" t="s">
        <v>22</v>
      </c>
      <c r="E1498">
        <v>71</v>
      </c>
      <c r="F1498">
        <v>200</v>
      </c>
      <c r="G1498" t="s">
        <v>286</v>
      </c>
      <c r="H1498">
        <v>2020</v>
      </c>
      <c r="I1498" t="s">
        <v>33</v>
      </c>
      <c r="J1498">
        <v>17</v>
      </c>
      <c r="K1498">
        <v>6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2</v>
      </c>
      <c r="R1498">
        <v>0</v>
      </c>
      <c r="S1498">
        <v>79</v>
      </c>
      <c r="T1498">
        <v>68</v>
      </c>
      <c r="U1498" s="5">
        <f>IF(Merge1[[#This Row],[team_defense_snaps]]=0, "", Merge1[[#This Row],[defense_snaps]] / Merge1[[#This Row],[team_defense_snaps]])</f>
        <v>0.98550724637681164</v>
      </c>
      <c r="V1498">
        <v>69</v>
      </c>
      <c r="W1498">
        <v>11</v>
      </c>
      <c r="X1498" s="5" t="s">
        <v>243</v>
      </c>
      <c r="Y1498">
        <v>2</v>
      </c>
      <c r="Z1498">
        <v>0</v>
      </c>
      <c r="AA1498" t="s">
        <v>25</v>
      </c>
      <c r="AB1498" t="s">
        <v>26</v>
      </c>
      <c r="AC1498" t="s">
        <v>27</v>
      </c>
      <c r="AD1498" t="s">
        <v>42</v>
      </c>
      <c r="AE1498" t="s">
        <v>69</v>
      </c>
      <c r="AF14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0.17721518987341772</v>
      </c>
      <c r="AG1498" t="s">
        <v>941</v>
      </c>
      <c r="AH1498">
        <v>56</v>
      </c>
      <c r="AI1498" t="s">
        <v>939</v>
      </c>
      <c r="AJ1498">
        <v>2</v>
      </c>
      <c r="AK14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MIN(AJ1498/8, 1) +
  Merge1[[#This Row],[index_defensive_effort]],
  2
)</f>
        <v>0.93</v>
      </c>
    </row>
    <row r="1499" spans="1:37" x14ac:dyDescent="0.25">
      <c r="A1499" t="s">
        <v>527</v>
      </c>
      <c r="B1499" t="s">
        <v>528</v>
      </c>
      <c r="C1499">
        <v>24</v>
      </c>
      <c r="D1499" t="s">
        <v>22</v>
      </c>
      <c r="E1499">
        <v>71</v>
      </c>
      <c r="F1499">
        <v>200</v>
      </c>
      <c r="G1499" t="s">
        <v>286</v>
      </c>
      <c r="H1499">
        <v>2020</v>
      </c>
      <c r="I1499" t="s">
        <v>24</v>
      </c>
      <c r="J1499">
        <v>18</v>
      </c>
      <c r="K1499">
        <v>9</v>
      </c>
      <c r="L1499">
        <v>1</v>
      </c>
      <c r="M1499">
        <v>0</v>
      </c>
      <c r="N1499">
        <v>1</v>
      </c>
      <c r="O1499">
        <v>0</v>
      </c>
      <c r="P1499">
        <v>0</v>
      </c>
      <c r="Q1499">
        <v>0</v>
      </c>
      <c r="R1499">
        <v>2</v>
      </c>
      <c r="S1499">
        <v>84</v>
      </c>
      <c r="T1499">
        <v>73</v>
      </c>
      <c r="U1499" s="5">
        <f>IF(Merge1[[#This Row],[team_defense_snaps]]=0, "", Merge1[[#This Row],[defense_snaps]] / Merge1[[#This Row],[team_defense_snaps]])</f>
        <v>1</v>
      </c>
      <c r="V1499">
        <v>73</v>
      </c>
      <c r="W1499">
        <v>11</v>
      </c>
      <c r="X1499" s="5" t="s">
        <v>60</v>
      </c>
      <c r="Y1499">
        <v>2</v>
      </c>
      <c r="Z1499">
        <v>0</v>
      </c>
      <c r="AA1499" t="s">
        <v>25</v>
      </c>
      <c r="AB1499" t="s">
        <v>26</v>
      </c>
      <c r="AC1499" t="s">
        <v>27</v>
      </c>
      <c r="AD1499" t="s">
        <v>42</v>
      </c>
      <c r="AE1499" t="s">
        <v>69</v>
      </c>
      <c r="AF14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0.16071428571428573</v>
      </c>
      <c r="AG1499" t="s">
        <v>941</v>
      </c>
      <c r="AH1499">
        <v>54</v>
      </c>
      <c r="AI1499" t="s">
        <v>939</v>
      </c>
      <c r="AJ1499">
        <v>1</v>
      </c>
      <c r="AK14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MIN(AJ1499/8, 1) +
  Merge1[[#This Row],[index_defensive_effort]],
  2
)</f>
        <v>0.99</v>
      </c>
    </row>
    <row r="1500" spans="1:37" x14ac:dyDescent="0.25">
      <c r="A1500" t="s">
        <v>527</v>
      </c>
      <c r="B1500" t="s">
        <v>528</v>
      </c>
      <c r="C1500">
        <v>24</v>
      </c>
      <c r="D1500" t="s">
        <v>22</v>
      </c>
      <c r="E1500">
        <v>71</v>
      </c>
      <c r="F1500">
        <v>200</v>
      </c>
      <c r="G1500" t="s">
        <v>286</v>
      </c>
      <c r="H1500">
        <v>2020</v>
      </c>
      <c r="I1500" t="s">
        <v>24</v>
      </c>
      <c r="J1500">
        <v>18</v>
      </c>
      <c r="K1500">
        <v>9</v>
      </c>
      <c r="L1500">
        <v>1</v>
      </c>
      <c r="M1500">
        <v>0</v>
      </c>
      <c r="N1500">
        <v>1</v>
      </c>
      <c r="O1500">
        <v>0</v>
      </c>
      <c r="P1500">
        <v>0</v>
      </c>
      <c r="Q1500">
        <v>0</v>
      </c>
      <c r="R1500">
        <v>2</v>
      </c>
      <c r="S1500">
        <v>84</v>
      </c>
      <c r="T1500">
        <v>73</v>
      </c>
      <c r="U1500" s="5">
        <f>IF(Merge1[[#This Row],[team_defense_snaps]]=0, "", Merge1[[#This Row],[defense_snaps]] / Merge1[[#This Row],[team_defense_snaps]])</f>
        <v>1</v>
      </c>
      <c r="V1500">
        <v>73</v>
      </c>
      <c r="W1500">
        <v>11</v>
      </c>
      <c r="X1500" s="5" t="s">
        <v>60</v>
      </c>
      <c r="Y1500">
        <v>2</v>
      </c>
      <c r="Z1500">
        <v>0</v>
      </c>
      <c r="AA1500" t="s">
        <v>25</v>
      </c>
      <c r="AB1500" t="s">
        <v>26</v>
      </c>
      <c r="AC1500" t="s">
        <v>27</v>
      </c>
      <c r="AD1500" t="s">
        <v>42</v>
      </c>
      <c r="AE1500" t="s">
        <v>69</v>
      </c>
      <c r="AF15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0.16071428571428573</v>
      </c>
      <c r="AG1500" t="s">
        <v>941</v>
      </c>
      <c r="AH1500">
        <v>54.5</v>
      </c>
      <c r="AI1500" t="s">
        <v>939</v>
      </c>
      <c r="AJ1500">
        <v>1</v>
      </c>
      <c r="AK15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MIN(AJ1500/8, 1) +
  Merge1[[#This Row],[index_defensive_effort]],
  2
)</f>
        <v>0.99</v>
      </c>
    </row>
    <row r="1501" spans="1:37" x14ac:dyDescent="0.25">
      <c r="A1501" t="s">
        <v>451</v>
      </c>
      <c r="B1501" t="s">
        <v>452</v>
      </c>
      <c r="C1501">
        <v>23</v>
      </c>
      <c r="D1501" t="s">
        <v>22</v>
      </c>
      <c r="E1501">
        <v>73</v>
      </c>
      <c r="F1501">
        <v>210</v>
      </c>
      <c r="G1501" t="s">
        <v>235</v>
      </c>
      <c r="H1501">
        <v>2020</v>
      </c>
      <c r="I1501" t="s">
        <v>33</v>
      </c>
      <c r="J1501">
        <v>1</v>
      </c>
      <c r="K1501">
        <v>5</v>
      </c>
      <c r="L1501">
        <v>0</v>
      </c>
      <c r="M1501">
        <v>0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10</v>
      </c>
      <c r="T1501">
        <v>0</v>
      </c>
      <c r="U1501" s="5">
        <f>IF(Merge1[[#This Row],[team_defense_snaps]]=0, "", Merge1[[#This Row],[defense_snaps]] / Merge1[[#This Row],[team_defense_snaps]])</f>
        <v>0</v>
      </c>
      <c r="V1501">
        <v>74</v>
      </c>
      <c r="W1501">
        <v>10</v>
      </c>
      <c r="X1501" s="5" t="s">
        <v>334</v>
      </c>
      <c r="Y1501">
        <v>2</v>
      </c>
      <c r="Z1501">
        <v>0</v>
      </c>
      <c r="AA1501" t="s">
        <v>25</v>
      </c>
      <c r="AB1501" t="s">
        <v>26</v>
      </c>
      <c r="AC1501" t="s">
        <v>27</v>
      </c>
      <c r="AD1501" t="s">
        <v>42</v>
      </c>
      <c r="AE1501" t="s">
        <v>25</v>
      </c>
      <c r="AF15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0.7</v>
      </c>
      <c r="AG1501" t="s">
        <v>942</v>
      </c>
      <c r="AH1501">
        <v>63</v>
      </c>
      <c r="AI1501" t="s">
        <v>939</v>
      </c>
      <c r="AJ1501">
        <v>2</v>
      </c>
      <c r="AK15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MIN(AJ1501/8, 1) +
  Merge1[[#This Row],[index_defensive_effort]],
  2
)</f>
        <v>1.45</v>
      </c>
    </row>
    <row r="1502" spans="1:37" x14ac:dyDescent="0.25">
      <c r="A1502" t="s">
        <v>451</v>
      </c>
      <c r="B1502" t="s">
        <v>452</v>
      </c>
      <c r="C1502">
        <v>23</v>
      </c>
      <c r="D1502" t="s">
        <v>22</v>
      </c>
      <c r="E1502">
        <v>73</v>
      </c>
      <c r="F1502">
        <v>210</v>
      </c>
      <c r="G1502" t="s">
        <v>235</v>
      </c>
      <c r="H1502">
        <v>2020</v>
      </c>
      <c r="I1502" t="s">
        <v>33</v>
      </c>
      <c r="J1502">
        <v>2</v>
      </c>
      <c r="K1502">
        <v>3</v>
      </c>
      <c r="L1502">
        <v>7</v>
      </c>
      <c r="M1502">
        <v>1</v>
      </c>
      <c r="N1502">
        <v>8</v>
      </c>
      <c r="O1502">
        <v>0</v>
      </c>
      <c r="P1502">
        <v>0</v>
      </c>
      <c r="Q1502">
        <v>0</v>
      </c>
      <c r="R1502">
        <v>0</v>
      </c>
      <c r="S1502">
        <v>12</v>
      </c>
      <c r="T1502">
        <v>0</v>
      </c>
      <c r="U1502" s="5">
        <f>IF(Merge1[[#This Row],[team_defense_snaps]]=0, "", Merge1[[#This Row],[defense_snaps]] / Merge1[[#This Row],[team_defense_snaps]])</f>
        <v>0</v>
      </c>
      <c r="V1502">
        <v>58</v>
      </c>
      <c r="W1502">
        <v>12</v>
      </c>
      <c r="X1502" s="5" t="s">
        <v>243</v>
      </c>
      <c r="Y1502">
        <v>2</v>
      </c>
      <c r="Z1502">
        <v>0</v>
      </c>
      <c r="AA1502" t="s">
        <v>25</v>
      </c>
      <c r="AB1502" t="s">
        <v>26</v>
      </c>
      <c r="AC1502" t="s">
        <v>27</v>
      </c>
      <c r="AD1502" t="s">
        <v>42</v>
      </c>
      <c r="AE1502" t="s">
        <v>25</v>
      </c>
      <c r="AF15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0.58333333333333337</v>
      </c>
      <c r="AG1502" t="s">
        <v>942</v>
      </c>
      <c r="AH1502">
        <v>69</v>
      </c>
      <c r="AI1502" t="s">
        <v>27</v>
      </c>
      <c r="AJ1502">
        <v>3</v>
      </c>
      <c r="AK15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MIN(AJ1502/8, 1) +
  Merge1[[#This Row],[index_defensive_effort]],
  2
)</f>
        <v>1.46</v>
      </c>
    </row>
    <row r="1503" spans="1:37" x14ac:dyDescent="0.25">
      <c r="A1503" t="s">
        <v>451</v>
      </c>
      <c r="B1503" t="s">
        <v>452</v>
      </c>
      <c r="C1503">
        <v>23</v>
      </c>
      <c r="D1503" t="s">
        <v>22</v>
      </c>
      <c r="E1503">
        <v>73</v>
      </c>
      <c r="F1503">
        <v>210</v>
      </c>
      <c r="G1503" t="s">
        <v>235</v>
      </c>
      <c r="H1503">
        <v>2020</v>
      </c>
      <c r="I1503" t="s">
        <v>33</v>
      </c>
      <c r="J1503">
        <v>3</v>
      </c>
      <c r="K1503">
        <v>2</v>
      </c>
      <c r="L1503">
        <v>5</v>
      </c>
      <c r="M1503">
        <v>0</v>
      </c>
      <c r="N1503">
        <v>5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 s="5">
        <f>IF(Merge1[[#This Row],[team_defense_snaps]]=0, "", Merge1[[#This Row],[defense_snaps]] / Merge1[[#This Row],[team_defense_snaps]])</f>
        <v>0</v>
      </c>
      <c r="V1503">
        <v>91</v>
      </c>
      <c r="W1503">
        <v>0</v>
      </c>
      <c r="X1503" s="5" t="s">
        <v>29</v>
      </c>
      <c r="Y1503">
        <v>2</v>
      </c>
      <c r="Z1503">
        <v>0</v>
      </c>
      <c r="AA1503" t="s">
        <v>25</v>
      </c>
      <c r="AB1503" t="s">
        <v>26</v>
      </c>
      <c r="AC1503" t="s">
        <v>27</v>
      </c>
      <c r="AD1503" t="s">
        <v>42</v>
      </c>
      <c r="AE1503" t="s">
        <v>25</v>
      </c>
      <c r="AF15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1503" t="s">
        <v>942</v>
      </c>
      <c r="AH1503">
        <v>61.5</v>
      </c>
      <c r="AI1503" t="s">
        <v>27</v>
      </c>
      <c r="AJ1503">
        <v>4</v>
      </c>
      <c r="AK15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MIN(AJ1503/8, 1) +
  Merge1[[#This Row],[index_defensive_effort]],
  2
)</f>
        <v>1</v>
      </c>
    </row>
    <row r="1504" spans="1:37" x14ac:dyDescent="0.25">
      <c r="A1504" t="s">
        <v>451</v>
      </c>
      <c r="B1504" t="s">
        <v>452</v>
      </c>
      <c r="C1504">
        <v>23</v>
      </c>
      <c r="D1504" t="s">
        <v>22</v>
      </c>
      <c r="E1504">
        <v>73</v>
      </c>
      <c r="F1504">
        <v>210</v>
      </c>
      <c r="G1504" t="s">
        <v>235</v>
      </c>
      <c r="H1504">
        <v>2020</v>
      </c>
      <c r="I1504" t="s">
        <v>33</v>
      </c>
      <c r="J1504">
        <v>4</v>
      </c>
      <c r="K1504">
        <v>8</v>
      </c>
      <c r="L1504">
        <v>4</v>
      </c>
      <c r="M1504">
        <v>1</v>
      </c>
      <c r="N1504">
        <v>5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 s="5">
        <f>IF(Merge1[[#This Row],[team_defense_snaps]]=0, "", Merge1[[#This Row],[defense_snaps]] / Merge1[[#This Row],[team_defense_snaps]])</f>
        <v>0</v>
      </c>
      <c r="V1504">
        <v>68</v>
      </c>
      <c r="W1504">
        <v>0</v>
      </c>
      <c r="X1504" s="5" t="s">
        <v>29</v>
      </c>
      <c r="Y1504">
        <v>2</v>
      </c>
      <c r="Z1504">
        <v>0</v>
      </c>
      <c r="AA1504" t="s">
        <v>25</v>
      </c>
      <c r="AB1504" t="s">
        <v>26</v>
      </c>
      <c r="AC1504" t="s">
        <v>27</v>
      </c>
      <c r="AD1504" t="s">
        <v>42</v>
      </c>
      <c r="AE1504" t="s">
        <v>25</v>
      </c>
      <c r="AF15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1504" t="s">
        <v>942</v>
      </c>
      <c r="AH1504">
        <v>54</v>
      </c>
      <c r="AI1504" t="s">
        <v>27</v>
      </c>
      <c r="AJ1504">
        <v>5</v>
      </c>
      <c r="AK15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MIN(AJ1504/8, 1) +
  Merge1[[#This Row],[index_defensive_effort]],
  2
)</f>
        <v>1.1299999999999999</v>
      </c>
    </row>
    <row r="1505" spans="1:37" x14ac:dyDescent="0.25">
      <c r="A1505" t="s">
        <v>451</v>
      </c>
      <c r="B1505" t="s">
        <v>452</v>
      </c>
      <c r="C1505">
        <v>23</v>
      </c>
      <c r="D1505" t="s">
        <v>22</v>
      </c>
      <c r="E1505">
        <v>73</v>
      </c>
      <c r="F1505">
        <v>210</v>
      </c>
      <c r="G1505" t="s">
        <v>235</v>
      </c>
      <c r="H1505">
        <v>2020</v>
      </c>
      <c r="I1505" t="s">
        <v>33</v>
      </c>
      <c r="J1505">
        <v>5</v>
      </c>
      <c r="K1505">
        <v>6</v>
      </c>
      <c r="L1505">
        <v>1</v>
      </c>
      <c r="M1505">
        <v>0</v>
      </c>
      <c r="N1505">
        <v>1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 s="5">
        <f>IF(Merge1[[#This Row],[team_defense_snaps]]=0, "", Merge1[[#This Row],[defense_snaps]] / Merge1[[#This Row],[team_defense_snaps]])</f>
        <v>0</v>
      </c>
      <c r="V1505">
        <v>63</v>
      </c>
      <c r="W1505">
        <v>0</v>
      </c>
      <c r="X1505" s="5" t="s">
        <v>29</v>
      </c>
      <c r="Y1505">
        <v>2</v>
      </c>
      <c r="Z1505">
        <v>0</v>
      </c>
      <c r="AA1505" t="s">
        <v>25</v>
      </c>
      <c r="AB1505" t="s">
        <v>26</v>
      </c>
      <c r="AC1505" t="s">
        <v>27</v>
      </c>
      <c r="AD1505" t="s">
        <v>42</v>
      </c>
      <c r="AE1505" t="s">
        <v>25</v>
      </c>
      <c r="AF15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1505" t="s">
        <v>942</v>
      </c>
      <c r="AH1505">
        <v>70.5</v>
      </c>
      <c r="AI1505" t="s">
        <v>939</v>
      </c>
      <c r="AJ1505">
        <v>6</v>
      </c>
      <c r="AK15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MIN(AJ1505/8, 1) +
  Merge1[[#This Row],[index_defensive_effort]],
  2
)</f>
        <v>1.25</v>
      </c>
    </row>
    <row r="1506" spans="1:37" x14ac:dyDescent="0.25">
      <c r="A1506" t="s">
        <v>451</v>
      </c>
      <c r="B1506" t="s">
        <v>452</v>
      </c>
      <c r="C1506">
        <v>23</v>
      </c>
      <c r="D1506" t="s">
        <v>22</v>
      </c>
      <c r="E1506">
        <v>73</v>
      </c>
      <c r="F1506">
        <v>210</v>
      </c>
      <c r="G1506" t="s">
        <v>235</v>
      </c>
      <c r="H1506">
        <v>2020</v>
      </c>
      <c r="I1506" t="s">
        <v>33</v>
      </c>
      <c r="J1506">
        <v>6</v>
      </c>
      <c r="K1506">
        <v>7</v>
      </c>
      <c r="L1506">
        <v>0</v>
      </c>
      <c r="M1506">
        <v>0</v>
      </c>
      <c r="N1506">
        <v>0</v>
      </c>
      <c r="O1506">
        <v>0</v>
      </c>
      <c r="P1506">
        <v>1</v>
      </c>
      <c r="Q1506">
        <v>2</v>
      </c>
      <c r="R1506">
        <v>0</v>
      </c>
      <c r="S1506">
        <v>1</v>
      </c>
      <c r="T1506">
        <v>0</v>
      </c>
      <c r="U1506" s="5">
        <f>IF(Merge1[[#This Row],[team_defense_snaps]]=0, "", Merge1[[#This Row],[defense_snaps]] / Merge1[[#This Row],[team_defense_snaps]])</f>
        <v>0</v>
      </c>
      <c r="V1506">
        <v>63</v>
      </c>
      <c r="W1506">
        <v>1</v>
      </c>
      <c r="X1506" s="5" t="s">
        <v>303</v>
      </c>
      <c r="Y1506">
        <v>2</v>
      </c>
      <c r="Z1506">
        <v>0</v>
      </c>
      <c r="AA1506" t="s">
        <v>25</v>
      </c>
      <c r="AB1506" t="s">
        <v>26</v>
      </c>
      <c r="AC1506" t="s">
        <v>27</v>
      </c>
      <c r="AD1506" t="s">
        <v>42</v>
      </c>
      <c r="AE1506" t="s">
        <v>25</v>
      </c>
      <c r="AF15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1506" t="s">
        <v>942</v>
      </c>
      <c r="AH1506">
        <v>55.5</v>
      </c>
      <c r="AI1506" t="s">
        <v>27</v>
      </c>
      <c r="AJ1506">
        <v>7</v>
      </c>
      <c r="AK15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MIN(AJ1506/8, 1) +
  Merge1[[#This Row],[index_defensive_effort]],
  2
)</f>
        <v>2.38</v>
      </c>
    </row>
    <row r="1507" spans="1:37" x14ac:dyDescent="0.25">
      <c r="A1507" t="s">
        <v>451</v>
      </c>
      <c r="B1507" t="s">
        <v>452</v>
      </c>
      <c r="C1507">
        <v>23</v>
      </c>
      <c r="D1507" t="s">
        <v>22</v>
      </c>
      <c r="E1507">
        <v>73</v>
      </c>
      <c r="F1507">
        <v>210</v>
      </c>
      <c r="G1507" t="s">
        <v>235</v>
      </c>
      <c r="H1507">
        <v>2020</v>
      </c>
      <c r="I1507" t="s">
        <v>33</v>
      </c>
      <c r="J1507">
        <v>7</v>
      </c>
      <c r="K1507">
        <v>1</v>
      </c>
      <c r="L1507">
        <v>1</v>
      </c>
      <c r="M1507">
        <v>0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 s="5">
        <f>IF(Merge1[[#This Row],[team_defense_snaps]]=0, "", Merge1[[#This Row],[defense_snaps]] / Merge1[[#This Row],[team_defense_snaps]])</f>
        <v>0</v>
      </c>
      <c r="V1507">
        <v>54</v>
      </c>
      <c r="W1507">
        <v>0</v>
      </c>
      <c r="X1507" s="5" t="s">
        <v>29</v>
      </c>
      <c r="Y1507">
        <v>2</v>
      </c>
      <c r="Z1507">
        <v>0</v>
      </c>
      <c r="AA1507" t="s">
        <v>25</v>
      </c>
      <c r="AB1507" t="s">
        <v>26</v>
      </c>
      <c r="AC1507" t="s">
        <v>27</v>
      </c>
      <c r="AD1507" t="s">
        <v>42</v>
      </c>
      <c r="AE1507" t="s">
        <v>25</v>
      </c>
      <c r="AF15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1507" t="s">
        <v>942</v>
      </c>
      <c r="AH1507">
        <v>58.5</v>
      </c>
      <c r="AI1507" t="s">
        <v>27</v>
      </c>
      <c r="AJ1507">
        <v>8</v>
      </c>
      <c r="AK15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MIN(AJ1507/8, 1) +
  Merge1[[#This Row],[index_defensive_effort]],
  2
)</f>
        <v>1.5</v>
      </c>
    </row>
    <row r="1508" spans="1:37" x14ac:dyDescent="0.25">
      <c r="A1508" t="s">
        <v>451</v>
      </c>
      <c r="B1508" t="s">
        <v>452</v>
      </c>
      <c r="C1508">
        <v>23</v>
      </c>
      <c r="D1508" t="s">
        <v>22</v>
      </c>
      <c r="E1508">
        <v>73</v>
      </c>
      <c r="F1508">
        <v>210</v>
      </c>
      <c r="G1508" t="s">
        <v>235</v>
      </c>
      <c r="H1508">
        <v>2020</v>
      </c>
      <c r="I1508" t="s">
        <v>33</v>
      </c>
      <c r="J1508">
        <v>8</v>
      </c>
      <c r="K1508">
        <v>9</v>
      </c>
      <c r="L1508">
        <v>2</v>
      </c>
      <c r="M1508">
        <v>0</v>
      </c>
      <c r="N1508">
        <v>2</v>
      </c>
      <c r="O1508">
        <v>0</v>
      </c>
      <c r="P1508">
        <v>1</v>
      </c>
      <c r="Q1508">
        <v>2</v>
      </c>
      <c r="R1508">
        <v>0</v>
      </c>
      <c r="S1508">
        <v>0</v>
      </c>
      <c r="T1508">
        <v>0</v>
      </c>
      <c r="U1508" s="5">
        <f>IF(Merge1[[#This Row],[team_defense_snaps]]=0, "", Merge1[[#This Row],[defense_snaps]] / Merge1[[#This Row],[team_defense_snaps]])</f>
        <v>0</v>
      </c>
      <c r="V1508">
        <v>63</v>
      </c>
      <c r="W1508">
        <v>0</v>
      </c>
      <c r="X1508" s="5" t="s">
        <v>29</v>
      </c>
      <c r="Y1508">
        <v>2</v>
      </c>
      <c r="Z1508">
        <v>0</v>
      </c>
      <c r="AA1508" t="s">
        <v>25</v>
      </c>
      <c r="AB1508" t="s">
        <v>26</v>
      </c>
      <c r="AC1508" t="s">
        <v>27</v>
      </c>
      <c r="AD1508" t="s">
        <v>42</v>
      </c>
      <c r="AE1508" t="s">
        <v>25</v>
      </c>
      <c r="AF15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1508" t="s">
        <v>942</v>
      </c>
      <c r="AH1508">
        <v>66</v>
      </c>
      <c r="AI1508" t="s">
        <v>939</v>
      </c>
      <c r="AJ1508">
        <v>1</v>
      </c>
      <c r="AK15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MIN(AJ1508/8, 1) +
  Merge1[[#This Row],[index_defensive_effort]],
  2
)</f>
        <v>0.63</v>
      </c>
    </row>
    <row r="1509" spans="1:37" x14ac:dyDescent="0.25">
      <c r="A1509" t="s">
        <v>451</v>
      </c>
      <c r="B1509" t="s">
        <v>452</v>
      </c>
      <c r="C1509">
        <v>23</v>
      </c>
      <c r="D1509" t="s">
        <v>22</v>
      </c>
      <c r="E1509">
        <v>73</v>
      </c>
      <c r="F1509">
        <v>210</v>
      </c>
      <c r="G1509" t="s">
        <v>235</v>
      </c>
      <c r="H1509">
        <v>2020</v>
      </c>
      <c r="I1509" t="s">
        <v>33</v>
      </c>
      <c r="J1509">
        <v>10</v>
      </c>
      <c r="K1509">
        <v>6</v>
      </c>
      <c r="L1509">
        <v>2</v>
      </c>
      <c r="M1509">
        <v>0</v>
      </c>
      <c r="N1509">
        <v>2</v>
      </c>
      <c r="O1509">
        <v>0</v>
      </c>
      <c r="P1509">
        <v>2</v>
      </c>
      <c r="Q1509">
        <v>0</v>
      </c>
      <c r="R1509">
        <v>0</v>
      </c>
      <c r="S1509">
        <v>3</v>
      </c>
      <c r="T1509">
        <v>0</v>
      </c>
      <c r="U1509" s="5">
        <f>IF(Merge1[[#This Row],[team_defense_snaps]]=0, "", Merge1[[#This Row],[defense_snaps]] / Merge1[[#This Row],[team_defense_snaps]])</f>
        <v>0</v>
      </c>
      <c r="V1509">
        <v>73</v>
      </c>
      <c r="W1509">
        <v>3</v>
      </c>
      <c r="X1509" s="5" t="s">
        <v>167</v>
      </c>
      <c r="Y1509">
        <v>2</v>
      </c>
      <c r="Z1509">
        <v>0</v>
      </c>
      <c r="AA1509" t="s">
        <v>25</v>
      </c>
      <c r="AB1509" t="s">
        <v>26</v>
      </c>
      <c r="AC1509" t="s">
        <v>27</v>
      </c>
      <c r="AD1509" t="s">
        <v>42</v>
      </c>
      <c r="AE1509" t="s">
        <v>25</v>
      </c>
      <c r="AF15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1509" t="s">
        <v>942</v>
      </c>
      <c r="AH1509">
        <v>51</v>
      </c>
      <c r="AI1509" t="s">
        <v>939</v>
      </c>
      <c r="AJ1509">
        <v>2</v>
      </c>
      <c r="AK15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MIN(AJ1509/8, 1) +
  Merge1[[#This Row],[index_defensive_effort]],
  2
)</f>
        <v>1.75</v>
      </c>
    </row>
    <row r="1510" spans="1:37" x14ac:dyDescent="0.25">
      <c r="A1510" t="s">
        <v>451</v>
      </c>
      <c r="B1510" t="s">
        <v>452</v>
      </c>
      <c r="C1510">
        <v>23</v>
      </c>
      <c r="D1510" t="s">
        <v>22</v>
      </c>
      <c r="E1510">
        <v>73</v>
      </c>
      <c r="F1510">
        <v>210</v>
      </c>
      <c r="G1510" t="s">
        <v>235</v>
      </c>
      <c r="H1510">
        <v>2020</v>
      </c>
      <c r="I1510" t="s">
        <v>33</v>
      </c>
      <c r="J1510">
        <v>11</v>
      </c>
      <c r="K1510">
        <v>5</v>
      </c>
      <c r="L1510">
        <v>1</v>
      </c>
      <c r="M1510">
        <v>0</v>
      </c>
      <c r="N1510">
        <v>1</v>
      </c>
      <c r="O1510">
        <v>0</v>
      </c>
      <c r="P1510">
        <v>0</v>
      </c>
      <c r="Q1510">
        <v>2</v>
      </c>
      <c r="R1510">
        <v>0</v>
      </c>
      <c r="S1510">
        <v>3</v>
      </c>
      <c r="T1510">
        <v>0</v>
      </c>
      <c r="U1510" s="5">
        <f>IF(Merge1[[#This Row],[team_defense_snaps]]=0, "", Merge1[[#This Row],[defense_snaps]] / Merge1[[#This Row],[team_defense_snaps]])</f>
        <v>0</v>
      </c>
      <c r="V1510">
        <v>62</v>
      </c>
      <c r="W1510">
        <v>3</v>
      </c>
      <c r="X1510" s="5" t="s">
        <v>35</v>
      </c>
      <c r="Y1510">
        <v>2</v>
      </c>
      <c r="Z1510">
        <v>0</v>
      </c>
      <c r="AA1510" t="s">
        <v>25</v>
      </c>
      <c r="AB1510" t="s">
        <v>26</v>
      </c>
      <c r="AC1510" t="s">
        <v>27</v>
      </c>
      <c r="AD1510" t="s">
        <v>42</v>
      </c>
      <c r="AE1510" t="s">
        <v>25</v>
      </c>
      <c r="AF15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1510" t="s">
        <v>942</v>
      </c>
      <c r="AH1510">
        <v>72</v>
      </c>
      <c r="AI1510" t="s">
        <v>939</v>
      </c>
      <c r="AJ1510">
        <v>3</v>
      </c>
      <c r="AK15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MIN(AJ1510/8, 1) +
  Merge1[[#This Row],[index_defensive_effort]],
  2
)</f>
        <v>1.88</v>
      </c>
    </row>
    <row r="1511" spans="1:37" x14ac:dyDescent="0.25">
      <c r="A1511" t="s">
        <v>451</v>
      </c>
      <c r="B1511" t="s">
        <v>452</v>
      </c>
      <c r="C1511">
        <v>23</v>
      </c>
      <c r="D1511" t="s">
        <v>22</v>
      </c>
      <c r="E1511">
        <v>73</v>
      </c>
      <c r="F1511">
        <v>210</v>
      </c>
      <c r="G1511" t="s">
        <v>235</v>
      </c>
      <c r="H1511">
        <v>2020</v>
      </c>
      <c r="I1511" t="s">
        <v>33</v>
      </c>
      <c r="J1511">
        <v>12</v>
      </c>
      <c r="K1511">
        <v>7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7</v>
      </c>
      <c r="T1511">
        <v>0</v>
      </c>
      <c r="U1511" s="5">
        <f>IF(Merge1[[#This Row],[team_defense_snaps]]=0, "", Merge1[[#This Row],[defense_snaps]] / Merge1[[#This Row],[team_defense_snaps]])</f>
        <v>0</v>
      </c>
      <c r="V1511">
        <v>81</v>
      </c>
      <c r="W1511">
        <v>7</v>
      </c>
      <c r="X1511" s="5" t="s">
        <v>133</v>
      </c>
      <c r="Y1511">
        <v>2</v>
      </c>
      <c r="Z1511">
        <v>0</v>
      </c>
      <c r="AA1511" t="s">
        <v>25</v>
      </c>
      <c r="AB1511" t="s">
        <v>26</v>
      </c>
      <c r="AC1511" t="s">
        <v>27</v>
      </c>
      <c r="AD1511" t="s">
        <v>42</v>
      </c>
      <c r="AE1511" t="s">
        <v>25</v>
      </c>
      <c r="AF15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1511" t="s">
        <v>942</v>
      </c>
      <c r="AH1511">
        <v>48</v>
      </c>
      <c r="AI1511" t="s">
        <v>939</v>
      </c>
      <c r="AJ1511">
        <v>4</v>
      </c>
      <c r="AK15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MIN(AJ1511/8, 1) +
  Merge1[[#This Row],[index_defensive_effort]],
  2
)</f>
        <v>2</v>
      </c>
    </row>
    <row r="1512" spans="1:37" x14ac:dyDescent="0.25">
      <c r="A1512" t="s">
        <v>451</v>
      </c>
      <c r="B1512" t="s">
        <v>452</v>
      </c>
      <c r="C1512">
        <v>23</v>
      </c>
      <c r="D1512" t="s">
        <v>22</v>
      </c>
      <c r="E1512">
        <v>73</v>
      </c>
      <c r="F1512">
        <v>210</v>
      </c>
      <c r="G1512" t="s">
        <v>235</v>
      </c>
      <c r="H1512">
        <v>2020</v>
      </c>
      <c r="I1512" t="s">
        <v>33</v>
      </c>
      <c r="J1512">
        <v>13</v>
      </c>
      <c r="K1512">
        <v>9</v>
      </c>
      <c r="L1512">
        <v>4</v>
      </c>
      <c r="M1512">
        <v>1</v>
      </c>
      <c r="N1512">
        <v>5</v>
      </c>
      <c r="O1512">
        <v>0</v>
      </c>
      <c r="P1512">
        <v>0</v>
      </c>
      <c r="Q1512">
        <v>0</v>
      </c>
      <c r="R1512">
        <v>2</v>
      </c>
      <c r="S1512">
        <v>2</v>
      </c>
      <c r="T1512">
        <v>0</v>
      </c>
      <c r="U1512" s="5">
        <f>IF(Merge1[[#This Row],[team_defense_snaps]]=0, "", Merge1[[#This Row],[defense_snaps]] / Merge1[[#This Row],[team_defense_snaps]])</f>
        <v>0</v>
      </c>
      <c r="V1512">
        <v>70</v>
      </c>
      <c r="W1512">
        <v>2</v>
      </c>
      <c r="X1512" s="5" t="s">
        <v>208</v>
      </c>
      <c r="Y1512">
        <v>2</v>
      </c>
      <c r="Z1512">
        <v>0</v>
      </c>
      <c r="AA1512" t="s">
        <v>25</v>
      </c>
      <c r="AB1512" t="s">
        <v>26</v>
      </c>
      <c r="AC1512" t="s">
        <v>27</v>
      </c>
      <c r="AD1512" t="s">
        <v>42</v>
      </c>
      <c r="AE1512" t="s">
        <v>25</v>
      </c>
      <c r="AF15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1512" t="s">
        <v>942</v>
      </c>
      <c r="AH1512">
        <v>49.5</v>
      </c>
      <c r="AI1512" t="s">
        <v>939</v>
      </c>
      <c r="AJ1512">
        <v>5</v>
      </c>
      <c r="AK15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MIN(AJ1512/8, 1) +
  Merge1[[#This Row],[index_defensive_effort]],
  2
)</f>
        <v>2.13</v>
      </c>
    </row>
    <row r="1513" spans="1:37" x14ac:dyDescent="0.25">
      <c r="A1513" t="s">
        <v>451</v>
      </c>
      <c r="B1513" t="s">
        <v>452</v>
      </c>
      <c r="C1513">
        <v>23</v>
      </c>
      <c r="D1513" t="s">
        <v>22</v>
      </c>
      <c r="E1513">
        <v>73</v>
      </c>
      <c r="F1513">
        <v>210</v>
      </c>
      <c r="G1513" t="s">
        <v>235</v>
      </c>
      <c r="H1513">
        <v>2020</v>
      </c>
      <c r="I1513" t="s">
        <v>33</v>
      </c>
      <c r="J1513">
        <v>14</v>
      </c>
      <c r="K1513">
        <v>3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8</v>
      </c>
      <c r="T1513">
        <v>0</v>
      </c>
      <c r="U1513" s="5">
        <f>IF(Merge1[[#This Row],[team_defense_snaps]]=0, "", Merge1[[#This Row],[defense_snaps]] / Merge1[[#This Row],[team_defense_snaps]])</f>
        <v>0</v>
      </c>
      <c r="V1513">
        <v>51</v>
      </c>
      <c r="W1513">
        <v>8</v>
      </c>
      <c r="X1513" s="5" t="s">
        <v>158</v>
      </c>
      <c r="Y1513">
        <v>2</v>
      </c>
      <c r="Z1513">
        <v>0</v>
      </c>
      <c r="AA1513" t="s">
        <v>25</v>
      </c>
      <c r="AB1513" t="s">
        <v>26</v>
      </c>
      <c r="AC1513" t="s">
        <v>27</v>
      </c>
      <c r="AD1513" t="s">
        <v>42</v>
      </c>
      <c r="AE1513" t="s">
        <v>25</v>
      </c>
      <c r="AF15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0.625</v>
      </c>
      <c r="AG1513" t="s">
        <v>942</v>
      </c>
      <c r="AH1513">
        <v>52.5</v>
      </c>
      <c r="AI1513" t="s">
        <v>939</v>
      </c>
      <c r="AJ1513">
        <v>6</v>
      </c>
      <c r="AK15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MIN(AJ1513/8, 1) +
  Merge1[[#This Row],[index_defensive_effort]],
  2
)</f>
        <v>1.88</v>
      </c>
    </row>
    <row r="1514" spans="1:37" x14ac:dyDescent="0.25">
      <c r="A1514" t="s">
        <v>451</v>
      </c>
      <c r="B1514" t="s">
        <v>452</v>
      </c>
      <c r="C1514">
        <v>23</v>
      </c>
      <c r="D1514" t="s">
        <v>22</v>
      </c>
      <c r="E1514">
        <v>73</v>
      </c>
      <c r="F1514">
        <v>210</v>
      </c>
      <c r="G1514" t="s">
        <v>235</v>
      </c>
      <c r="H1514">
        <v>2020</v>
      </c>
      <c r="I1514" t="s">
        <v>33</v>
      </c>
      <c r="J1514">
        <v>15</v>
      </c>
      <c r="K1514">
        <v>4</v>
      </c>
      <c r="L1514">
        <v>1</v>
      </c>
      <c r="M1514">
        <v>0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6</v>
      </c>
      <c r="T1514">
        <v>0</v>
      </c>
      <c r="U1514" s="5">
        <f>IF(Merge1[[#This Row],[team_defense_snaps]]=0, "", Merge1[[#This Row],[defense_snaps]] / Merge1[[#This Row],[team_defense_snaps]])</f>
        <v>0</v>
      </c>
      <c r="V1514">
        <v>65</v>
      </c>
      <c r="W1514">
        <v>6</v>
      </c>
      <c r="X1514" s="5" t="s">
        <v>59</v>
      </c>
      <c r="Y1514">
        <v>2</v>
      </c>
      <c r="Z1514">
        <v>0</v>
      </c>
      <c r="AA1514" t="s">
        <v>25</v>
      </c>
      <c r="AB1514" t="s">
        <v>26</v>
      </c>
      <c r="AC1514" t="s">
        <v>27</v>
      </c>
      <c r="AD1514" t="s">
        <v>42</v>
      </c>
      <c r="AE1514" t="s">
        <v>25</v>
      </c>
      <c r="AF15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0.75</v>
      </c>
      <c r="AG1514" t="s">
        <v>942</v>
      </c>
      <c r="AH1514">
        <v>57</v>
      </c>
      <c r="AI1514" t="s">
        <v>939</v>
      </c>
      <c r="AJ1514">
        <v>7</v>
      </c>
      <c r="AK15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MIN(AJ1514/8, 1) +
  Merge1[[#This Row],[index_defensive_effort]],
  2
)</f>
        <v>2.13</v>
      </c>
    </row>
    <row r="1515" spans="1:37" x14ac:dyDescent="0.25">
      <c r="A1515" t="s">
        <v>451</v>
      </c>
      <c r="B1515" t="s">
        <v>452</v>
      </c>
      <c r="C1515">
        <v>23</v>
      </c>
      <c r="D1515" t="s">
        <v>22</v>
      </c>
      <c r="E1515">
        <v>73</v>
      </c>
      <c r="F1515">
        <v>210</v>
      </c>
      <c r="G1515" t="s">
        <v>235</v>
      </c>
      <c r="H1515">
        <v>2020</v>
      </c>
      <c r="I1515" t="s">
        <v>33</v>
      </c>
      <c r="J1515">
        <v>16</v>
      </c>
      <c r="K1515">
        <v>2</v>
      </c>
      <c r="L1515">
        <v>1</v>
      </c>
      <c r="M1515">
        <v>0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8</v>
      </c>
      <c r="T1515">
        <v>0</v>
      </c>
      <c r="U1515" s="5">
        <f>IF(Merge1[[#This Row],[team_defense_snaps]]=0, "", Merge1[[#This Row],[defense_snaps]] / Merge1[[#This Row],[team_defense_snaps]])</f>
        <v>0</v>
      </c>
      <c r="V1515">
        <v>52</v>
      </c>
      <c r="W1515">
        <v>8</v>
      </c>
      <c r="X1515" s="5" t="s">
        <v>135</v>
      </c>
      <c r="Y1515">
        <v>2</v>
      </c>
      <c r="Z1515">
        <v>0</v>
      </c>
      <c r="AA1515" t="s">
        <v>25</v>
      </c>
      <c r="AB1515" t="s">
        <v>26</v>
      </c>
      <c r="AC1515" t="s">
        <v>27</v>
      </c>
      <c r="AD1515" t="s">
        <v>42</v>
      </c>
      <c r="AE1515" t="s">
        <v>25</v>
      </c>
      <c r="AF15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0.3125</v>
      </c>
      <c r="AG1515" t="s">
        <v>942</v>
      </c>
      <c r="AH1515">
        <v>67.5</v>
      </c>
      <c r="AI1515" t="s">
        <v>939</v>
      </c>
      <c r="AJ1515">
        <v>8</v>
      </c>
      <c r="AK15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MIN(AJ1515/8, 1) +
  Merge1[[#This Row],[index_defensive_effort]],
  2
)</f>
        <v>1.81</v>
      </c>
    </row>
    <row r="1516" spans="1:37" x14ac:dyDescent="0.25">
      <c r="A1516" t="s">
        <v>451</v>
      </c>
      <c r="B1516" t="s">
        <v>452</v>
      </c>
      <c r="C1516">
        <v>23</v>
      </c>
      <c r="D1516" t="s">
        <v>22</v>
      </c>
      <c r="E1516">
        <v>73</v>
      </c>
      <c r="F1516">
        <v>210</v>
      </c>
      <c r="G1516" t="s">
        <v>235</v>
      </c>
      <c r="H1516">
        <v>2020</v>
      </c>
      <c r="I1516" t="s">
        <v>33</v>
      </c>
      <c r="J1516">
        <v>17</v>
      </c>
      <c r="K1516">
        <v>5</v>
      </c>
      <c r="L1516">
        <v>3</v>
      </c>
      <c r="M1516">
        <v>0</v>
      </c>
      <c r="N1516">
        <v>3</v>
      </c>
      <c r="O1516">
        <v>0</v>
      </c>
      <c r="P1516">
        <v>0</v>
      </c>
      <c r="Q1516">
        <v>0</v>
      </c>
      <c r="R1516">
        <v>0</v>
      </c>
      <c r="S1516">
        <v>2</v>
      </c>
      <c r="T1516">
        <v>0</v>
      </c>
      <c r="U1516" s="5">
        <f>IF(Merge1[[#This Row],[team_defense_snaps]]=0, "", Merge1[[#This Row],[defense_snaps]] / Merge1[[#This Row],[team_defense_snaps]])</f>
        <v>0</v>
      </c>
      <c r="V1516">
        <v>74</v>
      </c>
      <c r="W1516">
        <v>2</v>
      </c>
      <c r="X1516" s="5" t="s">
        <v>167</v>
      </c>
      <c r="Y1516">
        <v>2</v>
      </c>
      <c r="Z1516">
        <v>0</v>
      </c>
      <c r="AA1516" t="s">
        <v>25</v>
      </c>
      <c r="AB1516" t="s">
        <v>26</v>
      </c>
      <c r="AC1516" t="s">
        <v>27</v>
      </c>
      <c r="AD1516" t="s">
        <v>42</v>
      </c>
      <c r="AE1516" t="s">
        <v>25</v>
      </c>
      <c r="AF15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1516" t="s">
        <v>942</v>
      </c>
      <c r="AH1516">
        <v>64.5</v>
      </c>
      <c r="AI1516" t="s">
        <v>939</v>
      </c>
      <c r="AJ1516">
        <v>1</v>
      </c>
      <c r="AK15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MIN(AJ1516/8, 1) +
  Merge1[[#This Row],[index_defensive_effort]],
  2
)</f>
        <v>1.63</v>
      </c>
    </row>
    <row r="1517" spans="1:37" x14ac:dyDescent="0.25">
      <c r="A1517" t="s">
        <v>551</v>
      </c>
      <c r="B1517" t="s">
        <v>552</v>
      </c>
      <c r="C1517">
        <v>29</v>
      </c>
      <c r="D1517" t="s">
        <v>22</v>
      </c>
      <c r="E1517">
        <v>71</v>
      </c>
      <c r="F1517">
        <v>193</v>
      </c>
      <c r="G1517" t="s">
        <v>144</v>
      </c>
      <c r="H1517">
        <v>2020</v>
      </c>
      <c r="I1517" t="s">
        <v>33</v>
      </c>
      <c r="J1517">
        <v>1</v>
      </c>
      <c r="K1517">
        <v>2</v>
      </c>
      <c r="L1517">
        <v>2</v>
      </c>
      <c r="M1517">
        <v>1</v>
      </c>
      <c r="N1517">
        <v>3</v>
      </c>
      <c r="O1517">
        <v>0</v>
      </c>
      <c r="P1517">
        <v>0</v>
      </c>
      <c r="Q1517">
        <v>0</v>
      </c>
      <c r="R1517">
        <v>0</v>
      </c>
      <c r="S1517">
        <v>95</v>
      </c>
      <c r="T1517">
        <v>82</v>
      </c>
      <c r="U1517" s="5">
        <f>IF(Merge1[[#This Row],[team_defense_snaps]]=0, "", Merge1[[#This Row],[defense_snaps]] / Merge1[[#This Row],[team_defense_snaps]])</f>
        <v>0.82</v>
      </c>
      <c r="V1517">
        <v>100</v>
      </c>
      <c r="W1517">
        <v>13</v>
      </c>
      <c r="X1517" s="5" t="s">
        <v>260</v>
      </c>
      <c r="Y1517">
        <v>6</v>
      </c>
      <c r="Z1517">
        <v>0</v>
      </c>
      <c r="AA1517" t="s">
        <v>25</v>
      </c>
      <c r="AB1517" t="s">
        <v>26</v>
      </c>
      <c r="AC1517" t="s">
        <v>27</v>
      </c>
      <c r="AD1517" t="s">
        <v>42</v>
      </c>
      <c r="AE1517" t="s">
        <v>25</v>
      </c>
      <c r="AF15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3.6842105263157891E-2</v>
      </c>
      <c r="AG1517" t="s">
        <v>941</v>
      </c>
      <c r="AH1517">
        <v>75</v>
      </c>
      <c r="AI1517" t="s">
        <v>939</v>
      </c>
      <c r="AJ1517">
        <v>2</v>
      </c>
      <c r="AK15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MIN(AJ1517/8, 1) +
  Merge1[[#This Row],[index_defensive_effort]],
  2
)</f>
        <v>0.79</v>
      </c>
    </row>
    <row r="1518" spans="1:37" x14ac:dyDescent="0.25">
      <c r="A1518" t="s">
        <v>551</v>
      </c>
      <c r="B1518" t="s">
        <v>552</v>
      </c>
      <c r="C1518">
        <v>29</v>
      </c>
      <c r="D1518" t="s">
        <v>22</v>
      </c>
      <c r="E1518">
        <v>71</v>
      </c>
      <c r="F1518">
        <v>193</v>
      </c>
      <c r="G1518" t="s">
        <v>144</v>
      </c>
      <c r="H1518">
        <v>2020</v>
      </c>
      <c r="I1518" t="s">
        <v>33</v>
      </c>
      <c r="J1518">
        <v>2</v>
      </c>
      <c r="K1518">
        <v>3</v>
      </c>
      <c r="L1518">
        <v>3</v>
      </c>
      <c r="M1518">
        <v>1</v>
      </c>
      <c r="N1518">
        <v>4</v>
      </c>
      <c r="O1518">
        <v>0</v>
      </c>
      <c r="P1518">
        <v>0</v>
      </c>
      <c r="Q1518">
        <v>0</v>
      </c>
      <c r="R1518">
        <v>0</v>
      </c>
      <c r="S1518">
        <v>62</v>
      </c>
      <c r="T1518">
        <v>52</v>
      </c>
      <c r="U1518" s="5">
        <f>IF(Merge1[[#This Row],[team_defense_snaps]]=0, "", Merge1[[#This Row],[defense_snaps]] / Merge1[[#This Row],[team_defense_snaps]])</f>
        <v>0.77611940298507465</v>
      </c>
      <c r="V1518">
        <v>67</v>
      </c>
      <c r="W1518">
        <v>10</v>
      </c>
      <c r="X1518" s="5" t="s">
        <v>60</v>
      </c>
      <c r="Y1518">
        <v>6</v>
      </c>
      <c r="Z1518">
        <v>0</v>
      </c>
      <c r="AA1518" t="s">
        <v>25</v>
      </c>
      <c r="AB1518" t="s">
        <v>26</v>
      </c>
      <c r="AC1518" t="s">
        <v>27</v>
      </c>
      <c r="AD1518" t="s">
        <v>42</v>
      </c>
      <c r="AE1518" t="s">
        <v>25</v>
      </c>
      <c r="AF15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8.0645161290322578E-2</v>
      </c>
      <c r="AG1518" t="s">
        <v>941</v>
      </c>
      <c r="AH1518">
        <v>58.5</v>
      </c>
      <c r="AI1518" t="s">
        <v>939</v>
      </c>
      <c r="AJ1518">
        <v>3</v>
      </c>
      <c r="AK15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MIN(AJ1518/8, 1) +
  Merge1[[#This Row],[index_defensive_effort]],
  2
)</f>
        <v>0.96</v>
      </c>
    </row>
    <row r="1519" spans="1:37" x14ac:dyDescent="0.25">
      <c r="A1519" t="s">
        <v>551</v>
      </c>
      <c r="B1519" t="s">
        <v>552</v>
      </c>
      <c r="C1519">
        <v>29</v>
      </c>
      <c r="D1519" t="s">
        <v>22</v>
      </c>
      <c r="E1519">
        <v>71</v>
      </c>
      <c r="F1519">
        <v>193</v>
      </c>
      <c r="G1519" t="s">
        <v>144</v>
      </c>
      <c r="H1519">
        <v>2020</v>
      </c>
      <c r="I1519" t="s">
        <v>33</v>
      </c>
      <c r="J1519">
        <v>3</v>
      </c>
      <c r="K1519">
        <v>3</v>
      </c>
      <c r="L1519">
        <v>2</v>
      </c>
      <c r="M1519">
        <v>0</v>
      </c>
      <c r="N1519">
        <v>2</v>
      </c>
      <c r="O1519">
        <v>0</v>
      </c>
      <c r="P1519">
        <v>0</v>
      </c>
      <c r="Q1519">
        <v>0</v>
      </c>
      <c r="R1519">
        <v>0</v>
      </c>
      <c r="S1519">
        <v>56</v>
      </c>
      <c r="T1519">
        <v>45</v>
      </c>
      <c r="U1519" s="5">
        <f>IF(Merge1[[#This Row],[team_defense_snaps]]=0, "", Merge1[[#This Row],[defense_snaps]] / Merge1[[#This Row],[team_defense_snaps]])</f>
        <v>0.83333333333333337</v>
      </c>
      <c r="V1519">
        <v>54</v>
      </c>
      <c r="W1519">
        <v>11</v>
      </c>
      <c r="X1519" s="5" t="s">
        <v>243</v>
      </c>
      <c r="Y1519">
        <v>6</v>
      </c>
      <c r="Z1519">
        <v>0</v>
      </c>
      <c r="AA1519" t="s">
        <v>25</v>
      </c>
      <c r="AB1519" t="s">
        <v>26</v>
      </c>
      <c r="AC1519" t="s">
        <v>27</v>
      </c>
      <c r="AD1519" t="s">
        <v>42</v>
      </c>
      <c r="AE1519" t="s">
        <v>25</v>
      </c>
      <c r="AF15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1519" t="s">
        <v>941</v>
      </c>
      <c r="AH1519">
        <v>72</v>
      </c>
      <c r="AI1519" t="s">
        <v>939</v>
      </c>
      <c r="AJ1519">
        <v>4</v>
      </c>
      <c r="AK15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MIN(AJ1519/8, 1) +
  Merge1[[#This Row],[index_defensive_effort]],
  2
)</f>
        <v>1.07</v>
      </c>
    </row>
    <row r="1520" spans="1:37" x14ac:dyDescent="0.25">
      <c r="A1520" t="s">
        <v>551</v>
      </c>
      <c r="B1520" t="s">
        <v>552</v>
      </c>
      <c r="C1520">
        <v>29</v>
      </c>
      <c r="D1520" t="s">
        <v>22</v>
      </c>
      <c r="E1520">
        <v>71</v>
      </c>
      <c r="F1520">
        <v>193</v>
      </c>
      <c r="G1520" t="s">
        <v>144</v>
      </c>
      <c r="H1520">
        <v>2020</v>
      </c>
      <c r="I1520" t="s">
        <v>33</v>
      </c>
      <c r="J1520">
        <v>4</v>
      </c>
      <c r="K1520">
        <v>3</v>
      </c>
      <c r="L1520">
        <v>1</v>
      </c>
      <c r="M1520">
        <v>0</v>
      </c>
      <c r="N1520">
        <v>1</v>
      </c>
      <c r="O1520">
        <v>0</v>
      </c>
      <c r="P1520">
        <v>1</v>
      </c>
      <c r="Q1520">
        <v>0</v>
      </c>
      <c r="R1520">
        <v>0</v>
      </c>
      <c r="S1520">
        <v>71</v>
      </c>
      <c r="T1520">
        <v>62</v>
      </c>
      <c r="U1520" s="5">
        <f>IF(Merge1[[#This Row],[team_defense_snaps]]=0, "", Merge1[[#This Row],[defense_snaps]] / Merge1[[#This Row],[team_defense_snaps]])</f>
        <v>1</v>
      </c>
      <c r="V1520">
        <v>62</v>
      </c>
      <c r="W1520">
        <v>9</v>
      </c>
      <c r="X1520" s="5" t="s">
        <v>158</v>
      </c>
      <c r="Y1520">
        <v>6</v>
      </c>
      <c r="Z1520">
        <v>0</v>
      </c>
      <c r="AA1520" t="s">
        <v>25</v>
      </c>
      <c r="AB1520" t="s">
        <v>26</v>
      </c>
      <c r="AC1520" t="s">
        <v>27</v>
      </c>
      <c r="AD1520" t="s">
        <v>42</v>
      </c>
      <c r="AE1520" t="s">
        <v>25</v>
      </c>
      <c r="AF15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7.746478873239436E-2</v>
      </c>
      <c r="AG1520" t="s">
        <v>941</v>
      </c>
      <c r="AH1520">
        <v>70.5</v>
      </c>
      <c r="AI1520" t="s">
        <v>939</v>
      </c>
      <c r="AJ1520">
        <v>5</v>
      </c>
      <c r="AK15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MIN(AJ1520/8, 1) +
  Merge1[[#This Row],[index_defensive_effort]],
  2
)</f>
        <v>1.2</v>
      </c>
    </row>
    <row r="1521" spans="1:37" x14ac:dyDescent="0.25">
      <c r="A1521" t="s">
        <v>551</v>
      </c>
      <c r="B1521" t="s">
        <v>552</v>
      </c>
      <c r="C1521">
        <v>29</v>
      </c>
      <c r="D1521" t="s">
        <v>22</v>
      </c>
      <c r="E1521">
        <v>71</v>
      </c>
      <c r="F1521">
        <v>193</v>
      </c>
      <c r="G1521" t="s">
        <v>144</v>
      </c>
      <c r="H1521">
        <v>2020</v>
      </c>
      <c r="I1521" t="s">
        <v>33</v>
      </c>
      <c r="J1521">
        <v>5</v>
      </c>
      <c r="K1521">
        <v>5</v>
      </c>
      <c r="L1521">
        <v>2</v>
      </c>
      <c r="M1521">
        <v>0</v>
      </c>
      <c r="N1521">
        <v>2</v>
      </c>
      <c r="O1521">
        <v>0</v>
      </c>
      <c r="P1521">
        <v>0</v>
      </c>
      <c r="Q1521">
        <v>0</v>
      </c>
      <c r="R1521">
        <v>0</v>
      </c>
      <c r="S1521">
        <v>82</v>
      </c>
      <c r="T1521">
        <v>67</v>
      </c>
      <c r="U1521" s="5">
        <f>IF(Merge1[[#This Row],[team_defense_snaps]]=0, "", Merge1[[#This Row],[defense_snaps]] / Merge1[[#This Row],[team_defense_snaps]])</f>
        <v>1</v>
      </c>
      <c r="V1521">
        <v>67</v>
      </c>
      <c r="W1521">
        <v>15</v>
      </c>
      <c r="X1521" s="5" t="s">
        <v>200</v>
      </c>
      <c r="Y1521">
        <v>6</v>
      </c>
      <c r="Z1521">
        <v>0</v>
      </c>
      <c r="AA1521" t="s">
        <v>25</v>
      </c>
      <c r="AB1521" t="s">
        <v>26</v>
      </c>
      <c r="AC1521" t="s">
        <v>27</v>
      </c>
      <c r="AD1521" t="s">
        <v>42</v>
      </c>
      <c r="AE1521" t="s">
        <v>25</v>
      </c>
      <c r="AF15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7.3170731707317069E-2</v>
      </c>
      <c r="AG1521" t="s">
        <v>941</v>
      </c>
      <c r="AH1521">
        <v>61.5</v>
      </c>
      <c r="AI1521" t="s">
        <v>939</v>
      </c>
      <c r="AJ1521">
        <v>6</v>
      </c>
      <c r="AK15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MIN(AJ1521/8, 1) +
  Merge1[[#This Row],[index_defensive_effort]],
  2
)</f>
        <v>1.32</v>
      </c>
    </row>
    <row r="1522" spans="1:37" x14ac:dyDescent="0.25">
      <c r="A1522" t="s">
        <v>551</v>
      </c>
      <c r="B1522" t="s">
        <v>552</v>
      </c>
      <c r="C1522">
        <v>29</v>
      </c>
      <c r="D1522" t="s">
        <v>22</v>
      </c>
      <c r="E1522">
        <v>71</v>
      </c>
      <c r="F1522">
        <v>193</v>
      </c>
      <c r="G1522" t="s">
        <v>144</v>
      </c>
      <c r="H1522">
        <v>2020</v>
      </c>
      <c r="I1522" t="s">
        <v>33</v>
      </c>
      <c r="J1522">
        <v>6</v>
      </c>
      <c r="K1522">
        <v>3</v>
      </c>
      <c r="L1522">
        <v>1</v>
      </c>
      <c r="M1522">
        <v>1</v>
      </c>
      <c r="N1522">
        <v>2</v>
      </c>
      <c r="O1522">
        <v>0</v>
      </c>
      <c r="P1522">
        <v>0</v>
      </c>
      <c r="Q1522">
        <v>0</v>
      </c>
      <c r="R1522">
        <v>0</v>
      </c>
      <c r="S1522">
        <v>69</v>
      </c>
      <c r="T1522">
        <v>60</v>
      </c>
      <c r="U1522" s="5">
        <f>IF(Merge1[[#This Row],[team_defense_snaps]]=0, "", Merge1[[#This Row],[defense_snaps]] / Merge1[[#This Row],[team_defense_snaps]])</f>
        <v>1</v>
      </c>
      <c r="V1522">
        <v>60</v>
      </c>
      <c r="W1522">
        <v>9</v>
      </c>
      <c r="X1522" s="5" t="s">
        <v>123</v>
      </c>
      <c r="Y1522">
        <v>6</v>
      </c>
      <c r="Z1522">
        <v>0</v>
      </c>
      <c r="AA1522" t="s">
        <v>25</v>
      </c>
      <c r="AB1522" t="s">
        <v>26</v>
      </c>
      <c r="AC1522" t="s">
        <v>27</v>
      </c>
      <c r="AD1522" t="s">
        <v>42</v>
      </c>
      <c r="AE1522" t="s">
        <v>25</v>
      </c>
      <c r="AF15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5.7971014492753624E-2</v>
      </c>
      <c r="AG1522" t="s">
        <v>941</v>
      </c>
      <c r="AH1522">
        <v>64.5</v>
      </c>
      <c r="AI1522" t="s">
        <v>939</v>
      </c>
      <c r="AJ1522">
        <v>1</v>
      </c>
      <c r="AK15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MIN(AJ1522/8, 1) +
  Merge1[[#This Row],[index_defensive_effort]],
  2
)</f>
        <v>0.68</v>
      </c>
    </row>
    <row r="1523" spans="1:37" x14ac:dyDescent="0.25">
      <c r="A1523" t="s">
        <v>551</v>
      </c>
      <c r="B1523" t="s">
        <v>552</v>
      </c>
      <c r="C1523">
        <v>29</v>
      </c>
      <c r="D1523" t="s">
        <v>22</v>
      </c>
      <c r="E1523">
        <v>71</v>
      </c>
      <c r="F1523">
        <v>193</v>
      </c>
      <c r="G1523" t="s">
        <v>144</v>
      </c>
      <c r="H1523">
        <v>2020</v>
      </c>
      <c r="I1523" t="s">
        <v>33</v>
      </c>
      <c r="J1523">
        <v>8</v>
      </c>
      <c r="K1523">
        <v>5</v>
      </c>
      <c r="L1523">
        <v>1</v>
      </c>
      <c r="M1523">
        <v>1</v>
      </c>
      <c r="N1523">
        <v>2</v>
      </c>
      <c r="O1523">
        <v>0</v>
      </c>
      <c r="P1523">
        <v>0</v>
      </c>
      <c r="Q1523">
        <v>0</v>
      </c>
      <c r="R1523">
        <v>0</v>
      </c>
      <c r="S1523">
        <v>68</v>
      </c>
      <c r="T1523">
        <v>68</v>
      </c>
      <c r="U1523" s="5">
        <f>IF(Merge1[[#This Row],[team_defense_snaps]]=0, "", Merge1[[#This Row],[defense_snaps]] / Merge1[[#This Row],[team_defense_snaps]])</f>
        <v>1</v>
      </c>
      <c r="V1523">
        <v>68</v>
      </c>
      <c r="W1523">
        <v>0</v>
      </c>
      <c r="X1523" s="5" t="s">
        <v>29</v>
      </c>
      <c r="Y1523">
        <v>6</v>
      </c>
      <c r="Z1523">
        <v>0</v>
      </c>
      <c r="AA1523" t="s">
        <v>25</v>
      </c>
      <c r="AB1523" t="s">
        <v>36</v>
      </c>
      <c r="AC1523" t="s">
        <v>553</v>
      </c>
      <c r="AD1523" t="s">
        <v>42</v>
      </c>
      <c r="AE1523" t="s">
        <v>25</v>
      </c>
      <c r="AF15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8.8235294117647065E-2</v>
      </c>
      <c r="AG1523" t="s">
        <v>941</v>
      </c>
      <c r="AH1523">
        <v>57</v>
      </c>
      <c r="AI1523" t="s">
        <v>939</v>
      </c>
      <c r="AJ1523">
        <v>2</v>
      </c>
      <c r="AK15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MIN(AJ1523/8, 1) +
  Merge1[[#This Row],[index_defensive_effort]],
  2
)</f>
        <v>0.84</v>
      </c>
    </row>
    <row r="1524" spans="1:37" x14ac:dyDescent="0.25">
      <c r="A1524" t="s">
        <v>551</v>
      </c>
      <c r="B1524" t="s">
        <v>552</v>
      </c>
      <c r="C1524">
        <v>29</v>
      </c>
      <c r="D1524" t="s">
        <v>22</v>
      </c>
      <c r="E1524">
        <v>71</v>
      </c>
      <c r="F1524">
        <v>193</v>
      </c>
      <c r="G1524" t="s">
        <v>144</v>
      </c>
      <c r="H1524">
        <v>2020</v>
      </c>
      <c r="I1524" t="s">
        <v>33</v>
      </c>
      <c r="J1524">
        <v>9</v>
      </c>
      <c r="K1524">
        <v>2</v>
      </c>
      <c r="L1524">
        <v>2</v>
      </c>
      <c r="M1524">
        <v>0</v>
      </c>
      <c r="N1524">
        <v>2</v>
      </c>
      <c r="O1524">
        <v>0</v>
      </c>
      <c r="P1524">
        <v>0</v>
      </c>
      <c r="Q1524">
        <v>0</v>
      </c>
      <c r="R1524">
        <v>0</v>
      </c>
      <c r="S1524">
        <v>66</v>
      </c>
      <c r="T1524">
        <v>62</v>
      </c>
      <c r="U1524" s="5">
        <f>IF(Merge1[[#This Row],[team_defense_snaps]]=0, "", Merge1[[#This Row],[defense_snaps]] / Merge1[[#This Row],[team_defense_snaps]])</f>
        <v>0.93939393939393945</v>
      </c>
      <c r="V1524">
        <v>66</v>
      </c>
      <c r="W1524">
        <v>4</v>
      </c>
      <c r="X1524" s="5" t="s">
        <v>168</v>
      </c>
      <c r="Y1524">
        <v>6</v>
      </c>
      <c r="Z1524">
        <v>0</v>
      </c>
      <c r="AA1524" t="s">
        <v>25</v>
      </c>
      <c r="AB1524" t="s">
        <v>26</v>
      </c>
      <c r="AC1524" t="s">
        <v>27</v>
      </c>
      <c r="AD1524" t="s">
        <v>42</v>
      </c>
      <c r="AE1524" t="s">
        <v>25</v>
      </c>
      <c r="AF15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G1524" t="s">
        <v>941</v>
      </c>
      <c r="AH1524">
        <v>54</v>
      </c>
      <c r="AI1524" t="s">
        <v>939</v>
      </c>
      <c r="AJ1524">
        <v>3</v>
      </c>
      <c r="AK15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MIN(AJ1524/8, 1) +
  Merge1[[#This Row],[index_defensive_effort]],
  2
)</f>
        <v>0.92</v>
      </c>
    </row>
    <row r="1525" spans="1:37" x14ac:dyDescent="0.25">
      <c r="A1525" t="s">
        <v>551</v>
      </c>
      <c r="B1525" t="s">
        <v>552</v>
      </c>
      <c r="C1525">
        <v>29</v>
      </c>
      <c r="D1525" t="s">
        <v>22</v>
      </c>
      <c r="E1525">
        <v>71</v>
      </c>
      <c r="F1525">
        <v>193</v>
      </c>
      <c r="G1525" t="s">
        <v>144</v>
      </c>
      <c r="H1525">
        <v>2020</v>
      </c>
      <c r="I1525" t="s">
        <v>33</v>
      </c>
      <c r="J1525">
        <v>10</v>
      </c>
      <c r="K1525">
        <v>2</v>
      </c>
      <c r="L1525">
        <v>2</v>
      </c>
      <c r="M1525">
        <v>1</v>
      </c>
      <c r="N1525">
        <v>3</v>
      </c>
      <c r="O1525">
        <v>0</v>
      </c>
      <c r="P1525">
        <v>0</v>
      </c>
      <c r="Q1525">
        <v>0</v>
      </c>
      <c r="R1525">
        <v>0</v>
      </c>
      <c r="S1525">
        <v>70</v>
      </c>
      <c r="T1525">
        <v>59</v>
      </c>
      <c r="U1525" s="5">
        <f>IF(Merge1[[#This Row],[team_defense_snaps]]=0, "", Merge1[[#This Row],[defense_snaps]] / Merge1[[#This Row],[team_defense_snaps]])</f>
        <v>1</v>
      </c>
      <c r="V1525">
        <v>59</v>
      </c>
      <c r="W1525">
        <v>11</v>
      </c>
      <c r="X1525" s="5" t="s">
        <v>57</v>
      </c>
      <c r="Y1525">
        <v>6</v>
      </c>
      <c r="Z1525">
        <v>0</v>
      </c>
      <c r="AA1525" t="s">
        <v>25</v>
      </c>
      <c r="AB1525" t="s">
        <v>26</v>
      </c>
      <c r="AC1525" t="s">
        <v>27</v>
      </c>
      <c r="AD1525" t="s">
        <v>42</v>
      </c>
      <c r="AE1525" t="s">
        <v>25</v>
      </c>
      <c r="AF15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1525" t="s">
        <v>941</v>
      </c>
      <c r="AH1525">
        <v>73.5</v>
      </c>
      <c r="AI1525" t="s">
        <v>939</v>
      </c>
      <c r="AJ1525">
        <v>1</v>
      </c>
      <c r="AK15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MIN(AJ1525/8, 1) +
  Merge1[[#This Row],[index_defensive_effort]],
  2
)</f>
        <v>0.68</v>
      </c>
    </row>
    <row r="1526" spans="1:37" x14ac:dyDescent="0.25">
      <c r="A1526" t="s">
        <v>551</v>
      </c>
      <c r="B1526" t="s">
        <v>552</v>
      </c>
      <c r="C1526">
        <v>29</v>
      </c>
      <c r="D1526" t="s">
        <v>22</v>
      </c>
      <c r="E1526">
        <v>71</v>
      </c>
      <c r="F1526">
        <v>193</v>
      </c>
      <c r="G1526" t="s">
        <v>144</v>
      </c>
      <c r="H1526">
        <v>2020</v>
      </c>
      <c r="I1526" t="s">
        <v>33</v>
      </c>
      <c r="J1526">
        <v>12</v>
      </c>
      <c r="K1526">
        <v>4</v>
      </c>
      <c r="L1526">
        <v>1</v>
      </c>
      <c r="M1526">
        <v>0</v>
      </c>
      <c r="N1526">
        <v>1</v>
      </c>
      <c r="O1526">
        <v>0</v>
      </c>
      <c r="P1526">
        <v>0</v>
      </c>
      <c r="Q1526">
        <v>0</v>
      </c>
      <c r="R1526">
        <v>4</v>
      </c>
      <c r="S1526">
        <v>74</v>
      </c>
      <c r="T1526">
        <v>62</v>
      </c>
      <c r="U1526" s="5">
        <f>IF(Merge1[[#This Row],[team_defense_snaps]]=0, "", Merge1[[#This Row],[defense_snaps]] / Merge1[[#This Row],[team_defense_snaps]])</f>
        <v>1</v>
      </c>
      <c r="V1526">
        <v>62</v>
      </c>
      <c r="W1526">
        <v>12</v>
      </c>
      <c r="X1526" s="5" t="s">
        <v>334</v>
      </c>
      <c r="Y1526">
        <v>6</v>
      </c>
      <c r="Z1526">
        <v>0</v>
      </c>
      <c r="AA1526" t="s">
        <v>25</v>
      </c>
      <c r="AB1526" t="s">
        <v>26</v>
      </c>
      <c r="AC1526" t="s">
        <v>27</v>
      </c>
      <c r="AD1526" t="s">
        <v>42</v>
      </c>
      <c r="AE1526" t="s">
        <v>25</v>
      </c>
      <c r="AF15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0.16891891891891891</v>
      </c>
      <c r="AG1526" t="s">
        <v>941</v>
      </c>
      <c r="AH1526">
        <v>60</v>
      </c>
      <c r="AI1526" t="s">
        <v>939</v>
      </c>
      <c r="AJ1526">
        <v>2</v>
      </c>
      <c r="AK15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MIN(AJ1526/8, 1) +
  Merge1[[#This Row],[index_defensive_effort]],
  2
)</f>
        <v>0.92</v>
      </c>
    </row>
    <row r="1527" spans="1:37" x14ac:dyDescent="0.25">
      <c r="A1527" t="s">
        <v>551</v>
      </c>
      <c r="B1527" t="s">
        <v>552</v>
      </c>
      <c r="C1527">
        <v>29</v>
      </c>
      <c r="D1527" t="s">
        <v>22</v>
      </c>
      <c r="E1527">
        <v>71</v>
      </c>
      <c r="F1527">
        <v>193</v>
      </c>
      <c r="G1527" t="s">
        <v>144</v>
      </c>
      <c r="H1527">
        <v>2020</v>
      </c>
      <c r="I1527" t="s">
        <v>33</v>
      </c>
      <c r="J1527">
        <v>13</v>
      </c>
      <c r="K1527">
        <v>3</v>
      </c>
      <c r="L1527">
        <v>4</v>
      </c>
      <c r="M1527">
        <v>1</v>
      </c>
      <c r="N1527">
        <v>5</v>
      </c>
      <c r="O1527">
        <v>0</v>
      </c>
      <c r="P1527">
        <v>0</v>
      </c>
      <c r="Q1527">
        <v>0</v>
      </c>
      <c r="R1527">
        <v>0</v>
      </c>
      <c r="S1527">
        <v>84</v>
      </c>
      <c r="T1527">
        <v>73</v>
      </c>
      <c r="U1527" s="5">
        <f>IF(Merge1[[#This Row],[team_defense_snaps]]=0, "", Merge1[[#This Row],[defense_snaps]] / Merge1[[#This Row],[team_defense_snaps]])</f>
        <v>1</v>
      </c>
      <c r="V1527">
        <v>73</v>
      </c>
      <c r="W1527">
        <v>11</v>
      </c>
      <c r="X1527" s="5" t="s">
        <v>260</v>
      </c>
      <c r="Y1527">
        <v>6</v>
      </c>
      <c r="Z1527">
        <v>0</v>
      </c>
      <c r="AA1527" t="s">
        <v>25</v>
      </c>
      <c r="AB1527" t="s">
        <v>26</v>
      </c>
      <c r="AC1527" t="s">
        <v>27</v>
      </c>
      <c r="AD1527" t="s">
        <v>42</v>
      </c>
      <c r="AE1527" t="s">
        <v>25</v>
      </c>
      <c r="AF15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6.5476190476190479E-2</v>
      </c>
      <c r="AG1527" t="s">
        <v>941</v>
      </c>
      <c r="AH1527">
        <v>66</v>
      </c>
      <c r="AI1527" t="s">
        <v>939</v>
      </c>
      <c r="AJ1527">
        <v>3</v>
      </c>
      <c r="AK15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MIN(AJ1527/8, 1) +
  Merge1[[#This Row],[index_defensive_effort]],
  2
)</f>
        <v>0.94</v>
      </c>
    </row>
    <row r="1528" spans="1:37" x14ac:dyDescent="0.25">
      <c r="A1528" t="s">
        <v>551</v>
      </c>
      <c r="B1528" t="s">
        <v>552</v>
      </c>
      <c r="C1528">
        <v>29</v>
      </c>
      <c r="D1528" t="s">
        <v>22</v>
      </c>
      <c r="E1528">
        <v>71</v>
      </c>
      <c r="F1528">
        <v>193</v>
      </c>
      <c r="G1528" t="s">
        <v>144</v>
      </c>
      <c r="H1528">
        <v>2020</v>
      </c>
      <c r="I1528" t="s">
        <v>33</v>
      </c>
      <c r="J1528">
        <v>14</v>
      </c>
      <c r="K1528">
        <v>2</v>
      </c>
      <c r="L1528">
        <v>5</v>
      </c>
      <c r="M1528">
        <v>1</v>
      </c>
      <c r="N1528">
        <v>6</v>
      </c>
      <c r="O1528">
        <v>0</v>
      </c>
      <c r="P1528">
        <v>1</v>
      </c>
      <c r="Q1528">
        <v>0</v>
      </c>
      <c r="R1528">
        <v>0</v>
      </c>
      <c r="S1528">
        <v>75</v>
      </c>
      <c r="T1528">
        <v>63</v>
      </c>
      <c r="U1528" s="5">
        <f>IF(Merge1[[#This Row],[team_defense_snaps]]=0, "", Merge1[[#This Row],[defense_snaps]] / Merge1[[#This Row],[team_defense_snaps]])</f>
        <v>0.94029850746268662</v>
      </c>
      <c r="V1528">
        <v>67</v>
      </c>
      <c r="W1528">
        <v>12</v>
      </c>
      <c r="X1528" s="5" t="s">
        <v>134</v>
      </c>
      <c r="Y1528">
        <v>6</v>
      </c>
      <c r="Z1528">
        <v>0</v>
      </c>
      <c r="AA1528" t="s">
        <v>25</v>
      </c>
      <c r="AB1528" t="s">
        <v>26</v>
      </c>
      <c r="AC1528" t="s">
        <v>27</v>
      </c>
      <c r="AD1528" t="s">
        <v>42</v>
      </c>
      <c r="AE1528" t="s">
        <v>25</v>
      </c>
      <c r="AF15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9.3333333333333338E-2</v>
      </c>
      <c r="AG1528" t="s">
        <v>941</v>
      </c>
      <c r="AH1528">
        <v>76.5</v>
      </c>
      <c r="AI1528" t="s">
        <v>939</v>
      </c>
      <c r="AJ1528">
        <v>4</v>
      </c>
      <c r="AK15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MIN(AJ1528/8, 1) +
  Merge1[[#This Row],[index_defensive_effort]],
  2
)</f>
        <v>1.0900000000000001</v>
      </c>
    </row>
    <row r="1529" spans="1:37" x14ac:dyDescent="0.25">
      <c r="A1529" t="s">
        <v>551</v>
      </c>
      <c r="B1529" t="s">
        <v>552</v>
      </c>
      <c r="C1529">
        <v>29</v>
      </c>
      <c r="D1529" t="s">
        <v>22</v>
      </c>
      <c r="E1529">
        <v>71</v>
      </c>
      <c r="F1529">
        <v>193</v>
      </c>
      <c r="G1529" t="s">
        <v>144</v>
      </c>
      <c r="H1529">
        <v>2020</v>
      </c>
      <c r="I1529" t="s">
        <v>33</v>
      </c>
      <c r="J1529">
        <v>15</v>
      </c>
      <c r="K1529">
        <v>3</v>
      </c>
      <c r="L1529">
        <v>1</v>
      </c>
      <c r="M1529">
        <v>0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36</v>
      </c>
      <c r="T1529">
        <v>29</v>
      </c>
      <c r="U1529" s="5">
        <f>IF(Merge1[[#This Row],[team_defense_snaps]]=0, "", Merge1[[#This Row],[defense_snaps]] / Merge1[[#This Row],[team_defense_snaps]])</f>
        <v>0.5</v>
      </c>
      <c r="V1529">
        <v>58</v>
      </c>
      <c r="W1529">
        <v>7</v>
      </c>
      <c r="X1529" s="5" t="s">
        <v>181</v>
      </c>
      <c r="Y1529">
        <v>6</v>
      </c>
      <c r="Z1529">
        <v>0</v>
      </c>
      <c r="AA1529" t="s">
        <v>25</v>
      </c>
      <c r="AB1529" t="s">
        <v>26</v>
      </c>
      <c r="AC1529" t="s">
        <v>27</v>
      </c>
      <c r="AD1529" t="s">
        <v>42</v>
      </c>
      <c r="AE1529" t="s">
        <v>25</v>
      </c>
      <c r="AF15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9.7222222222222224E-2</v>
      </c>
      <c r="AG1529" t="s">
        <v>941</v>
      </c>
      <c r="AH1529">
        <v>78</v>
      </c>
      <c r="AI1529" t="s">
        <v>939</v>
      </c>
      <c r="AJ1529">
        <v>1</v>
      </c>
      <c r="AK15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MIN(AJ1529/8, 1) +
  Merge1[[#This Row],[index_defensive_effort]],
  2
)</f>
        <v>0.72</v>
      </c>
    </row>
    <row r="1530" spans="1:37" x14ac:dyDescent="0.25">
      <c r="A1530" t="s">
        <v>551</v>
      </c>
      <c r="B1530" t="s">
        <v>552</v>
      </c>
      <c r="C1530">
        <v>29</v>
      </c>
      <c r="D1530" t="s">
        <v>22</v>
      </c>
      <c r="E1530">
        <v>71</v>
      </c>
      <c r="F1530">
        <v>193</v>
      </c>
      <c r="G1530" t="s">
        <v>144</v>
      </c>
      <c r="H1530">
        <v>2020</v>
      </c>
      <c r="I1530" t="s">
        <v>33</v>
      </c>
      <c r="J1530">
        <v>17</v>
      </c>
      <c r="K1530">
        <v>3</v>
      </c>
      <c r="L1530">
        <v>1</v>
      </c>
      <c r="M1530">
        <v>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76</v>
      </c>
      <c r="T1530">
        <v>65</v>
      </c>
      <c r="U1530" s="5">
        <f>IF(Merge1[[#This Row],[team_defense_snaps]]=0, "", Merge1[[#This Row],[defense_snaps]] / Merge1[[#This Row],[team_defense_snaps]])</f>
        <v>1</v>
      </c>
      <c r="V1530">
        <v>65</v>
      </c>
      <c r="W1530">
        <v>11</v>
      </c>
      <c r="X1530" s="5" t="s">
        <v>334</v>
      </c>
      <c r="Y1530">
        <v>6</v>
      </c>
      <c r="Z1530">
        <v>0</v>
      </c>
      <c r="AA1530" t="s">
        <v>25</v>
      </c>
      <c r="AB1530" t="s">
        <v>26</v>
      </c>
      <c r="AC1530" t="s">
        <v>27</v>
      </c>
      <c r="AD1530" t="s">
        <v>42</v>
      </c>
      <c r="AE1530" t="s">
        <v>25</v>
      </c>
      <c r="AF15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4.6052631578947366E-2</v>
      </c>
      <c r="AG1530" t="s">
        <v>941</v>
      </c>
      <c r="AH1530">
        <v>67.5</v>
      </c>
      <c r="AI1530" t="s">
        <v>939</v>
      </c>
      <c r="AJ1530">
        <v>1</v>
      </c>
      <c r="AK15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MIN(AJ1530/8, 1) +
  Merge1[[#This Row],[index_defensive_effort]],
  2
)</f>
        <v>0.67</v>
      </c>
    </row>
    <row r="1531" spans="1:37" x14ac:dyDescent="0.25">
      <c r="A1531" t="s">
        <v>511</v>
      </c>
      <c r="B1531" t="s">
        <v>512</v>
      </c>
      <c r="C1531">
        <v>25</v>
      </c>
      <c r="D1531" t="s">
        <v>56</v>
      </c>
      <c r="E1531">
        <v>71</v>
      </c>
      <c r="F1531">
        <v>182</v>
      </c>
      <c r="G1531" t="s">
        <v>286</v>
      </c>
      <c r="H1531">
        <v>2020</v>
      </c>
      <c r="I1531" t="s">
        <v>33</v>
      </c>
      <c r="J1531">
        <v>1</v>
      </c>
      <c r="K1531">
        <v>7</v>
      </c>
      <c r="L1531">
        <v>1</v>
      </c>
      <c r="M1531">
        <v>0</v>
      </c>
      <c r="N1531">
        <v>1</v>
      </c>
      <c r="O1531">
        <v>0</v>
      </c>
      <c r="P1531">
        <v>0</v>
      </c>
      <c r="Q1531">
        <v>2</v>
      </c>
      <c r="R1531">
        <v>0</v>
      </c>
      <c r="S1531">
        <v>73</v>
      </c>
      <c r="T1531">
        <v>68</v>
      </c>
      <c r="U1531" s="5">
        <f>IF(Merge1[[#This Row],[team_defense_snaps]]=0, "", Merge1[[#This Row],[defense_snaps]] / Merge1[[#This Row],[team_defense_snaps]])</f>
        <v>0.98550724637681164</v>
      </c>
      <c r="V1531">
        <v>69</v>
      </c>
      <c r="W1531">
        <v>5</v>
      </c>
      <c r="X1531" s="5" t="s">
        <v>168</v>
      </c>
      <c r="Y1531">
        <v>1</v>
      </c>
      <c r="Z1531">
        <v>0</v>
      </c>
      <c r="AA1531" t="s">
        <v>25</v>
      </c>
      <c r="AB1531" t="s">
        <v>26</v>
      </c>
      <c r="AC1531" t="s">
        <v>27</v>
      </c>
      <c r="AD1531" t="s">
        <v>42</v>
      </c>
      <c r="AE1531" t="s">
        <v>25</v>
      </c>
      <c r="AF15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0.21232876712328766</v>
      </c>
      <c r="AG1531" t="s">
        <v>941</v>
      </c>
      <c r="AH1531">
        <v>71</v>
      </c>
      <c r="AI1531" t="s">
        <v>939</v>
      </c>
      <c r="AJ1531">
        <v>1</v>
      </c>
      <c r="AK15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MIN(AJ1531/8, 1) +
  Merge1[[#This Row],[index_defensive_effort]],
  2
)</f>
        <v>0.74</v>
      </c>
    </row>
    <row r="1532" spans="1:37" x14ac:dyDescent="0.25">
      <c r="A1532" t="s">
        <v>511</v>
      </c>
      <c r="B1532" t="s">
        <v>512</v>
      </c>
      <c r="C1532">
        <v>25</v>
      </c>
      <c r="D1532" t="s">
        <v>56</v>
      </c>
      <c r="E1532">
        <v>71</v>
      </c>
      <c r="F1532">
        <v>182</v>
      </c>
      <c r="G1532" t="s">
        <v>286</v>
      </c>
      <c r="H1532">
        <v>2020</v>
      </c>
      <c r="I1532" t="s">
        <v>33</v>
      </c>
      <c r="J1532">
        <v>1</v>
      </c>
      <c r="K1532">
        <v>7</v>
      </c>
      <c r="L1532">
        <v>1</v>
      </c>
      <c r="M1532">
        <v>0</v>
      </c>
      <c r="N1532">
        <v>1</v>
      </c>
      <c r="O1532">
        <v>0</v>
      </c>
      <c r="P1532">
        <v>0</v>
      </c>
      <c r="Q1532">
        <v>2</v>
      </c>
      <c r="R1532">
        <v>0</v>
      </c>
      <c r="S1532">
        <v>73</v>
      </c>
      <c r="T1532">
        <v>68</v>
      </c>
      <c r="U1532" s="5">
        <f>IF(Merge1[[#This Row],[team_defense_snaps]]=0, "", Merge1[[#This Row],[defense_snaps]] / Merge1[[#This Row],[team_defense_snaps]])</f>
        <v>0.98550724637681164</v>
      </c>
      <c r="V1532">
        <v>69</v>
      </c>
      <c r="W1532">
        <v>5</v>
      </c>
      <c r="X1532" s="5" t="s">
        <v>168</v>
      </c>
      <c r="Y1532">
        <v>1</v>
      </c>
      <c r="Z1532">
        <v>0</v>
      </c>
      <c r="AA1532" t="s">
        <v>25</v>
      </c>
      <c r="AB1532" t="s">
        <v>26</v>
      </c>
      <c r="AC1532" t="s">
        <v>27</v>
      </c>
      <c r="AD1532" t="s">
        <v>42</v>
      </c>
      <c r="AE1532" t="s">
        <v>25</v>
      </c>
      <c r="AF15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0.21232876712328766</v>
      </c>
      <c r="AG1532" t="s">
        <v>941</v>
      </c>
      <c r="AH1532">
        <v>65</v>
      </c>
      <c r="AI1532" t="s">
        <v>939</v>
      </c>
      <c r="AJ1532">
        <v>2</v>
      </c>
      <c r="AK15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MIN(AJ1532/8, 1) +
  Merge1[[#This Row],[index_defensive_effort]],
  2
)</f>
        <v>0.86</v>
      </c>
    </row>
    <row r="1533" spans="1:37" x14ac:dyDescent="0.25">
      <c r="A1533" t="s">
        <v>511</v>
      </c>
      <c r="B1533" t="s">
        <v>512</v>
      </c>
      <c r="C1533">
        <v>25</v>
      </c>
      <c r="D1533" t="s">
        <v>56</v>
      </c>
      <c r="E1533">
        <v>71</v>
      </c>
      <c r="F1533">
        <v>182</v>
      </c>
      <c r="G1533" t="s">
        <v>286</v>
      </c>
      <c r="H1533">
        <v>2020</v>
      </c>
      <c r="I1533" t="s">
        <v>33</v>
      </c>
      <c r="J1533">
        <v>2</v>
      </c>
      <c r="K1533">
        <v>6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85</v>
      </c>
      <c r="T1533">
        <v>77</v>
      </c>
      <c r="U1533" s="5">
        <f>IF(Merge1[[#This Row],[team_defense_snaps]]=0, "", Merge1[[#This Row],[defense_snaps]] / Merge1[[#This Row],[team_defense_snaps]])</f>
        <v>1</v>
      </c>
      <c r="V1533">
        <v>77</v>
      </c>
      <c r="W1533">
        <v>8</v>
      </c>
      <c r="X1533" s="5" t="s">
        <v>113</v>
      </c>
      <c r="Y1533">
        <v>1</v>
      </c>
      <c r="Z1533">
        <v>0</v>
      </c>
      <c r="AA1533" t="s">
        <v>25</v>
      </c>
      <c r="AB1533" t="s">
        <v>26</v>
      </c>
      <c r="AC1533" t="s">
        <v>27</v>
      </c>
      <c r="AD1533" t="s">
        <v>42</v>
      </c>
      <c r="AE1533" t="s">
        <v>25</v>
      </c>
      <c r="AF15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7.0588235294117646E-2</v>
      </c>
      <c r="AG1533" t="s">
        <v>941</v>
      </c>
      <c r="AH1533">
        <v>56</v>
      </c>
      <c r="AI1533" t="s">
        <v>939</v>
      </c>
      <c r="AJ1533">
        <v>1</v>
      </c>
      <c r="AK15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MIN(AJ1533/8, 1) +
  Merge1[[#This Row],[index_defensive_effort]],
  2
)</f>
        <v>0.6</v>
      </c>
    </row>
    <row r="1534" spans="1:37" x14ac:dyDescent="0.25">
      <c r="A1534" t="s">
        <v>511</v>
      </c>
      <c r="B1534" t="s">
        <v>512</v>
      </c>
      <c r="C1534">
        <v>25</v>
      </c>
      <c r="D1534" t="s">
        <v>56</v>
      </c>
      <c r="E1534">
        <v>71</v>
      </c>
      <c r="F1534">
        <v>182</v>
      </c>
      <c r="G1534" t="s">
        <v>286</v>
      </c>
      <c r="H1534">
        <v>2020</v>
      </c>
      <c r="I1534" t="s">
        <v>33</v>
      </c>
      <c r="J1534">
        <v>2</v>
      </c>
      <c r="K1534">
        <v>6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85</v>
      </c>
      <c r="T1534">
        <v>77</v>
      </c>
      <c r="U1534" s="5">
        <f>IF(Merge1[[#This Row],[team_defense_snaps]]=0, "", Merge1[[#This Row],[defense_snaps]] / Merge1[[#This Row],[team_defense_snaps]])</f>
        <v>1</v>
      </c>
      <c r="V1534">
        <v>77</v>
      </c>
      <c r="W1534">
        <v>8</v>
      </c>
      <c r="X1534" s="5" t="s">
        <v>113</v>
      </c>
      <c r="Y1534">
        <v>1</v>
      </c>
      <c r="Z1534">
        <v>0</v>
      </c>
      <c r="AA1534" t="s">
        <v>25</v>
      </c>
      <c r="AB1534" t="s">
        <v>26</v>
      </c>
      <c r="AC1534" t="s">
        <v>27</v>
      </c>
      <c r="AD1534" t="s">
        <v>42</v>
      </c>
      <c r="AE1534" t="s">
        <v>25</v>
      </c>
      <c r="AF15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7.0588235294117646E-2</v>
      </c>
      <c r="AG1534" t="s">
        <v>941</v>
      </c>
      <c r="AH1534">
        <v>51.5</v>
      </c>
      <c r="AI1534" t="s">
        <v>939</v>
      </c>
      <c r="AJ1534">
        <v>2</v>
      </c>
      <c r="AK15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MIN(AJ1534/8, 1) +
  Merge1[[#This Row],[index_defensive_effort]],
  2
)</f>
        <v>0.72</v>
      </c>
    </row>
    <row r="1535" spans="1:37" x14ac:dyDescent="0.25">
      <c r="A1535" t="s">
        <v>511</v>
      </c>
      <c r="B1535" t="s">
        <v>512</v>
      </c>
      <c r="C1535">
        <v>25</v>
      </c>
      <c r="D1535" t="s">
        <v>56</v>
      </c>
      <c r="E1535">
        <v>71</v>
      </c>
      <c r="F1535">
        <v>182</v>
      </c>
      <c r="G1535" t="s">
        <v>286</v>
      </c>
      <c r="H1535">
        <v>2020</v>
      </c>
      <c r="I1535" t="s">
        <v>33</v>
      </c>
      <c r="J1535">
        <v>3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24</v>
      </c>
      <c r="T1535">
        <v>13</v>
      </c>
      <c r="U1535" s="5">
        <f>IF(Merge1[[#This Row],[team_defense_snaps]]=0, "", Merge1[[#This Row],[defense_snaps]] / Merge1[[#This Row],[team_defense_snaps]])</f>
        <v>0.203125</v>
      </c>
      <c r="V1535">
        <v>64</v>
      </c>
      <c r="W1535">
        <v>11</v>
      </c>
      <c r="X1535" s="5" t="s">
        <v>57</v>
      </c>
      <c r="Y1535">
        <v>1</v>
      </c>
      <c r="Z1535">
        <v>0</v>
      </c>
      <c r="AA1535" t="s">
        <v>25</v>
      </c>
      <c r="AB1535" t="s">
        <v>26</v>
      </c>
      <c r="AC1535" t="s">
        <v>27</v>
      </c>
      <c r="AD1535" t="s">
        <v>28</v>
      </c>
      <c r="AE1535" t="s">
        <v>25</v>
      </c>
      <c r="AF15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1535" t="s">
        <v>941</v>
      </c>
      <c r="AH1535">
        <v>66.5</v>
      </c>
      <c r="AI1535" t="s">
        <v>939</v>
      </c>
      <c r="AJ1535">
        <v>1</v>
      </c>
      <c r="AK15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MIN(AJ1535/8, 1) +
  Merge1[[#This Row],[index_defensive_effort]],
  2
)</f>
        <v>0.56999999999999995</v>
      </c>
    </row>
    <row r="1536" spans="1:37" x14ac:dyDescent="0.25">
      <c r="A1536" t="s">
        <v>511</v>
      </c>
      <c r="B1536" t="s">
        <v>512</v>
      </c>
      <c r="C1536">
        <v>25</v>
      </c>
      <c r="D1536" t="s">
        <v>56</v>
      </c>
      <c r="E1536">
        <v>71</v>
      </c>
      <c r="F1536">
        <v>182</v>
      </c>
      <c r="G1536" t="s">
        <v>286</v>
      </c>
      <c r="H1536">
        <v>2020</v>
      </c>
      <c r="I1536" t="s">
        <v>33</v>
      </c>
      <c r="J1536">
        <v>3</v>
      </c>
      <c r="K1536">
        <v>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24</v>
      </c>
      <c r="T1536">
        <v>13</v>
      </c>
      <c r="U1536" s="5">
        <f>IF(Merge1[[#This Row],[team_defense_snaps]]=0, "", Merge1[[#This Row],[defense_snaps]] / Merge1[[#This Row],[team_defense_snaps]])</f>
        <v>0.203125</v>
      </c>
      <c r="V1536">
        <v>64</v>
      </c>
      <c r="W1536">
        <v>11</v>
      </c>
      <c r="X1536" s="5" t="s">
        <v>57</v>
      </c>
      <c r="Y1536">
        <v>1</v>
      </c>
      <c r="Z1536">
        <v>0</v>
      </c>
      <c r="AA1536" t="s">
        <v>25</v>
      </c>
      <c r="AB1536" t="s">
        <v>26</v>
      </c>
      <c r="AC1536" t="s">
        <v>27</v>
      </c>
      <c r="AD1536" t="s">
        <v>28</v>
      </c>
      <c r="AE1536" t="s">
        <v>25</v>
      </c>
      <c r="AF15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1536" t="s">
        <v>941</v>
      </c>
      <c r="AH1536">
        <v>69.5</v>
      </c>
      <c r="AI1536" t="s">
        <v>939</v>
      </c>
      <c r="AJ1536">
        <v>2</v>
      </c>
      <c r="AK15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MIN(AJ1536/8, 1) +
  Merge1[[#This Row],[index_defensive_effort]],
  2
)</f>
        <v>0.69</v>
      </c>
    </row>
    <row r="1537" spans="1:37" x14ac:dyDescent="0.25">
      <c r="A1537" t="s">
        <v>511</v>
      </c>
      <c r="B1537" t="s">
        <v>512</v>
      </c>
      <c r="C1537">
        <v>25</v>
      </c>
      <c r="D1537" t="s">
        <v>56</v>
      </c>
      <c r="E1537">
        <v>71</v>
      </c>
      <c r="F1537">
        <v>182</v>
      </c>
      <c r="G1537" t="s">
        <v>286</v>
      </c>
      <c r="H1537">
        <v>2020</v>
      </c>
      <c r="I1537" t="s">
        <v>33</v>
      </c>
      <c r="J1537">
        <v>4</v>
      </c>
      <c r="K1537">
        <v>0</v>
      </c>
      <c r="L1537">
        <v>1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19</v>
      </c>
      <c r="T1537">
        <v>9</v>
      </c>
      <c r="U1537" s="5">
        <f>IF(Merge1[[#This Row],[team_defense_snaps]]=0, "", Merge1[[#This Row],[defense_snaps]] / Merge1[[#This Row],[team_defense_snaps]])</f>
        <v>0.15789473684210525</v>
      </c>
      <c r="V1537">
        <v>57</v>
      </c>
      <c r="W1537">
        <v>10</v>
      </c>
      <c r="X1537" s="5" t="s">
        <v>60</v>
      </c>
      <c r="Y1537">
        <v>1</v>
      </c>
      <c r="Z1537">
        <v>0</v>
      </c>
      <c r="AA1537" t="s">
        <v>25</v>
      </c>
      <c r="AB1537" t="s">
        <v>26</v>
      </c>
      <c r="AC1537" t="s">
        <v>27</v>
      </c>
      <c r="AD1537" t="s">
        <v>28</v>
      </c>
      <c r="AE1537" t="s">
        <v>25</v>
      </c>
      <c r="AF15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2.6315789473684209E-2</v>
      </c>
      <c r="AG1537" t="s">
        <v>941</v>
      </c>
      <c r="AH1537">
        <v>53</v>
      </c>
      <c r="AI1537" t="s">
        <v>939</v>
      </c>
      <c r="AJ1537">
        <v>1</v>
      </c>
      <c r="AK15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MIN(AJ1537/8, 1) +
  Merge1[[#This Row],[index_defensive_effort]],
  2
)</f>
        <v>0.55000000000000004</v>
      </c>
    </row>
    <row r="1538" spans="1:37" x14ac:dyDescent="0.25">
      <c r="A1538" t="s">
        <v>511</v>
      </c>
      <c r="B1538" t="s">
        <v>512</v>
      </c>
      <c r="C1538">
        <v>25</v>
      </c>
      <c r="D1538" t="s">
        <v>56</v>
      </c>
      <c r="E1538">
        <v>71</v>
      </c>
      <c r="F1538">
        <v>182</v>
      </c>
      <c r="G1538" t="s">
        <v>286</v>
      </c>
      <c r="H1538">
        <v>2020</v>
      </c>
      <c r="I1538" t="s">
        <v>33</v>
      </c>
      <c r="J1538">
        <v>4</v>
      </c>
      <c r="K1538">
        <v>0</v>
      </c>
      <c r="L1538">
        <v>1</v>
      </c>
      <c r="M1538">
        <v>0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19</v>
      </c>
      <c r="T1538">
        <v>9</v>
      </c>
      <c r="U1538" s="5">
        <f>IF(Merge1[[#This Row],[team_defense_snaps]]=0, "", Merge1[[#This Row],[defense_snaps]] / Merge1[[#This Row],[team_defense_snaps]])</f>
        <v>0.15789473684210525</v>
      </c>
      <c r="V1538">
        <v>57</v>
      </c>
      <c r="W1538">
        <v>10</v>
      </c>
      <c r="X1538" s="5" t="s">
        <v>60</v>
      </c>
      <c r="Y1538">
        <v>1</v>
      </c>
      <c r="Z1538">
        <v>0</v>
      </c>
      <c r="AA1538" t="s">
        <v>25</v>
      </c>
      <c r="AB1538" t="s">
        <v>26</v>
      </c>
      <c r="AC1538" t="s">
        <v>27</v>
      </c>
      <c r="AD1538" t="s">
        <v>28</v>
      </c>
      <c r="AE1538" t="s">
        <v>25</v>
      </c>
      <c r="AF15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2.6315789473684209E-2</v>
      </c>
      <c r="AG1538" t="s">
        <v>941</v>
      </c>
      <c r="AH1538">
        <v>54</v>
      </c>
      <c r="AI1538" t="s">
        <v>939</v>
      </c>
      <c r="AJ1538">
        <v>2</v>
      </c>
      <c r="AK15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MIN(AJ1538/8, 1) +
  Merge1[[#This Row],[index_defensive_effort]],
  2
)</f>
        <v>0.68</v>
      </c>
    </row>
    <row r="1539" spans="1:37" x14ac:dyDescent="0.25">
      <c r="A1539" t="s">
        <v>511</v>
      </c>
      <c r="B1539" t="s">
        <v>512</v>
      </c>
      <c r="C1539">
        <v>25</v>
      </c>
      <c r="D1539" t="s">
        <v>56</v>
      </c>
      <c r="E1539">
        <v>71</v>
      </c>
      <c r="F1539">
        <v>182</v>
      </c>
      <c r="G1539" t="s">
        <v>286</v>
      </c>
      <c r="H1539">
        <v>2020</v>
      </c>
      <c r="I1539" t="s">
        <v>33</v>
      </c>
      <c r="J1539">
        <v>5</v>
      </c>
      <c r="K1539">
        <v>2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25</v>
      </c>
      <c r="T1539">
        <v>15</v>
      </c>
      <c r="U1539" s="5">
        <f>IF(Merge1[[#This Row],[team_defense_snaps]]=0, "", Merge1[[#This Row],[defense_snaps]] / Merge1[[#This Row],[team_defense_snaps]])</f>
        <v>0.22058823529411764</v>
      </c>
      <c r="V1539">
        <v>68</v>
      </c>
      <c r="W1539">
        <v>10</v>
      </c>
      <c r="X1539" s="5" t="s">
        <v>123</v>
      </c>
      <c r="Y1539">
        <v>1</v>
      </c>
      <c r="Z1539">
        <v>0</v>
      </c>
      <c r="AA1539" t="s">
        <v>25</v>
      </c>
      <c r="AB1539" t="s">
        <v>26</v>
      </c>
      <c r="AC1539" t="s">
        <v>27</v>
      </c>
      <c r="AD1539" t="s">
        <v>28</v>
      </c>
      <c r="AE1539" t="s">
        <v>25</v>
      </c>
      <c r="AF15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0.08</v>
      </c>
      <c r="AG1539" t="s">
        <v>941</v>
      </c>
      <c r="AH1539">
        <v>68</v>
      </c>
      <c r="AI1539" t="s">
        <v>939</v>
      </c>
      <c r="AJ1539">
        <v>1</v>
      </c>
      <c r="AK15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MIN(AJ1539/8, 1) +
  Merge1[[#This Row],[index_defensive_effort]],
  2
)</f>
        <v>0.61</v>
      </c>
    </row>
    <row r="1540" spans="1:37" x14ac:dyDescent="0.25">
      <c r="A1540" t="s">
        <v>511</v>
      </c>
      <c r="B1540" t="s">
        <v>512</v>
      </c>
      <c r="C1540">
        <v>25</v>
      </c>
      <c r="D1540" t="s">
        <v>56</v>
      </c>
      <c r="E1540">
        <v>71</v>
      </c>
      <c r="F1540">
        <v>182</v>
      </c>
      <c r="G1540" t="s">
        <v>286</v>
      </c>
      <c r="H1540">
        <v>2020</v>
      </c>
      <c r="I1540" t="s">
        <v>33</v>
      </c>
      <c r="J1540">
        <v>5</v>
      </c>
      <c r="K1540">
        <v>2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25</v>
      </c>
      <c r="T1540">
        <v>15</v>
      </c>
      <c r="U1540" s="5">
        <f>IF(Merge1[[#This Row],[team_defense_snaps]]=0, "", Merge1[[#This Row],[defense_snaps]] / Merge1[[#This Row],[team_defense_snaps]])</f>
        <v>0.22058823529411764</v>
      </c>
      <c r="V1540">
        <v>68</v>
      </c>
      <c r="W1540">
        <v>10</v>
      </c>
      <c r="X1540" s="5" t="s">
        <v>123</v>
      </c>
      <c r="Y1540">
        <v>1</v>
      </c>
      <c r="Z1540">
        <v>0</v>
      </c>
      <c r="AA1540" t="s">
        <v>25</v>
      </c>
      <c r="AB1540" t="s">
        <v>26</v>
      </c>
      <c r="AC1540" t="s">
        <v>27</v>
      </c>
      <c r="AD1540" t="s">
        <v>28</v>
      </c>
      <c r="AE1540" t="s">
        <v>25</v>
      </c>
      <c r="AF15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0.08</v>
      </c>
      <c r="AG1540" t="s">
        <v>941</v>
      </c>
      <c r="AH1540">
        <v>72.5</v>
      </c>
      <c r="AI1540" t="s">
        <v>939</v>
      </c>
      <c r="AJ1540">
        <v>2</v>
      </c>
      <c r="AK15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MIN(AJ1540/8, 1) +
  Merge1[[#This Row],[index_defensive_effort]],
  2
)</f>
        <v>0.73</v>
      </c>
    </row>
    <row r="1541" spans="1:37" x14ac:dyDescent="0.25">
      <c r="A1541" t="s">
        <v>511</v>
      </c>
      <c r="B1541" t="s">
        <v>512</v>
      </c>
      <c r="C1541">
        <v>25</v>
      </c>
      <c r="D1541" t="s">
        <v>56</v>
      </c>
      <c r="E1541">
        <v>71</v>
      </c>
      <c r="F1541">
        <v>182</v>
      </c>
      <c r="G1541" t="s">
        <v>286</v>
      </c>
      <c r="H1541">
        <v>2020</v>
      </c>
      <c r="I1541" t="s">
        <v>33</v>
      </c>
      <c r="J1541">
        <v>6</v>
      </c>
      <c r="K1541">
        <v>2</v>
      </c>
      <c r="L1541">
        <v>1</v>
      </c>
      <c r="M1541">
        <v>0</v>
      </c>
      <c r="N1541">
        <v>1</v>
      </c>
      <c r="O1541">
        <v>0</v>
      </c>
      <c r="P1541">
        <v>1</v>
      </c>
      <c r="Q1541">
        <v>0</v>
      </c>
      <c r="R1541">
        <v>0</v>
      </c>
      <c r="S1541">
        <v>34</v>
      </c>
      <c r="T1541">
        <v>27</v>
      </c>
      <c r="U1541" s="5">
        <f>IF(Merge1[[#This Row],[team_defense_snaps]]=0, "", Merge1[[#This Row],[defense_snaps]] / Merge1[[#This Row],[team_defense_snaps]])</f>
        <v>0.54</v>
      </c>
      <c r="V1541">
        <v>50</v>
      </c>
      <c r="W1541">
        <v>7</v>
      </c>
      <c r="X1541" s="5" t="s">
        <v>108</v>
      </c>
      <c r="Y1541">
        <v>1</v>
      </c>
      <c r="Z1541">
        <v>0</v>
      </c>
      <c r="AA1541" t="s">
        <v>25</v>
      </c>
      <c r="AB1541" t="s">
        <v>26</v>
      </c>
      <c r="AC1541" t="s">
        <v>27</v>
      </c>
      <c r="AD1541" t="s">
        <v>28</v>
      </c>
      <c r="AE1541" t="s">
        <v>25</v>
      </c>
      <c r="AF15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0.13235294117647059</v>
      </c>
      <c r="AG1541" t="s">
        <v>941</v>
      </c>
      <c r="AH1541">
        <v>62</v>
      </c>
      <c r="AI1541" t="s">
        <v>939</v>
      </c>
      <c r="AJ1541">
        <v>1</v>
      </c>
      <c r="AK15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MIN(AJ1541/8, 1) +
  Merge1[[#This Row],[index_defensive_effort]],
  2
)</f>
        <v>0.66</v>
      </c>
    </row>
    <row r="1542" spans="1:37" x14ac:dyDescent="0.25">
      <c r="A1542" t="s">
        <v>511</v>
      </c>
      <c r="B1542" t="s">
        <v>512</v>
      </c>
      <c r="C1542">
        <v>25</v>
      </c>
      <c r="D1542" t="s">
        <v>56</v>
      </c>
      <c r="E1542">
        <v>71</v>
      </c>
      <c r="F1542">
        <v>182</v>
      </c>
      <c r="G1542" t="s">
        <v>286</v>
      </c>
      <c r="H1542">
        <v>2020</v>
      </c>
      <c r="I1542" t="s">
        <v>33</v>
      </c>
      <c r="J1542">
        <v>6</v>
      </c>
      <c r="K1542">
        <v>2</v>
      </c>
      <c r="L1542">
        <v>1</v>
      </c>
      <c r="M1542">
        <v>0</v>
      </c>
      <c r="N1542">
        <v>1</v>
      </c>
      <c r="O1542">
        <v>0</v>
      </c>
      <c r="P1542">
        <v>1</v>
      </c>
      <c r="Q1542">
        <v>0</v>
      </c>
      <c r="R1542">
        <v>0</v>
      </c>
      <c r="S1542">
        <v>34</v>
      </c>
      <c r="T1542">
        <v>27</v>
      </c>
      <c r="U1542" s="5">
        <f>IF(Merge1[[#This Row],[team_defense_snaps]]=0, "", Merge1[[#This Row],[defense_snaps]] / Merge1[[#This Row],[team_defense_snaps]])</f>
        <v>0.54</v>
      </c>
      <c r="V1542">
        <v>50</v>
      </c>
      <c r="W1542">
        <v>7</v>
      </c>
      <c r="X1542" s="5" t="s">
        <v>108</v>
      </c>
      <c r="Y1542">
        <v>1</v>
      </c>
      <c r="Z1542">
        <v>0</v>
      </c>
      <c r="AA1542" t="s">
        <v>25</v>
      </c>
      <c r="AB1542" t="s">
        <v>26</v>
      </c>
      <c r="AC1542" t="s">
        <v>27</v>
      </c>
      <c r="AD1542" t="s">
        <v>28</v>
      </c>
      <c r="AE1542" t="s">
        <v>25</v>
      </c>
      <c r="AF15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0.13235294117647059</v>
      </c>
      <c r="AG1542" t="s">
        <v>941</v>
      </c>
      <c r="AH1542">
        <v>50</v>
      </c>
      <c r="AI1542" t="s">
        <v>939</v>
      </c>
      <c r="AJ1542">
        <v>2</v>
      </c>
      <c r="AK15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MIN(AJ1542/8, 1) +
  Merge1[[#This Row],[index_defensive_effort]],
  2
)</f>
        <v>0.78</v>
      </c>
    </row>
    <row r="1543" spans="1:37" x14ac:dyDescent="0.25">
      <c r="A1543" t="s">
        <v>511</v>
      </c>
      <c r="B1543" t="s">
        <v>512</v>
      </c>
      <c r="C1543">
        <v>25</v>
      </c>
      <c r="D1543" t="s">
        <v>56</v>
      </c>
      <c r="E1543">
        <v>71</v>
      </c>
      <c r="F1543">
        <v>182</v>
      </c>
      <c r="G1543" t="s">
        <v>286</v>
      </c>
      <c r="H1543">
        <v>2020</v>
      </c>
      <c r="I1543" t="s">
        <v>33</v>
      </c>
      <c r="J1543">
        <v>7</v>
      </c>
      <c r="K1543">
        <v>2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57</v>
      </c>
      <c r="T1543">
        <v>45</v>
      </c>
      <c r="U1543" s="5">
        <f>IF(Merge1[[#This Row],[team_defense_snaps]]=0, "", Merge1[[#This Row],[defense_snaps]] / Merge1[[#This Row],[team_defense_snaps]])</f>
        <v>0.78947368421052633</v>
      </c>
      <c r="V1543">
        <v>57</v>
      </c>
      <c r="W1543">
        <v>12</v>
      </c>
      <c r="X1543" s="5" t="s">
        <v>276</v>
      </c>
      <c r="Y1543">
        <v>1</v>
      </c>
      <c r="Z1543">
        <v>0</v>
      </c>
      <c r="AA1543" t="s">
        <v>25</v>
      </c>
      <c r="AB1543" t="s">
        <v>26</v>
      </c>
      <c r="AC1543" t="s">
        <v>27</v>
      </c>
      <c r="AD1543" t="s">
        <v>28</v>
      </c>
      <c r="AE1543" t="s">
        <v>25</v>
      </c>
      <c r="AF15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3.5087719298245612E-2</v>
      </c>
      <c r="AG1543" t="s">
        <v>941</v>
      </c>
      <c r="AH1543">
        <v>57.5</v>
      </c>
      <c r="AI1543" t="s">
        <v>939</v>
      </c>
      <c r="AJ1543">
        <v>1</v>
      </c>
      <c r="AK15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MIN(AJ1543/8, 1) +
  Merge1[[#This Row],[index_defensive_effort]],
  2
)</f>
        <v>0.56000000000000005</v>
      </c>
    </row>
    <row r="1544" spans="1:37" x14ac:dyDescent="0.25">
      <c r="A1544" t="s">
        <v>511</v>
      </c>
      <c r="B1544" t="s">
        <v>512</v>
      </c>
      <c r="C1544">
        <v>25</v>
      </c>
      <c r="D1544" t="s">
        <v>56</v>
      </c>
      <c r="E1544">
        <v>71</v>
      </c>
      <c r="F1544">
        <v>182</v>
      </c>
      <c r="G1544" t="s">
        <v>286</v>
      </c>
      <c r="H1544">
        <v>2020</v>
      </c>
      <c r="I1544" t="s">
        <v>33</v>
      </c>
      <c r="J1544">
        <v>7</v>
      </c>
      <c r="K1544">
        <v>2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57</v>
      </c>
      <c r="T1544">
        <v>45</v>
      </c>
      <c r="U1544" s="5">
        <f>IF(Merge1[[#This Row],[team_defense_snaps]]=0, "", Merge1[[#This Row],[defense_snaps]] / Merge1[[#This Row],[team_defense_snaps]])</f>
        <v>0.78947368421052633</v>
      </c>
      <c r="V1544">
        <v>57</v>
      </c>
      <c r="W1544">
        <v>12</v>
      </c>
      <c r="X1544" s="5" t="s">
        <v>276</v>
      </c>
      <c r="Y1544">
        <v>1</v>
      </c>
      <c r="Z1544">
        <v>0</v>
      </c>
      <c r="AA1544" t="s">
        <v>25</v>
      </c>
      <c r="AB1544" t="s">
        <v>26</v>
      </c>
      <c r="AC1544" t="s">
        <v>27</v>
      </c>
      <c r="AD1544" t="s">
        <v>28</v>
      </c>
      <c r="AE1544" t="s">
        <v>25</v>
      </c>
      <c r="AF15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3.5087719298245612E-2</v>
      </c>
      <c r="AG1544" t="s">
        <v>941</v>
      </c>
      <c r="AH1544">
        <v>59</v>
      </c>
      <c r="AI1544" t="s">
        <v>939</v>
      </c>
      <c r="AJ1544">
        <v>1</v>
      </c>
      <c r="AK15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MIN(AJ1544/8, 1) +
  Merge1[[#This Row],[index_defensive_effort]],
  2
)</f>
        <v>0.56000000000000005</v>
      </c>
    </row>
    <row r="1545" spans="1:37" x14ac:dyDescent="0.25">
      <c r="A1545" t="s">
        <v>511</v>
      </c>
      <c r="B1545" t="s">
        <v>512</v>
      </c>
      <c r="C1545">
        <v>25</v>
      </c>
      <c r="D1545" t="s">
        <v>56</v>
      </c>
      <c r="E1545">
        <v>71</v>
      </c>
      <c r="F1545">
        <v>182</v>
      </c>
      <c r="G1545" t="s">
        <v>286</v>
      </c>
      <c r="H1545">
        <v>2020</v>
      </c>
      <c r="I1545" t="s">
        <v>33</v>
      </c>
      <c r="J1545">
        <v>9</v>
      </c>
      <c r="K1545">
        <v>3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48</v>
      </c>
      <c r="T1545">
        <v>39</v>
      </c>
      <c r="U1545" s="5">
        <f>IF(Merge1[[#This Row],[team_defense_snaps]]=0, "", Merge1[[#This Row],[defense_snaps]] / Merge1[[#This Row],[team_defense_snaps]])</f>
        <v>0.50649350649350644</v>
      </c>
      <c r="V1545">
        <v>77</v>
      </c>
      <c r="W1545">
        <v>9</v>
      </c>
      <c r="X1545" s="5" t="s">
        <v>70</v>
      </c>
      <c r="Y1545">
        <v>1</v>
      </c>
      <c r="Z1545">
        <v>0</v>
      </c>
      <c r="AA1545" t="s">
        <v>25</v>
      </c>
      <c r="AB1545" t="s">
        <v>26</v>
      </c>
      <c r="AC1545" t="s">
        <v>27</v>
      </c>
      <c r="AD1545" t="s">
        <v>28</v>
      </c>
      <c r="AE1545" t="s">
        <v>25</v>
      </c>
      <c r="AF15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1545" t="s">
        <v>941</v>
      </c>
      <c r="AH1545">
        <v>74</v>
      </c>
      <c r="AI1545" t="s">
        <v>939</v>
      </c>
      <c r="AJ1545">
        <v>1</v>
      </c>
      <c r="AK15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MIN(AJ1545/8, 1) +
  Merge1[[#This Row],[index_defensive_effort]],
  2
)</f>
        <v>0.59</v>
      </c>
    </row>
    <row r="1546" spans="1:37" x14ac:dyDescent="0.25">
      <c r="A1546" t="s">
        <v>511</v>
      </c>
      <c r="B1546" t="s">
        <v>512</v>
      </c>
      <c r="C1546">
        <v>25</v>
      </c>
      <c r="D1546" t="s">
        <v>56</v>
      </c>
      <c r="E1546">
        <v>71</v>
      </c>
      <c r="F1546">
        <v>182</v>
      </c>
      <c r="G1546" t="s">
        <v>286</v>
      </c>
      <c r="H1546">
        <v>2020</v>
      </c>
      <c r="I1546" t="s">
        <v>33</v>
      </c>
      <c r="J1546">
        <v>9</v>
      </c>
      <c r="K1546">
        <v>3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48</v>
      </c>
      <c r="T1546">
        <v>39</v>
      </c>
      <c r="U1546" s="5">
        <f>IF(Merge1[[#This Row],[team_defense_snaps]]=0, "", Merge1[[#This Row],[defense_snaps]] / Merge1[[#This Row],[team_defense_snaps]])</f>
        <v>0.50649350649350644</v>
      </c>
      <c r="V1546">
        <v>77</v>
      </c>
      <c r="W1546">
        <v>9</v>
      </c>
      <c r="X1546" s="5" t="s">
        <v>70</v>
      </c>
      <c r="Y1546">
        <v>1</v>
      </c>
      <c r="Z1546">
        <v>0</v>
      </c>
      <c r="AA1546" t="s">
        <v>25</v>
      </c>
      <c r="AB1546" t="s">
        <v>26</v>
      </c>
      <c r="AC1546" t="s">
        <v>27</v>
      </c>
      <c r="AD1546" t="s">
        <v>28</v>
      </c>
      <c r="AE1546" t="s">
        <v>25</v>
      </c>
      <c r="AF15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1546" t="s">
        <v>941</v>
      </c>
      <c r="AH1546">
        <v>65</v>
      </c>
      <c r="AI1546" t="s">
        <v>939</v>
      </c>
      <c r="AJ1546">
        <v>1</v>
      </c>
      <c r="AK15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MIN(AJ1546/8, 1) +
  Merge1[[#This Row],[index_defensive_effort]],
  2
)</f>
        <v>0.59</v>
      </c>
    </row>
    <row r="1547" spans="1:37" x14ac:dyDescent="0.25">
      <c r="A1547" t="s">
        <v>511</v>
      </c>
      <c r="B1547" t="s">
        <v>512</v>
      </c>
      <c r="C1547">
        <v>25</v>
      </c>
      <c r="D1547" t="s">
        <v>56</v>
      </c>
      <c r="E1547">
        <v>71</v>
      </c>
      <c r="F1547">
        <v>182</v>
      </c>
      <c r="G1547" t="s">
        <v>286</v>
      </c>
      <c r="H1547">
        <v>2020</v>
      </c>
      <c r="I1547" t="s">
        <v>33</v>
      </c>
      <c r="J1547">
        <v>11</v>
      </c>
      <c r="K1547">
        <v>1</v>
      </c>
      <c r="L1547">
        <v>3</v>
      </c>
      <c r="M1547">
        <v>0</v>
      </c>
      <c r="N1547">
        <v>3</v>
      </c>
      <c r="O1547">
        <v>3</v>
      </c>
      <c r="P1547">
        <v>4</v>
      </c>
      <c r="Q1547">
        <v>0</v>
      </c>
      <c r="R1547">
        <v>0</v>
      </c>
      <c r="S1547">
        <v>62</v>
      </c>
      <c r="T1547">
        <v>54</v>
      </c>
      <c r="U1547" s="5">
        <f>IF(Merge1[[#This Row],[team_defense_snaps]]=0, "", Merge1[[#This Row],[defense_snaps]] / Merge1[[#This Row],[team_defense_snaps]])</f>
        <v>0.78260869565217395</v>
      </c>
      <c r="V1547">
        <v>69</v>
      </c>
      <c r="W1547">
        <v>8</v>
      </c>
      <c r="X1547" s="5" t="s">
        <v>138</v>
      </c>
      <c r="Y1547">
        <v>1</v>
      </c>
      <c r="Z1547">
        <v>0</v>
      </c>
      <c r="AA1547" t="s">
        <v>25</v>
      </c>
      <c r="AB1547" t="s">
        <v>26</v>
      </c>
      <c r="AC1547" t="s">
        <v>27</v>
      </c>
      <c r="AD1547" t="s">
        <v>42</v>
      </c>
      <c r="AE1547" t="s">
        <v>25</v>
      </c>
      <c r="AF15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0.31451612903225806</v>
      </c>
      <c r="AG1547" t="s">
        <v>941</v>
      </c>
      <c r="AH1547">
        <v>69.5</v>
      </c>
      <c r="AI1547" t="s">
        <v>939</v>
      </c>
      <c r="AJ1547">
        <v>1</v>
      </c>
      <c r="AK15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MIN(AJ1547/8, 1) +
  Merge1[[#This Row],[index_defensive_effort]],
  2
)</f>
        <v>0.84</v>
      </c>
    </row>
    <row r="1548" spans="1:37" x14ac:dyDescent="0.25">
      <c r="A1548" t="s">
        <v>511</v>
      </c>
      <c r="B1548" t="s">
        <v>512</v>
      </c>
      <c r="C1548">
        <v>25</v>
      </c>
      <c r="D1548" t="s">
        <v>56</v>
      </c>
      <c r="E1548">
        <v>71</v>
      </c>
      <c r="F1548">
        <v>182</v>
      </c>
      <c r="G1548" t="s">
        <v>286</v>
      </c>
      <c r="H1548">
        <v>2020</v>
      </c>
      <c r="I1548" t="s">
        <v>33</v>
      </c>
      <c r="J1548">
        <v>11</v>
      </c>
      <c r="K1548">
        <v>1</v>
      </c>
      <c r="L1548">
        <v>3</v>
      </c>
      <c r="M1548">
        <v>0</v>
      </c>
      <c r="N1548">
        <v>3</v>
      </c>
      <c r="O1548">
        <v>3</v>
      </c>
      <c r="P1548">
        <v>4</v>
      </c>
      <c r="Q1548">
        <v>0</v>
      </c>
      <c r="R1548">
        <v>0</v>
      </c>
      <c r="S1548">
        <v>62</v>
      </c>
      <c r="T1548">
        <v>54</v>
      </c>
      <c r="U1548" s="5">
        <f>IF(Merge1[[#This Row],[team_defense_snaps]]=0, "", Merge1[[#This Row],[defense_snaps]] / Merge1[[#This Row],[team_defense_snaps]])</f>
        <v>0.78260869565217395</v>
      </c>
      <c r="V1548">
        <v>69</v>
      </c>
      <c r="W1548">
        <v>8</v>
      </c>
      <c r="X1548" s="5" t="s">
        <v>138</v>
      </c>
      <c r="Y1548">
        <v>1</v>
      </c>
      <c r="Z1548">
        <v>0</v>
      </c>
      <c r="AA1548" t="s">
        <v>25</v>
      </c>
      <c r="AB1548" t="s">
        <v>26</v>
      </c>
      <c r="AC1548" t="s">
        <v>27</v>
      </c>
      <c r="AD1548" t="s">
        <v>42</v>
      </c>
      <c r="AE1548" t="s">
        <v>25</v>
      </c>
      <c r="AF15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0.31451612903225806</v>
      </c>
      <c r="AG1548" t="s">
        <v>941</v>
      </c>
      <c r="AH1548">
        <v>68</v>
      </c>
      <c r="AI1548" t="s">
        <v>939</v>
      </c>
      <c r="AJ1548">
        <v>2</v>
      </c>
      <c r="AK15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MIN(AJ1548/8, 1) +
  Merge1[[#This Row],[index_defensive_effort]],
  2
)</f>
        <v>0.96</v>
      </c>
    </row>
    <row r="1549" spans="1:37" x14ac:dyDescent="0.25">
      <c r="A1549" t="s">
        <v>511</v>
      </c>
      <c r="B1549" t="s">
        <v>512</v>
      </c>
      <c r="C1549">
        <v>25</v>
      </c>
      <c r="D1549" t="s">
        <v>56</v>
      </c>
      <c r="E1549">
        <v>71</v>
      </c>
      <c r="F1549">
        <v>182</v>
      </c>
      <c r="G1549" t="s">
        <v>286</v>
      </c>
      <c r="H1549">
        <v>2020</v>
      </c>
      <c r="I1549" t="s">
        <v>33</v>
      </c>
      <c r="J1549">
        <v>12</v>
      </c>
      <c r="K1549">
        <v>4</v>
      </c>
      <c r="L1549">
        <v>1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48</v>
      </c>
      <c r="T1549">
        <v>41</v>
      </c>
      <c r="U1549" s="5">
        <f>IF(Merge1[[#This Row],[team_defense_snaps]]=0, "", Merge1[[#This Row],[defense_snaps]] / Merge1[[#This Row],[team_defense_snaps]])</f>
        <v>0.69491525423728817</v>
      </c>
      <c r="V1549">
        <v>59</v>
      </c>
      <c r="W1549">
        <v>7</v>
      </c>
      <c r="X1549" s="5" t="s">
        <v>133</v>
      </c>
      <c r="Y1549">
        <v>1</v>
      </c>
      <c r="Z1549">
        <v>0</v>
      </c>
      <c r="AA1549" t="s">
        <v>25</v>
      </c>
      <c r="AB1549" t="s">
        <v>26</v>
      </c>
      <c r="AC1549" t="s">
        <v>27</v>
      </c>
      <c r="AD1549" t="s">
        <v>42</v>
      </c>
      <c r="AE1549" t="s">
        <v>25</v>
      </c>
      <c r="AF15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9.375E-2</v>
      </c>
      <c r="AG1549" t="s">
        <v>941</v>
      </c>
      <c r="AH1549">
        <v>59</v>
      </c>
      <c r="AI1549" t="s">
        <v>939</v>
      </c>
      <c r="AJ1549">
        <v>1</v>
      </c>
      <c r="AK15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MIN(AJ1549/8, 1) +
  Merge1[[#This Row],[index_defensive_effort]],
  2
)</f>
        <v>0.62</v>
      </c>
    </row>
    <row r="1550" spans="1:37" x14ac:dyDescent="0.25">
      <c r="A1550" t="s">
        <v>511</v>
      </c>
      <c r="B1550" t="s">
        <v>512</v>
      </c>
      <c r="C1550">
        <v>25</v>
      </c>
      <c r="D1550" t="s">
        <v>56</v>
      </c>
      <c r="E1550">
        <v>71</v>
      </c>
      <c r="F1550">
        <v>182</v>
      </c>
      <c r="G1550" t="s">
        <v>286</v>
      </c>
      <c r="H1550">
        <v>2020</v>
      </c>
      <c r="I1550" t="s">
        <v>33</v>
      </c>
      <c r="J1550">
        <v>12</v>
      </c>
      <c r="K1550">
        <v>4</v>
      </c>
      <c r="L1550">
        <v>1</v>
      </c>
      <c r="M1550">
        <v>0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48</v>
      </c>
      <c r="T1550">
        <v>41</v>
      </c>
      <c r="U1550" s="5">
        <f>IF(Merge1[[#This Row],[team_defense_snaps]]=0, "", Merge1[[#This Row],[defense_snaps]] / Merge1[[#This Row],[team_defense_snaps]])</f>
        <v>0.69491525423728817</v>
      </c>
      <c r="V1550">
        <v>59</v>
      </c>
      <c r="W1550">
        <v>7</v>
      </c>
      <c r="X1550" s="5" t="s">
        <v>133</v>
      </c>
      <c r="Y1550">
        <v>1</v>
      </c>
      <c r="Z1550">
        <v>0</v>
      </c>
      <c r="AA1550" t="s">
        <v>25</v>
      </c>
      <c r="AB1550" t="s">
        <v>26</v>
      </c>
      <c r="AC1550" t="s">
        <v>27</v>
      </c>
      <c r="AD1550" t="s">
        <v>42</v>
      </c>
      <c r="AE1550" t="s">
        <v>25</v>
      </c>
      <c r="AF15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9.375E-2</v>
      </c>
      <c r="AG1550" t="s">
        <v>941</v>
      </c>
      <c r="AH1550">
        <v>72.5</v>
      </c>
      <c r="AI1550" t="s">
        <v>939</v>
      </c>
      <c r="AJ1550">
        <v>2</v>
      </c>
      <c r="AK15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MIN(AJ1550/8, 1) +
  Merge1[[#This Row],[index_defensive_effort]],
  2
)</f>
        <v>0.74</v>
      </c>
    </row>
    <row r="1551" spans="1:37" x14ac:dyDescent="0.25">
      <c r="A1551" t="s">
        <v>511</v>
      </c>
      <c r="B1551" t="s">
        <v>512</v>
      </c>
      <c r="C1551">
        <v>25</v>
      </c>
      <c r="D1551" t="s">
        <v>56</v>
      </c>
      <c r="E1551">
        <v>71</v>
      </c>
      <c r="F1551">
        <v>182</v>
      </c>
      <c r="G1551" t="s">
        <v>286</v>
      </c>
      <c r="H1551">
        <v>2020</v>
      </c>
      <c r="I1551" t="s">
        <v>33</v>
      </c>
      <c r="J1551">
        <v>13</v>
      </c>
      <c r="K1551">
        <v>3</v>
      </c>
      <c r="L1551">
        <v>1</v>
      </c>
      <c r="M1551">
        <v>0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67</v>
      </c>
      <c r="T1551">
        <v>58</v>
      </c>
      <c r="U1551" s="5">
        <f>IF(Merge1[[#This Row],[team_defense_snaps]]=0, "", Merge1[[#This Row],[defense_snaps]] / Merge1[[#This Row],[team_defense_snaps]])</f>
        <v>0.81690140845070425</v>
      </c>
      <c r="V1551">
        <v>71</v>
      </c>
      <c r="W1551">
        <v>9</v>
      </c>
      <c r="X1551" s="5" t="s">
        <v>261</v>
      </c>
      <c r="Y1551">
        <v>1</v>
      </c>
      <c r="Z1551">
        <v>0</v>
      </c>
      <c r="AA1551" t="s">
        <v>25</v>
      </c>
      <c r="AB1551" t="s">
        <v>26</v>
      </c>
      <c r="AC1551" t="s">
        <v>27</v>
      </c>
      <c r="AD1551" t="s">
        <v>28</v>
      </c>
      <c r="AE1551" t="s">
        <v>25</v>
      </c>
      <c r="AF15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5.2238805970149252E-2</v>
      </c>
      <c r="AG1551" t="s">
        <v>941</v>
      </c>
      <c r="AH1551">
        <v>62</v>
      </c>
      <c r="AI1551" t="s">
        <v>939</v>
      </c>
      <c r="AJ1551">
        <v>1</v>
      </c>
      <c r="AK15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MIN(AJ1551/8, 1) +
  Merge1[[#This Row],[index_defensive_effort]],
  2
)</f>
        <v>0.57999999999999996</v>
      </c>
    </row>
    <row r="1552" spans="1:37" x14ac:dyDescent="0.25">
      <c r="A1552" t="s">
        <v>511</v>
      </c>
      <c r="B1552" t="s">
        <v>512</v>
      </c>
      <c r="C1552">
        <v>25</v>
      </c>
      <c r="D1552" t="s">
        <v>56</v>
      </c>
      <c r="E1552">
        <v>71</v>
      </c>
      <c r="F1552">
        <v>182</v>
      </c>
      <c r="G1552" t="s">
        <v>286</v>
      </c>
      <c r="H1552">
        <v>2020</v>
      </c>
      <c r="I1552" t="s">
        <v>33</v>
      </c>
      <c r="J1552">
        <v>13</v>
      </c>
      <c r="K1552">
        <v>3</v>
      </c>
      <c r="L1552">
        <v>1</v>
      </c>
      <c r="M1552">
        <v>0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67</v>
      </c>
      <c r="T1552">
        <v>58</v>
      </c>
      <c r="U1552" s="5">
        <f>IF(Merge1[[#This Row],[team_defense_snaps]]=0, "", Merge1[[#This Row],[defense_snaps]] / Merge1[[#This Row],[team_defense_snaps]])</f>
        <v>0.81690140845070425</v>
      </c>
      <c r="V1552">
        <v>71</v>
      </c>
      <c r="W1552">
        <v>9</v>
      </c>
      <c r="X1552" s="5" t="s">
        <v>261</v>
      </c>
      <c r="Y1552">
        <v>1</v>
      </c>
      <c r="Z1552">
        <v>0</v>
      </c>
      <c r="AA1552" t="s">
        <v>25</v>
      </c>
      <c r="AB1552" t="s">
        <v>26</v>
      </c>
      <c r="AC1552" t="s">
        <v>27</v>
      </c>
      <c r="AD1552" t="s">
        <v>28</v>
      </c>
      <c r="AE1552" t="s">
        <v>25</v>
      </c>
      <c r="AF15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5.2238805970149252E-2</v>
      </c>
      <c r="AG1552" t="s">
        <v>941</v>
      </c>
      <c r="AH1552">
        <v>50</v>
      </c>
      <c r="AI1552" t="s">
        <v>939</v>
      </c>
      <c r="AJ1552">
        <v>1</v>
      </c>
      <c r="AK15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MIN(AJ1552/8, 1) +
  Merge1[[#This Row],[index_defensive_effort]],
  2
)</f>
        <v>0.57999999999999996</v>
      </c>
    </row>
    <row r="1553" spans="1:37" x14ac:dyDescent="0.25">
      <c r="A1553" t="s">
        <v>511</v>
      </c>
      <c r="B1553" t="s">
        <v>512</v>
      </c>
      <c r="C1553">
        <v>25</v>
      </c>
      <c r="D1553" t="s">
        <v>56</v>
      </c>
      <c r="E1553">
        <v>71</v>
      </c>
      <c r="F1553">
        <v>182</v>
      </c>
      <c r="G1553" t="s">
        <v>286</v>
      </c>
      <c r="H1553">
        <v>2020</v>
      </c>
      <c r="I1553" t="s">
        <v>33</v>
      </c>
      <c r="J1553">
        <v>15</v>
      </c>
      <c r="K1553">
        <v>2</v>
      </c>
      <c r="L1553">
        <v>4</v>
      </c>
      <c r="M1553">
        <v>1</v>
      </c>
      <c r="N1553">
        <v>5</v>
      </c>
      <c r="O1553">
        <v>0</v>
      </c>
      <c r="P1553">
        <v>0</v>
      </c>
      <c r="Q1553">
        <v>0</v>
      </c>
      <c r="R1553">
        <v>0</v>
      </c>
      <c r="S1553">
        <v>37</v>
      </c>
      <c r="T1553">
        <v>29</v>
      </c>
      <c r="U1553" s="5">
        <f>IF(Merge1[[#This Row],[team_defense_snaps]]=0, "", Merge1[[#This Row],[defense_snaps]] / Merge1[[#This Row],[team_defense_snaps]])</f>
        <v>0.50877192982456143</v>
      </c>
      <c r="V1553">
        <v>57</v>
      </c>
      <c r="W1553">
        <v>8</v>
      </c>
      <c r="X1553" s="5" t="s">
        <v>70</v>
      </c>
      <c r="Y1553">
        <v>1</v>
      </c>
      <c r="Z1553">
        <v>0</v>
      </c>
      <c r="AA1553" t="s">
        <v>25</v>
      </c>
      <c r="AB1553" t="s">
        <v>26</v>
      </c>
      <c r="AC1553" t="s">
        <v>27</v>
      </c>
      <c r="AD1553" t="s">
        <v>28</v>
      </c>
      <c r="AE1553" t="s">
        <v>25</v>
      </c>
      <c r="AF15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0.12162162162162163</v>
      </c>
      <c r="AG1553" t="s">
        <v>941</v>
      </c>
      <c r="AH1553">
        <v>51.5</v>
      </c>
      <c r="AI1553" t="s">
        <v>939</v>
      </c>
      <c r="AJ1553">
        <v>1</v>
      </c>
      <c r="AK15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MIN(AJ1553/8, 1) +
  Merge1[[#This Row],[index_defensive_effort]],
  2
)</f>
        <v>0.65</v>
      </c>
    </row>
    <row r="1554" spans="1:37" x14ac:dyDescent="0.25">
      <c r="A1554" t="s">
        <v>511</v>
      </c>
      <c r="B1554" t="s">
        <v>512</v>
      </c>
      <c r="C1554">
        <v>25</v>
      </c>
      <c r="D1554" t="s">
        <v>56</v>
      </c>
      <c r="E1554">
        <v>71</v>
      </c>
      <c r="F1554">
        <v>182</v>
      </c>
      <c r="G1554" t="s">
        <v>286</v>
      </c>
      <c r="H1554">
        <v>2020</v>
      </c>
      <c r="I1554" t="s">
        <v>33</v>
      </c>
      <c r="J1554">
        <v>15</v>
      </c>
      <c r="K1554">
        <v>2</v>
      </c>
      <c r="L1554">
        <v>4</v>
      </c>
      <c r="M1554">
        <v>1</v>
      </c>
      <c r="N1554">
        <v>5</v>
      </c>
      <c r="O1554">
        <v>0</v>
      </c>
      <c r="P1554">
        <v>0</v>
      </c>
      <c r="Q1554">
        <v>0</v>
      </c>
      <c r="R1554">
        <v>0</v>
      </c>
      <c r="S1554">
        <v>37</v>
      </c>
      <c r="T1554">
        <v>29</v>
      </c>
      <c r="U1554" s="5">
        <f>IF(Merge1[[#This Row],[team_defense_snaps]]=0, "", Merge1[[#This Row],[defense_snaps]] / Merge1[[#This Row],[team_defense_snaps]])</f>
        <v>0.50877192982456143</v>
      </c>
      <c r="V1554">
        <v>57</v>
      </c>
      <c r="W1554">
        <v>8</v>
      </c>
      <c r="X1554" s="5" t="s">
        <v>70</v>
      </c>
      <c r="Y1554">
        <v>1</v>
      </c>
      <c r="Z1554">
        <v>0</v>
      </c>
      <c r="AA1554" t="s">
        <v>25</v>
      </c>
      <c r="AB1554" t="s">
        <v>26</v>
      </c>
      <c r="AC1554" t="s">
        <v>27</v>
      </c>
      <c r="AD1554" t="s">
        <v>28</v>
      </c>
      <c r="AE1554" t="s">
        <v>25</v>
      </c>
      <c r="AF15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0.12162162162162163</v>
      </c>
      <c r="AG1554" t="s">
        <v>941</v>
      </c>
      <c r="AH1554">
        <v>56</v>
      </c>
      <c r="AI1554" t="s">
        <v>939</v>
      </c>
      <c r="AJ1554">
        <v>2</v>
      </c>
      <c r="AK15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MIN(AJ1554/8, 1) +
  Merge1[[#This Row],[index_defensive_effort]],
  2
)</f>
        <v>0.77</v>
      </c>
    </row>
    <row r="1555" spans="1:37" x14ac:dyDescent="0.25">
      <c r="A1555" t="s">
        <v>511</v>
      </c>
      <c r="B1555" t="s">
        <v>512</v>
      </c>
      <c r="C1555">
        <v>25</v>
      </c>
      <c r="D1555" t="s">
        <v>56</v>
      </c>
      <c r="E1555">
        <v>71</v>
      </c>
      <c r="F1555">
        <v>182</v>
      </c>
      <c r="G1555" t="s">
        <v>286</v>
      </c>
      <c r="H1555">
        <v>2020</v>
      </c>
      <c r="I1555" t="s">
        <v>33</v>
      </c>
      <c r="J1555">
        <v>16</v>
      </c>
      <c r="K1555">
        <v>3</v>
      </c>
      <c r="L1555">
        <v>1</v>
      </c>
      <c r="M1555">
        <v>1</v>
      </c>
      <c r="N1555">
        <v>2</v>
      </c>
      <c r="O1555">
        <v>0</v>
      </c>
      <c r="P1555">
        <v>0</v>
      </c>
      <c r="Q1555">
        <v>0</v>
      </c>
      <c r="R1555">
        <v>2</v>
      </c>
      <c r="S1555">
        <v>44</v>
      </c>
      <c r="T1555">
        <v>35</v>
      </c>
      <c r="U1555" s="5">
        <f>IF(Merge1[[#This Row],[team_defense_snaps]]=0, "", Merge1[[#This Row],[defense_snaps]] / Merge1[[#This Row],[team_defense_snaps]])</f>
        <v>0.52238805970149249</v>
      </c>
      <c r="V1555">
        <v>67</v>
      </c>
      <c r="W1555">
        <v>9</v>
      </c>
      <c r="X1555" s="5" t="s">
        <v>210</v>
      </c>
      <c r="Y1555">
        <v>1</v>
      </c>
      <c r="Z1555">
        <v>0</v>
      </c>
      <c r="AA1555" t="s">
        <v>25</v>
      </c>
      <c r="AB1555" t="s">
        <v>26</v>
      </c>
      <c r="AC1555" t="s">
        <v>27</v>
      </c>
      <c r="AD1555" t="s">
        <v>28</v>
      </c>
      <c r="AE1555" t="s">
        <v>25</v>
      </c>
      <c r="AF15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0.18181818181818182</v>
      </c>
      <c r="AG1555" t="s">
        <v>941</v>
      </c>
      <c r="AH1555">
        <v>74</v>
      </c>
      <c r="AI1555" t="s">
        <v>939</v>
      </c>
      <c r="AJ1555">
        <v>1</v>
      </c>
      <c r="AK15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MIN(AJ1555/8, 1) +
  Merge1[[#This Row],[index_defensive_effort]],
  2
)</f>
        <v>0.71</v>
      </c>
    </row>
    <row r="1556" spans="1:37" x14ac:dyDescent="0.25">
      <c r="A1556" t="s">
        <v>511</v>
      </c>
      <c r="B1556" t="s">
        <v>512</v>
      </c>
      <c r="C1556">
        <v>25</v>
      </c>
      <c r="D1556" t="s">
        <v>56</v>
      </c>
      <c r="E1556">
        <v>71</v>
      </c>
      <c r="F1556">
        <v>182</v>
      </c>
      <c r="G1556" t="s">
        <v>286</v>
      </c>
      <c r="H1556">
        <v>2020</v>
      </c>
      <c r="I1556" t="s">
        <v>33</v>
      </c>
      <c r="J1556">
        <v>16</v>
      </c>
      <c r="K1556">
        <v>3</v>
      </c>
      <c r="L1556">
        <v>1</v>
      </c>
      <c r="M1556">
        <v>1</v>
      </c>
      <c r="N1556">
        <v>2</v>
      </c>
      <c r="O1556">
        <v>0</v>
      </c>
      <c r="P1556">
        <v>0</v>
      </c>
      <c r="Q1556">
        <v>0</v>
      </c>
      <c r="R1556">
        <v>2</v>
      </c>
      <c r="S1556">
        <v>44</v>
      </c>
      <c r="T1556">
        <v>35</v>
      </c>
      <c r="U1556" s="5">
        <f>IF(Merge1[[#This Row],[team_defense_snaps]]=0, "", Merge1[[#This Row],[defense_snaps]] / Merge1[[#This Row],[team_defense_snaps]])</f>
        <v>0.52238805970149249</v>
      </c>
      <c r="V1556">
        <v>67</v>
      </c>
      <c r="W1556">
        <v>9</v>
      </c>
      <c r="X1556" s="5" t="s">
        <v>210</v>
      </c>
      <c r="Y1556">
        <v>1</v>
      </c>
      <c r="Z1556">
        <v>0</v>
      </c>
      <c r="AA1556" t="s">
        <v>25</v>
      </c>
      <c r="AB1556" t="s">
        <v>26</v>
      </c>
      <c r="AC1556" t="s">
        <v>27</v>
      </c>
      <c r="AD1556" t="s">
        <v>28</v>
      </c>
      <c r="AE1556" t="s">
        <v>25</v>
      </c>
      <c r="AF15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0.18181818181818182</v>
      </c>
      <c r="AG1556" t="s">
        <v>941</v>
      </c>
      <c r="AH1556">
        <v>71</v>
      </c>
      <c r="AI1556" t="s">
        <v>939</v>
      </c>
      <c r="AJ1556">
        <v>2</v>
      </c>
      <c r="AK15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MIN(AJ1556/8, 1) +
  Merge1[[#This Row],[index_defensive_effort]],
  2
)</f>
        <v>0.83</v>
      </c>
    </row>
    <row r="1557" spans="1:37" x14ac:dyDescent="0.25">
      <c r="A1557" t="s">
        <v>511</v>
      </c>
      <c r="B1557" t="s">
        <v>512</v>
      </c>
      <c r="C1557">
        <v>25</v>
      </c>
      <c r="D1557" t="s">
        <v>56</v>
      </c>
      <c r="E1557">
        <v>71</v>
      </c>
      <c r="F1557">
        <v>182</v>
      </c>
      <c r="G1557" t="s">
        <v>286</v>
      </c>
      <c r="H1557">
        <v>2020</v>
      </c>
      <c r="I1557" t="s">
        <v>33</v>
      </c>
      <c r="J1557">
        <v>17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40</v>
      </c>
      <c r="T1557">
        <v>33</v>
      </c>
      <c r="U1557" s="5">
        <f>IF(Merge1[[#This Row],[team_defense_snaps]]=0, "", Merge1[[#This Row],[defense_snaps]] / Merge1[[#This Row],[team_defense_snaps]])</f>
        <v>0.47826086956521741</v>
      </c>
      <c r="V1557">
        <v>69</v>
      </c>
      <c r="W1557">
        <v>7</v>
      </c>
      <c r="X1557" s="5" t="s">
        <v>261</v>
      </c>
      <c r="Y1557">
        <v>1</v>
      </c>
      <c r="Z1557">
        <v>0</v>
      </c>
      <c r="AA1557" t="s">
        <v>25</v>
      </c>
      <c r="AB1557" t="s">
        <v>26</v>
      </c>
      <c r="AC1557" t="s">
        <v>27</v>
      </c>
      <c r="AD1557" t="s">
        <v>42</v>
      </c>
      <c r="AE1557" t="s">
        <v>25</v>
      </c>
      <c r="AF15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2.5000000000000001E-2</v>
      </c>
      <c r="AG1557" t="s">
        <v>941</v>
      </c>
      <c r="AH1557">
        <v>54</v>
      </c>
      <c r="AI1557" t="s">
        <v>939</v>
      </c>
      <c r="AJ1557">
        <v>1</v>
      </c>
      <c r="AK15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MIN(AJ1557/8, 1) +
  Merge1[[#This Row],[index_defensive_effort]],
  2
)</f>
        <v>0.55000000000000004</v>
      </c>
    </row>
    <row r="1558" spans="1:37" x14ac:dyDescent="0.25">
      <c r="A1558" t="s">
        <v>511</v>
      </c>
      <c r="B1558" t="s">
        <v>512</v>
      </c>
      <c r="C1558">
        <v>25</v>
      </c>
      <c r="D1558" t="s">
        <v>56</v>
      </c>
      <c r="E1558">
        <v>71</v>
      </c>
      <c r="F1558">
        <v>182</v>
      </c>
      <c r="G1558" t="s">
        <v>286</v>
      </c>
      <c r="H1558">
        <v>2020</v>
      </c>
      <c r="I1558" t="s">
        <v>33</v>
      </c>
      <c r="J1558">
        <v>17</v>
      </c>
      <c r="K1558">
        <v>1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40</v>
      </c>
      <c r="T1558">
        <v>33</v>
      </c>
      <c r="U1558" s="5">
        <f>IF(Merge1[[#This Row],[team_defense_snaps]]=0, "", Merge1[[#This Row],[defense_snaps]] / Merge1[[#This Row],[team_defense_snaps]])</f>
        <v>0.47826086956521741</v>
      </c>
      <c r="V1558">
        <v>69</v>
      </c>
      <c r="W1558">
        <v>7</v>
      </c>
      <c r="X1558" s="5" t="s">
        <v>261</v>
      </c>
      <c r="Y1558">
        <v>1</v>
      </c>
      <c r="Z1558">
        <v>0</v>
      </c>
      <c r="AA1558" t="s">
        <v>25</v>
      </c>
      <c r="AB1558" t="s">
        <v>26</v>
      </c>
      <c r="AC1558" t="s">
        <v>27</v>
      </c>
      <c r="AD1558" t="s">
        <v>42</v>
      </c>
      <c r="AE1558" t="s">
        <v>25</v>
      </c>
      <c r="AF15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2.5000000000000001E-2</v>
      </c>
      <c r="AG1558" t="s">
        <v>941</v>
      </c>
      <c r="AH1558">
        <v>53</v>
      </c>
      <c r="AI1558" t="s">
        <v>939</v>
      </c>
      <c r="AJ1558">
        <v>2</v>
      </c>
      <c r="AK15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MIN(AJ1558/8, 1) +
  Merge1[[#This Row],[index_defensive_effort]],
  2
)</f>
        <v>0.68</v>
      </c>
    </row>
    <row r="1559" spans="1:37" x14ac:dyDescent="0.25">
      <c r="A1559" t="s">
        <v>511</v>
      </c>
      <c r="B1559" t="s">
        <v>512</v>
      </c>
      <c r="C1559">
        <v>25</v>
      </c>
      <c r="D1559" t="s">
        <v>56</v>
      </c>
      <c r="E1559">
        <v>71</v>
      </c>
      <c r="F1559">
        <v>182</v>
      </c>
      <c r="G1559" t="s">
        <v>286</v>
      </c>
      <c r="H1559">
        <v>2020</v>
      </c>
      <c r="I1559" t="s">
        <v>24</v>
      </c>
      <c r="J1559">
        <v>18</v>
      </c>
      <c r="K1559">
        <v>3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33</v>
      </c>
      <c r="T1559">
        <v>24</v>
      </c>
      <c r="U1559" s="5">
        <f>IF(Merge1[[#This Row],[team_defense_snaps]]=0, "", Merge1[[#This Row],[defense_snaps]] / Merge1[[#This Row],[team_defense_snaps]])</f>
        <v>0.32876712328767121</v>
      </c>
      <c r="V1559">
        <v>73</v>
      </c>
      <c r="W1559">
        <v>9</v>
      </c>
      <c r="X1559" s="5" t="s">
        <v>138</v>
      </c>
      <c r="Y1559">
        <v>1</v>
      </c>
      <c r="Z1559">
        <v>0</v>
      </c>
      <c r="AA1559" t="s">
        <v>25</v>
      </c>
      <c r="AB1559" t="s">
        <v>26</v>
      </c>
      <c r="AC1559" t="s">
        <v>27</v>
      </c>
      <c r="AD1559" t="s">
        <v>28</v>
      </c>
      <c r="AE1559" t="s">
        <v>25</v>
      </c>
      <c r="AF15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9.0909090909090912E-2</v>
      </c>
      <c r="AG1559" t="s">
        <v>941</v>
      </c>
      <c r="AH1559">
        <v>66.5</v>
      </c>
      <c r="AI1559" t="s">
        <v>939</v>
      </c>
      <c r="AJ1559">
        <v>1</v>
      </c>
      <c r="AK15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MIN(AJ1559/8, 1) +
  Merge1[[#This Row],[index_defensive_effort]],
  2
)</f>
        <v>0.82</v>
      </c>
    </row>
    <row r="1560" spans="1:37" x14ac:dyDescent="0.25">
      <c r="A1560" t="s">
        <v>511</v>
      </c>
      <c r="B1560" t="s">
        <v>512</v>
      </c>
      <c r="C1560">
        <v>25</v>
      </c>
      <c r="D1560" t="s">
        <v>56</v>
      </c>
      <c r="E1560">
        <v>71</v>
      </c>
      <c r="F1560">
        <v>182</v>
      </c>
      <c r="G1560" t="s">
        <v>286</v>
      </c>
      <c r="H1560">
        <v>2020</v>
      </c>
      <c r="I1560" t="s">
        <v>24</v>
      </c>
      <c r="J1560">
        <v>18</v>
      </c>
      <c r="K1560">
        <v>3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33</v>
      </c>
      <c r="T1560">
        <v>24</v>
      </c>
      <c r="U1560" s="5">
        <f>IF(Merge1[[#This Row],[team_defense_snaps]]=0, "", Merge1[[#This Row],[defense_snaps]] / Merge1[[#This Row],[team_defense_snaps]])</f>
        <v>0.32876712328767121</v>
      </c>
      <c r="V1560">
        <v>73</v>
      </c>
      <c r="W1560">
        <v>9</v>
      </c>
      <c r="X1560" s="5" t="s">
        <v>138</v>
      </c>
      <c r="Y1560">
        <v>1</v>
      </c>
      <c r="Z1560">
        <v>0</v>
      </c>
      <c r="AA1560" t="s">
        <v>25</v>
      </c>
      <c r="AB1560" t="s">
        <v>26</v>
      </c>
      <c r="AC1560" t="s">
        <v>27</v>
      </c>
      <c r="AD1560" t="s">
        <v>28</v>
      </c>
      <c r="AE1560" t="s">
        <v>25</v>
      </c>
      <c r="AF15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9.0909090909090912E-2</v>
      </c>
      <c r="AG1560" t="s">
        <v>941</v>
      </c>
      <c r="AH1560">
        <v>57.5</v>
      </c>
      <c r="AI1560" t="s">
        <v>939</v>
      </c>
      <c r="AJ1560">
        <v>1</v>
      </c>
      <c r="AK15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MIN(AJ1560/8, 1) +
  Merge1[[#This Row],[index_defensive_effort]],
  2
)</f>
        <v>0.82</v>
      </c>
    </row>
    <row r="1561" spans="1:37" x14ac:dyDescent="0.25">
      <c r="A1561" t="s">
        <v>537</v>
      </c>
      <c r="B1561" t="s">
        <v>538</v>
      </c>
      <c r="C1561">
        <v>32</v>
      </c>
      <c r="D1561" t="s">
        <v>56</v>
      </c>
      <c r="E1561">
        <v>74</v>
      </c>
      <c r="F1561">
        <v>210</v>
      </c>
      <c r="G1561" t="s">
        <v>32</v>
      </c>
      <c r="H1561">
        <v>2020</v>
      </c>
      <c r="I1561" t="s">
        <v>33</v>
      </c>
      <c r="J1561">
        <v>1</v>
      </c>
      <c r="K1561">
        <v>1</v>
      </c>
      <c r="L1561">
        <v>0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24</v>
      </c>
      <c r="T1561">
        <v>24</v>
      </c>
      <c r="U1561" s="5">
        <f>IF(Merge1[[#This Row],[team_defense_snaps]]=0, "", Merge1[[#This Row],[defense_snaps]] / Merge1[[#This Row],[team_defense_snaps]])</f>
        <v>0.32876712328767121</v>
      </c>
      <c r="V1561">
        <v>73</v>
      </c>
      <c r="W1561">
        <v>0</v>
      </c>
      <c r="X1561" s="5" t="s">
        <v>29</v>
      </c>
      <c r="Y1561">
        <v>9</v>
      </c>
      <c r="Z1561">
        <v>0</v>
      </c>
      <c r="AA1561" t="s">
        <v>25</v>
      </c>
      <c r="AB1561" t="s">
        <v>26</v>
      </c>
      <c r="AC1561" t="s">
        <v>27</v>
      </c>
      <c r="AD1561" t="s">
        <v>28</v>
      </c>
      <c r="AE1561" t="s">
        <v>25</v>
      </c>
      <c r="AF15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1561" t="s">
        <v>941</v>
      </c>
      <c r="AH1561">
        <v>52.5</v>
      </c>
      <c r="AI1561" t="s">
        <v>938</v>
      </c>
      <c r="AJ1561">
        <v>2</v>
      </c>
      <c r="AK15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MIN(AJ1561/8, 1) +
  Merge1[[#This Row],[index_defensive_effort]],
  2
)</f>
        <v>0.98</v>
      </c>
    </row>
    <row r="1562" spans="1:37" x14ac:dyDescent="0.25">
      <c r="A1562" t="s">
        <v>537</v>
      </c>
      <c r="B1562" t="s">
        <v>538</v>
      </c>
      <c r="C1562">
        <v>32</v>
      </c>
      <c r="D1562" t="s">
        <v>56</v>
      </c>
      <c r="E1562">
        <v>74</v>
      </c>
      <c r="F1562">
        <v>210</v>
      </c>
      <c r="G1562" t="s">
        <v>32</v>
      </c>
      <c r="H1562">
        <v>2020</v>
      </c>
      <c r="I1562" t="s">
        <v>33</v>
      </c>
      <c r="J1562">
        <v>2</v>
      </c>
      <c r="K1562">
        <v>3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51</v>
      </c>
      <c r="T1562">
        <v>50</v>
      </c>
      <c r="U1562" s="5">
        <f>IF(Merge1[[#This Row],[team_defense_snaps]]=0, "", Merge1[[#This Row],[defense_snaps]] / Merge1[[#This Row],[team_defense_snaps]])</f>
        <v>0.84745762711864403</v>
      </c>
      <c r="V1562">
        <v>59</v>
      </c>
      <c r="W1562">
        <v>1</v>
      </c>
      <c r="X1562" s="5" t="s">
        <v>193</v>
      </c>
      <c r="Y1562">
        <v>9</v>
      </c>
      <c r="Z1562">
        <v>0</v>
      </c>
      <c r="AA1562" t="s">
        <v>25</v>
      </c>
      <c r="AB1562" t="s">
        <v>36</v>
      </c>
      <c r="AC1562" t="s">
        <v>371</v>
      </c>
      <c r="AD1562" t="s">
        <v>28</v>
      </c>
      <c r="AE1562" t="s">
        <v>25</v>
      </c>
      <c r="AF15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AG1562" t="s">
        <v>941</v>
      </c>
      <c r="AH1562">
        <v>69</v>
      </c>
      <c r="AI1562" t="s">
        <v>939</v>
      </c>
      <c r="AJ1562">
        <v>3</v>
      </c>
      <c r="AK15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MIN(AJ1562/8, 1) +
  Merge1[[#This Row],[index_defensive_effort]],
  2
)</f>
        <v>1.03</v>
      </c>
    </row>
    <row r="1563" spans="1:37" x14ac:dyDescent="0.25">
      <c r="A1563" t="s">
        <v>537</v>
      </c>
      <c r="B1563" t="s">
        <v>538</v>
      </c>
      <c r="C1563">
        <v>32</v>
      </c>
      <c r="D1563" t="s">
        <v>56</v>
      </c>
      <c r="E1563">
        <v>74</v>
      </c>
      <c r="F1563">
        <v>210</v>
      </c>
      <c r="G1563" t="s">
        <v>32</v>
      </c>
      <c r="H1563">
        <v>2020</v>
      </c>
      <c r="I1563" t="s">
        <v>33</v>
      </c>
      <c r="J1563">
        <v>3</v>
      </c>
      <c r="K1563">
        <v>3</v>
      </c>
      <c r="L1563">
        <v>2</v>
      </c>
      <c r="M1563">
        <v>0</v>
      </c>
      <c r="N1563">
        <v>2</v>
      </c>
      <c r="O1563">
        <v>0</v>
      </c>
      <c r="P1563">
        <v>2</v>
      </c>
      <c r="Q1563">
        <v>0</v>
      </c>
      <c r="R1563">
        <v>0</v>
      </c>
      <c r="S1563">
        <v>66</v>
      </c>
      <c r="T1563">
        <v>66</v>
      </c>
      <c r="U1563" s="5">
        <f>IF(Merge1[[#This Row],[team_defense_snaps]]=0, "", Merge1[[#This Row],[defense_snaps]] / Merge1[[#This Row],[team_defense_snaps]])</f>
        <v>0.86842105263157898</v>
      </c>
      <c r="V1563">
        <v>76</v>
      </c>
      <c r="W1563">
        <v>0</v>
      </c>
      <c r="X1563" s="5" t="s">
        <v>29</v>
      </c>
      <c r="Y1563">
        <v>9</v>
      </c>
      <c r="Z1563">
        <v>0</v>
      </c>
      <c r="AA1563" t="s">
        <v>25</v>
      </c>
      <c r="AB1563" t="s">
        <v>26</v>
      </c>
      <c r="AC1563" t="s">
        <v>27</v>
      </c>
      <c r="AD1563" t="s">
        <v>42</v>
      </c>
      <c r="AE1563" t="s">
        <v>25</v>
      </c>
      <c r="AF15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0.12121212121212122</v>
      </c>
      <c r="AG1563" t="s">
        <v>941</v>
      </c>
      <c r="AH1563">
        <v>66</v>
      </c>
      <c r="AI1563" t="s">
        <v>938</v>
      </c>
      <c r="AJ1563">
        <v>4</v>
      </c>
      <c r="AK15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MIN(AJ1563/8, 1) +
  Merge1[[#This Row],[index_defensive_effort]],
  2
)</f>
        <v>1.22</v>
      </c>
    </row>
    <row r="1564" spans="1:37" x14ac:dyDescent="0.25">
      <c r="A1564" t="s">
        <v>537</v>
      </c>
      <c r="B1564" t="s">
        <v>538</v>
      </c>
      <c r="C1564">
        <v>32</v>
      </c>
      <c r="D1564" t="s">
        <v>56</v>
      </c>
      <c r="E1564">
        <v>74</v>
      </c>
      <c r="F1564">
        <v>210</v>
      </c>
      <c r="G1564" t="s">
        <v>32</v>
      </c>
      <c r="H1564">
        <v>2020</v>
      </c>
      <c r="I1564" t="s">
        <v>33</v>
      </c>
      <c r="J1564">
        <v>4</v>
      </c>
      <c r="K1564">
        <v>3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29</v>
      </c>
      <c r="T1564">
        <v>29</v>
      </c>
      <c r="U1564" s="5">
        <f>IF(Merge1[[#This Row],[team_defense_snaps]]=0, "", Merge1[[#This Row],[defense_snaps]] / Merge1[[#This Row],[team_defense_snaps]])</f>
        <v>0.40845070422535212</v>
      </c>
      <c r="V1564">
        <v>71</v>
      </c>
      <c r="W1564">
        <v>0</v>
      </c>
      <c r="X1564" s="5" t="s">
        <v>29</v>
      </c>
      <c r="Y1564">
        <v>9</v>
      </c>
      <c r="Z1564">
        <v>0</v>
      </c>
      <c r="AA1564" t="s">
        <v>25</v>
      </c>
      <c r="AB1564" t="s">
        <v>36</v>
      </c>
      <c r="AC1564" t="s">
        <v>247</v>
      </c>
      <c r="AD1564" t="s">
        <v>28</v>
      </c>
      <c r="AE1564" t="s">
        <v>25</v>
      </c>
      <c r="AF15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0.10344827586206896</v>
      </c>
      <c r="AG1564" t="s">
        <v>941</v>
      </c>
      <c r="AH1564">
        <v>60</v>
      </c>
      <c r="AI1564" t="s">
        <v>939</v>
      </c>
      <c r="AJ1564">
        <v>5</v>
      </c>
      <c r="AK15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MIN(AJ1564/8, 1) +
  Merge1[[#This Row],[index_defensive_effort]],
  2
)</f>
        <v>1.33</v>
      </c>
    </row>
    <row r="1565" spans="1:37" x14ac:dyDescent="0.25">
      <c r="A1565" t="s">
        <v>537</v>
      </c>
      <c r="B1565" t="s">
        <v>538</v>
      </c>
      <c r="C1565">
        <v>32</v>
      </c>
      <c r="D1565" t="s">
        <v>56</v>
      </c>
      <c r="E1565">
        <v>74</v>
      </c>
      <c r="F1565">
        <v>210</v>
      </c>
      <c r="G1565" t="s">
        <v>32</v>
      </c>
      <c r="H1565">
        <v>2020</v>
      </c>
      <c r="I1565" t="s">
        <v>33</v>
      </c>
      <c r="J1565">
        <v>5</v>
      </c>
      <c r="K1565">
        <v>4</v>
      </c>
      <c r="L1565">
        <v>0</v>
      </c>
      <c r="M1565">
        <v>0</v>
      </c>
      <c r="N1565">
        <v>0</v>
      </c>
      <c r="O1565">
        <v>4</v>
      </c>
      <c r="P1565">
        <v>4</v>
      </c>
      <c r="Q1565">
        <v>0</v>
      </c>
      <c r="R1565">
        <v>0</v>
      </c>
      <c r="S1565">
        <v>52</v>
      </c>
      <c r="T1565">
        <v>52</v>
      </c>
      <c r="U1565" s="5">
        <f>IF(Merge1[[#This Row],[team_defense_snaps]]=0, "", Merge1[[#This Row],[defense_snaps]] / Merge1[[#This Row],[team_defense_snaps]])</f>
        <v>0.77611940298507465</v>
      </c>
      <c r="V1565">
        <v>67</v>
      </c>
      <c r="W1565">
        <v>0</v>
      </c>
      <c r="X1565" s="5" t="s">
        <v>29</v>
      </c>
      <c r="Y1565">
        <v>9</v>
      </c>
      <c r="Z1565">
        <v>0</v>
      </c>
      <c r="AA1565" t="s">
        <v>25</v>
      </c>
      <c r="AB1565" t="s">
        <v>36</v>
      </c>
      <c r="AC1565" t="s">
        <v>247</v>
      </c>
      <c r="AD1565" t="s">
        <v>42</v>
      </c>
      <c r="AE1565" t="s">
        <v>25</v>
      </c>
      <c r="AF15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0.46153846153846156</v>
      </c>
      <c r="AG1565" t="s">
        <v>941</v>
      </c>
      <c r="AH1565">
        <v>64.5</v>
      </c>
      <c r="AI1565" t="s">
        <v>939</v>
      </c>
      <c r="AJ1565">
        <v>6</v>
      </c>
      <c r="AK15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MIN(AJ1565/8, 1) +
  Merge1[[#This Row],[index_defensive_effort]],
  2
)</f>
        <v>1.81</v>
      </c>
    </row>
    <row r="1566" spans="1:37" x14ac:dyDescent="0.25">
      <c r="A1566" t="s">
        <v>537</v>
      </c>
      <c r="B1566" t="s">
        <v>538</v>
      </c>
      <c r="C1566">
        <v>32</v>
      </c>
      <c r="D1566" t="s">
        <v>56</v>
      </c>
      <c r="E1566">
        <v>74</v>
      </c>
      <c r="F1566">
        <v>210</v>
      </c>
      <c r="G1566" t="s">
        <v>32</v>
      </c>
      <c r="H1566">
        <v>2020</v>
      </c>
      <c r="I1566" t="s">
        <v>33</v>
      </c>
      <c r="J1566">
        <v>6</v>
      </c>
      <c r="K1566">
        <v>1</v>
      </c>
      <c r="L1566">
        <v>0</v>
      </c>
      <c r="M1566">
        <v>0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64</v>
      </c>
      <c r="T1566">
        <v>64</v>
      </c>
      <c r="U1566" s="5">
        <f>IF(Merge1[[#This Row],[team_defense_snaps]]=0, "", Merge1[[#This Row],[defense_snaps]] / Merge1[[#This Row],[team_defense_snaps]])</f>
        <v>0.88888888888888884</v>
      </c>
      <c r="V1566">
        <v>72</v>
      </c>
      <c r="W1566">
        <v>0</v>
      </c>
      <c r="X1566" s="5" t="s">
        <v>29</v>
      </c>
      <c r="Y1566">
        <v>9</v>
      </c>
      <c r="Z1566">
        <v>0</v>
      </c>
      <c r="AA1566" t="s">
        <v>25</v>
      </c>
      <c r="AB1566" t="s">
        <v>36</v>
      </c>
      <c r="AC1566" t="s">
        <v>247</v>
      </c>
      <c r="AD1566" t="s">
        <v>42</v>
      </c>
      <c r="AE1566" t="s">
        <v>25</v>
      </c>
      <c r="AF15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4.6875E-2</v>
      </c>
      <c r="AG1566" t="s">
        <v>941</v>
      </c>
      <c r="AH1566">
        <v>70.5</v>
      </c>
      <c r="AI1566" t="s">
        <v>938</v>
      </c>
      <c r="AJ1566">
        <v>1</v>
      </c>
      <c r="AK15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MIN(AJ1566/8, 1) +
  Merge1[[#This Row],[index_defensive_effort]],
  2
)</f>
        <v>0.77</v>
      </c>
    </row>
    <row r="1567" spans="1:37" x14ac:dyDescent="0.25">
      <c r="A1567" t="s">
        <v>537</v>
      </c>
      <c r="B1567" t="s">
        <v>538</v>
      </c>
      <c r="C1567">
        <v>32</v>
      </c>
      <c r="D1567" t="s">
        <v>56</v>
      </c>
      <c r="E1567">
        <v>74</v>
      </c>
      <c r="F1567">
        <v>210</v>
      </c>
      <c r="G1567" t="s">
        <v>32</v>
      </c>
      <c r="H1567">
        <v>2020</v>
      </c>
      <c r="I1567" t="s">
        <v>33</v>
      </c>
      <c r="J1567">
        <v>8</v>
      </c>
      <c r="K1567">
        <v>3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42</v>
      </c>
      <c r="T1567">
        <v>42</v>
      </c>
      <c r="U1567" s="5">
        <f>IF(Merge1[[#This Row],[team_defense_snaps]]=0, "", Merge1[[#This Row],[defense_snaps]] / Merge1[[#This Row],[team_defense_snaps]])</f>
        <v>0.76363636363636367</v>
      </c>
      <c r="V1567">
        <v>55</v>
      </c>
      <c r="W1567">
        <v>0</v>
      </c>
      <c r="X1567" s="5" t="s">
        <v>29</v>
      </c>
      <c r="Y1567">
        <v>9</v>
      </c>
      <c r="Z1567">
        <v>0</v>
      </c>
      <c r="AA1567" t="s">
        <v>25</v>
      </c>
      <c r="AB1567" t="s">
        <v>36</v>
      </c>
      <c r="AC1567" t="s">
        <v>539</v>
      </c>
      <c r="AD1567" t="s">
        <v>28</v>
      </c>
      <c r="AE1567" t="s">
        <v>25</v>
      </c>
      <c r="AF15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1567" t="s">
        <v>941</v>
      </c>
      <c r="AH1567">
        <v>57</v>
      </c>
      <c r="AI1567" t="s">
        <v>939</v>
      </c>
      <c r="AJ1567">
        <v>2</v>
      </c>
      <c r="AK15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MIN(AJ1567/8, 1) +
  Merge1[[#This Row],[index_defensive_effort]],
  2
)</f>
        <v>0.92</v>
      </c>
    </row>
    <row r="1568" spans="1:37" x14ac:dyDescent="0.25">
      <c r="A1568" t="s">
        <v>537</v>
      </c>
      <c r="B1568" t="s">
        <v>538</v>
      </c>
      <c r="C1568">
        <v>32</v>
      </c>
      <c r="D1568" t="s">
        <v>56</v>
      </c>
      <c r="E1568">
        <v>74</v>
      </c>
      <c r="F1568">
        <v>210</v>
      </c>
      <c r="G1568" t="s">
        <v>32</v>
      </c>
      <c r="H1568">
        <v>2020</v>
      </c>
      <c r="I1568" t="s">
        <v>33</v>
      </c>
      <c r="J1568">
        <v>9</v>
      </c>
      <c r="K1568">
        <v>3</v>
      </c>
      <c r="L1568">
        <v>4</v>
      </c>
      <c r="M1568">
        <v>4</v>
      </c>
      <c r="N1568">
        <v>8</v>
      </c>
      <c r="O1568">
        <v>0</v>
      </c>
      <c r="P1568">
        <v>0</v>
      </c>
      <c r="Q1568">
        <v>0</v>
      </c>
      <c r="R1568">
        <v>0</v>
      </c>
      <c r="S1568">
        <v>69</v>
      </c>
      <c r="T1568">
        <v>69</v>
      </c>
      <c r="U1568" s="5">
        <f>IF(Merge1[[#This Row],[team_defense_snaps]]=0, "", Merge1[[#This Row],[defense_snaps]] / Merge1[[#This Row],[team_defense_snaps]])</f>
        <v>1</v>
      </c>
      <c r="V1568">
        <v>69</v>
      </c>
      <c r="W1568">
        <v>0</v>
      </c>
      <c r="X1568" s="5" t="s">
        <v>29</v>
      </c>
      <c r="Y1568">
        <v>9</v>
      </c>
      <c r="Z1568">
        <v>0</v>
      </c>
      <c r="AA1568" t="s">
        <v>25</v>
      </c>
      <c r="AB1568" t="s">
        <v>36</v>
      </c>
      <c r="AC1568" t="s">
        <v>163</v>
      </c>
      <c r="AD1568" t="s">
        <v>42</v>
      </c>
      <c r="AE1568" t="s">
        <v>25</v>
      </c>
      <c r="AF15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0.10144927536231885</v>
      </c>
      <c r="AG1568" t="s">
        <v>941</v>
      </c>
      <c r="AH1568">
        <v>52</v>
      </c>
      <c r="AI1568" t="s">
        <v>938</v>
      </c>
      <c r="AJ1568">
        <v>1</v>
      </c>
      <c r="AK15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MIN(AJ1568/8, 1) +
  Merge1[[#This Row],[index_defensive_effort]],
  2
)</f>
        <v>0.83</v>
      </c>
    </row>
    <row r="1569" spans="1:37" x14ac:dyDescent="0.25">
      <c r="A1569" t="s">
        <v>537</v>
      </c>
      <c r="B1569" t="s">
        <v>538</v>
      </c>
      <c r="C1569">
        <v>32</v>
      </c>
      <c r="D1569" t="s">
        <v>56</v>
      </c>
      <c r="E1569">
        <v>74</v>
      </c>
      <c r="F1569">
        <v>210</v>
      </c>
      <c r="G1569" t="s">
        <v>32</v>
      </c>
      <c r="H1569">
        <v>2020</v>
      </c>
      <c r="I1569" t="s">
        <v>33</v>
      </c>
      <c r="J1569">
        <v>11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26</v>
      </c>
      <c r="T1569">
        <v>26</v>
      </c>
      <c r="U1569" s="5">
        <f>IF(Merge1[[#This Row],[team_defense_snaps]]=0, "", Merge1[[#This Row],[defense_snaps]] / Merge1[[#This Row],[team_defense_snaps]])</f>
        <v>0.37142857142857144</v>
      </c>
      <c r="V1569">
        <v>70</v>
      </c>
      <c r="W1569">
        <v>0</v>
      </c>
      <c r="X1569" s="5" t="s">
        <v>29</v>
      </c>
      <c r="Y1569">
        <v>9</v>
      </c>
      <c r="Z1569">
        <v>0</v>
      </c>
      <c r="AA1569" t="s">
        <v>25</v>
      </c>
      <c r="AB1569" t="s">
        <v>36</v>
      </c>
      <c r="AC1569" t="s">
        <v>63</v>
      </c>
      <c r="AD1569" t="s">
        <v>28</v>
      </c>
      <c r="AE1569" t="s">
        <v>25</v>
      </c>
      <c r="AF15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3.8461538461538464E-2</v>
      </c>
      <c r="AG1569" t="s">
        <v>941</v>
      </c>
      <c r="AH1569">
        <v>61.5</v>
      </c>
      <c r="AI1569" t="s">
        <v>939</v>
      </c>
      <c r="AJ1569">
        <v>2</v>
      </c>
      <c r="AK15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MIN(AJ1569/8, 1) +
  Merge1[[#This Row],[index_defensive_effort]],
  2
)</f>
        <v>0.89</v>
      </c>
    </row>
    <row r="1570" spans="1:37" x14ac:dyDescent="0.25">
      <c r="A1570" t="s">
        <v>537</v>
      </c>
      <c r="B1570" t="s">
        <v>538</v>
      </c>
      <c r="C1570">
        <v>32</v>
      </c>
      <c r="D1570" t="s">
        <v>56</v>
      </c>
      <c r="E1570">
        <v>74</v>
      </c>
      <c r="F1570">
        <v>210</v>
      </c>
      <c r="G1570" t="s">
        <v>32</v>
      </c>
      <c r="H1570">
        <v>2020</v>
      </c>
      <c r="I1570" t="s">
        <v>33</v>
      </c>
      <c r="J1570">
        <v>12</v>
      </c>
      <c r="K1570">
        <v>2</v>
      </c>
      <c r="L1570">
        <v>0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14</v>
      </c>
      <c r="T1570">
        <v>14</v>
      </c>
      <c r="U1570" s="5">
        <f>IF(Merge1[[#This Row],[team_defense_snaps]]=0, "", Merge1[[#This Row],[defense_snaps]] / Merge1[[#This Row],[team_defense_snaps]])</f>
        <v>0.1891891891891892</v>
      </c>
      <c r="V1570">
        <v>74</v>
      </c>
      <c r="W1570">
        <v>0</v>
      </c>
      <c r="X1570" s="5" t="s">
        <v>29</v>
      </c>
      <c r="Y1570">
        <v>9</v>
      </c>
      <c r="Z1570">
        <v>0</v>
      </c>
      <c r="AA1570" t="s">
        <v>25</v>
      </c>
      <c r="AB1570" t="s">
        <v>36</v>
      </c>
      <c r="AC1570" t="s">
        <v>63</v>
      </c>
      <c r="AD1570" t="s">
        <v>42</v>
      </c>
      <c r="AE1570" t="s">
        <v>25</v>
      </c>
      <c r="AF15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0.2857142857142857</v>
      </c>
      <c r="AG1570" t="s">
        <v>941</v>
      </c>
      <c r="AH1570">
        <v>72</v>
      </c>
      <c r="AI1570" t="s">
        <v>938</v>
      </c>
      <c r="AJ1570">
        <v>1</v>
      </c>
      <c r="AK15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MIN(AJ1570/8, 1) +
  Merge1[[#This Row],[index_defensive_effort]],
  2
)</f>
        <v>1.01</v>
      </c>
    </row>
    <row r="1571" spans="1:37" x14ac:dyDescent="0.25">
      <c r="A1571" t="s">
        <v>537</v>
      </c>
      <c r="B1571" t="s">
        <v>538</v>
      </c>
      <c r="C1571">
        <v>32</v>
      </c>
      <c r="D1571" t="s">
        <v>56</v>
      </c>
      <c r="E1571">
        <v>74</v>
      </c>
      <c r="F1571">
        <v>210</v>
      </c>
      <c r="G1571" t="s">
        <v>32</v>
      </c>
      <c r="H1571">
        <v>2020</v>
      </c>
      <c r="I1571" t="s">
        <v>33</v>
      </c>
      <c r="J1571">
        <v>14</v>
      </c>
      <c r="K1571">
        <v>0</v>
      </c>
      <c r="L1571">
        <v>1</v>
      </c>
      <c r="M1571">
        <v>1</v>
      </c>
      <c r="N1571">
        <v>2</v>
      </c>
      <c r="O1571">
        <v>0</v>
      </c>
      <c r="P1571">
        <v>0</v>
      </c>
      <c r="Q1571">
        <v>0</v>
      </c>
      <c r="R1571">
        <v>1</v>
      </c>
      <c r="S1571">
        <v>19</v>
      </c>
      <c r="T1571">
        <v>19</v>
      </c>
      <c r="U1571" s="5">
        <f>IF(Merge1[[#This Row],[team_defense_snaps]]=0, "", Merge1[[#This Row],[defense_snaps]] / Merge1[[#This Row],[team_defense_snaps]])</f>
        <v>0.22352941176470589</v>
      </c>
      <c r="V1571">
        <v>85</v>
      </c>
      <c r="W1571">
        <v>0</v>
      </c>
      <c r="X1571" s="5" t="s">
        <v>29</v>
      </c>
      <c r="Y1571">
        <v>9</v>
      </c>
      <c r="Z1571">
        <v>0</v>
      </c>
      <c r="AA1571" t="s">
        <v>25</v>
      </c>
      <c r="AB1571" t="s">
        <v>36</v>
      </c>
      <c r="AC1571" t="s">
        <v>50</v>
      </c>
      <c r="AD1571" t="s">
        <v>28</v>
      </c>
      <c r="AE1571" t="s">
        <v>25</v>
      </c>
      <c r="AF15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0.15789473684210525</v>
      </c>
      <c r="AG1571" t="s">
        <v>941</v>
      </c>
      <c r="AH1571">
        <v>67.5</v>
      </c>
      <c r="AI1571" t="s">
        <v>939</v>
      </c>
      <c r="AJ1571">
        <v>1</v>
      </c>
      <c r="AK15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MIN(AJ1571/8, 1) +
  Merge1[[#This Row],[index_defensive_effort]],
  2
)</f>
        <v>0.88</v>
      </c>
    </row>
    <row r="1572" spans="1:37" x14ac:dyDescent="0.25">
      <c r="A1572" t="s">
        <v>537</v>
      </c>
      <c r="B1572" t="s">
        <v>538</v>
      </c>
      <c r="C1572">
        <v>32</v>
      </c>
      <c r="D1572" t="s">
        <v>56</v>
      </c>
      <c r="E1572">
        <v>74</v>
      </c>
      <c r="F1572">
        <v>210</v>
      </c>
      <c r="G1572" t="s">
        <v>32</v>
      </c>
      <c r="H1572">
        <v>2020</v>
      </c>
      <c r="I1572" t="s">
        <v>24</v>
      </c>
      <c r="J1572">
        <v>19</v>
      </c>
      <c r="K1572">
        <v>3</v>
      </c>
      <c r="L1572">
        <v>2</v>
      </c>
      <c r="M1572">
        <v>0</v>
      </c>
      <c r="N1572">
        <v>2</v>
      </c>
      <c r="O1572">
        <v>0</v>
      </c>
      <c r="P1572">
        <v>0</v>
      </c>
      <c r="Q1572">
        <v>0</v>
      </c>
      <c r="R1572">
        <v>0</v>
      </c>
      <c r="S1572">
        <v>42</v>
      </c>
      <c r="T1572">
        <v>42</v>
      </c>
      <c r="U1572" s="5">
        <f>IF(Merge1[[#This Row],[team_defense_snaps]]=0, "", Merge1[[#This Row],[defense_snaps]] / Merge1[[#This Row],[team_defense_snaps]])</f>
        <v>0.73684210526315785</v>
      </c>
      <c r="V1572">
        <v>57</v>
      </c>
      <c r="W1572">
        <v>0</v>
      </c>
      <c r="X1572" s="5" t="s">
        <v>29</v>
      </c>
      <c r="Y1572">
        <v>9</v>
      </c>
      <c r="Z1572">
        <v>0</v>
      </c>
      <c r="AA1572" t="s">
        <v>25</v>
      </c>
      <c r="AB1572" t="s">
        <v>26</v>
      </c>
      <c r="AC1572" t="s">
        <v>27</v>
      </c>
      <c r="AD1572" t="s">
        <v>42</v>
      </c>
      <c r="AE1572" t="s">
        <v>25</v>
      </c>
      <c r="AF15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9.5238095238095233E-2</v>
      </c>
      <c r="AG1572" t="s">
        <v>941</v>
      </c>
      <c r="AH1572">
        <v>55.5</v>
      </c>
      <c r="AI1572" t="s">
        <v>939</v>
      </c>
      <c r="AJ1572">
        <v>1</v>
      </c>
      <c r="AK15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MIN(AJ1572/8, 1) +
  Merge1[[#This Row],[index_defensive_effort]],
  2
)</f>
        <v>1.02</v>
      </c>
    </row>
    <row r="1573" spans="1:37" x14ac:dyDescent="0.25">
      <c r="A1573" t="s">
        <v>475</v>
      </c>
      <c r="B1573" t="s">
        <v>476</v>
      </c>
      <c r="C1573">
        <v>31</v>
      </c>
      <c r="D1573" t="s">
        <v>56</v>
      </c>
      <c r="E1573">
        <v>71</v>
      </c>
      <c r="F1573">
        <v>195</v>
      </c>
      <c r="G1573" t="s">
        <v>74</v>
      </c>
      <c r="H1573">
        <v>2020</v>
      </c>
      <c r="I1573" t="s">
        <v>33</v>
      </c>
      <c r="J1573">
        <v>1</v>
      </c>
      <c r="K1573">
        <v>6</v>
      </c>
      <c r="L1573">
        <v>0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71</v>
      </c>
      <c r="T1573">
        <v>68</v>
      </c>
      <c r="U1573" s="5">
        <f>IF(Merge1[[#This Row],[team_defense_snaps]]=0, "", Merge1[[#This Row],[defense_snaps]] / Merge1[[#This Row],[team_defense_snaps]])</f>
        <v>0.98550724637681164</v>
      </c>
      <c r="V1573">
        <v>69</v>
      </c>
      <c r="W1573">
        <v>3</v>
      </c>
      <c r="X1573" s="5" t="s">
        <v>251</v>
      </c>
      <c r="Y1573">
        <v>10</v>
      </c>
      <c r="Z1573">
        <v>0</v>
      </c>
      <c r="AA1573" t="s">
        <v>25</v>
      </c>
      <c r="AB1573" t="s">
        <v>26</v>
      </c>
      <c r="AC1573" t="s">
        <v>27</v>
      </c>
      <c r="AD1573" t="s">
        <v>42</v>
      </c>
      <c r="AE1573" t="s">
        <v>25</v>
      </c>
      <c r="AF15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0.11267605633802817</v>
      </c>
      <c r="AG1573" t="s">
        <v>941</v>
      </c>
      <c r="AH1573">
        <v>48.5</v>
      </c>
      <c r="AI1573" t="s">
        <v>939</v>
      </c>
      <c r="AJ1573">
        <v>2</v>
      </c>
      <c r="AK15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MIN(AJ1573/8, 1) +
  Merge1[[#This Row],[index_defensive_effort]],
  2
)</f>
        <v>1.06</v>
      </c>
    </row>
    <row r="1574" spans="1:37" x14ac:dyDescent="0.25">
      <c r="A1574" t="s">
        <v>475</v>
      </c>
      <c r="B1574" t="s">
        <v>476</v>
      </c>
      <c r="C1574">
        <v>31</v>
      </c>
      <c r="D1574" t="s">
        <v>56</v>
      </c>
      <c r="E1574">
        <v>71</v>
      </c>
      <c r="F1574">
        <v>195</v>
      </c>
      <c r="G1574" t="s">
        <v>74</v>
      </c>
      <c r="H1574">
        <v>2020</v>
      </c>
      <c r="I1574" t="s">
        <v>33</v>
      </c>
      <c r="J1574">
        <v>2</v>
      </c>
      <c r="K1574">
        <v>3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2</v>
      </c>
      <c r="R1574">
        <v>0</v>
      </c>
      <c r="S1574">
        <v>81</v>
      </c>
      <c r="T1574">
        <v>77</v>
      </c>
      <c r="U1574" s="5">
        <f>IF(Merge1[[#This Row],[team_defense_snaps]]=0, "", Merge1[[#This Row],[defense_snaps]] / Merge1[[#This Row],[team_defense_snaps]])</f>
        <v>1</v>
      </c>
      <c r="V1574">
        <v>77</v>
      </c>
      <c r="W1574">
        <v>4</v>
      </c>
      <c r="X1574" s="5" t="s">
        <v>212</v>
      </c>
      <c r="Y1574">
        <v>10</v>
      </c>
      <c r="Z1574">
        <v>0</v>
      </c>
      <c r="AA1574" t="s">
        <v>25</v>
      </c>
      <c r="AB1574" t="s">
        <v>26</v>
      </c>
      <c r="AC1574" t="s">
        <v>27</v>
      </c>
      <c r="AD1574" t="s">
        <v>42</v>
      </c>
      <c r="AE1574" t="s">
        <v>25</v>
      </c>
      <c r="AF15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0.13580246913580246</v>
      </c>
      <c r="AG1574" t="s">
        <v>941</v>
      </c>
      <c r="AH1574">
        <v>71</v>
      </c>
      <c r="AI1574" t="s">
        <v>939</v>
      </c>
      <c r="AJ1574">
        <v>3</v>
      </c>
      <c r="AK15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MIN(AJ1574/8, 1) +
  Merge1[[#This Row],[index_defensive_effort]],
  2
)</f>
        <v>1.21</v>
      </c>
    </row>
    <row r="1575" spans="1:37" x14ac:dyDescent="0.25">
      <c r="A1575" t="s">
        <v>475</v>
      </c>
      <c r="B1575" t="s">
        <v>476</v>
      </c>
      <c r="C1575">
        <v>31</v>
      </c>
      <c r="D1575" t="s">
        <v>56</v>
      </c>
      <c r="E1575">
        <v>71</v>
      </c>
      <c r="F1575">
        <v>195</v>
      </c>
      <c r="G1575" t="s">
        <v>74</v>
      </c>
      <c r="H1575">
        <v>2020</v>
      </c>
      <c r="I1575" t="s">
        <v>33</v>
      </c>
      <c r="J1575">
        <v>3</v>
      </c>
      <c r="K1575">
        <v>2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50</v>
      </c>
      <c r="T1575">
        <v>47</v>
      </c>
      <c r="U1575" s="5">
        <f>IF(Merge1[[#This Row],[team_defense_snaps]]=0, "", Merge1[[#This Row],[defense_snaps]] / Merge1[[#This Row],[team_defense_snaps]])</f>
        <v>1</v>
      </c>
      <c r="V1575">
        <v>47</v>
      </c>
      <c r="W1575">
        <v>3</v>
      </c>
      <c r="X1575" s="5" t="s">
        <v>35</v>
      </c>
      <c r="Y1575">
        <v>10</v>
      </c>
      <c r="Z1575">
        <v>0</v>
      </c>
      <c r="AA1575" t="s">
        <v>25</v>
      </c>
      <c r="AB1575" t="s">
        <v>26</v>
      </c>
      <c r="AC1575" t="s">
        <v>27</v>
      </c>
      <c r="AD1575" t="s">
        <v>42</v>
      </c>
      <c r="AE1575" t="s">
        <v>25</v>
      </c>
      <c r="AF15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0.04</v>
      </c>
      <c r="AG1575" t="s">
        <v>941</v>
      </c>
      <c r="AH1575">
        <v>59</v>
      </c>
      <c r="AI1575" t="s">
        <v>939</v>
      </c>
      <c r="AJ1575">
        <v>1</v>
      </c>
      <c r="AK15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MIN(AJ1575/8, 1) +
  Merge1[[#This Row],[index_defensive_effort]],
  2
)</f>
        <v>0.87</v>
      </c>
    </row>
    <row r="1576" spans="1:37" x14ac:dyDescent="0.25">
      <c r="A1576" t="s">
        <v>475</v>
      </c>
      <c r="B1576" t="s">
        <v>476</v>
      </c>
      <c r="C1576">
        <v>31</v>
      </c>
      <c r="D1576" t="s">
        <v>56</v>
      </c>
      <c r="E1576">
        <v>71</v>
      </c>
      <c r="F1576">
        <v>195</v>
      </c>
      <c r="G1576" t="s">
        <v>74</v>
      </c>
      <c r="H1576">
        <v>2020</v>
      </c>
      <c r="I1576" t="s">
        <v>33</v>
      </c>
      <c r="J1576">
        <v>5</v>
      </c>
      <c r="K1576">
        <v>4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63</v>
      </c>
      <c r="T1576">
        <v>59</v>
      </c>
      <c r="U1576" s="5">
        <f>IF(Merge1[[#This Row],[team_defense_snaps]]=0, "", Merge1[[#This Row],[defense_snaps]] / Merge1[[#This Row],[team_defense_snaps]])</f>
        <v>1</v>
      </c>
      <c r="V1576">
        <v>59</v>
      </c>
      <c r="W1576">
        <v>4</v>
      </c>
      <c r="X1576" s="5" t="s">
        <v>168</v>
      </c>
      <c r="Y1576">
        <v>10</v>
      </c>
      <c r="Z1576">
        <v>0</v>
      </c>
      <c r="AA1576" t="s">
        <v>25</v>
      </c>
      <c r="AB1576" t="s">
        <v>26</v>
      </c>
      <c r="AC1576" t="s">
        <v>27</v>
      </c>
      <c r="AD1576" t="s">
        <v>42</v>
      </c>
      <c r="AE1576" t="s">
        <v>25</v>
      </c>
      <c r="AF15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6.3492063492063489E-2</v>
      </c>
      <c r="AG1576" t="s">
        <v>941</v>
      </c>
      <c r="AH1576">
        <v>69.5</v>
      </c>
      <c r="AI1576" t="s">
        <v>939</v>
      </c>
      <c r="AJ1576">
        <v>2</v>
      </c>
      <c r="AK15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MIN(AJ1576/8, 1) +
  Merge1[[#This Row],[index_defensive_effort]],
  2
)</f>
        <v>1.01</v>
      </c>
    </row>
    <row r="1577" spans="1:37" x14ac:dyDescent="0.25">
      <c r="A1577" t="s">
        <v>475</v>
      </c>
      <c r="B1577" t="s">
        <v>476</v>
      </c>
      <c r="C1577">
        <v>31</v>
      </c>
      <c r="D1577" t="s">
        <v>56</v>
      </c>
      <c r="E1577">
        <v>71</v>
      </c>
      <c r="F1577">
        <v>195</v>
      </c>
      <c r="G1577" t="s">
        <v>74</v>
      </c>
      <c r="H1577">
        <v>2020</v>
      </c>
      <c r="I1577" t="s">
        <v>33</v>
      </c>
      <c r="J1577">
        <v>6</v>
      </c>
      <c r="K1577">
        <v>2</v>
      </c>
      <c r="L1577">
        <v>1</v>
      </c>
      <c r="M1577">
        <v>1</v>
      </c>
      <c r="N1577">
        <v>2</v>
      </c>
      <c r="O1577">
        <v>0</v>
      </c>
      <c r="P1577">
        <v>0</v>
      </c>
      <c r="Q1577">
        <v>0</v>
      </c>
      <c r="R1577">
        <v>0</v>
      </c>
      <c r="S1577">
        <v>58</v>
      </c>
      <c r="T1577">
        <v>57</v>
      </c>
      <c r="U1577" s="5">
        <f>IF(Merge1[[#This Row],[team_defense_snaps]]=0, "", Merge1[[#This Row],[defense_snaps]] / Merge1[[#This Row],[team_defense_snaps]])</f>
        <v>1</v>
      </c>
      <c r="V1577">
        <v>57</v>
      </c>
      <c r="W1577">
        <v>1</v>
      </c>
      <c r="X1577" s="5" t="s">
        <v>193</v>
      </c>
      <c r="Y1577">
        <v>10</v>
      </c>
      <c r="Z1577">
        <v>0</v>
      </c>
      <c r="AA1577" t="s">
        <v>25</v>
      </c>
      <c r="AB1577" t="s">
        <v>26</v>
      </c>
      <c r="AC1577" t="s">
        <v>27</v>
      </c>
      <c r="AD1577" t="s">
        <v>42</v>
      </c>
      <c r="AE1577" t="s">
        <v>25</v>
      </c>
      <c r="AF15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5.1724137931034482E-2</v>
      </c>
      <c r="AG1577" t="s">
        <v>941</v>
      </c>
      <c r="AH1577">
        <v>63.5</v>
      </c>
      <c r="AI1577" t="s">
        <v>939</v>
      </c>
      <c r="AJ1577">
        <v>3</v>
      </c>
      <c r="AK15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MIN(AJ1577/8, 1) +
  Merge1[[#This Row],[index_defensive_effort]],
  2
)</f>
        <v>1.1299999999999999</v>
      </c>
    </row>
    <row r="1578" spans="1:37" x14ac:dyDescent="0.25">
      <c r="A1578" t="s">
        <v>475</v>
      </c>
      <c r="B1578" t="s">
        <v>476</v>
      </c>
      <c r="C1578">
        <v>31</v>
      </c>
      <c r="D1578" t="s">
        <v>56</v>
      </c>
      <c r="E1578">
        <v>71</v>
      </c>
      <c r="F1578">
        <v>195</v>
      </c>
      <c r="G1578" t="s">
        <v>74</v>
      </c>
      <c r="H1578">
        <v>2020</v>
      </c>
      <c r="I1578" t="s">
        <v>33</v>
      </c>
      <c r="J1578">
        <v>7</v>
      </c>
      <c r="K1578">
        <v>5</v>
      </c>
      <c r="L1578">
        <v>3</v>
      </c>
      <c r="M1578">
        <v>2</v>
      </c>
      <c r="N1578">
        <v>5</v>
      </c>
      <c r="O1578">
        <v>0</v>
      </c>
      <c r="P1578">
        <v>0</v>
      </c>
      <c r="Q1578">
        <v>0</v>
      </c>
      <c r="R1578">
        <v>0</v>
      </c>
      <c r="S1578">
        <v>60</v>
      </c>
      <c r="T1578">
        <v>56</v>
      </c>
      <c r="U1578" s="5">
        <f>IF(Merge1[[#This Row],[team_defense_snaps]]=0, "", Merge1[[#This Row],[defense_snaps]] / Merge1[[#This Row],[team_defense_snaps]])</f>
        <v>0.98245614035087714</v>
      </c>
      <c r="V1578">
        <v>57</v>
      </c>
      <c r="W1578">
        <v>4</v>
      </c>
      <c r="X1578" s="5" t="s">
        <v>212</v>
      </c>
      <c r="Y1578">
        <v>10</v>
      </c>
      <c r="Z1578">
        <v>0</v>
      </c>
      <c r="AA1578" t="s">
        <v>25</v>
      </c>
      <c r="AB1578" t="s">
        <v>26</v>
      </c>
      <c r="AC1578" t="s">
        <v>27</v>
      </c>
      <c r="AD1578" t="s">
        <v>42</v>
      </c>
      <c r="AE1578" t="s">
        <v>25</v>
      </c>
      <c r="AF15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1578" t="s">
        <v>941</v>
      </c>
      <c r="AH1578">
        <v>53</v>
      </c>
      <c r="AI1578" t="s">
        <v>939</v>
      </c>
      <c r="AJ1578">
        <v>4</v>
      </c>
      <c r="AK15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MIN(AJ1578/8, 1) +
  Merge1[[#This Row],[index_defensive_effort]],
  2
)</f>
        <v>1.33</v>
      </c>
    </row>
    <row r="1579" spans="1:37" x14ac:dyDescent="0.25">
      <c r="A1579" t="s">
        <v>475</v>
      </c>
      <c r="B1579" t="s">
        <v>476</v>
      </c>
      <c r="C1579">
        <v>31</v>
      </c>
      <c r="D1579" t="s">
        <v>56</v>
      </c>
      <c r="E1579">
        <v>71</v>
      </c>
      <c r="F1579">
        <v>195</v>
      </c>
      <c r="G1579" t="s">
        <v>74</v>
      </c>
      <c r="H1579">
        <v>2020</v>
      </c>
      <c r="I1579" t="s">
        <v>33</v>
      </c>
      <c r="J1579">
        <v>8</v>
      </c>
      <c r="K1579">
        <v>6</v>
      </c>
      <c r="L1579">
        <v>1</v>
      </c>
      <c r="M1579">
        <v>0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85</v>
      </c>
      <c r="T1579">
        <v>81</v>
      </c>
      <c r="U1579" s="5">
        <f>IF(Merge1[[#This Row],[team_defense_snaps]]=0, "", Merge1[[#This Row],[defense_snaps]] / Merge1[[#This Row],[team_defense_snaps]])</f>
        <v>0.95294117647058818</v>
      </c>
      <c r="V1579">
        <v>85</v>
      </c>
      <c r="W1579">
        <v>4</v>
      </c>
      <c r="X1579" s="5" t="s">
        <v>168</v>
      </c>
      <c r="Y1579">
        <v>10</v>
      </c>
      <c r="Z1579">
        <v>0</v>
      </c>
      <c r="AA1579" t="s">
        <v>25</v>
      </c>
      <c r="AB1579" t="s">
        <v>26</v>
      </c>
      <c r="AC1579" t="s">
        <v>27</v>
      </c>
      <c r="AD1579" t="s">
        <v>42</v>
      </c>
      <c r="AE1579" t="s">
        <v>25</v>
      </c>
      <c r="AF15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7.6470588235294124E-2</v>
      </c>
      <c r="AG1579" t="s">
        <v>941</v>
      </c>
      <c r="AH1579">
        <v>60.5</v>
      </c>
      <c r="AI1579" t="s">
        <v>939</v>
      </c>
      <c r="AJ1579">
        <v>5</v>
      </c>
      <c r="AK15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MIN(AJ1579/8, 1) +
  Merge1[[#This Row],[index_defensive_effort]],
  2
)</f>
        <v>1.4</v>
      </c>
    </row>
    <row r="1580" spans="1:37" x14ac:dyDescent="0.25">
      <c r="A1580" t="s">
        <v>475</v>
      </c>
      <c r="B1580" t="s">
        <v>476</v>
      </c>
      <c r="C1580">
        <v>31</v>
      </c>
      <c r="D1580" t="s">
        <v>56</v>
      </c>
      <c r="E1580">
        <v>71</v>
      </c>
      <c r="F1580">
        <v>195</v>
      </c>
      <c r="G1580" t="s">
        <v>74</v>
      </c>
      <c r="H1580">
        <v>2020</v>
      </c>
      <c r="I1580" t="s">
        <v>33</v>
      </c>
      <c r="J1580">
        <v>9</v>
      </c>
      <c r="K1580">
        <v>4</v>
      </c>
      <c r="L1580">
        <v>1</v>
      </c>
      <c r="M1580">
        <v>0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78</v>
      </c>
      <c r="T1580">
        <v>72</v>
      </c>
      <c r="U1580" s="5">
        <f>IF(Merge1[[#This Row],[team_defense_snaps]]=0, "", Merge1[[#This Row],[defense_snaps]] / Merge1[[#This Row],[team_defense_snaps]])</f>
        <v>1</v>
      </c>
      <c r="V1580">
        <v>72</v>
      </c>
      <c r="W1580">
        <v>6</v>
      </c>
      <c r="X1580" s="5" t="s">
        <v>132</v>
      </c>
      <c r="Y1580">
        <v>10</v>
      </c>
      <c r="Z1580">
        <v>0</v>
      </c>
      <c r="AA1580" t="s">
        <v>25</v>
      </c>
      <c r="AB1580" t="s">
        <v>26</v>
      </c>
      <c r="AC1580" t="s">
        <v>27</v>
      </c>
      <c r="AD1580" t="s">
        <v>42</v>
      </c>
      <c r="AE1580" t="s">
        <v>25</v>
      </c>
      <c r="AF15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1580" t="s">
        <v>941</v>
      </c>
      <c r="AH1580">
        <v>57.5</v>
      </c>
      <c r="AI1580" t="s">
        <v>939</v>
      </c>
      <c r="AJ1580">
        <v>6</v>
      </c>
      <c r="AK15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MIN(AJ1580/8, 1) +
  Merge1[[#This Row],[index_defensive_effort]],
  2
)</f>
        <v>1.53</v>
      </c>
    </row>
    <row r="1581" spans="1:37" x14ac:dyDescent="0.25">
      <c r="A1581" t="s">
        <v>475</v>
      </c>
      <c r="B1581" t="s">
        <v>476</v>
      </c>
      <c r="C1581">
        <v>31</v>
      </c>
      <c r="D1581" t="s">
        <v>56</v>
      </c>
      <c r="E1581">
        <v>71</v>
      </c>
      <c r="F1581">
        <v>195</v>
      </c>
      <c r="G1581" t="s">
        <v>74</v>
      </c>
      <c r="H1581">
        <v>2020</v>
      </c>
      <c r="I1581" t="s">
        <v>33</v>
      </c>
      <c r="J1581">
        <v>10</v>
      </c>
      <c r="K1581">
        <v>3</v>
      </c>
      <c r="L1581">
        <v>1</v>
      </c>
      <c r="M1581">
        <v>1</v>
      </c>
      <c r="N1581">
        <v>2</v>
      </c>
      <c r="O1581">
        <v>0</v>
      </c>
      <c r="P1581">
        <v>0</v>
      </c>
      <c r="Q1581">
        <v>0</v>
      </c>
      <c r="R1581">
        <v>0</v>
      </c>
      <c r="S1581">
        <v>63</v>
      </c>
      <c r="T1581">
        <v>60</v>
      </c>
      <c r="U1581" s="5">
        <f>IF(Merge1[[#This Row],[team_defense_snaps]]=0, "", Merge1[[#This Row],[defense_snaps]] / Merge1[[#This Row],[team_defense_snaps]])</f>
        <v>0.92307692307692313</v>
      </c>
      <c r="V1581">
        <v>65</v>
      </c>
      <c r="W1581">
        <v>3</v>
      </c>
      <c r="X1581" s="5" t="s">
        <v>167</v>
      </c>
      <c r="Y1581">
        <v>10</v>
      </c>
      <c r="Z1581">
        <v>0</v>
      </c>
      <c r="AA1581" t="s">
        <v>25</v>
      </c>
      <c r="AB1581" t="s">
        <v>26</v>
      </c>
      <c r="AC1581" t="s">
        <v>27</v>
      </c>
      <c r="AD1581" t="s">
        <v>42</v>
      </c>
      <c r="AE1581" t="s">
        <v>25</v>
      </c>
      <c r="AF15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6.3492063492063489E-2</v>
      </c>
      <c r="AG1581" t="s">
        <v>941</v>
      </c>
      <c r="AH1581">
        <v>50</v>
      </c>
      <c r="AI1581" t="s">
        <v>939</v>
      </c>
      <c r="AJ1581">
        <v>7</v>
      </c>
      <c r="AK15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MIN(AJ1581/8, 1) +
  Merge1[[#This Row],[index_defensive_effort]],
  2
)</f>
        <v>1.64</v>
      </c>
    </row>
    <row r="1582" spans="1:37" x14ac:dyDescent="0.25">
      <c r="A1582" t="s">
        <v>475</v>
      </c>
      <c r="B1582" t="s">
        <v>476</v>
      </c>
      <c r="C1582">
        <v>31</v>
      </c>
      <c r="D1582" t="s">
        <v>56</v>
      </c>
      <c r="E1582">
        <v>71</v>
      </c>
      <c r="F1582">
        <v>195</v>
      </c>
      <c r="G1582" t="s">
        <v>74</v>
      </c>
      <c r="H1582">
        <v>2020</v>
      </c>
      <c r="I1582" t="s">
        <v>33</v>
      </c>
      <c r="J1582">
        <v>11</v>
      </c>
      <c r="K1582">
        <v>3</v>
      </c>
      <c r="L1582">
        <v>0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38</v>
      </c>
      <c r="T1582">
        <v>37</v>
      </c>
      <c r="U1582" s="5">
        <f>IF(Merge1[[#This Row],[team_defense_snaps]]=0, "", Merge1[[#This Row],[defense_snaps]] / Merge1[[#This Row],[team_defense_snaps]])</f>
        <v>0.63793103448275867</v>
      </c>
      <c r="V1582">
        <v>58</v>
      </c>
      <c r="W1582">
        <v>1</v>
      </c>
      <c r="X1582" s="5" t="s">
        <v>193</v>
      </c>
      <c r="Y1582">
        <v>10</v>
      </c>
      <c r="Z1582">
        <v>0</v>
      </c>
      <c r="AA1582" t="s">
        <v>25</v>
      </c>
      <c r="AB1582" t="s">
        <v>26</v>
      </c>
      <c r="AC1582" t="s">
        <v>27</v>
      </c>
      <c r="AD1582" t="s">
        <v>42</v>
      </c>
      <c r="AE1582" t="s">
        <v>25</v>
      </c>
      <c r="AF15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0.13157894736842105</v>
      </c>
      <c r="AG1582" t="s">
        <v>941</v>
      </c>
      <c r="AH1582">
        <v>56</v>
      </c>
      <c r="AI1582" t="s">
        <v>939</v>
      </c>
      <c r="AJ1582">
        <v>8</v>
      </c>
      <c r="AK15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MIN(AJ1582/8, 1) +
  Merge1[[#This Row],[index_defensive_effort]],
  2
)</f>
        <v>1.83</v>
      </c>
    </row>
    <row r="1583" spans="1:37" x14ac:dyDescent="0.25">
      <c r="A1583" t="s">
        <v>475</v>
      </c>
      <c r="B1583" t="s">
        <v>476</v>
      </c>
      <c r="C1583">
        <v>31</v>
      </c>
      <c r="D1583" t="s">
        <v>56</v>
      </c>
      <c r="E1583">
        <v>71</v>
      </c>
      <c r="F1583">
        <v>195</v>
      </c>
      <c r="G1583" t="s">
        <v>74</v>
      </c>
      <c r="H1583">
        <v>2020</v>
      </c>
      <c r="I1583" t="s">
        <v>33</v>
      </c>
      <c r="J1583">
        <v>12</v>
      </c>
      <c r="K1583">
        <v>1</v>
      </c>
      <c r="L1583">
        <v>2</v>
      </c>
      <c r="M1583">
        <v>2</v>
      </c>
      <c r="N1583">
        <v>4</v>
      </c>
      <c r="O1583">
        <v>0</v>
      </c>
      <c r="P1583">
        <v>2</v>
      </c>
      <c r="Q1583">
        <v>2</v>
      </c>
      <c r="R1583">
        <v>0</v>
      </c>
      <c r="S1583">
        <v>53</v>
      </c>
      <c r="T1583">
        <v>50</v>
      </c>
      <c r="U1583" s="5">
        <f>IF(Merge1[[#This Row],[team_defense_snaps]]=0, "", Merge1[[#This Row],[defense_snaps]] / Merge1[[#This Row],[team_defense_snaps]])</f>
        <v>0.94339622641509435</v>
      </c>
      <c r="V1583">
        <v>53</v>
      </c>
      <c r="W1583">
        <v>3</v>
      </c>
      <c r="X1583" s="5" t="s">
        <v>251</v>
      </c>
      <c r="Y1583">
        <v>10</v>
      </c>
      <c r="Z1583">
        <v>0</v>
      </c>
      <c r="AA1583" t="s">
        <v>25</v>
      </c>
      <c r="AB1583" t="s">
        <v>36</v>
      </c>
      <c r="AC1583" t="s">
        <v>247</v>
      </c>
      <c r="AD1583" t="s">
        <v>42</v>
      </c>
      <c r="AE1583" t="s">
        <v>25</v>
      </c>
      <c r="AF15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0.28301886792452829</v>
      </c>
      <c r="AG1583" t="s">
        <v>941</v>
      </c>
      <c r="AH1583">
        <v>54.5</v>
      </c>
      <c r="AI1583" t="s">
        <v>939</v>
      </c>
      <c r="AJ1583">
        <v>9</v>
      </c>
      <c r="AK15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MIN(AJ1583/8, 1) +
  Merge1[[#This Row],[index_defensive_effort]],
  2
)</f>
        <v>1.98</v>
      </c>
    </row>
    <row r="1584" spans="1:37" x14ac:dyDescent="0.25">
      <c r="A1584" t="s">
        <v>475</v>
      </c>
      <c r="B1584" t="s">
        <v>476</v>
      </c>
      <c r="C1584">
        <v>31</v>
      </c>
      <c r="D1584" t="s">
        <v>56</v>
      </c>
      <c r="E1584">
        <v>71</v>
      </c>
      <c r="F1584">
        <v>195</v>
      </c>
      <c r="G1584" t="s">
        <v>74</v>
      </c>
      <c r="H1584">
        <v>2020</v>
      </c>
      <c r="I1584" t="s">
        <v>33</v>
      </c>
      <c r="J1584">
        <v>13</v>
      </c>
      <c r="K1584">
        <v>3</v>
      </c>
      <c r="L1584">
        <v>1</v>
      </c>
      <c r="M1584">
        <v>0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58</v>
      </c>
      <c r="T1584">
        <v>56</v>
      </c>
      <c r="U1584" s="5">
        <f>IF(Merge1[[#This Row],[team_defense_snaps]]=0, "", Merge1[[#This Row],[defense_snaps]] / Merge1[[#This Row],[team_defense_snaps]])</f>
        <v>0.77777777777777779</v>
      </c>
      <c r="V1584">
        <v>72</v>
      </c>
      <c r="W1584">
        <v>2</v>
      </c>
      <c r="X1584" s="5" t="s">
        <v>114</v>
      </c>
      <c r="Y1584">
        <v>10</v>
      </c>
      <c r="Z1584">
        <v>0</v>
      </c>
      <c r="AA1584" t="s">
        <v>25</v>
      </c>
      <c r="AB1584" t="s">
        <v>26</v>
      </c>
      <c r="AC1584" t="s">
        <v>27</v>
      </c>
      <c r="AD1584" t="s">
        <v>42</v>
      </c>
      <c r="AE1584" t="s">
        <v>25</v>
      </c>
      <c r="AF15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6.0344827586206899E-2</v>
      </c>
      <c r="AG1584" t="s">
        <v>941</v>
      </c>
      <c r="AH1584">
        <v>65</v>
      </c>
      <c r="AI1584" t="s">
        <v>939</v>
      </c>
      <c r="AJ1584">
        <v>1</v>
      </c>
      <c r="AK15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MIN(AJ1584/8, 1) +
  Merge1[[#This Row],[index_defensive_effort]],
  2
)</f>
        <v>0.89</v>
      </c>
    </row>
    <row r="1585" spans="1:37" x14ac:dyDescent="0.25">
      <c r="A1585" t="s">
        <v>475</v>
      </c>
      <c r="B1585" t="s">
        <v>476</v>
      </c>
      <c r="C1585">
        <v>31</v>
      </c>
      <c r="D1585" t="s">
        <v>56</v>
      </c>
      <c r="E1585">
        <v>71</v>
      </c>
      <c r="F1585">
        <v>195</v>
      </c>
      <c r="G1585" t="s">
        <v>74</v>
      </c>
      <c r="H1585">
        <v>2020</v>
      </c>
      <c r="I1585" t="s">
        <v>33</v>
      </c>
      <c r="J1585">
        <v>15</v>
      </c>
      <c r="K1585">
        <v>2</v>
      </c>
      <c r="L1585">
        <v>0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62</v>
      </c>
      <c r="T1585">
        <v>56</v>
      </c>
      <c r="U1585" s="5">
        <f>IF(Merge1[[#This Row],[team_defense_snaps]]=0, "", Merge1[[#This Row],[defense_snaps]] / Merge1[[#This Row],[team_defense_snaps]])</f>
        <v>1</v>
      </c>
      <c r="V1585">
        <v>56</v>
      </c>
      <c r="W1585">
        <v>6</v>
      </c>
      <c r="X1585" s="5" t="s">
        <v>59</v>
      </c>
      <c r="Y1585">
        <v>10</v>
      </c>
      <c r="Z1585">
        <v>0</v>
      </c>
      <c r="AA1585" t="s">
        <v>25</v>
      </c>
      <c r="AB1585" t="s">
        <v>26</v>
      </c>
      <c r="AC1585" t="s">
        <v>27</v>
      </c>
      <c r="AD1585" t="s">
        <v>42</v>
      </c>
      <c r="AE1585" t="s">
        <v>25</v>
      </c>
      <c r="AF15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6.4516129032258063E-2</v>
      </c>
      <c r="AG1585" t="s">
        <v>941</v>
      </c>
      <c r="AH1585">
        <v>68</v>
      </c>
      <c r="AI1585" t="s">
        <v>939</v>
      </c>
      <c r="AJ1585">
        <v>2</v>
      </c>
      <c r="AK15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MIN(AJ1585/8, 1) +
  Merge1[[#This Row],[index_defensive_effort]],
  2
)</f>
        <v>1.01</v>
      </c>
    </row>
    <row r="1586" spans="1:37" x14ac:dyDescent="0.25">
      <c r="A1586" t="s">
        <v>475</v>
      </c>
      <c r="B1586" t="s">
        <v>476</v>
      </c>
      <c r="C1586">
        <v>31</v>
      </c>
      <c r="D1586" t="s">
        <v>56</v>
      </c>
      <c r="E1586">
        <v>71</v>
      </c>
      <c r="F1586">
        <v>195</v>
      </c>
      <c r="G1586" t="s">
        <v>74</v>
      </c>
      <c r="H1586">
        <v>2020</v>
      </c>
      <c r="I1586" t="s">
        <v>33</v>
      </c>
      <c r="J1586">
        <v>16</v>
      </c>
      <c r="K1586">
        <v>1</v>
      </c>
      <c r="L1586">
        <v>1</v>
      </c>
      <c r="M1586">
        <v>1</v>
      </c>
      <c r="N1586">
        <v>2</v>
      </c>
      <c r="O1586">
        <v>0</v>
      </c>
      <c r="P1586">
        <v>1</v>
      </c>
      <c r="Q1586">
        <v>0</v>
      </c>
      <c r="R1586">
        <v>0</v>
      </c>
      <c r="S1586">
        <v>73</v>
      </c>
      <c r="T1586">
        <v>69</v>
      </c>
      <c r="U1586" s="5">
        <f>IF(Merge1[[#This Row],[team_defense_snaps]]=0, "", Merge1[[#This Row],[defense_snaps]] / Merge1[[#This Row],[team_defense_snaps]])</f>
        <v>1</v>
      </c>
      <c r="V1586">
        <v>69</v>
      </c>
      <c r="W1586">
        <v>4</v>
      </c>
      <c r="X1586" s="5" t="s">
        <v>212</v>
      </c>
      <c r="Y1586">
        <v>10</v>
      </c>
      <c r="Z1586">
        <v>0</v>
      </c>
      <c r="AA1586" t="s">
        <v>25</v>
      </c>
      <c r="AB1586" t="s">
        <v>26</v>
      </c>
      <c r="AC1586" t="s">
        <v>27</v>
      </c>
      <c r="AD1586" t="s">
        <v>42</v>
      </c>
      <c r="AE1586" t="s">
        <v>25</v>
      </c>
      <c r="AF15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5.4794520547945202E-2</v>
      </c>
      <c r="AG1586" t="s">
        <v>941</v>
      </c>
      <c r="AH1586">
        <v>62</v>
      </c>
      <c r="AI1586" t="s">
        <v>939</v>
      </c>
      <c r="AJ1586">
        <v>1</v>
      </c>
      <c r="AK15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MIN(AJ1586/8, 1) +
  Merge1[[#This Row],[index_defensive_effort]],
  2
)</f>
        <v>0.88</v>
      </c>
    </row>
    <row r="1587" spans="1:37" x14ac:dyDescent="0.25">
      <c r="A1587" t="s">
        <v>560</v>
      </c>
      <c r="B1587" t="s">
        <v>561</v>
      </c>
      <c r="C1587">
        <v>23</v>
      </c>
      <c r="D1587" t="s">
        <v>56</v>
      </c>
      <c r="E1587">
        <v>75</v>
      </c>
      <c r="F1587">
        <v>212</v>
      </c>
      <c r="G1587" t="s">
        <v>99</v>
      </c>
      <c r="H1587">
        <v>2020</v>
      </c>
      <c r="I1587" t="s">
        <v>33</v>
      </c>
      <c r="J1587">
        <v>1</v>
      </c>
      <c r="K1587">
        <v>1</v>
      </c>
      <c r="L1587">
        <v>1</v>
      </c>
      <c r="M1587">
        <v>1</v>
      </c>
      <c r="N1587">
        <v>2</v>
      </c>
      <c r="O1587">
        <v>0</v>
      </c>
      <c r="P1587">
        <v>0</v>
      </c>
      <c r="Q1587">
        <v>0</v>
      </c>
      <c r="R1587">
        <v>0</v>
      </c>
      <c r="S1587">
        <v>35</v>
      </c>
      <c r="T1587">
        <v>27</v>
      </c>
      <c r="U1587" s="5">
        <f>IF(Merge1[[#This Row],[team_defense_snaps]]=0, "", Merge1[[#This Row],[defense_snaps]] / Merge1[[#This Row],[team_defense_snaps]])</f>
        <v>0.43548387096774194</v>
      </c>
      <c r="V1587">
        <v>62</v>
      </c>
      <c r="W1587">
        <v>8</v>
      </c>
      <c r="X1587" s="5" t="s">
        <v>243</v>
      </c>
      <c r="Y1587">
        <v>1</v>
      </c>
      <c r="Z1587">
        <v>0</v>
      </c>
      <c r="AA1587" t="s">
        <v>25</v>
      </c>
      <c r="AB1587" t="s">
        <v>26</v>
      </c>
      <c r="AC1587" t="s">
        <v>27</v>
      </c>
      <c r="AD1587" t="s">
        <v>28</v>
      </c>
      <c r="AE1587" t="s">
        <v>25</v>
      </c>
      <c r="AF15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5.7142857142857141E-2</v>
      </c>
      <c r="AG1587" t="s">
        <v>942</v>
      </c>
      <c r="AH1587">
        <v>45.5</v>
      </c>
      <c r="AI1587" t="s">
        <v>939</v>
      </c>
      <c r="AJ1587">
        <v>1</v>
      </c>
      <c r="AK15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MIN(AJ1587/8, 1) +
  Merge1[[#This Row],[index_defensive_effort]],
  2
)</f>
        <v>0.57999999999999996</v>
      </c>
    </row>
    <row r="1588" spans="1:37" x14ac:dyDescent="0.25">
      <c r="A1588" t="s">
        <v>560</v>
      </c>
      <c r="B1588" t="s">
        <v>561</v>
      </c>
      <c r="C1588">
        <v>23</v>
      </c>
      <c r="D1588" t="s">
        <v>56</v>
      </c>
      <c r="E1588">
        <v>75</v>
      </c>
      <c r="F1588">
        <v>212</v>
      </c>
      <c r="G1588" t="s">
        <v>99</v>
      </c>
      <c r="H1588">
        <v>2020</v>
      </c>
      <c r="I1588" t="s">
        <v>33</v>
      </c>
      <c r="J1588">
        <v>8</v>
      </c>
      <c r="K1588">
        <v>0</v>
      </c>
      <c r="L1588">
        <v>1</v>
      </c>
      <c r="M1588">
        <v>0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26</v>
      </c>
      <c r="T1588">
        <v>13</v>
      </c>
      <c r="U1588" s="5">
        <f>IF(Merge1[[#This Row],[team_defense_snaps]]=0, "", Merge1[[#This Row],[defense_snaps]] / Merge1[[#This Row],[team_defense_snaps]])</f>
        <v>0.22033898305084745</v>
      </c>
      <c r="V1588">
        <v>59</v>
      </c>
      <c r="W1588">
        <v>13</v>
      </c>
      <c r="X1588" s="5" t="s">
        <v>112</v>
      </c>
      <c r="Y1588">
        <v>1</v>
      </c>
      <c r="Z1588">
        <v>0</v>
      </c>
      <c r="AA1588" t="s">
        <v>25</v>
      </c>
      <c r="AB1588" t="s">
        <v>26</v>
      </c>
      <c r="AC1588" t="s">
        <v>27</v>
      </c>
      <c r="AD1588" t="s">
        <v>28</v>
      </c>
      <c r="AE1588" t="s">
        <v>25</v>
      </c>
      <c r="AF15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1.9230769230769232E-2</v>
      </c>
      <c r="AG1588" t="s">
        <v>942</v>
      </c>
      <c r="AH1588">
        <v>44</v>
      </c>
      <c r="AI1588" t="s">
        <v>939</v>
      </c>
      <c r="AJ1588">
        <v>2</v>
      </c>
      <c r="AK15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MIN(AJ1588/8, 1) +
  Merge1[[#This Row],[index_defensive_effort]],
  2
)</f>
        <v>0.67</v>
      </c>
    </row>
    <row r="1589" spans="1:37" x14ac:dyDescent="0.25">
      <c r="A1589" t="s">
        <v>560</v>
      </c>
      <c r="B1589" t="s">
        <v>561</v>
      </c>
      <c r="C1589">
        <v>23</v>
      </c>
      <c r="D1589" t="s">
        <v>56</v>
      </c>
      <c r="E1589">
        <v>75</v>
      </c>
      <c r="F1589">
        <v>212</v>
      </c>
      <c r="G1589" t="s">
        <v>99</v>
      </c>
      <c r="H1589">
        <v>2020</v>
      </c>
      <c r="I1589" t="s">
        <v>33</v>
      </c>
      <c r="J1589">
        <v>9</v>
      </c>
      <c r="K1589">
        <v>1</v>
      </c>
      <c r="L1589">
        <v>0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23</v>
      </c>
      <c r="T1589">
        <v>10</v>
      </c>
      <c r="U1589" s="5">
        <f>IF(Merge1[[#This Row],[team_defense_snaps]]=0, "", Merge1[[#This Row],[defense_snaps]] / Merge1[[#This Row],[team_defense_snaps]])</f>
        <v>0.21739130434782608</v>
      </c>
      <c r="V1589">
        <v>46</v>
      </c>
      <c r="W1589">
        <v>13</v>
      </c>
      <c r="X1589" s="5" t="s">
        <v>200</v>
      </c>
      <c r="Y1589">
        <v>1</v>
      </c>
      <c r="Z1589">
        <v>0</v>
      </c>
      <c r="AA1589" t="s">
        <v>25</v>
      </c>
      <c r="AB1589" t="s">
        <v>26</v>
      </c>
      <c r="AC1589" t="s">
        <v>27</v>
      </c>
      <c r="AD1589" t="s">
        <v>28</v>
      </c>
      <c r="AE1589" t="s">
        <v>25</v>
      </c>
      <c r="AF15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0.13043478260869565</v>
      </c>
      <c r="AG1589" t="s">
        <v>942</v>
      </c>
      <c r="AH1589">
        <v>57.5</v>
      </c>
      <c r="AI1589" t="s">
        <v>939</v>
      </c>
      <c r="AJ1589">
        <v>1</v>
      </c>
      <c r="AK15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MIN(AJ1589/8, 1) +
  Merge1[[#This Row],[index_defensive_effort]],
  2
)</f>
        <v>0.66</v>
      </c>
    </row>
    <row r="1590" spans="1:37" x14ac:dyDescent="0.25">
      <c r="A1590" t="s">
        <v>560</v>
      </c>
      <c r="B1590" t="s">
        <v>561</v>
      </c>
      <c r="C1590">
        <v>23</v>
      </c>
      <c r="D1590" t="s">
        <v>56</v>
      </c>
      <c r="E1590">
        <v>75</v>
      </c>
      <c r="F1590">
        <v>212</v>
      </c>
      <c r="G1590" t="s">
        <v>99</v>
      </c>
      <c r="H1590">
        <v>2020</v>
      </c>
      <c r="I1590" t="s">
        <v>33</v>
      </c>
      <c r="J1590">
        <v>11</v>
      </c>
      <c r="K1590">
        <v>1</v>
      </c>
      <c r="L1590">
        <v>1</v>
      </c>
      <c r="M1590">
        <v>0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20</v>
      </c>
      <c r="T1590">
        <v>6</v>
      </c>
      <c r="U1590" s="5">
        <f>IF(Merge1[[#This Row],[team_defense_snaps]]=0, "", Merge1[[#This Row],[defense_snaps]] / Merge1[[#This Row],[team_defense_snaps]])</f>
        <v>9.8360655737704916E-2</v>
      </c>
      <c r="V1590">
        <v>61</v>
      </c>
      <c r="W1590">
        <v>14</v>
      </c>
      <c r="X1590" s="5" t="s">
        <v>52</v>
      </c>
      <c r="Y1590">
        <v>1</v>
      </c>
      <c r="Z1590">
        <v>0</v>
      </c>
      <c r="AA1590" t="s">
        <v>25</v>
      </c>
      <c r="AB1590" t="s">
        <v>26</v>
      </c>
      <c r="AC1590" t="s">
        <v>27</v>
      </c>
      <c r="AD1590" t="s">
        <v>28</v>
      </c>
      <c r="AE1590" t="s">
        <v>25</v>
      </c>
      <c r="AF15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7.4999999999999997E-2</v>
      </c>
      <c r="AG1590" t="s">
        <v>942</v>
      </c>
      <c r="AH1590">
        <v>68</v>
      </c>
      <c r="AI1590" t="s">
        <v>939</v>
      </c>
      <c r="AJ1590">
        <v>1</v>
      </c>
      <c r="AK15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MIN(AJ1590/8, 1) +
  Merge1[[#This Row],[index_defensive_effort]],
  2
)</f>
        <v>0.6</v>
      </c>
    </row>
    <row r="1591" spans="1:37" x14ac:dyDescent="0.25">
      <c r="A1591" t="s">
        <v>560</v>
      </c>
      <c r="B1591" t="s">
        <v>561</v>
      </c>
      <c r="C1591">
        <v>23</v>
      </c>
      <c r="D1591" t="s">
        <v>56</v>
      </c>
      <c r="E1591">
        <v>75</v>
      </c>
      <c r="F1591">
        <v>212</v>
      </c>
      <c r="G1591" t="s">
        <v>99</v>
      </c>
      <c r="H1591">
        <v>2020</v>
      </c>
      <c r="I1591" t="s">
        <v>33</v>
      </c>
      <c r="J1591">
        <v>13</v>
      </c>
      <c r="K1591">
        <v>2</v>
      </c>
      <c r="L1591">
        <v>0</v>
      </c>
      <c r="M1591">
        <v>0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34</v>
      </c>
      <c r="T1591">
        <v>23</v>
      </c>
      <c r="U1591" s="5">
        <f>IF(Merge1[[#This Row],[team_defense_snaps]]=0, "", Merge1[[#This Row],[defense_snaps]] / Merge1[[#This Row],[team_defense_snaps]])</f>
        <v>0.31506849315068491</v>
      </c>
      <c r="V1591">
        <v>73</v>
      </c>
      <c r="W1591">
        <v>11</v>
      </c>
      <c r="X1591" s="5" t="s">
        <v>131</v>
      </c>
      <c r="Y1591">
        <v>1</v>
      </c>
      <c r="Z1591">
        <v>0</v>
      </c>
      <c r="AA1591" t="s">
        <v>25</v>
      </c>
      <c r="AB1591" t="s">
        <v>26</v>
      </c>
      <c r="AC1591" t="s">
        <v>27</v>
      </c>
      <c r="AD1591" t="s">
        <v>28</v>
      </c>
      <c r="AE1591" t="s">
        <v>25</v>
      </c>
      <c r="AF15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0.11764705882352941</v>
      </c>
      <c r="AG1591" t="s">
        <v>942</v>
      </c>
      <c r="AH1591">
        <v>50</v>
      </c>
      <c r="AI1591" t="s">
        <v>939</v>
      </c>
      <c r="AJ1591">
        <v>1</v>
      </c>
      <c r="AK15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MIN(AJ1591/8, 1) +
  Merge1[[#This Row],[index_defensive_effort]],
  2
)</f>
        <v>0.64</v>
      </c>
    </row>
    <row r="1592" spans="1:37" x14ac:dyDescent="0.25">
      <c r="A1592" t="s">
        <v>560</v>
      </c>
      <c r="B1592" t="s">
        <v>561</v>
      </c>
      <c r="C1592">
        <v>23</v>
      </c>
      <c r="D1592" t="s">
        <v>56</v>
      </c>
      <c r="E1592">
        <v>75</v>
      </c>
      <c r="F1592">
        <v>212</v>
      </c>
      <c r="G1592" t="s">
        <v>99</v>
      </c>
      <c r="H1592">
        <v>2020</v>
      </c>
      <c r="I1592" t="s">
        <v>33</v>
      </c>
      <c r="J1592">
        <v>16</v>
      </c>
      <c r="K1592">
        <v>1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40</v>
      </c>
      <c r="T1592">
        <v>27</v>
      </c>
      <c r="U1592" s="5">
        <f>IF(Merge1[[#This Row],[team_defense_snaps]]=0, "", Merge1[[#This Row],[defense_snaps]] / Merge1[[#This Row],[team_defense_snaps]])</f>
        <v>0.375</v>
      </c>
      <c r="V1592">
        <v>72</v>
      </c>
      <c r="W1592">
        <v>13</v>
      </c>
      <c r="X1592" s="5" t="s">
        <v>260</v>
      </c>
      <c r="Y1592">
        <v>1</v>
      </c>
      <c r="Z1592">
        <v>0</v>
      </c>
      <c r="AA1592" t="s">
        <v>25</v>
      </c>
      <c r="AB1592" t="s">
        <v>26</v>
      </c>
      <c r="AC1592" t="s">
        <v>27</v>
      </c>
      <c r="AD1592" t="s">
        <v>28</v>
      </c>
      <c r="AE1592" t="s">
        <v>25</v>
      </c>
      <c r="AF15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2.5000000000000001E-2</v>
      </c>
      <c r="AG1592" t="s">
        <v>942</v>
      </c>
      <c r="AH1592">
        <v>56</v>
      </c>
      <c r="AI1592" t="s">
        <v>939</v>
      </c>
      <c r="AJ1592">
        <v>2</v>
      </c>
      <c r="AK15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MIN(AJ1592/8, 1) +
  Merge1[[#This Row],[index_defensive_effort]],
  2
)</f>
        <v>0.68</v>
      </c>
    </row>
    <row r="1593" spans="1:37" x14ac:dyDescent="0.25">
      <c r="A1593" t="s">
        <v>560</v>
      </c>
      <c r="B1593" t="s">
        <v>561</v>
      </c>
      <c r="C1593">
        <v>23</v>
      </c>
      <c r="D1593" t="s">
        <v>56</v>
      </c>
      <c r="E1593">
        <v>75</v>
      </c>
      <c r="F1593">
        <v>212</v>
      </c>
      <c r="G1593" t="s">
        <v>99</v>
      </c>
      <c r="H1593">
        <v>2020</v>
      </c>
      <c r="I1593" t="s">
        <v>33</v>
      </c>
      <c r="J1593">
        <v>17</v>
      </c>
      <c r="K1593">
        <v>2</v>
      </c>
      <c r="L1593">
        <v>3</v>
      </c>
      <c r="M1593">
        <v>3</v>
      </c>
      <c r="N1593">
        <v>6</v>
      </c>
      <c r="O1593">
        <v>0</v>
      </c>
      <c r="P1593">
        <v>0</v>
      </c>
      <c r="Q1593">
        <v>0</v>
      </c>
      <c r="R1593">
        <v>0</v>
      </c>
      <c r="S1593">
        <v>47</v>
      </c>
      <c r="T1593">
        <v>36</v>
      </c>
      <c r="U1593" s="5">
        <f>IF(Merge1[[#This Row],[team_defense_snaps]]=0, "", Merge1[[#This Row],[defense_snaps]] / Merge1[[#This Row],[team_defense_snaps]])</f>
        <v>0.53731343283582089</v>
      </c>
      <c r="V1593">
        <v>67</v>
      </c>
      <c r="W1593">
        <v>11</v>
      </c>
      <c r="X1593" s="5" t="s">
        <v>243</v>
      </c>
      <c r="Y1593">
        <v>1</v>
      </c>
      <c r="Z1593">
        <v>0</v>
      </c>
      <c r="AA1593" t="s">
        <v>25</v>
      </c>
      <c r="AB1593" t="s">
        <v>26</v>
      </c>
      <c r="AC1593" t="s">
        <v>27</v>
      </c>
      <c r="AD1593" t="s">
        <v>28</v>
      </c>
      <c r="AE1593" t="s">
        <v>25</v>
      </c>
      <c r="AF15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0.10638297872340426</v>
      </c>
      <c r="AG1593" t="s">
        <v>942</v>
      </c>
      <c r="AH1593">
        <v>53</v>
      </c>
      <c r="AI1593" t="s">
        <v>939</v>
      </c>
      <c r="AJ1593">
        <v>1</v>
      </c>
      <c r="AK15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MIN(AJ1593/8, 1) +
  Merge1[[#This Row],[index_defensive_effort]],
  2
)</f>
        <v>0.63</v>
      </c>
    </row>
    <row r="1594" spans="1:37" x14ac:dyDescent="0.25">
      <c r="A1594" t="s">
        <v>491</v>
      </c>
      <c r="B1594" t="s">
        <v>492</v>
      </c>
      <c r="C1594">
        <v>25</v>
      </c>
      <c r="D1594" t="s">
        <v>22</v>
      </c>
      <c r="E1594">
        <v>72</v>
      </c>
      <c r="F1594">
        <v>204</v>
      </c>
      <c r="G1594" t="s">
        <v>355</v>
      </c>
      <c r="H1594">
        <v>2020</v>
      </c>
      <c r="I1594" t="s">
        <v>33</v>
      </c>
      <c r="J1594">
        <v>1</v>
      </c>
      <c r="K1594">
        <v>2</v>
      </c>
      <c r="L1594">
        <v>2</v>
      </c>
      <c r="M1594">
        <v>1</v>
      </c>
      <c r="N1594">
        <v>3</v>
      </c>
      <c r="O1594">
        <v>0</v>
      </c>
      <c r="P1594">
        <v>1</v>
      </c>
      <c r="Q1594">
        <v>0</v>
      </c>
      <c r="R1594">
        <v>0</v>
      </c>
      <c r="S1594">
        <v>76</v>
      </c>
      <c r="T1594">
        <v>72</v>
      </c>
      <c r="U1594" s="5">
        <f>IF(Merge1[[#This Row],[team_defense_snaps]]=0, "", Merge1[[#This Row],[defense_snaps]] / Merge1[[#This Row],[team_defense_snaps]])</f>
        <v>1</v>
      </c>
      <c r="V1594">
        <v>72</v>
      </c>
      <c r="W1594">
        <v>4</v>
      </c>
      <c r="X1594" s="5" t="s">
        <v>159</v>
      </c>
      <c r="Y1594">
        <v>3</v>
      </c>
      <c r="Z1594">
        <v>0</v>
      </c>
      <c r="AA1594" t="s">
        <v>25</v>
      </c>
      <c r="AB1594" t="s">
        <v>26</v>
      </c>
      <c r="AC1594" t="s">
        <v>27</v>
      </c>
      <c r="AD1594" t="s">
        <v>42</v>
      </c>
      <c r="AE1594" t="s">
        <v>25</v>
      </c>
      <c r="AF15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7.2368421052631582E-2</v>
      </c>
      <c r="AH1594">
        <v>67</v>
      </c>
      <c r="AI1594" t="s">
        <v>939</v>
      </c>
      <c r="AJ1594">
        <v>2</v>
      </c>
      <c r="AK15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MIN(AJ1594/8, 1) +
  Merge1[[#This Row],[index_defensive_effort]],
  2
)</f>
        <v>0.82</v>
      </c>
    </row>
    <row r="1595" spans="1:37" x14ac:dyDescent="0.25">
      <c r="A1595" t="s">
        <v>491</v>
      </c>
      <c r="B1595" t="s">
        <v>492</v>
      </c>
      <c r="C1595">
        <v>25</v>
      </c>
      <c r="D1595" t="s">
        <v>22</v>
      </c>
      <c r="E1595">
        <v>72</v>
      </c>
      <c r="F1595">
        <v>204</v>
      </c>
      <c r="G1595" t="s">
        <v>355</v>
      </c>
      <c r="H1595">
        <v>2020</v>
      </c>
      <c r="I1595" t="s">
        <v>33</v>
      </c>
      <c r="J1595">
        <v>2</v>
      </c>
      <c r="K1595">
        <v>6</v>
      </c>
      <c r="L1595">
        <v>4</v>
      </c>
      <c r="M1595">
        <v>0</v>
      </c>
      <c r="N1595">
        <v>4</v>
      </c>
      <c r="O1595">
        <v>0</v>
      </c>
      <c r="P1595">
        <v>0</v>
      </c>
      <c r="Q1595">
        <v>0</v>
      </c>
      <c r="R1595">
        <v>0</v>
      </c>
      <c r="S1595">
        <v>75</v>
      </c>
      <c r="T1595">
        <v>71</v>
      </c>
      <c r="U1595" s="5">
        <f>IF(Merge1[[#This Row],[team_defense_snaps]]=0, "", Merge1[[#This Row],[defense_snaps]] / Merge1[[#This Row],[team_defense_snaps]])</f>
        <v>1</v>
      </c>
      <c r="V1595">
        <v>71</v>
      </c>
      <c r="W1595">
        <v>4</v>
      </c>
      <c r="X1595" s="5" t="s">
        <v>159</v>
      </c>
      <c r="Y1595">
        <v>3</v>
      </c>
      <c r="Z1595">
        <v>0</v>
      </c>
      <c r="AA1595" t="s">
        <v>25</v>
      </c>
      <c r="AB1595" t="s">
        <v>26</v>
      </c>
      <c r="AC1595" t="s">
        <v>27</v>
      </c>
      <c r="AD1595" t="s">
        <v>42</v>
      </c>
      <c r="AE1595" t="s">
        <v>25</v>
      </c>
      <c r="AF15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0.10666666666666667</v>
      </c>
      <c r="AH1595">
        <v>59.5</v>
      </c>
      <c r="AI1595" t="s">
        <v>939</v>
      </c>
      <c r="AJ1595">
        <v>3</v>
      </c>
      <c r="AK15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MIN(AJ1595/8, 1) +
  Merge1[[#This Row],[index_defensive_effort]],
  2
)</f>
        <v>0.98</v>
      </c>
    </row>
    <row r="1596" spans="1:37" x14ac:dyDescent="0.25">
      <c r="A1596" t="s">
        <v>491</v>
      </c>
      <c r="B1596" t="s">
        <v>492</v>
      </c>
      <c r="C1596">
        <v>25</v>
      </c>
      <c r="D1596" t="s">
        <v>22</v>
      </c>
      <c r="E1596">
        <v>72</v>
      </c>
      <c r="F1596">
        <v>204</v>
      </c>
      <c r="G1596" t="s">
        <v>355</v>
      </c>
      <c r="H1596">
        <v>2020</v>
      </c>
      <c r="I1596" t="s">
        <v>33</v>
      </c>
      <c r="J1596">
        <v>3</v>
      </c>
      <c r="K1596">
        <v>7</v>
      </c>
      <c r="L1596">
        <v>3</v>
      </c>
      <c r="M1596">
        <v>3</v>
      </c>
      <c r="N1596">
        <v>6</v>
      </c>
      <c r="O1596">
        <v>0</v>
      </c>
      <c r="P1596">
        <v>0</v>
      </c>
      <c r="Q1596">
        <v>2</v>
      </c>
      <c r="R1596">
        <v>0</v>
      </c>
      <c r="S1596">
        <v>67</v>
      </c>
      <c r="T1596">
        <v>62</v>
      </c>
      <c r="U1596" s="5">
        <f>IF(Merge1[[#This Row],[team_defense_snaps]]=0, "", Merge1[[#This Row],[defense_snaps]] / Merge1[[#This Row],[team_defense_snaps]])</f>
        <v>0.96875</v>
      </c>
      <c r="V1596">
        <v>64</v>
      </c>
      <c r="W1596">
        <v>5</v>
      </c>
      <c r="X1596" s="5" t="s">
        <v>293</v>
      </c>
      <c r="Y1596">
        <v>3</v>
      </c>
      <c r="Z1596">
        <v>0</v>
      </c>
      <c r="AA1596" t="s">
        <v>25</v>
      </c>
      <c r="AB1596" t="s">
        <v>26</v>
      </c>
      <c r="AC1596" t="s">
        <v>27</v>
      </c>
      <c r="AD1596" t="s">
        <v>42</v>
      </c>
      <c r="AE1596" t="s">
        <v>25</v>
      </c>
      <c r="AF15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0.26865671641791045</v>
      </c>
      <c r="AH1596">
        <v>61</v>
      </c>
      <c r="AI1596" t="s">
        <v>939</v>
      </c>
      <c r="AJ1596">
        <v>4</v>
      </c>
      <c r="AK15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MIN(AJ1596/8, 1) +
  Merge1[[#This Row],[index_defensive_effort]],
  2
)</f>
        <v>1.27</v>
      </c>
    </row>
    <row r="1597" spans="1:37" x14ac:dyDescent="0.25">
      <c r="A1597" t="s">
        <v>491</v>
      </c>
      <c r="B1597" t="s">
        <v>492</v>
      </c>
      <c r="C1597">
        <v>25</v>
      </c>
      <c r="D1597" t="s">
        <v>22</v>
      </c>
      <c r="E1597">
        <v>72</v>
      </c>
      <c r="F1597">
        <v>204</v>
      </c>
      <c r="G1597" t="s">
        <v>355</v>
      </c>
      <c r="H1597">
        <v>2020</v>
      </c>
      <c r="I1597" t="s">
        <v>33</v>
      </c>
      <c r="J1597">
        <v>4</v>
      </c>
      <c r="K1597">
        <v>6</v>
      </c>
      <c r="L1597">
        <v>2</v>
      </c>
      <c r="M1597">
        <v>1</v>
      </c>
      <c r="N1597">
        <v>3</v>
      </c>
      <c r="O1597">
        <v>0</v>
      </c>
      <c r="P1597">
        <v>0</v>
      </c>
      <c r="Q1597">
        <v>0</v>
      </c>
      <c r="R1597">
        <v>0</v>
      </c>
      <c r="S1597">
        <v>73</v>
      </c>
      <c r="T1597">
        <v>68</v>
      </c>
      <c r="U1597" s="5">
        <f>IF(Merge1[[#This Row],[team_defense_snaps]]=0, "", Merge1[[#This Row],[defense_snaps]] / Merge1[[#This Row],[team_defense_snaps]])</f>
        <v>1</v>
      </c>
      <c r="V1597">
        <v>68</v>
      </c>
      <c r="W1597">
        <v>5</v>
      </c>
      <c r="X1597" s="5" t="s">
        <v>139</v>
      </c>
      <c r="Y1597">
        <v>3</v>
      </c>
      <c r="Z1597">
        <v>0</v>
      </c>
      <c r="AA1597" t="s">
        <v>25</v>
      </c>
      <c r="AB1597" t="s">
        <v>26</v>
      </c>
      <c r="AC1597" t="s">
        <v>27</v>
      </c>
      <c r="AD1597" t="s">
        <v>42</v>
      </c>
      <c r="AE1597" t="s">
        <v>25</v>
      </c>
      <c r="AF15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0.10273972602739725</v>
      </c>
      <c r="AH1597">
        <v>52</v>
      </c>
      <c r="AI1597" t="s">
        <v>939</v>
      </c>
      <c r="AJ1597">
        <v>5</v>
      </c>
      <c r="AK15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MIN(AJ1597/8, 1) +
  Merge1[[#This Row],[index_defensive_effort]],
  2
)</f>
        <v>1.23</v>
      </c>
    </row>
    <row r="1598" spans="1:37" x14ac:dyDescent="0.25">
      <c r="A1598" t="s">
        <v>491</v>
      </c>
      <c r="B1598" t="s">
        <v>492</v>
      </c>
      <c r="C1598">
        <v>25</v>
      </c>
      <c r="D1598" t="s">
        <v>22</v>
      </c>
      <c r="E1598">
        <v>72</v>
      </c>
      <c r="F1598">
        <v>204</v>
      </c>
      <c r="G1598" t="s">
        <v>355</v>
      </c>
      <c r="H1598">
        <v>2020</v>
      </c>
      <c r="I1598" t="s">
        <v>33</v>
      </c>
      <c r="J1598">
        <v>5</v>
      </c>
      <c r="K1598">
        <v>4</v>
      </c>
      <c r="L1598">
        <v>1</v>
      </c>
      <c r="M1598">
        <v>0</v>
      </c>
      <c r="N1598">
        <v>1</v>
      </c>
      <c r="O1598">
        <v>0</v>
      </c>
      <c r="P1598">
        <v>1</v>
      </c>
      <c r="Q1598">
        <v>0</v>
      </c>
      <c r="R1598">
        <v>0</v>
      </c>
      <c r="S1598">
        <v>57</v>
      </c>
      <c r="T1598">
        <v>54</v>
      </c>
      <c r="U1598" s="5">
        <f>IF(Merge1[[#This Row],[team_defense_snaps]]=0, "", Merge1[[#This Row],[defense_snaps]] / Merge1[[#This Row],[team_defense_snaps]])</f>
        <v>1</v>
      </c>
      <c r="V1598">
        <v>54</v>
      </c>
      <c r="W1598">
        <v>3</v>
      </c>
      <c r="X1598" s="5" t="s">
        <v>38</v>
      </c>
      <c r="Y1598">
        <v>3</v>
      </c>
      <c r="Z1598">
        <v>0</v>
      </c>
      <c r="AA1598" t="s">
        <v>25</v>
      </c>
      <c r="AB1598" t="s">
        <v>26</v>
      </c>
      <c r="AC1598" t="s">
        <v>27</v>
      </c>
      <c r="AD1598" t="s">
        <v>42</v>
      </c>
      <c r="AE1598" t="s">
        <v>25</v>
      </c>
      <c r="AF15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0.11403508771929824</v>
      </c>
      <c r="AH1598">
        <v>65.5</v>
      </c>
      <c r="AI1598" t="s">
        <v>939</v>
      </c>
      <c r="AJ1598">
        <v>6</v>
      </c>
      <c r="AK15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MIN(AJ1598/8, 1) +
  Merge1[[#This Row],[index_defensive_effort]],
  2
)</f>
        <v>1.36</v>
      </c>
    </row>
    <row r="1599" spans="1:37" x14ac:dyDescent="0.25">
      <c r="A1599" t="s">
        <v>491</v>
      </c>
      <c r="B1599" t="s">
        <v>492</v>
      </c>
      <c r="C1599">
        <v>25</v>
      </c>
      <c r="D1599" t="s">
        <v>22</v>
      </c>
      <c r="E1599">
        <v>72</v>
      </c>
      <c r="F1599">
        <v>204</v>
      </c>
      <c r="G1599" t="s">
        <v>355</v>
      </c>
      <c r="H1599">
        <v>2020</v>
      </c>
      <c r="I1599" t="s">
        <v>33</v>
      </c>
      <c r="J1599">
        <v>6</v>
      </c>
      <c r="K1599">
        <v>5</v>
      </c>
      <c r="L1599">
        <v>8</v>
      </c>
      <c r="M1599">
        <v>0</v>
      </c>
      <c r="N1599">
        <v>8</v>
      </c>
      <c r="O1599">
        <v>0</v>
      </c>
      <c r="P1599">
        <v>0</v>
      </c>
      <c r="Q1599">
        <v>0</v>
      </c>
      <c r="R1599">
        <v>0</v>
      </c>
      <c r="S1599">
        <v>77</v>
      </c>
      <c r="T1599">
        <v>73</v>
      </c>
      <c r="U1599" s="5">
        <f>IF(Merge1[[#This Row],[team_defense_snaps]]=0, "", Merge1[[#This Row],[defense_snaps]] / Merge1[[#This Row],[team_defense_snaps]])</f>
        <v>0.97333333333333338</v>
      </c>
      <c r="V1599">
        <v>75</v>
      </c>
      <c r="W1599">
        <v>4</v>
      </c>
      <c r="X1599" s="5" t="s">
        <v>168</v>
      </c>
      <c r="Y1599">
        <v>3</v>
      </c>
      <c r="Z1599">
        <v>0</v>
      </c>
      <c r="AA1599" t="s">
        <v>25</v>
      </c>
      <c r="AB1599" t="s">
        <v>26</v>
      </c>
      <c r="AC1599" t="s">
        <v>27</v>
      </c>
      <c r="AD1599" t="s">
        <v>42</v>
      </c>
      <c r="AE1599" t="s">
        <v>25</v>
      </c>
      <c r="AF15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0.11688311688311688</v>
      </c>
      <c r="AH1599">
        <v>56.5</v>
      </c>
      <c r="AI1599" t="s">
        <v>939</v>
      </c>
      <c r="AJ1599">
        <v>7</v>
      </c>
      <c r="AK15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MIN(AJ1599/8, 1) +
  Merge1[[#This Row],[index_defensive_effort]],
  2
)</f>
        <v>1.49</v>
      </c>
    </row>
    <row r="1600" spans="1:37" x14ac:dyDescent="0.25">
      <c r="A1600" t="s">
        <v>491</v>
      </c>
      <c r="B1600" t="s">
        <v>492</v>
      </c>
      <c r="C1600">
        <v>25</v>
      </c>
      <c r="D1600" t="s">
        <v>22</v>
      </c>
      <c r="E1600">
        <v>72</v>
      </c>
      <c r="F1600">
        <v>204</v>
      </c>
      <c r="G1600" t="s">
        <v>355</v>
      </c>
      <c r="H1600">
        <v>2020</v>
      </c>
      <c r="I1600" t="s">
        <v>33</v>
      </c>
      <c r="J1600">
        <v>7</v>
      </c>
      <c r="K1600">
        <v>3</v>
      </c>
      <c r="L1600">
        <v>2</v>
      </c>
      <c r="M1600">
        <v>0</v>
      </c>
      <c r="N1600">
        <v>2</v>
      </c>
      <c r="O1600">
        <v>0</v>
      </c>
      <c r="P1600">
        <v>0</v>
      </c>
      <c r="Q1600">
        <v>0</v>
      </c>
      <c r="R1600">
        <v>0</v>
      </c>
      <c r="S1600">
        <v>70</v>
      </c>
      <c r="T1600">
        <v>63</v>
      </c>
      <c r="U1600" s="5">
        <f>IF(Merge1[[#This Row],[team_defense_snaps]]=0, "", Merge1[[#This Row],[defense_snaps]] / Merge1[[#This Row],[team_defense_snaps]])</f>
        <v>1</v>
      </c>
      <c r="V1600">
        <v>63</v>
      </c>
      <c r="W1600">
        <v>7</v>
      </c>
      <c r="X1600" s="5" t="s">
        <v>261</v>
      </c>
      <c r="Y1600">
        <v>3</v>
      </c>
      <c r="Z1600">
        <v>0</v>
      </c>
      <c r="AA1600" t="s">
        <v>25</v>
      </c>
      <c r="AB1600" t="s">
        <v>26</v>
      </c>
      <c r="AC1600" t="s">
        <v>27</v>
      </c>
      <c r="AD1600" t="s">
        <v>42</v>
      </c>
      <c r="AE1600" t="s">
        <v>25</v>
      </c>
      <c r="AF16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5.7142857142857141E-2</v>
      </c>
      <c r="AH1600">
        <v>46</v>
      </c>
      <c r="AI1600" t="s">
        <v>939</v>
      </c>
      <c r="AJ1600">
        <v>8</v>
      </c>
      <c r="AK16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MIN(AJ1600/8, 1) +
  Merge1[[#This Row],[index_defensive_effort]],
  2
)</f>
        <v>1.56</v>
      </c>
    </row>
    <row r="1601" spans="1:37" x14ac:dyDescent="0.25">
      <c r="A1601" t="s">
        <v>491</v>
      </c>
      <c r="B1601" t="s">
        <v>492</v>
      </c>
      <c r="C1601">
        <v>25</v>
      </c>
      <c r="D1601" t="s">
        <v>22</v>
      </c>
      <c r="E1601">
        <v>72</v>
      </c>
      <c r="F1601">
        <v>204</v>
      </c>
      <c r="G1601" t="s">
        <v>355</v>
      </c>
      <c r="H1601">
        <v>2020</v>
      </c>
      <c r="I1601" t="s">
        <v>33</v>
      </c>
      <c r="J1601">
        <v>8</v>
      </c>
      <c r="K1601">
        <v>0</v>
      </c>
      <c r="L1601">
        <v>2</v>
      </c>
      <c r="M1601">
        <v>0</v>
      </c>
      <c r="N1601">
        <v>2</v>
      </c>
      <c r="O1601">
        <v>0</v>
      </c>
      <c r="P1601">
        <v>0</v>
      </c>
      <c r="Q1601">
        <v>0</v>
      </c>
      <c r="R1601">
        <v>0</v>
      </c>
      <c r="S1601">
        <v>60</v>
      </c>
      <c r="T1601">
        <v>49</v>
      </c>
      <c r="U1601" s="5">
        <f>IF(Merge1[[#This Row],[team_defense_snaps]]=0, "", Merge1[[#This Row],[defense_snaps]] / Merge1[[#This Row],[team_defense_snaps]])</f>
        <v>0.98</v>
      </c>
      <c r="V1601">
        <v>50</v>
      </c>
      <c r="W1601">
        <v>11</v>
      </c>
      <c r="X1601" s="5" t="s">
        <v>334</v>
      </c>
      <c r="Y1601">
        <v>3</v>
      </c>
      <c r="Z1601">
        <v>0</v>
      </c>
      <c r="AA1601" t="s">
        <v>25</v>
      </c>
      <c r="AB1601" t="s">
        <v>26</v>
      </c>
      <c r="AC1601" t="s">
        <v>27</v>
      </c>
      <c r="AD1601" t="s">
        <v>42</v>
      </c>
      <c r="AE1601" t="s">
        <v>25</v>
      </c>
      <c r="AF16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1.6666666666666666E-2</v>
      </c>
      <c r="AH1601">
        <v>50</v>
      </c>
      <c r="AI1601" t="s">
        <v>939</v>
      </c>
      <c r="AJ1601">
        <v>1</v>
      </c>
      <c r="AK16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MIN(AJ1601/8, 1) +
  Merge1[[#This Row],[index_defensive_effort]],
  2
)</f>
        <v>0.64</v>
      </c>
    </row>
    <row r="1602" spans="1:37" x14ac:dyDescent="0.25">
      <c r="A1602" t="s">
        <v>491</v>
      </c>
      <c r="B1602" t="s">
        <v>492</v>
      </c>
      <c r="C1602">
        <v>25</v>
      </c>
      <c r="D1602" t="s">
        <v>22</v>
      </c>
      <c r="E1602">
        <v>72</v>
      </c>
      <c r="F1602">
        <v>204</v>
      </c>
      <c r="G1602" t="s">
        <v>355</v>
      </c>
      <c r="H1602">
        <v>2020</v>
      </c>
      <c r="I1602" t="s">
        <v>33</v>
      </c>
      <c r="J1602">
        <v>10</v>
      </c>
      <c r="K1602">
        <v>8</v>
      </c>
      <c r="L1602">
        <v>0</v>
      </c>
      <c r="M1602">
        <v>0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72</v>
      </c>
      <c r="T1602">
        <v>67</v>
      </c>
      <c r="U1602" s="5">
        <f>IF(Merge1[[#This Row],[team_defense_snaps]]=0, "", Merge1[[#This Row],[defense_snaps]] / Merge1[[#This Row],[team_defense_snaps]])</f>
        <v>1</v>
      </c>
      <c r="V1602">
        <v>67</v>
      </c>
      <c r="W1602">
        <v>5</v>
      </c>
      <c r="X1602" s="5" t="s">
        <v>293</v>
      </c>
      <c r="Y1602">
        <v>3</v>
      </c>
      <c r="Z1602">
        <v>0</v>
      </c>
      <c r="AA1602" t="s">
        <v>25</v>
      </c>
      <c r="AB1602" t="s">
        <v>26</v>
      </c>
      <c r="AC1602" t="s">
        <v>27</v>
      </c>
      <c r="AD1602" t="s">
        <v>42</v>
      </c>
      <c r="AE1602" t="s">
        <v>25</v>
      </c>
      <c r="AF16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0.1388888888888889</v>
      </c>
      <c r="AH1602">
        <v>47.5</v>
      </c>
      <c r="AI1602" t="s">
        <v>939</v>
      </c>
      <c r="AJ1602">
        <v>2</v>
      </c>
      <c r="AK16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MIN(AJ1602/8, 1) +
  Merge1[[#This Row],[index_defensive_effort]],
  2
)</f>
        <v>0.89</v>
      </c>
    </row>
    <row r="1603" spans="1:37" x14ac:dyDescent="0.25">
      <c r="A1603" t="s">
        <v>491</v>
      </c>
      <c r="B1603" t="s">
        <v>492</v>
      </c>
      <c r="C1603">
        <v>25</v>
      </c>
      <c r="D1603" t="s">
        <v>22</v>
      </c>
      <c r="E1603">
        <v>72</v>
      </c>
      <c r="F1603">
        <v>204</v>
      </c>
      <c r="G1603" t="s">
        <v>355</v>
      </c>
      <c r="H1603">
        <v>2020</v>
      </c>
      <c r="I1603" t="s">
        <v>33</v>
      </c>
      <c r="J1603">
        <v>11</v>
      </c>
      <c r="K1603">
        <v>3</v>
      </c>
      <c r="L1603">
        <v>3</v>
      </c>
      <c r="M1603">
        <v>0</v>
      </c>
      <c r="N1603">
        <v>3</v>
      </c>
      <c r="O1603">
        <v>0</v>
      </c>
      <c r="P1603">
        <v>1</v>
      </c>
      <c r="Q1603">
        <v>0</v>
      </c>
      <c r="R1603">
        <v>0</v>
      </c>
      <c r="S1603">
        <v>73</v>
      </c>
      <c r="T1603">
        <v>69</v>
      </c>
      <c r="U1603" s="5">
        <f>IF(Merge1[[#This Row],[team_defense_snaps]]=0, "", Merge1[[#This Row],[defense_snaps]] / Merge1[[#This Row],[team_defense_snaps]])</f>
        <v>0.98571428571428577</v>
      </c>
      <c r="V1603">
        <v>70</v>
      </c>
      <c r="W1603">
        <v>4</v>
      </c>
      <c r="X1603" s="5" t="s">
        <v>209</v>
      </c>
      <c r="Y1603">
        <v>3</v>
      </c>
      <c r="Z1603">
        <v>0</v>
      </c>
      <c r="AA1603" t="s">
        <v>25</v>
      </c>
      <c r="AB1603" t="s">
        <v>26</v>
      </c>
      <c r="AC1603" t="s">
        <v>27</v>
      </c>
      <c r="AD1603" t="s">
        <v>42</v>
      </c>
      <c r="AE1603" t="s">
        <v>25</v>
      </c>
      <c r="AF16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8.9041095890410954E-2</v>
      </c>
      <c r="AH1603">
        <v>53.5</v>
      </c>
      <c r="AI1603" t="s">
        <v>939</v>
      </c>
      <c r="AJ1603">
        <v>3</v>
      </c>
      <c r="AK16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MIN(AJ1603/8, 1) +
  Merge1[[#This Row],[index_defensive_effort]],
  2
)</f>
        <v>0.96</v>
      </c>
    </row>
    <row r="1604" spans="1:37" x14ac:dyDescent="0.25">
      <c r="A1604" t="s">
        <v>491</v>
      </c>
      <c r="B1604" t="s">
        <v>492</v>
      </c>
      <c r="C1604">
        <v>25</v>
      </c>
      <c r="D1604" t="s">
        <v>22</v>
      </c>
      <c r="E1604">
        <v>72</v>
      </c>
      <c r="F1604">
        <v>204</v>
      </c>
      <c r="G1604" t="s">
        <v>355</v>
      </c>
      <c r="H1604">
        <v>2020</v>
      </c>
      <c r="I1604" t="s">
        <v>33</v>
      </c>
      <c r="J1604">
        <v>12</v>
      </c>
      <c r="K1604">
        <v>5</v>
      </c>
      <c r="L1604">
        <v>2</v>
      </c>
      <c r="M1604">
        <v>1</v>
      </c>
      <c r="N1604">
        <v>3</v>
      </c>
      <c r="O1604">
        <v>0</v>
      </c>
      <c r="P1604">
        <v>0</v>
      </c>
      <c r="Q1604">
        <v>0</v>
      </c>
      <c r="R1604">
        <v>0</v>
      </c>
      <c r="S1604">
        <v>79</v>
      </c>
      <c r="T1604">
        <v>72</v>
      </c>
      <c r="U1604" s="5">
        <f>IF(Merge1[[#This Row],[team_defense_snaps]]=0, "", Merge1[[#This Row],[defense_snaps]] / Merge1[[#This Row],[team_defense_snaps]])</f>
        <v>1</v>
      </c>
      <c r="V1604">
        <v>72</v>
      </c>
      <c r="W1604">
        <v>7</v>
      </c>
      <c r="X1604" s="5" t="s">
        <v>58</v>
      </c>
      <c r="Y1604">
        <v>3</v>
      </c>
      <c r="Z1604">
        <v>0</v>
      </c>
      <c r="AA1604" t="s">
        <v>25</v>
      </c>
      <c r="AB1604" t="s">
        <v>26</v>
      </c>
      <c r="AC1604" t="s">
        <v>27</v>
      </c>
      <c r="AD1604" t="s">
        <v>42</v>
      </c>
      <c r="AE1604" t="s">
        <v>25</v>
      </c>
      <c r="AF16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8.2278481012658222E-2</v>
      </c>
      <c r="AH1604">
        <v>55</v>
      </c>
      <c r="AI1604" t="s">
        <v>939</v>
      </c>
      <c r="AJ1604">
        <v>4</v>
      </c>
      <c r="AK16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MIN(AJ1604/8, 1) +
  Merge1[[#This Row],[index_defensive_effort]],
  2
)</f>
        <v>1.08</v>
      </c>
    </row>
    <row r="1605" spans="1:37" x14ac:dyDescent="0.25">
      <c r="A1605" t="s">
        <v>491</v>
      </c>
      <c r="B1605" t="s">
        <v>492</v>
      </c>
      <c r="C1605">
        <v>25</v>
      </c>
      <c r="D1605" t="s">
        <v>22</v>
      </c>
      <c r="E1605">
        <v>72</v>
      </c>
      <c r="F1605">
        <v>204</v>
      </c>
      <c r="G1605" t="s">
        <v>355</v>
      </c>
      <c r="H1605">
        <v>2020</v>
      </c>
      <c r="I1605" t="s">
        <v>33</v>
      </c>
      <c r="J1605">
        <v>13</v>
      </c>
      <c r="K1605">
        <v>8</v>
      </c>
      <c r="L1605">
        <v>1</v>
      </c>
      <c r="M1605">
        <v>1</v>
      </c>
      <c r="N1605">
        <v>2</v>
      </c>
      <c r="O1605">
        <v>0</v>
      </c>
      <c r="P1605">
        <v>0</v>
      </c>
      <c r="Q1605">
        <v>0</v>
      </c>
      <c r="R1605">
        <v>0</v>
      </c>
      <c r="S1605">
        <v>70</v>
      </c>
      <c r="T1605">
        <v>64</v>
      </c>
      <c r="U1605" s="5">
        <f>IF(Merge1[[#This Row],[team_defense_snaps]]=0, "", Merge1[[#This Row],[defense_snaps]] / Merge1[[#This Row],[team_defense_snaps]])</f>
        <v>1</v>
      </c>
      <c r="V1605">
        <v>64</v>
      </c>
      <c r="W1605">
        <v>6</v>
      </c>
      <c r="X1605" s="5" t="s">
        <v>58</v>
      </c>
      <c r="Y1605">
        <v>3</v>
      </c>
      <c r="Z1605">
        <v>0</v>
      </c>
      <c r="AA1605" t="s">
        <v>25</v>
      </c>
      <c r="AB1605" t="s">
        <v>26</v>
      </c>
      <c r="AC1605" t="s">
        <v>27</v>
      </c>
      <c r="AD1605" t="s">
        <v>42</v>
      </c>
      <c r="AE1605" t="s">
        <v>25</v>
      </c>
      <c r="AF16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0.12857142857142856</v>
      </c>
      <c r="AH1605">
        <v>50</v>
      </c>
      <c r="AI1605" t="s">
        <v>939</v>
      </c>
      <c r="AJ1605">
        <v>5</v>
      </c>
      <c r="AK16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MIN(AJ1605/8, 1) +
  Merge1[[#This Row],[index_defensive_effort]],
  2
)</f>
        <v>1.25</v>
      </c>
    </row>
    <row r="1606" spans="1:37" x14ac:dyDescent="0.25">
      <c r="A1606" t="s">
        <v>491</v>
      </c>
      <c r="B1606" t="s">
        <v>492</v>
      </c>
      <c r="C1606">
        <v>25</v>
      </c>
      <c r="D1606" t="s">
        <v>22</v>
      </c>
      <c r="E1606">
        <v>72</v>
      </c>
      <c r="F1606">
        <v>204</v>
      </c>
      <c r="G1606" t="s">
        <v>355</v>
      </c>
      <c r="H1606">
        <v>2020</v>
      </c>
      <c r="I1606" t="s">
        <v>33</v>
      </c>
      <c r="J1606">
        <v>14</v>
      </c>
      <c r="K1606">
        <v>2</v>
      </c>
      <c r="L1606">
        <v>3</v>
      </c>
      <c r="M1606">
        <v>1</v>
      </c>
      <c r="N1606">
        <v>4</v>
      </c>
      <c r="O1606">
        <v>0</v>
      </c>
      <c r="P1606">
        <v>0</v>
      </c>
      <c r="Q1606">
        <v>0</v>
      </c>
      <c r="R1606">
        <v>0</v>
      </c>
      <c r="S1606">
        <v>60</v>
      </c>
      <c r="T1606">
        <v>59</v>
      </c>
      <c r="U1606" s="5">
        <f>IF(Merge1[[#This Row],[team_defense_snaps]]=0, "", Merge1[[#This Row],[defense_snaps]] / Merge1[[#This Row],[team_defense_snaps]])</f>
        <v>1</v>
      </c>
      <c r="V1606">
        <v>59</v>
      </c>
      <c r="W1606">
        <v>1</v>
      </c>
      <c r="X1606" s="5" t="s">
        <v>193</v>
      </c>
      <c r="Y1606">
        <v>3</v>
      </c>
      <c r="Z1606">
        <v>0</v>
      </c>
      <c r="AA1606" t="s">
        <v>25</v>
      </c>
      <c r="AB1606" t="s">
        <v>26</v>
      </c>
      <c r="AC1606" t="s">
        <v>27</v>
      </c>
      <c r="AD1606" t="s">
        <v>42</v>
      </c>
      <c r="AE1606" t="s">
        <v>25</v>
      </c>
      <c r="AF16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H1606">
        <v>64</v>
      </c>
      <c r="AI1606" t="s">
        <v>939</v>
      </c>
      <c r="AJ1606">
        <v>6</v>
      </c>
      <c r="AK16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MIN(AJ1606/8, 1) +
  Merge1[[#This Row],[index_defensive_effort]],
  2
)</f>
        <v>1.32</v>
      </c>
    </row>
    <row r="1607" spans="1:37" x14ac:dyDescent="0.25">
      <c r="A1607" t="s">
        <v>491</v>
      </c>
      <c r="B1607" t="s">
        <v>492</v>
      </c>
      <c r="C1607">
        <v>25</v>
      </c>
      <c r="D1607" t="s">
        <v>22</v>
      </c>
      <c r="E1607">
        <v>72</v>
      </c>
      <c r="F1607">
        <v>204</v>
      </c>
      <c r="G1607" t="s">
        <v>355</v>
      </c>
      <c r="H1607">
        <v>2020</v>
      </c>
      <c r="I1607" t="s">
        <v>33</v>
      </c>
      <c r="J1607">
        <v>15</v>
      </c>
      <c r="K1607">
        <v>6</v>
      </c>
      <c r="L1607">
        <v>1</v>
      </c>
      <c r="M1607">
        <v>0</v>
      </c>
      <c r="N1607">
        <v>1</v>
      </c>
      <c r="O1607">
        <v>0</v>
      </c>
      <c r="P1607">
        <v>1</v>
      </c>
      <c r="Q1607">
        <v>0</v>
      </c>
      <c r="R1607">
        <v>0</v>
      </c>
      <c r="S1607">
        <v>70</v>
      </c>
      <c r="T1607">
        <v>65</v>
      </c>
      <c r="U1607" s="5">
        <f>IF(Merge1[[#This Row],[team_defense_snaps]]=0, "", Merge1[[#This Row],[defense_snaps]] / Merge1[[#This Row],[team_defense_snaps]])</f>
        <v>1</v>
      </c>
      <c r="V1607">
        <v>65</v>
      </c>
      <c r="W1607">
        <v>5</v>
      </c>
      <c r="X1607" s="5" t="s">
        <v>124</v>
      </c>
      <c r="Y1607">
        <v>3</v>
      </c>
      <c r="Z1607">
        <v>0</v>
      </c>
      <c r="AA1607" t="s">
        <v>25</v>
      </c>
      <c r="AB1607" t="s">
        <v>26</v>
      </c>
      <c r="AC1607" t="s">
        <v>27</v>
      </c>
      <c r="AD1607" t="s">
        <v>42</v>
      </c>
      <c r="AE1607" t="s">
        <v>25</v>
      </c>
      <c r="AF16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0.12142857142857143</v>
      </c>
      <c r="AH1607">
        <v>49</v>
      </c>
      <c r="AI1607" t="s">
        <v>939</v>
      </c>
      <c r="AJ1607">
        <v>7</v>
      </c>
      <c r="AK16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MIN(AJ1607/8, 1) +
  Merge1[[#This Row],[index_defensive_effort]],
  2
)</f>
        <v>1.5</v>
      </c>
    </row>
    <row r="1608" spans="1:37" x14ac:dyDescent="0.25">
      <c r="A1608" t="s">
        <v>491</v>
      </c>
      <c r="B1608" t="s">
        <v>492</v>
      </c>
      <c r="C1608">
        <v>25</v>
      </c>
      <c r="D1608" t="s">
        <v>22</v>
      </c>
      <c r="E1608">
        <v>72</v>
      </c>
      <c r="F1608">
        <v>204</v>
      </c>
      <c r="G1608" t="s">
        <v>355</v>
      </c>
      <c r="H1608">
        <v>2020</v>
      </c>
      <c r="I1608" t="s">
        <v>33</v>
      </c>
      <c r="J1608">
        <v>16</v>
      </c>
      <c r="K1608">
        <v>4</v>
      </c>
      <c r="L1608">
        <v>2</v>
      </c>
      <c r="M1608">
        <v>1</v>
      </c>
      <c r="N1608">
        <v>3</v>
      </c>
      <c r="O1608">
        <v>0</v>
      </c>
      <c r="P1608">
        <v>0</v>
      </c>
      <c r="Q1608">
        <v>0</v>
      </c>
      <c r="R1608">
        <v>0</v>
      </c>
      <c r="S1608">
        <v>66</v>
      </c>
      <c r="T1608">
        <v>63</v>
      </c>
      <c r="U1608" s="5">
        <f>IF(Merge1[[#This Row],[team_defense_snaps]]=0, "", Merge1[[#This Row],[defense_snaps]] / Merge1[[#This Row],[team_defense_snaps]])</f>
        <v>1</v>
      </c>
      <c r="V1608">
        <v>63</v>
      </c>
      <c r="W1608">
        <v>3</v>
      </c>
      <c r="X1608" s="5" t="s">
        <v>251</v>
      </c>
      <c r="Y1608">
        <v>3</v>
      </c>
      <c r="Z1608">
        <v>0</v>
      </c>
      <c r="AA1608" t="s">
        <v>25</v>
      </c>
      <c r="AB1608" t="s">
        <v>26</v>
      </c>
      <c r="AC1608" t="s">
        <v>27</v>
      </c>
      <c r="AD1608" t="s">
        <v>42</v>
      </c>
      <c r="AE1608" t="s">
        <v>25</v>
      </c>
      <c r="AF16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H1608">
        <v>50.5</v>
      </c>
      <c r="AI1608" t="s">
        <v>939</v>
      </c>
      <c r="AJ1608">
        <v>8</v>
      </c>
      <c r="AK16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MIN(AJ1608/8, 1) +
  Merge1[[#This Row],[index_defensive_effort]],
  2
)</f>
        <v>1.58</v>
      </c>
    </row>
    <row r="1609" spans="1:37" x14ac:dyDescent="0.25">
      <c r="A1609" t="s">
        <v>491</v>
      </c>
      <c r="B1609" t="s">
        <v>492</v>
      </c>
      <c r="C1609">
        <v>25</v>
      </c>
      <c r="D1609" t="s">
        <v>22</v>
      </c>
      <c r="E1609">
        <v>72</v>
      </c>
      <c r="F1609">
        <v>204</v>
      </c>
      <c r="G1609" t="s">
        <v>355</v>
      </c>
      <c r="H1609">
        <v>2020</v>
      </c>
      <c r="I1609" t="s">
        <v>33</v>
      </c>
      <c r="J1609">
        <v>17</v>
      </c>
      <c r="K1609">
        <v>4</v>
      </c>
      <c r="L1609">
        <v>0</v>
      </c>
      <c r="M1609">
        <v>0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55</v>
      </c>
      <c r="T1609">
        <v>53</v>
      </c>
      <c r="U1609" s="5">
        <f>IF(Merge1[[#This Row],[team_defense_snaps]]=0, "", Merge1[[#This Row],[defense_snaps]] / Merge1[[#This Row],[team_defense_snaps]])</f>
        <v>1</v>
      </c>
      <c r="V1609">
        <v>53</v>
      </c>
      <c r="W1609">
        <v>2</v>
      </c>
      <c r="X1609" s="5" t="s">
        <v>167</v>
      </c>
      <c r="Y1609">
        <v>3</v>
      </c>
      <c r="Z1609">
        <v>0</v>
      </c>
      <c r="AA1609" t="s">
        <v>25</v>
      </c>
      <c r="AB1609" t="s">
        <v>26</v>
      </c>
      <c r="AC1609" t="s">
        <v>27</v>
      </c>
      <c r="AD1609" t="s">
        <v>42</v>
      </c>
      <c r="AE1609" t="s">
        <v>25</v>
      </c>
      <c r="AF16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0.10909090909090909</v>
      </c>
      <c r="AH1609">
        <v>70</v>
      </c>
      <c r="AI1609" t="s">
        <v>939</v>
      </c>
      <c r="AJ1609">
        <v>9</v>
      </c>
      <c r="AK16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MIN(AJ1609/8, 1) +
  Merge1[[#This Row],[index_defensive_effort]],
  2
)</f>
        <v>1.61</v>
      </c>
    </row>
    <row r="1610" spans="1:37" x14ac:dyDescent="0.25">
      <c r="A1610" t="s">
        <v>491</v>
      </c>
      <c r="B1610" t="s">
        <v>492</v>
      </c>
      <c r="C1610">
        <v>25</v>
      </c>
      <c r="D1610" t="s">
        <v>22</v>
      </c>
      <c r="E1610">
        <v>72</v>
      </c>
      <c r="F1610">
        <v>204</v>
      </c>
      <c r="G1610" t="s">
        <v>355</v>
      </c>
      <c r="H1610">
        <v>2020</v>
      </c>
      <c r="I1610" t="s">
        <v>24</v>
      </c>
      <c r="J1610">
        <v>18</v>
      </c>
      <c r="K1610">
        <v>3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66</v>
      </c>
      <c r="T1610">
        <v>61</v>
      </c>
      <c r="U1610" s="5">
        <f>IF(Merge1[[#This Row],[team_defense_snaps]]=0, "", Merge1[[#This Row],[defense_snaps]] / Merge1[[#This Row],[team_defense_snaps]])</f>
        <v>0.9838709677419355</v>
      </c>
      <c r="V1610">
        <v>62</v>
      </c>
      <c r="W1610">
        <v>5</v>
      </c>
      <c r="X1610" s="5" t="s">
        <v>212</v>
      </c>
      <c r="Y1610">
        <v>3</v>
      </c>
      <c r="Z1610">
        <v>0</v>
      </c>
      <c r="AA1610" t="s">
        <v>25</v>
      </c>
      <c r="AB1610" t="s">
        <v>26</v>
      </c>
      <c r="AC1610" t="s">
        <v>27</v>
      </c>
      <c r="AD1610" t="s">
        <v>42</v>
      </c>
      <c r="AE1610" t="s">
        <v>25</v>
      </c>
      <c r="AF16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H1610">
        <v>68.5</v>
      </c>
      <c r="AI1610" t="s">
        <v>939</v>
      </c>
      <c r="AJ1610">
        <v>10</v>
      </c>
      <c r="AK16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MIN(AJ1610/8, 1) +
  Merge1[[#This Row],[index_defensive_effort]],
  2
)</f>
        <v>1.75</v>
      </c>
    </row>
    <row r="1611" spans="1:37" x14ac:dyDescent="0.25">
      <c r="A1611" t="s">
        <v>491</v>
      </c>
      <c r="B1611" t="s">
        <v>492</v>
      </c>
      <c r="C1611">
        <v>25</v>
      </c>
      <c r="D1611" t="s">
        <v>22</v>
      </c>
      <c r="E1611">
        <v>72</v>
      </c>
      <c r="F1611">
        <v>204</v>
      </c>
      <c r="G1611" t="s">
        <v>355</v>
      </c>
      <c r="H1611">
        <v>2020</v>
      </c>
      <c r="I1611" t="s">
        <v>24</v>
      </c>
      <c r="J1611">
        <v>19</v>
      </c>
      <c r="K1611">
        <v>8</v>
      </c>
      <c r="L1611">
        <v>1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78</v>
      </c>
      <c r="T1611">
        <v>73</v>
      </c>
      <c r="U1611" s="5">
        <f>IF(Merge1[[#This Row],[team_defense_snaps]]=0, "", Merge1[[#This Row],[defense_snaps]] / Merge1[[#This Row],[team_defense_snaps]])</f>
        <v>0.96052631578947367</v>
      </c>
      <c r="V1611">
        <v>76</v>
      </c>
      <c r="W1611">
        <v>5</v>
      </c>
      <c r="X1611" s="5" t="s">
        <v>139</v>
      </c>
      <c r="Y1611">
        <v>3</v>
      </c>
      <c r="Z1611">
        <v>0</v>
      </c>
      <c r="AA1611" t="s">
        <v>25</v>
      </c>
      <c r="AB1611" t="s">
        <v>26</v>
      </c>
      <c r="AC1611" t="s">
        <v>27</v>
      </c>
      <c r="AD1611" t="s">
        <v>42</v>
      </c>
      <c r="AE1611" t="s">
        <v>25</v>
      </c>
      <c r="AF16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0.10897435897435898</v>
      </c>
      <c r="AH1611">
        <v>62.5</v>
      </c>
      <c r="AI1611" t="s">
        <v>939</v>
      </c>
      <c r="AJ1611">
        <v>1</v>
      </c>
      <c r="AK16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MIN(AJ1611/8, 1) +
  Merge1[[#This Row],[index_defensive_effort]],
  2
)</f>
        <v>0.93</v>
      </c>
    </row>
    <row r="1612" spans="1:37" x14ac:dyDescent="0.25">
      <c r="A1612" t="s">
        <v>531</v>
      </c>
      <c r="B1612" t="s">
        <v>532</v>
      </c>
      <c r="C1612">
        <v>24</v>
      </c>
      <c r="D1612" t="s">
        <v>56</v>
      </c>
      <c r="E1612">
        <v>70</v>
      </c>
      <c r="F1612">
        <v>187</v>
      </c>
      <c r="G1612" t="s">
        <v>157</v>
      </c>
      <c r="H1612">
        <v>2020</v>
      </c>
      <c r="I1612" t="s">
        <v>33</v>
      </c>
      <c r="J1612">
        <v>1</v>
      </c>
      <c r="K1612">
        <v>5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36</v>
      </c>
      <c r="T1612">
        <v>32</v>
      </c>
      <c r="U1612" s="5">
        <f>IF(Merge1[[#This Row],[team_defense_snaps]]=0, "", Merge1[[#This Row],[defense_snaps]] / Merge1[[#This Row],[team_defense_snaps]])</f>
        <v>0.45714285714285713</v>
      </c>
      <c r="V1612">
        <v>70</v>
      </c>
      <c r="W1612">
        <v>4</v>
      </c>
      <c r="X1612" s="5" t="s">
        <v>159</v>
      </c>
      <c r="Y1612">
        <v>0</v>
      </c>
      <c r="Z1612">
        <v>0</v>
      </c>
      <c r="AA1612" t="s">
        <v>25</v>
      </c>
      <c r="AB1612" t="s">
        <v>26</v>
      </c>
      <c r="AC1612" t="s">
        <v>27</v>
      </c>
      <c r="AD1612" t="s">
        <v>28</v>
      </c>
      <c r="AE1612" t="s">
        <v>25</v>
      </c>
      <c r="AF16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0.1388888888888889</v>
      </c>
      <c r="AG1612" t="s">
        <v>942</v>
      </c>
      <c r="AH1612">
        <v>88</v>
      </c>
      <c r="AI1612" t="s">
        <v>939</v>
      </c>
      <c r="AJ1612">
        <v>1</v>
      </c>
      <c r="AK16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MIN(AJ1612/8, 1) +
  Merge1[[#This Row],[index_defensive_effort]],
  2
)</f>
        <v>0.66</v>
      </c>
    </row>
    <row r="1613" spans="1:37" x14ac:dyDescent="0.25">
      <c r="A1613" t="s">
        <v>531</v>
      </c>
      <c r="B1613" t="s">
        <v>532</v>
      </c>
      <c r="C1613">
        <v>24</v>
      </c>
      <c r="D1613" t="s">
        <v>56</v>
      </c>
      <c r="E1613">
        <v>70</v>
      </c>
      <c r="F1613">
        <v>187</v>
      </c>
      <c r="G1613" t="s">
        <v>157</v>
      </c>
      <c r="H1613">
        <v>2020</v>
      </c>
      <c r="I1613" t="s">
        <v>33</v>
      </c>
      <c r="J1613">
        <v>1</v>
      </c>
      <c r="K1613">
        <v>5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36</v>
      </c>
      <c r="T1613">
        <v>32</v>
      </c>
      <c r="U1613" s="5">
        <f>IF(Merge1[[#This Row],[team_defense_snaps]]=0, "", Merge1[[#This Row],[defense_snaps]] / Merge1[[#This Row],[team_defense_snaps]])</f>
        <v>0.45714285714285713</v>
      </c>
      <c r="V1613">
        <v>70</v>
      </c>
      <c r="W1613">
        <v>4</v>
      </c>
      <c r="X1613" s="5" t="s">
        <v>159</v>
      </c>
      <c r="Y1613">
        <v>0</v>
      </c>
      <c r="Z1613">
        <v>0</v>
      </c>
      <c r="AA1613" t="s">
        <v>25</v>
      </c>
      <c r="AB1613" t="s">
        <v>26</v>
      </c>
      <c r="AC1613" t="s">
        <v>27</v>
      </c>
      <c r="AD1613" t="s">
        <v>28</v>
      </c>
      <c r="AE1613" t="s">
        <v>25</v>
      </c>
      <c r="AF16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0.1388888888888889</v>
      </c>
      <c r="AG1613" t="s">
        <v>942</v>
      </c>
      <c r="AH1613">
        <v>88</v>
      </c>
      <c r="AI1613" t="s">
        <v>939</v>
      </c>
      <c r="AJ1613">
        <v>1</v>
      </c>
      <c r="AK16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MIN(AJ1613/8, 1) +
  Merge1[[#This Row],[index_defensive_effort]],
  2
)</f>
        <v>0.66</v>
      </c>
    </row>
    <row r="1614" spans="1:37" x14ac:dyDescent="0.25">
      <c r="A1614" t="s">
        <v>531</v>
      </c>
      <c r="B1614" t="s">
        <v>532</v>
      </c>
      <c r="C1614">
        <v>24</v>
      </c>
      <c r="D1614" t="s">
        <v>56</v>
      </c>
      <c r="E1614">
        <v>70</v>
      </c>
      <c r="F1614">
        <v>187</v>
      </c>
      <c r="G1614" t="s">
        <v>157</v>
      </c>
      <c r="H1614">
        <v>2020</v>
      </c>
      <c r="I1614" t="s">
        <v>33</v>
      </c>
      <c r="J1614">
        <v>16</v>
      </c>
      <c r="K1614">
        <v>3</v>
      </c>
      <c r="L1614">
        <v>1</v>
      </c>
      <c r="M1614">
        <v>0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62</v>
      </c>
      <c r="T1614">
        <v>60</v>
      </c>
      <c r="U1614" s="5">
        <f>IF(Merge1[[#This Row],[team_defense_snaps]]=0, "", Merge1[[#This Row],[defense_snaps]] / Merge1[[#This Row],[team_defense_snaps]])</f>
        <v>0.78947368421052633</v>
      </c>
      <c r="V1614">
        <v>76</v>
      </c>
      <c r="W1614">
        <v>2</v>
      </c>
      <c r="X1614" s="5" t="s">
        <v>114</v>
      </c>
      <c r="Y1614">
        <v>0</v>
      </c>
      <c r="Z1614">
        <v>0</v>
      </c>
      <c r="AA1614" t="s">
        <v>25</v>
      </c>
      <c r="AB1614" t="s">
        <v>26</v>
      </c>
      <c r="AC1614" t="s">
        <v>27</v>
      </c>
      <c r="AD1614" t="s">
        <v>42</v>
      </c>
      <c r="AE1614" t="s">
        <v>25</v>
      </c>
      <c r="AF16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5.6451612903225805E-2</v>
      </c>
      <c r="AG1614" t="s">
        <v>942</v>
      </c>
      <c r="AH1614">
        <v>65.5</v>
      </c>
      <c r="AI1614" t="s">
        <v>940</v>
      </c>
      <c r="AJ1614">
        <v>1</v>
      </c>
      <c r="AK16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MIN(AJ1614/8, 1) +
  Merge1[[#This Row],[index_defensive_effort]],
  2
)</f>
        <v>0.57999999999999996</v>
      </c>
    </row>
    <row r="1615" spans="1:37" x14ac:dyDescent="0.25">
      <c r="A1615" t="s">
        <v>531</v>
      </c>
      <c r="B1615" t="s">
        <v>532</v>
      </c>
      <c r="C1615">
        <v>24</v>
      </c>
      <c r="D1615" t="s">
        <v>56</v>
      </c>
      <c r="E1615">
        <v>70</v>
      </c>
      <c r="F1615">
        <v>187</v>
      </c>
      <c r="G1615" t="s">
        <v>157</v>
      </c>
      <c r="H1615">
        <v>2020</v>
      </c>
      <c r="I1615" t="s">
        <v>33</v>
      </c>
      <c r="J1615">
        <v>16</v>
      </c>
      <c r="K1615">
        <v>3</v>
      </c>
      <c r="L1615">
        <v>1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62</v>
      </c>
      <c r="T1615">
        <v>60</v>
      </c>
      <c r="U1615" s="5">
        <f>IF(Merge1[[#This Row],[team_defense_snaps]]=0, "", Merge1[[#This Row],[defense_snaps]] / Merge1[[#This Row],[team_defense_snaps]])</f>
        <v>0.78947368421052633</v>
      </c>
      <c r="V1615">
        <v>76</v>
      </c>
      <c r="W1615">
        <v>2</v>
      </c>
      <c r="X1615" s="5" t="s">
        <v>114</v>
      </c>
      <c r="Y1615">
        <v>0</v>
      </c>
      <c r="Z1615">
        <v>0</v>
      </c>
      <c r="AA1615" t="s">
        <v>207</v>
      </c>
      <c r="AB1615" t="s">
        <v>62</v>
      </c>
      <c r="AC1615" t="s">
        <v>27</v>
      </c>
      <c r="AD1615" t="s">
        <v>42</v>
      </c>
      <c r="AE1615" t="s">
        <v>25</v>
      </c>
      <c r="AF16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5.6451612903225805E-2</v>
      </c>
      <c r="AG1615" t="s">
        <v>942</v>
      </c>
      <c r="AH1615">
        <v>65.5</v>
      </c>
      <c r="AI1615" t="s">
        <v>939</v>
      </c>
      <c r="AJ1615">
        <v>1</v>
      </c>
      <c r="AK16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MIN(AJ1615/8, 1) +
  Merge1[[#This Row],[index_defensive_effort]],
  2
)</f>
        <v>0.57999999999999996</v>
      </c>
    </row>
    <row r="1616" spans="1:37" x14ac:dyDescent="0.25">
      <c r="A1616" t="s">
        <v>443</v>
      </c>
      <c r="B1616" t="s">
        <v>444</v>
      </c>
      <c r="C1616">
        <v>24</v>
      </c>
      <c r="D1616" t="s">
        <v>22</v>
      </c>
      <c r="E1616">
        <v>71</v>
      </c>
      <c r="F1616">
        <v>205</v>
      </c>
      <c r="G1616" t="s">
        <v>166</v>
      </c>
      <c r="H1616">
        <v>2020</v>
      </c>
      <c r="I1616" t="s">
        <v>33</v>
      </c>
      <c r="J1616">
        <v>1</v>
      </c>
      <c r="K1616">
        <v>10</v>
      </c>
      <c r="L1616">
        <v>4</v>
      </c>
      <c r="M1616">
        <v>0</v>
      </c>
      <c r="N1616">
        <v>4</v>
      </c>
      <c r="O1616">
        <v>0</v>
      </c>
      <c r="P1616">
        <v>0</v>
      </c>
      <c r="Q1616">
        <v>0</v>
      </c>
      <c r="R1616">
        <v>0</v>
      </c>
      <c r="S1616">
        <v>79</v>
      </c>
      <c r="T1616">
        <v>67</v>
      </c>
      <c r="U1616" s="5">
        <f>IF(Merge1[[#This Row],[team_defense_snaps]]=0, "", Merge1[[#This Row],[defense_snaps]] / Merge1[[#This Row],[team_defense_snaps]])</f>
        <v>1</v>
      </c>
      <c r="V1616">
        <v>67</v>
      </c>
      <c r="W1616">
        <v>12</v>
      </c>
      <c r="X1616" s="5" t="s">
        <v>210</v>
      </c>
      <c r="Y1616">
        <v>1</v>
      </c>
      <c r="Z1616">
        <v>0</v>
      </c>
      <c r="AA1616" t="s">
        <v>25</v>
      </c>
      <c r="AB1616" t="s">
        <v>26</v>
      </c>
      <c r="AC1616" t="s">
        <v>27</v>
      </c>
      <c r="AD1616" t="s">
        <v>42</v>
      </c>
      <c r="AE1616" t="s">
        <v>25</v>
      </c>
      <c r="AF16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0.15189873417721519</v>
      </c>
      <c r="AG1616" t="s">
        <v>941</v>
      </c>
      <c r="AH1616">
        <v>80</v>
      </c>
      <c r="AI1616" t="s">
        <v>939</v>
      </c>
      <c r="AJ1616">
        <v>2</v>
      </c>
      <c r="AK16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MIN(AJ1616/8, 1) +
  Merge1[[#This Row],[index_defensive_effort]],
  2
)</f>
        <v>0.9</v>
      </c>
    </row>
    <row r="1617" spans="1:37" x14ac:dyDescent="0.25">
      <c r="A1617" t="s">
        <v>443</v>
      </c>
      <c r="B1617" t="s">
        <v>444</v>
      </c>
      <c r="C1617">
        <v>24</v>
      </c>
      <c r="D1617" t="s">
        <v>22</v>
      </c>
      <c r="E1617">
        <v>71</v>
      </c>
      <c r="F1617">
        <v>205</v>
      </c>
      <c r="G1617" t="s">
        <v>166</v>
      </c>
      <c r="H1617">
        <v>2020</v>
      </c>
      <c r="I1617" t="s">
        <v>33</v>
      </c>
      <c r="J1617">
        <v>2</v>
      </c>
      <c r="K1617">
        <v>4</v>
      </c>
      <c r="L1617">
        <v>0</v>
      </c>
      <c r="M1617">
        <v>0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67</v>
      </c>
      <c r="T1617">
        <v>57</v>
      </c>
      <c r="U1617" s="5">
        <f>IF(Merge1[[#This Row],[team_defense_snaps]]=0, "", Merge1[[#This Row],[defense_snaps]] / Merge1[[#This Row],[team_defense_snaps]])</f>
        <v>0.95</v>
      </c>
      <c r="V1617">
        <v>60</v>
      </c>
      <c r="W1617">
        <v>10</v>
      </c>
      <c r="X1617" s="5" t="s">
        <v>60</v>
      </c>
      <c r="Y1617">
        <v>1</v>
      </c>
      <c r="Z1617">
        <v>0</v>
      </c>
      <c r="AA1617" t="s">
        <v>25</v>
      </c>
      <c r="AB1617" t="s">
        <v>26</v>
      </c>
      <c r="AC1617" t="s">
        <v>27</v>
      </c>
      <c r="AD1617" t="s">
        <v>42</v>
      </c>
      <c r="AE1617" t="s">
        <v>25</v>
      </c>
      <c r="AF16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8.9552238805970144E-2</v>
      </c>
      <c r="AG1617" t="s">
        <v>941</v>
      </c>
      <c r="AH1617">
        <v>72.5</v>
      </c>
      <c r="AI1617" t="s">
        <v>939</v>
      </c>
      <c r="AJ1617">
        <v>3</v>
      </c>
      <c r="AK16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MIN(AJ1617/8, 1) +
  Merge1[[#This Row],[index_defensive_effort]],
  2
)</f>
        <v>0.96</v>
      </c>
    </row>
    <row r="1618" spans="1:37" x14ac:dyDescent="0.25">
      <c r="A1618" t="s">
        <v>443</v>
      </c>
      <c r="B1618" t="s">
        <v>444</v>
      </c>
      <c r="C1618">
        <v>24</v>
      </c>
      <c r="D1618" t="s">
        <v>22</v>
      </c>
      <c r="E1618">
        <v>71</v>
      </c>
      <c r="F1618">
        <v>205</v>
      </c>
      <c r="G1618" t="s">
        <v>166</v>
      </c>
      <c r="H1618">
        <v>2020</v>
      </c>
      <c r="I1618" t="s">
        <v>33</v>
      </c>
      <c r="J1618">
        <v>3</v>
      </c>
      <c r="K1618">
        <v>4</v>
      </c>
      <c r="L1618">
        <v>1</v>
      </c>
      <c r="M1618">
        <v>1</v>
      </c>
      <c r="N1618">
        <v>2</v>
      </c>
      <c r="O1618">
        <v>0</v>
      </c>
      <c r="P1618">
        <v>0</v>
      </c>
      <c r="Q1618">
        <v>2</v>
      </c>
      <c r="R1618">
        <v>0</v>
      </c>
      <c r="S1618">
        <v>65</v>
      </c>
      <c r="T1618">
        <v>60</v>
      </c>
      <c r="U1618" s="5">
        <f>IF(Merge1[[#This Row],[team_defense_snaps]]=0, "", Merge1[[#This Row],[defense_snaps]] / Merge1[[#This Row],[team_defense_snaps]])</f>
        <v>0.86956521739130432</v>
      </c>
      <c r="V1618">
        <v>69</v>
      </c>
      <c r="W1618">
        <v>5</v>
      </c>
      <c r="X1618" s="5" t="s">
        <v>159</v>
      </c>
      <c r="Y1618">
        <v>1</v>
      </c>
      <c r="Z1618">
        <v>0</v>
      </c>
      <c r="AA1618" t="s">
        <v>25</v>
      </c>
      <c r="AB1618" t="s">
        <v>26</v>
      </c>
      <c r="AC1618" t="s">
        <v>27</v>
      </c>
      <c r="AD1618" t="s">
        <v>42</v>
      </c>
      <c r="AE1618" t="s">
        <v>25</v>
      </c>
      <c r="AF16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</v>
      </c>
      <c r="AG1618" t="s">
        <v>941</v>
      </c>
      <c r="AH1618">
        <v>75.5</v>
      </c>
      <c r="AI1618" t="s">
        <v>939</v>
      </c>
      <c r="AJ1618">
        <v>4</v>
      </c>
      <c r="AK16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MIN(AJ1618/8, 1) +
  Merge1[[#This Row],[index_defensive_effort]],
  2
)</f>
        <v>1.2</v>
      </c>
    </row>
    <row r="1619" spans="1:37" x14ac:dyDescent="0.25">
      <c r="A1619" t="s">
        <v>443</v>
      </c>
      <c r="B1619" t="s">
        <v>444</v>
      </c>
      <c r="C1619">
        <v>24</v>
      </c>
      <c r="D1619" t="s">
        <v>22</v>
      </c>
      <c r="E1619">
        <v>71</v>
      </c>
      <c r="F1619">
        <v>205</v>
      </c>
      <c r="G1619" t="s">
        <v>166</v>
      </c>
      <c r="H1619">
        <v>2020</v>
      </c>
      <c r="I1619" t="s">
        <v>33</v>
      </c>
      <c r="J1619">
        <v>4</v>
      </c>
      <c r="K1619">
        <v>4</v>
      </c>
      <c r="L1619">
        <v>1</v>
      </c>
      <c r="M1619">
        <v>0</v>
      </c>
      <c r="N1619">
        <v>1</v>
      </c>
      <c r="O1619">
        <v>0</v>
      </c>
      <c r="P1619">
        <v>1</v>
      </c>
      <c r="Q1619">
        <v>0</v>
      </c>
      <c r="R1619">
        <v>0</v>
      </c>
      <c r="S1619">
        <v>63</v>
      </c>
      <c r="T1619">
        <v>57</v>
      </c>
      <c r="U1619" s="5">
        <f>IF(Merge1[[#This Row],[team_defense_snaps]]=0, "", Merge1[[#This Row],[defense_snaps]] / Merge1[[#This Row],[team_defense_snaps]])</f>
        <v>0.91935483870967738</v>
      </c>
      <c r="V1619">
        <v>62</v>
      </c>
      <c r="W1619">
        <v>6</v>
      </c>
      <c r="X1619" s="5" t="s">
        <v>132</v>
      </c>
      <c r="Y1619">
        <v>1</v>
      </c>
      <c r="Z1619">
        <v>0</v>
      </c>
      <c r="AA1619" t="s">
        <v>25</v>
      </c>
      <c r="AB1619" t="s">
        <v>36</v>
      </c>
      <c r="AC1619" t="s">
        <v>362</v>
      </c>
      <c r="AD1619" t="s">
        <v>42</v>
      </c>
      <c r="AE1619" t="s">
        <v>25</v>
      </c>
      <c r="AF16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0.10317460317460317</v>
      </c>
      <c r="AG1619" t="s">
        <v>941</v>
      </c>
      <c r="AH1619">
        <v>81.5</v>
      </c>
      <c r="AI1619" t="s">
        <v>939</v>
      </c>
      <c r="AJ1619">
        <v>5</v>
      </c>
      <c r="AK16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MIN(AJ1619/8, 1) +
  Merge1[[#This Row],[index_defensive_effort]],
  2
)</f>
        <v>1.23</v>
      </c>
    </row>
    <row r="1620" spans="1:37" x14ac:dyDescent="0.25">
      <c r="A1620" t="s">
        <v>443</v>
      </c>
      <c r="B1620" t="s">
        <v>444</v>
      </c>
      <c r="C1620">
        <v>24</v>
      </c>
      <c r="D1620" t="s">
        <v>22</v>
      </c>
      <c r="E1620">
        <v>71</v>
      </c>
      <c r="F1620">
        <v>205</v>
      </c>
      <c r="G1620" t="s">
        <v>166</v>
      </c>
      <c r="H1620">
        <v>2020</v>
      </c>
      <c r="I1620" t="s">
        <v>33</v>
      </c>
      <c r="J1620">
        <v>5</v>
      </c>
      <c r="K1620">
        <v>4</v>
      </c>
      <c r="L1620">
        <v>1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79</v>
      </c>
      <c r="T1620">
        <v>72</v>
      </c>
      <c r="U1620" s="5">
        <f>IF(Merge1[[#This Row],[team_defense_snaps]]=0, "", Merge1[[#This Row],[defense_snaps]] / Merge1[[#This Row],[team_defense_snaps]])</f>
        <v>0.97297297297297303</v>
      </c>
      <c r="V1620">
        <v>74</v>
      </c>
      <c r="W1620">
        <v>7</v>
      </c>
      <c r="X1620" s="5" t="s">
        <v>132</v>
      </c>
      <c r="Y1620">
        <v>1</v>
      </c>
      <c r="Z1620">
        <v>0</v>
      </c>
      <c r="AA1620" t="s">
        <v>25</v>
      </c>
      <c r="AB1620" t="s">
        <v>26</v>
      </c>
      <c r="AC1620" t="s">
        <v>27</v>
      </c>
      <c r="AD1620" t="s">
        <v>42</v>
      </c>
      <c r="AE1620" t="s">
        <v>25</v>
      </c>
      <c r="AF16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5.6962025316455694E-2</v>
      </c>
      <c r="AG1620" t="s">
        <v>941</v>
      </c>
      <c r="AH1620">
        <v>84.5</v>
      </c>
      <c r="AI1620" t="s">
        <v>939</v>
      </c>
      <c r="AJ1620">
        <v>1</v>
      </c>
      <c r="AK16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MIN(AJ1620/8, 1) +
  Merge1[[#This Row],[index_defensive_effort]],
  2
)</f>
        <v>0.68</v>
      </c>
    </row>
    <row r="1621" spans="1:37" x14ac:dyDescent="0.25">
      <c r="A1621" t="s">
        <v>443</v>
      </c>
      <c r="B1621" t="s">
        <v>444</v>
      </c>
      <c r="C1621">
        <v>24</v>
      </c>
      <c r="D1621" t="s">
        <v>22</v>
      </c>
      <c r="E1621">
        <v>71</v>
      </c>
      <c r="F1621">
        <v>205</v>
      </c>
      <c r="G1621" t="s">
        <v>166</v>
      </c>
      <c r="H1621">
        <v>2020</v>
      </c>
      <c r="I1621" t="s">
        <v>33</v>
      </c>
      <c r="J1621">
        <v>8</v>
      </c>
      <c r="K1621">
        <v>4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53</v>
      </c>
      <c r="T1621">
        <v>47</v>
      </c>
      <c r="U1621" s="5">
        <f>IF(Merge1[[#This Row],[team_defense_snaps]]=0, "", Merge1[[#This Row],[defense_snaps]] / Merge1[[#This Row],[team_defense_snaps]])</f>
        <v>0.95918367346938771</v>
      </c>
      <c r="V1621">
        <v>49</v>
      </c>
      <c r="W1621">
        <v>6</v>
      </c>
      <c r="X1621" s="5" t="s">
        <v>123</v>
      </c>
      <c r="Y1621">
        <v>1</v>
      </c>
      <c r="Z1621">
        <v>0</v>
      </c>
      <c r="AA1621" t="s">
        <v>25</v>
      </c>
      <c r="AB1621" t="s">
        <v>26</v>
      </c>
      <c r="AC1621" t="s">
        <v>27</v>
      </c>
      <c r="AD1621" t="s">
        <v>42</v>
      </c>
      <c r="AE1621" t="s">
        <v>25</v>
      </c>
      <c r="AF16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7.5471698113207544E-2</v>
      </c>
      <c r="AG1621" t="s">
        <v>941</v>
      </c>
      <c r="AH1621">
        <v>92</v>
      </c>
      <c r="AI1621" t="s">
        <v>939</v>
      </c>
      <c r="AJ1621">
        <v>2</v>
      </c>
      <c r="AK16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MIN(AJ1621/8, 1) +
  Merge1[[#This Row],[index_defensive_effort]],
  2
)</f>
        <v>0.83</v>
      </c>
    </row>
    <row r="1622" spans="1:37" x14ac:dyDescent="0.25">
      <c r="A1622" t="s">
        <v>443</v>
      </c>
      <c r="B1622" t="s">
        <v>444</v>
      </c>
      <c r="C1622">
        <v>24</v>
      </c>
      <c r="D1622" t="s">
        <v>22</v>
      </c>
      <c r="E1622">
        <v>71</v>
      </c>
      <c r="F1622">
        <v>205</v>
      </c>
      <c r="G1622" t="s">
        <v>166</v>
      </c>
      <c r="H1622">
        <v>2020</v>
      </c>
      <c r="I1622" t="s">
        <v>33</v>
      </c>
      <c r="J1622">
        <v>9</v>
      </c>
      <c r="K1622">
        <v>4</v>
      </c>
      <c r="L1622">
        <v>3</v>
      </c>
      <c r="M1622">
        <v>2</v>
      </c>
      <c r="N1622">
        <v>5</v>
      </c>
      <c r="O1622">
        <v>0</v>
      </c>
      <c r="P1622">
        <v>0</v>
      </c>
      <c r="Q1622">
        <v>0</v>
      </c>
      <c r="R1622">
        <v>0</v>
      </c>
      <c r="S1622">
        <v>88</v>
      </c>
      <c r="T1622">
        <v>79</v>
      </c>
      <c r="U1622" s="5">
        <f>IF(Merge1[[#This Row],[team_defense_snaps]]=0, "", Merge1[[#This Row],[defense_snaps]] / Merge1[[#This Row],[team_defense_snaps]])</f>
        <v>1</v>
      </c>
      <c r="V1622">
        <v>79</v>
      </c>
      <c r="W1622">
        <v>9</v>
      </c>
      <c r="X1622" s="5" t="s">
        <v>314</v>
      </c>
      <c r="Y1622">
        <v>1</v>
      </c>
      <c r="Z1622">
        <v>0</v>
      </c>
      <c r="AA1622" t="s">
        <v>25</v>
      </c>
      <c r="AB1622" t="s">
        <v>26</v>
      </c>
      <c r="AC1622" t="s">
        <v>27</v>
      </c>
      <c r="AD1622" t="s">
        <v>42</v>
      </c>
      <c r="AE1622" t="s">
        <v>25</v>
      </c>
      <c r="AF16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7.3863636363636367E-2</v>
      </c>
      <c r="AG1622" t="s">
        <v>941</v>
      </c>
      <c r="AH1622">
        <v>71</v>
      </c>
      <c r="AI1622" t="s">
        <v>939</v>
      </c>
      <c r="AJ1622">
        <v>3</v>
      </c>
      <c r="AK16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MIN(AJ1622/8, 1) +
  Merge1[[#This Row],[index_defensive_effort]],
  2
)</f>
        <v>0.95</v>
      </c>
    </row>
    <row r="1623" spans="1:37" x14ac:dyDescent="0.25">
      <c r="A1623" t="s">
        <v>443</v>
      </c>
      <c r="B1623" t="s">
        <v>444</v>
      </c>
      <c r="C1623">
        <v>24</v>
      </c>
      <c r="D1623" t="s">
        <v>22</v>
      </c>
      <c r="E1623">
        <v>71</v>
      </c>
      <c r="F1623">
        <v>205</v>
      </c>
      <c r="G1623" t="s">
        <v>166</v>
      </c>
      <c r="H1623">
        <v>2020</v>
      </c>
      <c r="I1623" t="s">
        <v>33</v>
      </c>
      <c r="J1623">
        <v>10</v>
      </c>
      <c r="K1623">
        <v>4</v>
      </c>
      <c r="L1623">
        <v>0</v>
      </c>
      <c r="M1623">
        <v>0</v>
      </c>
      <c r="N1623">
        <v>0</v>
      </c>
      <c r="O1623">
        <v>0</v>
      </c>
      <c r="P1623">
        <v>2</v>
      </c>
      <c r="Q1623">
        <v>1</v>
      </c>
      <c r="R1623">
        <v>0</v>
      </c>
      <c r="S1623">
        <v>80</v>
      </c>
      <c r="T1623">
        <v>69</v>
      </c>
      <c r="U1623" s="5">
        <f>IF(Merge1[[#This Row],[team_defense_snaps]]=0, "", Merge1[[#This Row],[defense_snaps]] / Merge1[[#This Row],[team_defense_snaps]])</f>
        <v>0.971830985915493</v>
      </c>
      <c r="V1623">
        <v>71</v>
      </c>
      <c r="W1623">
        <v>11</v>
      </c>
      <c r="X1623" s="5" t="s">
        <v>158</v>
      </c>
      <c r="Y1623">
        <v>1</v>
      </c>
      <c r="Z1623">
        <v>0</v>
      </c>
      <c r="AA1623" t="s">
        <v>25</v>
      </c>
      <c r="AB1623" t="s">
        <v>26</v>
      </c>
      <c r="AC1623" t="s">
        <v>27</v>
      </c>
      <c r="AD1623" t="s">
        <v>42</v>
      </c>
      <c r="AE1623" t="s">
        <v>25</v>
      </c>
      <c r="AF16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</v>
      </c>
      <c r="AG1623" t="s">
        <v>941</v>
      </c>
      <c r="AH1623">
        <v>90.5</v>
      </c>
      <c r="AI1623" t="s">
        <v>939</v>
      </c>
      <c r="AJ1623">
        <v>4</v>
      </c>
      <c r="AK16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MIN(AJ1623/8, 1) +
  Merge1[[#This Row],[index_defensive_effort]],
  2
)</f>
        <v>1.1499999999999999</v>
      </c>
    </row>
    <row r="1624" spans="1:37" x14ac:dyDescent="0.25">
      <c r="A1624" t="s">
        <v>443</v>
      </c>
      <c r="B1624" t="s">
        <v>444</v>
      </c>
      <c r="C1624">
        <v>24</v>
      </c>
      <c r="D1624" t="s">
        <v>22</v>
      </c>
      <c r="E1624">
        <v>71</v>
      </c>
      <c r="F1624">
        <v>205</v>
      </c>
      <c r="G1624" t="s">
        <v>166</v>
      </c>
      <c r="H1624">
        <v>2020</v>
      </c>
      <c r="I1624" t="s">
        <v>33</v>
      </c>
      <c r="J1624">
        <v>11</v>
      </c>
      <c r="K1624">
        <v>7</v>
      </c>
      <c r="L1624">
        <v>2</v>
      </c>
      <c r="M1624">
        <v>0</v>
      </c>
      <c r="N1624">
        <v>2</v>
      </c>
      <c r="O1624">
        <v>0</v>
      </c>
      <c r="P1624">
        <v>0</v>
      </c>
      <c r="Q1624">
        <v>0</v>
      </c>
      <c r="R1624">
        <v>0</v>
      </c>
      <c r="S1624">
        <v>83</v>
      </c>
      <c r="T1624">
        <v>76</v>
      </c>
      <c r="U1624" s="5">
        <f>IF(Merge1[[#This Row],[team_defense_snaps]]=0, "", Merge1[[#This Row],[defense_snaps]] / Merge1[[#This Row],[team_defense_snaps]])</f>
        <v>0.97435897435897434</v>
      </c>
      <c r="V1624">
        <v>78</v>
      </c>
      <c r="W1624">
        <v>7</v>
      </c>
      <c r="X1624" s="5" t="s">
        <v>136</v>
      </c>
      <c r="Y1624">
        <v>1</v>
      </c>
      <c r="Z1624">
        <v>0</v>
      </c>
      <c r="AA1624" t="s">
        <v>25</v>
      </c>
      <c r="AB1624" t="s">
        <v>26</v>
      </c>
      <c r="AC1624" t="s">
        <v>27</v>
      </c>
      <c r="AD1624" t="s">
        <v>42</v>
      </c>
      <c r="AE1624" t="s">
        <v>25</v>
      </c>
      <c r="AF16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9.6385542168674704E-2</v>
      </c>
      <c r="AG1624" t="s">
        <v>941</v>
      </c>
      <c r="AH1624">
        <v>95</v>
      </c>
      <c r="AI1624" t="s">
        <v>939</v>
      </c>
      <c r="AJ1624">
        <v>5</v>
      </c>
      <c r="AK16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MIN(AJ1624/8, 1) +
  Merge1[[#This Row],[index_defensive_effort]],
  2
)</f>
        <v>1.22</v>
      </c>
    </row>
    <row r="1625" spans="1:37" x14ac:dyDescent="0.25">
      <c r="A1625" t="s">
        <v>443</v>
      </c>
      <c r="B1625" t="s">
        <v>444</v>
      </c>
      <c r="C1625">
        <v>24</v>
      </c>
      <c r="D1625" t="s">
        <v>22</v>
      </c>
      <c r="E1625">
        <v>71</v>
      </c>
      <c r="F1625">
        <v>205</v>
      </c>
      <c r="G1625" t="s">
        <v>166</v>
      </c>
      <c r="H1625">
        <v>2020</v>
      </c>
      <c r="I1625" t="s">
        <v>33</v>
      </c>
      <c r="J1625">
        <v>12</v>
      </c>
      <c r="K1625">
        <v>7</v>
      </c>
      <c r="L1625">
        <v>1</v>
      </c>
      <c r="M1625">
        <v>0</v>
      </c>
      <c r="N1625">
        <v>1</v>
      </c>
      <c r="O1625">
        <v>0</v>
      </c>
      <c r="P1625">
        <v>0</v>
      </c>
      <c r="Q1625">
        <v>2</v>
      </c>
      <c r="R1625">
        <v>0</v>
      </c>
      <c r="S1625">
        <v>78</v>
      </c>
      <c r="T1625">
        <v>75</v>
      </c>
      <c r="U1625" s="5">
        <f>IF(Merge1[[#This Row],[team_defense_snaps]]=0, "", Merge1[[#This Row],[defense_snaps]] / Merge1[[#This Row],[team_defense_snaps]])</f>
        <v>0.9375</v>
      </c>
      <c r="V1625">
        <v>80</v>
      </c>
      <c r="W1625">
        <v>3</v>
      </c>
      <c r="X1625" s="5" t="s">
        <v>250</v>
      </c>
      <c r="Y1625">
        <v>1</v>
      </c>
      <c r="Z1625">
        <v>0</v>
      </c>
      <c r="AA1625" t="s">
        <v>25</v>
      </c>
      <c r="AB1625" t="s">
        <v>26</v>
      </c>
      <c r="AC1625" t="s">
        <v>27</v>
      </c>
      <c r="AD1625" t="s">
        <v>42</v>
      </c>
      <c r="AE1625" t="s">
        <v>25</v>
      </c>
      <c r="AF16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0.19871794871794871</v>
      </c>
      <c r="AG1625" t="s">
        <v>941</v>
      </c>
      <c r="AH1625">
        <v>93.5</v>
      </c>
      <c r="AI1625" t="s">
        <v>939</v>
      </c>
      <c r="AJ1625">
        <v>1</v>
      </c>
      <c r="AK16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MIN(AJ1625/8, 1) +
  Merge1[[#This Row],[index_defensive_effort]],
  2
)</f>
        <v>0.82</v>
      </c>
    </row>
    <row r="1626" spans="1:37" x14ac:dyDescent="0.25">
      <c r="A1626" t="s">
        <v>443</v>
      </c>
      <c r="B1626" t="s">
        <v>444</v>
      </c>
      <c r="C1626">
        <v>24</v>
      </c>
      <c r="D1626" t="s">
        <v>22</v>
      </c>
      <c r="E1626">
        <v>71</v>
      </c>
      <c r="F1626">
        <v>205</v>
      </c>
      <c r="G1626" t="s">
        <v>166</v>
      </c>
      <c r="H1626">
        <v>2020</v>
      </c>
      <c r="I1626" t="s">
        <v>33</v>
      </c>
      <c r="J1626">
        <v>14</v>
      </c>
      <c r="K1626">
        <v>6</v>
      </c>
      <c r="L1626">
        <v>6</v>
      </c>
      <c r="M1626">
        <v>1</v>
      </c>
      <c r="N1626">
        <v>7</v>
      </c>
      <c r="O1626">
        <v>0</v>
      </c>
      <c r="P1626">
        <v>0</v>
      </c>
      <c r="Q1626">
        <v>0</v>
      </c>
      <c r="R1626">
        <v>0</v>
      </c>
      <c r="S1626">
        <v>61</v>
      </c>
      <c r="T1626">
        <v>58</v>
      </c>
      <c r="U1626" s="5">
        <f>IF(Merge1[[#This Row],[team_defense_snaps]]=0, "", Merge1[[#This Row],[defense_snaps]] / Merge1[[#This Row],[team_defense_snaps]])</f>
        <v>0.95081967213114749</v>
      </c>
      <c r="V1626">
        <v>61</v>
      </c>
      <c r="W1626">
        <v>3</v>
      </c>
      <c r="X1626" s="5" t="s">
        <v>38</v>
      </c>
      <c r="Y1626">
        <v>1</v>
      </c>
      <c r="Z1626">
        <v>0</v>
      </c>
      <c r="AA1626" t="s">
        <v>25</v>
      </c>
      <c r="AB1626" t="s">
        <v>36</v>
      </c>
      <c r="AC1626" t="s">
        <v>247</v>
      </c>
      <c r="AD1626" t="s">
        <v>42</v>
      </c>
      <c r="AE1626" t="s">
        <v>25</v>
      </c>
      <c r="AF16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0.15573770491803279</v>
      </c>
      <c r="AG1626" t="s">
        <v>941</v>
      </c>
      <c r="AH1626">
        <v>89</v>
      </c>
      <c r="AI1626" t="s">
        <v>939</v>
      </c>
      <c r="AJ1626">
        <v>1</v>
      </c>
      <c r="AK16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MIN(AJ1626/8, 1) +
  Merge1[[#This Row],[index_defensive_effort]],
  2
)</f>
        <v>0.78</v>
      </c>
    </row>
    <row r="1627" spans="1:37" x14ac:dyDescent="0.25">
      <c r="A1627" t="s">
        <v>443</v>
      </c>
      <c r="B1627" t="s">
        <v>444</v>
      </c>
      <c r="C1627">
        <v>24</v>
      </c>
      <c r="D1627" t="s">
        <v>22</v>
      </c>
      <c r="E1627">
        <v>71</v>
      </c>
      <c r="F1627">
        <v>205</v>
      </c>
      <c r="G1627" t="s">
        <v>166</v>
      </c>
      <c r="H1627">
        <v>2020</v>
      </c>
      <c r="I1627" t="s">
        <v>33</v>
      </c>
      <c r="J1627">
        <v>16</v>
      </c>
      <c r="K1627">
        <v>3</v>
      </c>
      <c r="L1627">
        <v>3</v>
      </c>
      <c r="M1627">
        <v>0</v>
      </c>
      <c r="N1627">
        <v>3</v>
      </c>
      <c r="O1627">
        <v>0</v>
      </c>
      <c r="P1627">
        <v>1</v>
      </c>
      <c r="Q1627">
        <v>0</v>
      </c>
      <c r="R1627">
        <v>0</v>
      </c>
      <c r="S1627">
        <v>81</v>
      </c>
      <c r="T1627">
        <v>63</v>
      </c>
      <c r="U1627" s="5">
        <f>IF(Merge1[[#This Row],[team_defense_snaps]]=0, "", Merge1[[#This Row],[defense_snaps]] / Merge1[[#This Row],[team_defense_snaps]])</f>
        <v>0.984375</v>
      </c>
      <c r="V1627">
        <v>64</v>
      </c>
      <c r="W1627">
        <v>18</v>
      </c>
      <c r="X1627" s="5" t="s">
        <v>275</v>
      </c>
      <c r="Y1627">
        <v>1</v>
      </c>
      <c r="Z1627">
        <v>0</v>
      </c>
      <c r="AA1627" t="s">
        <v>25</v>
      </c>
      <c r="AB1627" t="s">
        <v>26</v>
      </c>
      <c r="AC1627" t="s">
        <v>27</v>
      </c>
      <c r="AD1627" t="s">
        <v>42</v>
      </c>
      <c r="AE1627" t="s">
        <v>25</v>
      </c>
      <c r="AF16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8.0246913580246909E-2</v>
      </c>
      <c r="AG1627" t="s">
        <v>941</v>
      </c>
      <c r="AH1627">
        <v>83</v>
      </c>
      <c r="AI1627" t="s">
        <v>939</v>
      </c>
      <c r="AJ1627">
        <v>2</v>
      </c>
      <c r="AK16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MIN(AJ1627/8, 1) +
  Merge1[[#This Row],[index_defensive_effort]],
  2
)</f>
        <v>0.83</v>
      </c>
    </row>
    <row r="1628" spans="1:37" x14ac:dyDescent="0.25">
      <c r="A1628" t="s">
        <v>443</v>
      </c>
      <c r="B1628" t="s">
        <v>444</v>
      </c>
      <c r="C1628">
        <v>24</v>
      </c>
      <c r="D1628" t="s">
        <v>22</v>
      </c>
      <c r="E1628">
        <v>71</v>
      </c>
      <c r="F1628">
        <v>205</v>
      </c>
      <c r="G1628" t="s">
        <v>166</v>
      </c>
      <c r="H1628">
        <v>2020</v>
      </c>
      <c r="I1628" t="s">
        <v>33</v>
      </c>
      <c r="J1628">
        <v>17</v>
      </c>
      <c r="K1628">
        <v>3</v>
      </c>
      <c r="L1628">
        <v>1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84</v>
      </c>
      <c r="T1628">
        <v>76</v>
      </c>
      <c r="U1628" s="5">
        <f>IF(Merge1[[#This Row],[team_defense_snaps]]=0, "", Merge1[[#This Row],[defense_snaps]] / Merge1[[#This Row],[team_defense_snaps]])</f>
        <v>0.92682926829268297</v>
      </c>
      <c r="V1628">
        <v>82</v>
      </c>
      <c r="W1628">
        <v>8</v>
      </c>
      <c r="X1628" s="5" t="s">
        <v>133</v>
      </c>
      <c r="Y1628">
        <v>1</v>
      </c>
      <c r="Z1628">
        <v>0</v>
      </c>
      <c r="AA1628" t="s">
        <v>25</v>
      </c>
      <c r="AB1628" t="s">
        <v>26</v>
      </c>
      <c r="AC1628" t="s">
        <v>27</v>
      </c>
      <c r="AD1628" t="s">
        <v>42</v>
      </c>
      <c r="AE1628" t="s">
        <v>25</v>
      </c>
      <c r="AF16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1628" t="s">
        <v>941</v>
      </c>
      <c r="AH1628">
        <v>78.5</v>
      </c>
      <c r="AI1628" t="s">
        <v>939</v>
      </c>
      <c r="AJ1628">
        <v>1</v>
      </c>
      <c r="AK16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MIN(AJ1628/8, 1) +
  Merge1[[#This Row],[index_defensive_effort]],
  2
)</f>
        <v>0.67</v>
      </c>
    </row>
    <row r="1629" spans="1:37" x14ac:dyDescent="0.25">
      <c r="A1629" t="s">
        <v>497</v>
      </c>
      <c r="B1629" t="s">
        <v>498</v>
      </c>
      <c r="C1629">
        <v>36</v>
      </c>
      <c r="D1629" t="s">
        <v>56</v>
      </c>
      <c r="E1629">
        <v>71</v>
      </c>
      <c r="F1629">
        <v>186</v>
      </c>
      <c r="G1629" t="s">
        <v>130</v>
      </c>
      <c r="H1629">
        <v>2020</v>
      </c>
      <c r="I1629" t="s">
        <v>33</v>
      </c>
      <c r="J1629">
        <v>1</v>
      </c>
      <c r="K1629">
        <v>2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44</v>
      </c>
      <c r="T1629">
        <v>44</v>
      </c>
      <c r="U1629" s="5">
        <f>IF(Merge1[[#This Row],[team_defense_snaps]]=0, "", Merge1[[#This Row],[defense_snaps]] / Merge1[[#This Row],[team_defense_snaps]])</f>
        <v>0.73333333333333328</v>
      </c>
      <c r="V1629">
        <v>60</v>
      </c>
      <c r="W1629">
        <v>0</v>
      </c>
      <c r="X1629" s="5" t="s">
        <v>29</v>
      </c>
      <c r="Y1629">
        <v>14</v>
      </c>
      <c r="Z1629">
        <v>0</v>
      </c>
      <c r="AA1629" t="s">
        <v>25</v>
      </c>
      <c r="AB1629" t="s">
        <v>26</v>
      </c>
      <c r="AC1629" t="s">
        <v>27</v>
      </c>
      <c r="AD1629" t="s">
        <v>204</v>
      </c>
      <c r="AE1629" t="s">
        <v>25</v>
      </c>
      <c r="AF16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G1629" t="s">
        <v>941</v>
      </c>
      <c r="AH1629">
        <v>78</v>
      </c>
      <c r="AI1629" t="s">
        <v>939</v>
      </c>
      <c r="AJ1629">
        <v>2</v>
      </c>
      <c r="AK16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MIN(AJ1629/8, 1) +
  Merge1[[#This Row],[index_defensive_effort]],
  2
)</f>
        <v>0.9</v>
      </c>
    </row>
    <row r="1630" spans="1:37" x14ac:dyDescent="0.25">
      <c r="A1630" t="s">
        <v>497</v>
      </c>
      <c r="B1630" t="s">
        <v>498</v>
      </c>
      <c r="C1630">
        <v>36</v>
      </c>
      <c r="D1630" t="s">
        <v>56</v>
      </c>
      <c r="E1630">
        <v>71</v>
      </c>
      <c r="F1630">
        <v>186</v>
      </c>
      <c r="G1630" t="s">
        <v>130</v>
      </c>
      <c r="H1630">
        <v>2020</v>
      </c>
      <c r="I1630" t="s">
        <v>33</v>
      </c>
      <c r="J1630">
        <v>2</v>
      </c>
      <c r="K1630">
        <v>1</v>
      </c>
      <c r="L1630">
        <v>3</v>
      </c>
      <c r="M1630">
        <v>2</v>
      </c>
      <c r="N1630">
        <v>5</v>
      </c>
      <c r="O1630">
        <v>0</v>
      </c>
      <c r="P1630">
        <v>1</v>
      </c>
      <c r="Q1630">
        <v>0</v>
      </c>
      <c r="R1630">
        <v>0</v>
      </c>
      <c r="S1630">
        <v>39</v>
      </c>
      <c r="T1630">
        <v>39</v>
      </c>
      <c r="U1630" s="5">
        <f>IF(Merge1[[#This Row],[team_defense_snaps]]=0, "", Merge1[[#This Row],[defense_snaps]] / Merge1[[#This Row],[team_defense_snaps]])</f>
        <v>0.50649350649350644</v>
      </c>
      <c r="V1630">
        <v>77</v>
      </c>
      <c r="W1630">
        <v>0</v>
      </c>
      <c r="X1630" s="5" t="s">
        <v>29</v>
      </c>
      <c r="Y1630">
        <v>14</v>
      </c>
      <c r="Z1630">
        <v>0</v>
      </c>
      <c r="AA1630" t="s">
        <v>25</v>
      </c>
      <c r="AB1630" t="s">
        <v>26</v>
      </c>
      <c r="AC1630" t="s">
        <v>27</v>
      </c>
      <c r="AD1630" t="s">
        <v>204</v>
      </c>
      <c r="AE1630" t="s">
        <v>25</v>
      </c>
      <c r="AF16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0.14102564102564102</v>
      </c>
      <c r="AG1630" t="s">
        <v>941</v>
      </c>
      <c r="AH1630">
        <v>76.5</v>
      </c>
      <c r="AI1630" t="s">
        <v>939</v>
      </c>
      <c r="AJ1630">
        <v>3</v>
      </c>
      <c r="AK16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MIN(AJ1630/8, 1) +
  Merge1[[#This Row],[index_defensive_effort]],
  2
)</f>
        <v>1.1200000000000001</v>
      </c>
    </row>
    <row r="1631" spans="1:37" x14ac:dyDescent="0.25">
      <c r="A1631" t="s">
        <v>497</v>
      </c>
      <c r="B1631" t="s">
        <v>498</v>
      </c>
      <c r="C1631">
        <v>36</v>
      </c>
      <c r="D1631" t="s">
        <v>56</v>
      </c>
      <c r="E1631">
        <v>71</v>
      </c>
      <c r="F1631">
        <v>186</v>
      </c>
      <c r="G1631" t="s">
        <v>130</v>
      </c>
      <c r="H1631">
        <v>2020</v>
      </c>
      <c r="I1631" t="s">
        <v>33</v>
      </c>
      <c r="J1631">
        <v>3</v>
      </c>
      <c r="K1631">
        <v>8</v>
      </c>
      <c r="L1631">
        <v>0</v>
      </c>
      <c r="M1631">
        <v>0</v>
      </c>
      <c r="N1631">
        <v>0</v>
      </c>
      <c r="O1631">
        <v>0</v>
      </c>
      <c r="P1631">
        <v>3</v>
      </c>
      <c r="Q1631">
        <v>2</v>
      </c>
      <c r="R1631">
        <v>2</v>
      </c>
      <c r="S1631">
        <v>59</v>
      </c>
      <c r="T1631">
        <v>59</v>
      </c>
      <c r="U1631" s="5">
        <f>IF(Merge1[[#This Row],[team_defense_snaps]]=0, "", Merge1[[#This Row],[defense_snaps]] / Merge1[[#This Row],[team_defense_snaps]])</f>
        <v>0.89393939393939392</v>
      </c>
      <c r="V1631">
        <v>66</v>
      </c>
      <c r="W1631">
        <v>0</v>
      </c>
      <c r="X1631" s="5" t="s">
        <v>29</v>
      </c>
      <c r="Y1631">
        <v>14</v>
      </c>
      <c r="Z1631">
        <v>0</v>
      </c>
      <c r="AA1631" t="s">
        <v>25</v>
      </c>
      <c r="AB1631" t="s">
        <v>26</v>
      </c>
      <c r="AC1631" t="s">
        <v>27</v>
      </c>
      <c r="AD1631" t="s">
        <v>204</v>
      </c>
      <c r="AE1631" t="s">
        <v>25</v>
      </c>
      <c r="AF16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0.44067796610169491</v>
      </c>
      <c r="AG1631" t="s">
        <v>941</v>
      </c>
      <c r="AH1631">
        <v>70.5</v>
      </c>
      <c r="AI1631" t="s">
        <v>939</v>
      </c>
      <c r="AJ1631">
        <v>1</v>
      </c>
      <c r="AK16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MIN(AJ1631/8, 1) +
  Merge1[[#This Row],[index_defensive_effort]],
  2
)</f>
        <v>1.17</v>
      </c>
    </row>
    <row r="1632" spans="1:37" x14ac:dyDescent="0.25">
      <c r="A1632" t="s">
        <v>497</v>
      </c>
      <c r="B1632" t="s">
        <v>498</v>
      </c>
      <c r="C1632">
        <v>36</v>
      </c>
      <c r="D1632" t="s">
        <v>56</v>
      </c>
      <c r="E1632">
        <v>71</v>
      </c>
      <c r="F1632">
        <v>186</v>
      </c>
      <c r="G1632" t="s">
        <v>130</v>
      </c>
      <c r="H1632">
        <v>2020</v>
      </c>
      <c r="I1632" t="s">
        <v>33</v>
      </c>
      <c r="J1632">
        <v>5</v>
      </c>
      <c r="K1632">
        <v>2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54</v>
      </c>
      <c r="T1632">
        <v>54</v>
      </c>
      <c r="U1632" s="5">
        <f>IF(Merge1[[#This Row],[team_defense_snaps]]=0, "", Merge1[[#This Row],[defense_snaps]] / Merge1[[#This Row],[team_defense_snaps]])</f>
        <v>0.75</v>
      </c>
      <c r="V1632">
        <v>72</v>
      </c>
      <c r="W1632">
        <v>0</v>
      </c>
      <c r="X1632" s="5" t="s">
        <v>29</v>
      </c>
      <c r="Y1632">
        <v>14</v>
      </c>
      <c r="Z1632">
        <v>0</v>
      </c>
      <c r="AA1632" t="s">
        <v>25</v>
      </c>
      <c r="AB1632" t="s">
        <v>26</v>
      </c>
      <c r="AC1632" t="s">
        <v>27</v>
      </c>
      <c r="AD1632" t="s">
        <v>204</v>
      </c>
      <c r="AE1632" t="s">
        <v>25</v>
      </c>
      <c r="AF16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7.407407407407407E-2</v>
      </c>
      <c r="AG1632" t="s">
        <v>941</v>
      </c>
      <c r="AH1632">
        <v>78.5</v>
      </c>
      <c r="AI1632" t="s">
        <v>939</v>
      </c>
      <c r="AJ1632">
        <v>2</v>
      </c>
      <c r="AK16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MIN(AJ1632/8, 1) +
  Merge1[[#This Row],[index_defensive_effort]],
  2
)</f>
        <v>0.92</v>
      </c>
    </row>
    <row r="1633" spans="1:37" x14ac:dyDescent="0.25">
      <c r="A1633" t="s">
        <v>497</v>
      </c>
      <c r="B1633" t="s">
        <v>498</v>
      </c>
      <c r="C1633">
        <v>36</v>
      </c>
      <c r="D1633" t="s">
        <v>56</v>
      </c>
      <c r="E1633">
        <v>71</v>
      </c>
      <c r="F1633">
        <v>186</v>
      </c>
      <c r="G1633" t="s">
        <v>130</v>
      </c>
      <c r="H1633">
        <v>2020</v>
      </c>
      <c r="I1633" t="s">
        <v>33</v>
      </c>
      <c r="J1633">
        <v>6</v>
      </c>
      <c r="K1633">
        <v>1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67</v>
      </c>
      <c r="T1633">
        <v>67</v>
      </c>
      <c r="U1633" s="5">
        <f>IF(Merge1[[#This Row],[team_defense_snaps]]=0, "", Merge1[[#This Row],[defense_snaps]] / Merge1[[#This Row],[team_defense_snaps]])</f>
        <v>0.94366197183098588</v>
      </c>
      <c r="V1633">
        <v>71</v>
      </c>
      <c r="W1633">
        <v>0</v>
      </c>
      <c r="X1633" s="5" t="s">
        <v>29</v>
      </c>
      <c r="Y1633">
        <v>14</v>
      </c>
      <c r="Z1633">
        <v>0</v>
      </c>
      <c r="AA1633" t="s">
        <v>25</v>
      </c>
      <c r="AB1633" t="s">
        <v>26</v>
      </c>
      <c r="AC1633" t="s">
        <v>27</v>
      </c>
      <c r="AD1633" t="s">
        <v>204</v>
      </c>
      <c r="AE1633" t="s">
        <v>25</v>
      </c>
      <c r="AF16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1.4925373134328358E-2</v>
      </c>
      <c r="AG1633" t="s">
        <v>941</v>
      </c>
      <c r="AH1633">
        <v>75</v>
      </c>
      <c r="AI1633" t="s">
        <v>939</v>
      </c>
      <c r="AJ1633">
        <v>3</v>
      </c>
      <c r="AK16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MIN(AJ1633/8, 1) +
  Merge1[[#This Row],[index_defensive_effort]],
  2
)</f>
        <v>0.99</v>
      </c>
    </row>
    <row r="1634" spans="1:37" x14ac:dyDescent="0.25">
      <c r="A1634" t="s">
        <v>497</v>
      </c>
      <c r="B1634" t="s">
        <v>498</v>
      </c>
      <c r="C1634">
        <v>36</v>
      </c>
      <c r="D1634" t="s">
        <v>56</v>
      </c>
      <c r="E1634">
        <v>71</v>
      </c>
      <c r="F1634">
        <v>186</v>
      </c>
      <c r="G1634" t="s">
        <v>130</v>
      </c>
      <c r="H1634">
        <v>2020</v>
      </c>
      <c r="I1634" t="s">
        <v>33</v>
      </c>
      <c r="J1634">
        <v>7</v>
      </c>
      <c r="K1634">
        <v>4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2</v>
      </c>
      <c r="S1634">
        <v>46</v>
      </c>
      <c r="T1634">
        <v>46</v>
      </c>
      <c r="U1634" s="5">
        <f>IF(Merge1[[#This Row],[team_defense_snaps]]=0, "", Merge1[[#This Row],[defense_snaps]] / Merge1[[#This Row],[team_defense_snaps]])</f>
        <v>0.46</v>
      </c>
      <c r="V1634">
        <v>100</v>
      </c>
      <c r="W1634">
        <v>0</v>
      </c>
      <c r="X1634" s="5" t="s">
        <v>29</v>
      </c>
      <c r="Y1634">
        <v>14</v>
      </c>
      <c r="Z1634">
        <v>0</v>
      </c>
      <c r="AA1634" t="s">
        <v>25</v>
      </c>
      <c r="AB1634" t="s">
        <v>26</v>
      </c>
      <c r="AC1634" t="s">
        <v>27</v>
      </c>
      <c r="AD1634" t="s">
        <v>204</v>
      </c>
      <c r="AE1634" t="s">
        <v>25</v>
      </c>
      <c r="AF16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0.17391304347826086</v>
      </c>
      <c r="AG1634" t="s">
        <v>941</v>
      </c>
      <c r="AH1634">
        <v>69</v>
      </c>
      <c r="AI1634" t="s">
        <v>939</v>
      </c>
      <c r="AJ1634">
        <v>1</v>
      </c>
      <c r="AK16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MIN(AJ1634/8, 1) +
  Merge1[[#This Row],[index_defensive_effort]],
  2
)</f>
        <v>0.9</v>
      </c>
    </row>
    <row r="1635" spans="1:37" x14ac:dyDescent="0.25">
      <c r="A1635" t="s">
        <v>497</v>
      </c>
      <c r="B1635" t="s">
        <v>498</v>
      </c>
      <c r="C1635">
        <v>36</v>
      </c>
      <c r="D1635" t="s">
        <v>56</v>
      </c>
      <c r="E1635">
        <v>71</v>
      </c>
      <c r="F1635">
        <v>186</v>
      </c>
      <c r="G1635" t="s">
        <v>153</v>
      </c>
      <c r="H1635">
        <v>2020</v>
      </c>
      <c r="I1635" t="s">
        <v>33</v>
      </c>
      <c r="J1635">
        <v>10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22</v>
      </c>
      <c r="T1635">
        <v>22</v>
      </c>
      <c r="U1635" s="5">
        <f>IF(Merge1[[#This Row],[team_defense_snaps]]=0, "", Merge1[[#This Row],[defense_snaps]] / Merge1[[#This Row],[team_defense_snaps]])</f>
        <v>0.30136986301369861</v>
      </c>
      <c r="V1635">
        <v>73</v>
      </c>
      <c r="W1635">
        <v>0</v>
      </c>
      <c r="X1635" s="5" t="s">
        <v>29</v>
      </c>
      <c r="Y1635">
        <v>14</v>
      </c>
      <c r="Z1635">
        <v>0</v>
      </c>
      <c r="AA1635" t="s">
        <v>25</v>
      </c>
      <c r="AB1635" t="s">
        <v>26</v>
      </c>
      <c r="AC1635" t="s">
        <v>27</v>
      </c>
      <c r="AD1635" t="s">
        <v>28</v>
      </c>
      <c r="AE1635" t="s">
        <v>25</v>
      </c>
      <c r="AF16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G1635" t="s">
        <v>941</v>
      </c>
      <c r="AH1635">
        <v>72</v>
      </c>
      <c r="AI1635" t="s">
        <v>939</v>
      </c>
      <c r="AJ1635">
        <v>1</v>
      </c>
      <c r="AK16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MIN(AJ1635/8, 1) +
  Merge1[[#This Row],[index_defensive_effort]],
  2
)</f>
        <v>0.77</v>
      </c>
    </row>
    <row r="1636" spans="1:37" x14ac:dyDescent="0.25">
      <c r="A1636" t="s">
        <v>497</v>
      </c>
      <c r="B1636" t="s">
        <v>498</v>
      </c>
      <c r="C1636">
        <v>36</v>
      </c>
      <c r="D1636" t="s">
        <v>56</v>
      </c>
      <c r="E1636">
        <v>71</v>
      </c>
      <c r="F1636">
        <v>186</v>
      </c>
      <c r="G1636" t="s">
        <v>153</v>
      </c>
      <c r="H1636">
        <v>2020</v>
      </c>
      <c r="I1636" t="s">
        <v>33</v>
      </c>
      <c r="J1636">
        <v>12</v>
      </c>
      <c r="K1636">
        <v>0</v>
      </c>
      <c r="L1636">
        <v>1</v>
      </c>
      <c r="M1636">
        <v>1</v>
      </c>
      <c r="N1636">
        <v>2</v>
      </c>
      <c r="O1636">
        <v>0</v>
      </c>
      <c r="P1636">
        <v>0</v>
      </c>
      <c r="Q1636">
        <v>0</v>
      </c>
      <c r="R1636">
        <v>0</v>
      </c>
      <c r="S1636">
        <v>12</v>
      </c>
      <c r="T1636">
        <v>10</v>
      </c>
      <c r="U1636" s="5">
        <f>IF(Merge1[[#This Row],[team_defense_snaps]]=0, "", Merge1[[#This Row],[defense_snaps]] / Merge1[[#This Row],[team_defense_snaps]])</f>
        <v>0.18867924528301888</v>
      </c>
      <c r="V1636">
        <v>53</v>
      </c>
      <c r="W1636">
        <v>2</v>
      </c>
      <c r="X1636" s="5" t="s">
        <v>250</v>
      </c>
      <c r="Y1636">
        <v>14</v>
      </c>
      <c r="Z1636">
        <v>0</v>
      </c>
      <c r="AA1636" t="s">
        <v>25</v>
      </c>
      <c r="AB1636" t="s">
        <v>26</v>
      </c>
      <c r="AC1636" t="s">
        <v>27</v>
      </c>
      <c r="AD1636" t="s">
        <v>28</v>
      </c>
      <c r="AE1636" t="s">
        <v>25</v>
      </c>
      <c r="AF16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1636" t="s">
        <v>941</v>
      </c>
      <c r="AH1636">
        <v>77</v>
      </c>
      <c r="AI1636" t="s">
        <v>939</v>
      </c>
      <c r="AJ1636">
        <v>1</v>
      </c>
      <c r="AK16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MIN(AJ1636/8, 1) +
  Merge1[[#This Row],[index_defensive_effort]],
  2
)</f>
        <v>0.81</v>
      </c>
    </row>
    <row r="1637" spans="1:37" x14ac:dyDescent="0.25">
      <c r="A1637" t="s">
        <v>497</v>
      </c>
      <c r="B1637" t="s">
        <v>498</v>
      </c>
      <c r="C1637">
        <v>36</v>
      </c>
      <c r="D1637" t="s">
        <v>56</v>
      </c>
      <c r="E1637">
        <v>71</v>
      </c>
      <c r="F1637">
        <v>186</v>
      </c>
      <c r="G1637" t="s">
        <v>153</v>
      </c>
      <c r="H1637">
        <v>2020</v>
      </c>
      <c r="I1637" t="s">
        <v>33</v>
      </c>
      <c r="J1637">
        <v>13</v>
      </c>
      <c r="K1637">
        <v>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14</v>
      </c>
      <c r="T1637">
        <v>13</v>
      </c>
      <c r="U1637" s="5">
        <f>IF(Merge1[[#This Row],[team_defense_snaps]]=0, "", Merge1[[#This Row],[defense_snaps]] / Merge1[[#This Row],[team_defense_snaps]])</f>
        <v>0.15853658536585366</v>
      </c>
      <c r="V1637">
        <v>82</v>
      </c>
      <c r="W1637">
        <v>1</v>
      </c>
      <c r="X1637" s="5" t="s">
        <v>303</v>
      </c>
      <c r="Y1637">
        <v>14</v>
      </c>
      <c r="Z1637">
        <v>0</v>
      </c>
      <c r="AA1637" t="s">
        <v>25</v>
      </c>
      <c r="AB1637" t="s">
        <v>26</v>
      </c>
      <c r="AC1637" t="s">
        <v>27</v>
      </c>
      <c r="AD1637" t="s">
        <v>28</v>
      </c>
      <c r="AE1637" t="s">
        <v>25</v>
      </c>
      <c r="AF16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1637" t="s">
        <v>941</v>
      </c>
      <c r="AH1637">
        <v>81.5</v>
      </c>
      <c r="AI1637" t="s">
        <v>939</v>
      </c>
      <c r="AJ1637">
        <v>2</v>
      </c>
      <c r="AK16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MIN(AJ1637/8, 1) +
  Merge1[[#This Row],[index_defensive_effort]],
  2
)</f>
        <v>0.92</v>
      </c>
    </row>
    <row r="1638" spans="1:37" x14ac:dyDescent="0.25">
      <c r="A1638" t="s">
        <v>497</v>
      </c>
      <c r="B1638" t="s">
        <v>498</v>
      </c>
      <c r="C1638">
        <v>36</v>
      </c>
      <c r="D1638" t="s">
        <v>56</v>
      </c>
      <c r="E1638">
        <v>71</v>
      </c>
      <c r="F1638">
        <v>186</v>
      </c>
      <c r="G1638" t="s">
        <v>130</v>
      </c>
      <c r="H1638">
        <v>2020</v>
      </c>
      <c r="I1638" t="s">
        <v>33</v>
      </c>
      <c r="J1638">
        <v>8</v>
      </c>
      <c r="K1638">
        <v>7</v>
      </c>
      <c r="L1638">
        <v>3</v>
      </c>
      <c r="M1638">
        <v>1</v>
      </c>
      <c r="N1638">
        <v>4</v>
      </c>
      <c r="O1638">
        <v>0</v>
      </c>
      <c r="P1638">
        <v>0</v>
      </c>
      <c r="Q1638">
        <v>0</v>
      </c>
      <c r="R1638">
        <v>0</v>
      </c>
      <c r="S1638">
        <v>66</v>
      </c>
      <c r="T1638">
        <v>66</v>
      </c>
      <c r="U1638" s="5">
        <f>IF(Merge1[[#This Row],[team_defense_snaps]]=0, "", Merge1[[#This Row],[defense_snaps]] / Merge1[[#This Row],[team_defense_snaps]])</f>
        <v>0.89189189189189189</v>
      </c>
      <c r="V1638">
        <v>74</v>
      </c>
      <c r="W1638">
        <v>0</v>
      </c>
      <c r="X1638" s="5">
        <v>0</v>
      </c>
      <c r="Y1638">
        <v>14</v>
      </c>
      <c r="Z1638">
        <v>0</v>
      </c>
      <c r="AA1638" t="s">
        <v>25</v>
      </c>
      <c r="AB1638" t="s">
        <v>26</v>
      </c>
      <c r="AC1638" t="s">
        <v>27</v>
      </c>
      <c r="AD1638" t="s">
        <v>42</v>
      </c>
      <c r="AE1638" t="s">
        <v>25</v>
      </c>
      <c r="AF16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0.13636363636363635</v>
      </c>
      <c r="AG1638" t="s">
        <v>941</v>
      </c>
      <c r="AH1638">
        <v>67.5</v>
      </c>
      <c r="AI1638" t="s">
        <v>939</v>
      </c>
      <c r="AJ1638">
        <v>1</v>
      </c>
      <c r="AK16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MIN(AJ1638/8, 1) +
  Merge1[[#This Row],[index_defensive_effort]],
  2
)</f>
        <v>0.86</v>
      </c>
    </row>
    <row r="1639" spans="1:37" x14ac:dyDescent="0.25">
      <c r="A1639" t="s">
        <v>495</v>
      </c>
      <c r="B1639" t="s">
        <v>496</v>
      </c>
      <c r="C1639">
        <v>27</v>
      </c>
      <c r="D1639" t="s">
        <v>56</v>
      </c>
      <c r="E1639">
        <v>70</v>
      </c>
      <c r="F1639">
        <v>190</v>
      </c>
      <c r="G1639" t="s">
        <v>99</v>
      </c>
      <c r="H1639">
        <v>2020</v>
      </c>
      <c r="I1639" t="s">
        <v>33</v>
      </c>
      <c r="J1639">
        <v>1</v>
      </c>
      <c r="K1639">
        <v>2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51</v>
      </c>
      <c r="T1639">
        <v>46</v>
      </c>
      <c r="U1639" s="5">
        <f>IF(Merge1[[#This Row],[team_defense_snaps]]=0, "", Merge1[[#This Row],[defense_snaps]] / Merge1[[#This Row],[team_defense_snaps]])</f>
        <v>0.74193548387096775</v>
      </c>
      <c r="V1639">
        <v>62</v>
      </c>
      <c r="W1639">
        <v>5</v>
      </c>
      <c r="X1639" s="5" t="s">
        <v>261</v>
      </c>
      <c r="Y1639">
        <v>4</v>
      </c>
      <c r="Z1639">
        <v>0</v>
      </c>
      <c r="AA1639" t="s">
        <v>25</v>
      </c>
      <c r="AB1639" t="s">
        <v>36</v>
      </c>
      <c r="AC1639" t="s">
        <v>190</v>
      </c>
      <c r="AD1639" t="s">
        <v>42</v>
      </c>
      <c r="AE1639" t="s">
        <v>25</v>
      </c>
      <c r="AF16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3.9215686274509803E-2</v>
      </c>
      <c r="AG1639" t="s">
        <v>942</v>
      </c>
      <c r="AH1639">
        <v>51.5</v>
      </c>
      <c r="AI1639" t="s">
        <v>939</v>
      </c>
      <c r="AJ1639">
        <v>2</v>
      </c>
      <c r="AK16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MIN(AJ1639/8, 1) +
  Merge1[[#This Row],[index_defensive_effort]],
  2
)</f>
        <v>0.89</v>
      </c>
    </row>
    <row r="1640" spans="1:37" x14ac:dyDescent="0.25">
      <c r="A1640" t="s">
        <v>495</v>
      </c>
      <c r="B1640" t="s">
        <v>496</v>
      </c>
      <c r="C1640">
        <v>27</v>
      </c>
      <c r="D1640" t="s">
        <v>56</v>
      </c>
      <c r="E1640">
        <v>70</v>
      </c>
      <c r="F1640">
        <v>190</v>
      </c>
      <c r="G1640" t="s">
        <v>99</v>
      </c>
      <c r="H1640">
        <v>2020</v>
      </c>
      <c r="I1640" t="s">
        <v>33</v>
      </c>
      <c r="J1640">
        <v>2</v>
      </c>
      <c r="K1640">
        <v>7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70</v>
      </c>
      <c r="T1640">
        <v>59</v>
      </c>
      <c r="U1640" s="5">
        <f>IF(Merge1[[#This Row],[team_defense_snaps]]=0, "", Merge1[[#This Row],[defense_snaps]] / Merge1[[#This Row],[team_defense_snaps]])</f>
        <v>0.93650793650793651</v>
      </c>
      <c r="V1640">
        <v>63</v>
      </c>
      <c r="W1640">
        <v>11</v>
      </c>
      <c r="X1640" s="5" t="s">
        <v>57</v>
      </c>
      <c r="Y1640">
        <v>4</v>
      </c>
      <c r="Z1640">
        <v>0</v>
      </c>
      <c r="AA1640" t="s">
        <v>25</v>
      </c>
      <c r="AB1640" t="s">
        <v>26</v>
      </c>
      <c r="AC1640" t="s">
        <v>27</v>
      </c>
      <c r="AD1640" t="s">
        <v>42</v>
      </c>
      <c r="AE1640" t="s">
        <v>25</v>
      </c>
      <c r="AF16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0.12857142857142856</v>
      </c>
      <c r="AG1640" t="s">
        <v>942</v>
      </c>
      <c r="AH1640">
        <v>59</v>
      </c>
      <c r="AI1640" t="s">
        <v>939</v>
      </c>
      <c r="AJ1640">
        <v>3</v>
      </c>
      <c r="AK16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MIN(AJ1640/8, 1) +
  Merge1[[#This Row],[index_defensive_effort]],
  2
)</f>
        <v>1.1000000000000001</v>
      </c>
    </row>
    <row r="1641" spans="1:37" x14ac:dyDescent="0.25">
      <c r="A1641" t="s">
        <v>495</v>
      </c>
      <c r="B1641" t="s">
        <v>496</v>
      </c>
      <c r="C1641">
        <v>27</v>
      </c>
      <c r="D1641" t="s">
        <v>56</v>
      </c>
      <c r="E1641">
        <v>70</v>
      </c>
      <c r="F1641">
        <v>190</v>
      </c>
      <c r="G1641" t="s">
        <v>99</v>
      </c>
      <c r="H1641">
        <v>2020</v>
      </c>
      <c r="I1641" t="s">
        <v>33</v>
      </c>
      <c r="J1641">
        <v>3</v>
      </c>
      <c r="K1641">
        <v>5</v>
      </c>
      <c r="L1641">
        <v>2</v>
      </c>
      <c r="M1641">
        <v>1</v>
      </c>
      <c r="N1641">
        <v>3</v>
      </c>
      <c r="O1641">
        <v>0</v>
      </c>
      <c r="P1641">
        <v>0</v>
      </c>
      <c r="Q1641">
        <v>0</v>
      </c>
      <c r="R1641">
        <v>0</v>
      </c>
      <c r="S1641">
        <v>62</v>
      </c>
      <c r="T1641">
        <v>49</v>
      </c>
      <c r="U1641" s="5">
        <f>IF(Merge1[[#This Row],[team_defense_snaps]]=0, "", Merge1[[#This Row],[defense_snaps]] / Merge1[[#This Row],[team_defense_snaps]])</f>
        <v>0.81666666666666665</v>
      </c>
      <c r="V1641">
        <v>60</v>
      </c>
      <c r="W1641">
        <v>13</v>
      </c>
      <c r="X1641" s="5" t="s">
        <v>131</v>
      </c>
      <c r="Y1641">
        <v>4</v>
      </c>
      <c r="Z1641">
        <v>0</v>
      </c>
      <c r="AA1641" t="s">
        <v>25</v>
      </c>
      <c r="AB1641" t="s">
        <v>26</v>
      </c>
      <c r="AC1641" t="s">
        <v>27</v>
      </c>
      <c r="AD1641" t="s">
        <v>42</v>
      </c>
      <c r="AE1641" t="s">
        <v>25</v>
      </c>
      <c r="AF16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0.10483870967741936</v>
      </c>
      <c r="AG1641" t="s">
        <v>942</v>
      </c>
      <c r="AH1641">
        <v>63.5</v>
      </c>
      <c r="AI1641" t="s">
        <v>939</v>
      </c>
      <c r="AJ1641">
        <v>4</v>
      </c>
      <c r="AK16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MIN(AJ1641/8, 1) +
  Merge1[[#This Row],[index_defensive_effort]],
  2
)</f>
        <v>1.2</v>
      </c>
    </row>
    <row r="1642" spans="1:37" x14ac:dyDescent="0.25">
      <c r="A1642" t="s">
        <v>495</v>
      </c>
      <c r="B1642" t="s">
        <v>496</v>
      </c>
      <c r="C1642">
        <v>27</v>
      </c>
      <c r="D1642" t="s">
        <v>56</v>
      </c>
      <c r="E1642">
        <v>70</v>
      </c>
      <c r="F1642">
        <v>190</v>
      </c>
      <c r="G1642" t="s">
        <v>99</v>
      </c>
      <c r="H1642">
        <v>2020</v>
      </c>
      <c r="I1642" t="s">
        <v>33</v>
      </c>
      <c r="J1642">
        <v>4</v>
      </c>
      <c r="K1642">
        <v>4</v>
      </c>
      <c r="L1642">
        <v>1</v>
      </c>
      <c r="M1642">
        <v>0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64</v>
      </c>
      <c r="T1642">
        <v>56</v>
      </c>
      <c r="U1642" s="5">
        <f>IF(Merge1[[#This Row],[team_defense_snaps]]=0, "", Merge1[[#This Row],[defense_snaps]] / Merge1[[#This Row],[team_defense_snaps]])</f>
        <v>1</v>
      </c>
      <c r="V1642">
        <v>56</v>
      </c>
      <c r="W1642">
        <v>8</v>
      </c>
      <c r="X1642" s="5" t="s">
        <v>70</v>
      </c>
      <c r="Y1642">
        <v>4</v>
      </c>
      <c r="Z1642">
        <v>0</v>
      </c>
      <c r="AA1642" t="s">
        <v>25</v>
      </c>
      <c r="AB1642" t="s">
        <v>26</v>
      </c>
      <c r="AC1642" t="s">
        <v>27</v>
      </c>
      <c r="AD1642" t="s">
        <v>42</v>
      </c>
      <c r="AE1642" t="s">
        <v>25</v>
      </c>
      <c r="AF16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7.03125E-2</v>
      </c>
      <c r="AG1642" t="s">
        <v>942</v>
      </c>
      <c r="AH1642">
        <v>45.5</v>
      </c>
      <c r="AI1642" t="s">
        <v>939</v>
      </c>
      <c r="AJ1642">
        <v>1</v>
      </c>
      <c r="AK16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MIN(AJ1642/8, 1) +
  Merge1[[#This Row],[index_defensive_effort]],
  2
)</f>
        <v>0.8</v>
      </c>
    </row>
    <row r="1643" spans="1:37" x14ac:dyDescent="0.25">
      <c r="A1643" t="s">
        <v>495</v>
      </c>
      <c r="B1643" t="s">
        <v>496</v>
      </c>
      <c r="C1643">
        <v>27</v>
      </c>
      <c r="D1643" t="s">
        <v>56</v>
      </c>
      <c r="E1643">
        <v>70</v>
      </c>
      <c r="F1643">
        <v>190</v>
      </c>
      <c r="G1643" t="s">
        <v>99</v>
      </c>
      <c r="H1643">
        <v>2020</v>
      </c>
      <c r="I1643" t="s">
        <v>33</v>
      </c>
      <c r="J1643">
        <v>6</v>
      </c>
      <c r="K1643">
        <v>5</v>
      </c>
      <c r="L1643">
        <v>1</v>
      </c>
      <c r="M1643">
        <v>0</v>
      </c>
      <c r="N1643">
        <v>1</v>
      </c>
      <c r="O1643">
        <v>0</v>
      </c>
      <c r="P1643">
        <v>3</v>
      </c>
      <c r="Q1643">
        <v>2</v>
      </c>
      <c r="R1643">
        <v>0</v>
      </c>
      <c r="S1643">
        <v>66</v>
      </c>
      <c r="T1643">
        <v>54</v>
      </c>
      <c r="U1643" s="5">
        <f>IF(Merge1[[#This Row],[team_defense_snaps]]=0, "", Merge1[[#This Row],[defense_snaps]] / Merge1[[#This Row],[team_defense_snaps]])</f>
        <v>0.83076923076923082</v>
      </c>
      <c r="V1643">
        <v>65</v>
      </c>
      <c r="W1643">
        <v>12</v>
      </c>
      <c r="X1643" s="5" t="s">
        <v>275</v>
      </c>
      <c r="Y1643">
        <v>4</v>
      </c>
      <c r="Z1643">
        <v>0</v>
      </c>
      <c r="AA1643" t="s">
        <v>25</v>
      </c>
      <c r="AB1643" t="s">
        <v>26</v>
      </c>
      <c r="AC1643" t="s">
        <v>27</v>
      </c>
      <c r="AD1643" t="s">
        <v>42</v>
      </c>
      <c r="AE1643" t="s">
        <v>25</v>
      </c>
      <c r="AF16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0.29545454545454547</v>
      </c>
      <c r="AG1643" t="s">
        <v>942</v>
      </c>
      <c r="AH1643">
        <v>65</v>
      </c>
      <c r="AI1643" t="s">
        <v>939</v>
      </c>
      <c r="AJ1643">
        <v>2</v>
      </c>
      <c r="AK16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MIN(AJ1643/8, 1) +
  Merge1[[#This Row],[index_defensive_effort]],
  2
)</f>
        <v>1.1499999999999999</v>
      </c>
    </row>
    <row r="1644" spans="1:37" x14ac:dyDescent="0.25">
      <c r="A1644" t="s">
        <v>495</v>
      </c>
      <c r="B1644" t="s">
        <v>496</v>
      </c>
      <c r="C1644">
        <v>27</v>
      </c>
      <c r="D1644" t="s">
        <v>56</v>
      </c>
      <c r="E1644">
        <v>70</v>
      </c>
      <c r="F1644">
        <v>190</v>
      </c>
      <c r="G1644" t="s">
        <v>99</v>
      </c>
      <c r="H1644">
        <v>2020</v>
      </c>
      <c r="I1644" t="s">
        <v>33</v>
      </c>
      <c r="J1644">
        <v>7</v>
      </c>
      <c r="K1644">
        <v>5</v>
      </c>
      <c r="L1644">
        <v>2</v>
      </c>
      <c r="M1644">
        <v>2</v>
      </c>
      <c r="N1644">
        <v>4</v>
      </c>
      <c r="O1644">
        <v>0</v>
      </c>
      <c r="P1644">
        <v>0</v>
      </c>
      <c r="Q1644">
        <v>0</v>
      </c>
      <c r="R1644">
        <v>0</v>
      </c>
      <c r="S1644">
        <v>48</v>
      </c>
      <c r="T1644">
        <v>38</v>
      </c>
      <c r="U1644" s="5">
        <f>IF(Merge1[[#This Row],[team_defense_snaps]]=0, "", Merge1[[#This Row],[defense_snaps]] / Merge1[[#This Row],[team_defense_snaps]])</f>
        <v>0.5757575757575758</v>
      </c>
      <c r="V1644">
        <v>66</v>
      </c>
      <c r="W1644">
        <v>10</v>
      </c>
      <c r="X1644" s="5" t="s">
        <v>200</v>
      </c>
      <c r="Y1644">
        <v>4</v>
      </c>
      <c r="Z1644">
        <v>0</v>
      </c>
      <c r="AA1644" t="s">
        <v>25</v>
      </c>
      <c r="AB1644" t="s">
        <v>26</v>
      </c>
      <c r="AC1644" t="s">
        <v>27</v>
      </c>
      <c r="AD1644" t="s">
        <v>28</v>
      </c>
      <c r="AE1644" t="s">
        <v>25</v>
      </c>
      <c r="AF16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0.14583333333333334</v>
      </c>
      <c r="AG1644" t="s">
        <v>942</v>
      </c>
      <c r="AH1644">
        <v>60.5</v>
      </c>
      <c r="AI1644" t="s">
        <v>939</v>
      </c>
      <c r="AJ1644">
        <v>3</v>
      </c>
      <c r="AK16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MIN(AJ1644/8, 1) +
  Merge1[[#This Row],[index_defensive_effort]],
  2
)</f>
        <v>1.1200000000000001</v>
      </c>
    </row>
    <row r="1645" spans="1:37" x14ac:dyDescent="0.25">
      <c r="A1645" t="s">
        <v>495</v>
      </c>
      <c r="B1645" t="s">
        <v>496</v>
      </c>
      <c r="C1645">
        <v>27</v>
      </c>
      <c r="D1645" t="s">
        <v>56</v>
      </c>
      <c r="E1645">
        <v>70</v>
      </c>
      <c r="F1645">
        <v>190</v>
      </c>
      <c r="G1645" t="s">
        <v>99</v>
      </c>
      <c r="H1645">
        <v>2020</v>
      </c>
      <c r="I1645" t="s">
        <v>33</v>
      </c>
      <c r="J1645">
        <v>8</v>
      </c>
      <c r="K1645">
        <v>4</v>
      </c>
      <c r="L1645">
        <v>2</v>
      </c>
      <c r="M1645">
        <v>1</v>
      </c>
      <c r="N1645">
        <v>3</v>
      </c>
      <c r="O1645">
        <v>0</v>
      </c>
      <c r="P1645">
        <v>0</v>
      </c>
      <c r="Q1645">
        <v>0</v>
      </c>
      <c r="R1645">
        <v>0</v>
      </c>
      <c r="S1645">
        <v>66</v>
      </c>
      <c r="T1645">
        <v>54</v>
      </c>
      <c r="U1645" s="5">
        <f>IF(Merge1[[#This Row],[team_defense_snaps]]=0, "", Merge1[[#This Row],[defense_snaps]] / Merge1[[#This Row],[team_defense_snaps]])</f>
        <v>0.9152542372881356</v>
      </c>
      <c r="V1645">
        <v>59</v>
      </c>
      <c r="W1645">
        <v>12</v>
      </c>
      <c r="X1645" s="5" t="s">
        <v>275</v>
      </c>
      <c r="Y1645">
        <v>4</v>
      </c>
      <c r="Z1645">
        <v>0</v>
      </c>
      <c r="AA1645" t="s">
        <v>25</v>
      </c>
      <c r="AB1645" t="s">
        <v>26</v>
      </c>
      <c r="AC1645" t="s">
        <v>27</v>
      </c>
      <c r="AD1645" t="s">
        <v>42</v>
      </c>
      <c r="AE1645" t="s">
        <v>25</v>
      </c>
      <c r="AF16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1645" t="s">
        <v>942</v>
      </c>
      <c r="AH1645">
        <v>48.5</v>
      </c>
      <c r="AI1645" t="s">
        <v>939</v>
      </c>
      <c r="AJ1645">
        <v>4</v>
      </c>
      <c r="AK16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MIN(AJ1645/8, 1) +
  Merge1[[#This Row],[index_defensive_effort]],
  2
)</f>
        <v>1.18</v>
      </c>
    </row>
    <row r="1646" spans="1:37" x14ac:dyDescent="0.25">
      <c r="A1646" t="s">
        <v>495</v>
      </c>
      <c r="B1646" t="s">
        <v>496</v>
      </c>
      <c r="C1646">
        <v>27</v>
      </c>
      <c r="D1646" t="s">
        <v>56</v>
      </c>
      <c r="E1646">
        <v>70</v>
      </c>
      <c r="F1646">
        <v>190</v>
      </c>
      <c r="G1646" t="s">
        <v>99</v>
      </c>
      <c r="H1646">
        <v>2020</v>
      </c>
      <c r="I1646" t="s">
        <v>33</v>
      </c>
      <c r="J1646">
        <v>9</v>
      </c>
      <c r="K1646">
        <v>3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50</v>
      </c>
      <c r="T1646">
        <v>37</v>
      </c>
      <c r="U1646" s="5">
        <f>IF(Merge1[[#This Row],[team_defense_snaps]]=0, "", Merge1[[#This Row],[defense_snaps]] / Merge1[[#This Row],[team_defense_snaps]])</f>
        <v>0.80434782608695654</v>
      </c>
      <c r="V1646">
        <v>46</v>
      </c>
      <c r="W1646">
        <v>13</v>
      </c>
      <c r="X1646" s="5" t="s">
        <v>200</v>
      </c>
      <c r="Y1646">
        <v>4</v>
      </c>
      <c r="Z1646">
        <v>0</v>
      </c>
      <c r="AA1646" t="s">
        <v>25</v>
      </c>
      <c r="AB1646" t="s">
        <v>26</v>
      </c>
      <c r="AC1646" t="s">
        <v>27</v>
      </c>
      <c r="AD1646" t="s">
        <v>28</v>
      </c>
      <c r="AE1646" t="s">
        <v>25</v>
      </c>
      <c r="AF16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0.06</v>
      </c>
      <c r="AG1646" t="s">
        <v>942</v>
      </c>
      <c r="AH1646">
        <v>50</v>
      </c>
      <c r="AI1646" t="s">
        <v>938</v>
      </c>
      <c r="AJ1646">
        <v>5</v>
      </c>
      <c r="AK16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MIN(AJ1646/8, 1) +
  Merge1[[#This Row],[index_defensive_effort]],
  2
)</f>
        <v>1.29</v>
      </c>
    </row>
    <row r="1647" spans="1:37" x14ac:dyDescent="0.25">
      <c r="A1647" t="s">
        <v>495</v>
      </c>
      <c r="B1647" t="s">
        <v>496</v>
      </c>
      <c r="C1647">
        <v>27</v>
      </c>
      <c r="D1647" t="s">
        <v>56</v>
      </c>
      <c r="E1647">
        <v>70</v>
      </c>
      <c r="F1647">
        <v>190</v>
      </c>
      <c r="G1647" t="s">
        <v>99</v>
      </c>
      <c r="H1647">
        <v>2020</v>
      </c>
      <c r="I1647" t="s">
        <v>33</v>
      </c>
      <c r="J1647">
        <v>10</v>
      </c>
      <c r="K1647">
        <v>3</v>
      </c>
      <c r="L1647">
        <v>1</v>
      </c>
      <c r="M1647">
        <v>0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54</v>
      </c>
      <c r="T1647">
        <v>43</v>
      </c>
      <c r="U1647" s="5">
        <f>IF(Merge1[[#This Row],[team_defense_snaps]]=0, "", Merge1[[#This Row],[defense_snaps]] / Merge1[[#This Row],[team_defense_snaps]])</f>
        <v>0.64179104477611937</v>
      </c>
      <c r="V1647">
        <v>67</v>
      </c>
      <c r="W1647">
        <v>11</v>
      </c>
      <c r="X1647" s="5" t="s">
        <v>200</v>
      </c>
      <c r="Y1647">
        <v>4</v>
      </c>
      <c r="Z1647">
        <v>0</v>
      </c>
      <c r="AA1647" t="s">
        <v>25</v>
      </c>
      <c r="AB1647" t="s">
        <v>36</v>
      </c>
      <c r="AC1647" t="s">
        <v>188</v>
      </c>
      <c r="AD1647" t="s">
        <v>28</v>
      </c>
      <c r="AE1647" t="s">
        <v>25</v>
      </c>
      <c r="AF16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6.4814814814814811E-2</v>
      </c>
      <c r="AG1647" t="s">
        <v>942</v>
      </c>
      <c r="AH1647">
        <v>68</v>
      </c>
      <c r="AI1647" t="s">
        <v>939</v>
      </c>
      <c r="AJ1647">
        <v>6</v>
      </c>
      <c r="AK16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MIN(AJ1647/8, 1) +
  Merge1[[#This Row],[index_defensive_effort]],
  2
)</f>
        <v>1.41</v>
      </c>
    </row>
    <row r="1648" spans="1:37" x14ac:dyDescent="0.25">
      <c r="A1648" t="s">
        <v>495</v>
      </c>
      <c r="B1648" t="s">
        <v>496</v>
      </c>
      <c r="C1648">
        <v>27</v>
      </c>
      <c r="D1648" t="s">
        <v>56</v>
      </c>
      <c r="E1648">
        <v>70</v>
      </c>
      <c r="F1648">
        <v>190</v>
      </c>
      <c r="G1648" t="s">
        <v>99</v>
      </c>
      <c r="H1648">
        <v>2020</v>
      </c>
      <c r="I1648" t="s">
        <v>33</v>
      </c>
      <c r="J1648">
        <v>11</v>
      </c>
      <c r="K1648">
        <v>5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59</v>
      </c>
      <c r="T1648">
        <v>45</v>
      </c>
      <c r="U1648" s="5">
        <f>IF(Merge1[[#This Row],[team_defense_snaps]]=0, "", Merge1[[#This Row],[defense_snaps]] / Merge1[[#This Row],[team_defense_snaps]])</f>
        <v>0.73770491803278693</v>
      </c>
      <c r="V1648">
        <v>61</v>
      </c>
      <c r="W1648">
        <v>14</v>
      </c>
      <c r="X1648" s="5" t="s">
        <v>52</v>
      </c>
      <c r="Y1648">
        <v>4</v>
      </c>
      <c r="Z1648">
        <v>0</v>
      </c>
      <c r="AA1648" t="s">
        <v>25</v>
      </c>
      <c r="AB1648" t="s">
        <v>26</v>
      </c>
      <c r="AC1648" t="s">
        <v>27</v>
      </c>
      <c r="AD1648" t="s">
        <v>28</v>
      </c>
      <c r="AE1648" t="s">
        <v>25</v>
      </c>
      <c r="AF16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8.4745762711864403E-2</v>
      </c>
      <c r="AG1648" t="s">
        <v>942</v>
      </c>
      <c r="AH1648">
        <v>57.5</v>
      </c>
      <c r="AI1648" t="s">
        <v>939</v>
      </c>
      <c r="AJ1648">
        <v>7</v>
      </c>
      <c r="AK16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MIN(AJ1648/8, 1) +
  Merge1[[#This Row],[index_defensive_effort]],
  2
)</f>
        <v>1.56</v>
      </c>
    </row>
    <row r="1649" spans="1:37" x14ac:dyDescent="0.25">
      <c r="A1649" t="s">
        <v>495</v>
      </c>
      <c r="B1649" t="s">
        <v>496</v>
      </c>
      <c r="C1649">
        <v>27</v>
      </c>
      <c r="D1649" t="s">
        <v>56</v>
      </c>
      <c r="E1649">
        <v>70</v>
      </c>
      <c r="F1649">
        <v>190</v>
      </c>
      <c r="G1649" t="s">
        <v>99</v>
      </c>
      <c r="H1649">
        <v>2020</v>
      </c>
      <c r="I1649" t="s">
        <v>33</v>
      </c>
      <c r="J1649">
        <v>12</v>
      </c>
      <c r="K1649">
        <v>2</v>
      </c>
      <c r="L1649">
        <v>1</v>
      </c>
      <c r="M1649">
        <v>1</v>
      </c>
      <c r="N1649">
        <v>2</v>
      </c>
      <c r="O1649">
        <v>0</v>
      </c>
      <c r="P1649">
        <v>0</v>
      </c>
      <c r="Q1649">
        <v>0</v>
      </c>
      <c r="R1649">
        <v>0</v>
      </c>
      <c r="S1649">
        <v>53</v>
      </c>
      <c r="T1649">
        <v>42</v>
      </c>
      <c r="U1649" s="5">
        <f>IF(Merge1[[#This Row],[team_defense_snaps]]=0, "", Merge1[[#This Row],[defense_snaps]] / Merge1[[#This Row],[team_defense_snaps]])</f>
        <v>0.56756756756756754</v>
      </c>
      <c r="V1649">
        <v>74</v>
      </c>
      <c r="W1649">
        <v>11</v>
      </c>
      <c r="X1649" s="5" t="s">
        <v>275</v>
      </c>
      <c r="Y1649">
        <v>4</v>
      </c>
      <c r="Z1649">
        <v>0</v>
      </c>
      <c r="AA1649" t="s">
        <v>25</v>
      </c>
      <c r="AB1649" t="s">
        <v>26</v>
      </c>
      <c r="AC1649" t="s">
        <v>27</v>
      </c>
      <c r="AD1649" t="s">
        <v>28</v>
      </c>
      <c r="AE1649" t="s">
        <v>25</v>
      </c>
      <c r="AF16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5.6603773584905662E-2</v>
      </c>
      <c r="AG1649" t="s">
        <v>942</v>
      </c>
      <c r="AH1649">
        <v>54.5</v>
      </c>
      <c r="AI1649" t="s">
        <v>939</v>
      </c>
      <c r="AJ1649">
        <v>8</v>
      </c>
      <c r="AK16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MIN(AJ1649/8, 1) +
  Merge1[[#This Row],[index_defensive_effort]],
  2
)</f>
        <v>1.66</v>
      </c>
    </row>
    <row r="1650" spans="1:37" x14ac:dyDescent="0.25">
      <c r="A1650" t="s">
        <v>495</v>
      </c>
      <c r="B1650" t="s">
        <v>496</v>
      </c>
      <c r="C1650">
        <v>27</v>
      </c>
      <c r="D1650" t="s">
        <v>56</v>
      </c>
      <c r="E1650">
        <v>70</v>
      </c>
      <c r="F1650">
        <v>190</v>
      </c>
      <c r="G1650" t="s">
        <v>99</v>
      </c>
      <c r="H1650">
        <v>2020</v>
      </c>
      <c r="I1650" t="s">
        <v>33</v>
      </c>
      <c r="J1650">
        <v>13</v>
      </c>
      <c r="K1650">
        <v>0</v>
      </c>
      <c r="L1650">
        <v>1</v>
      </c>
      <c r="M1650">
        <v>0</v>
      </c>
      <c r="N1650">
        <v>1</v>
      </c>
      <c r="O1650">
        <v>0</v>
      </c>
      <c r="P1650">
        <v>1</v>
      </c>
      <c r="Q1650">
        <v>0</v>
      </c>
      <c r="R1650">
        <v>0</v>
      </c>
      <c r="S1650">
        <v>25</v>
      </c>
      <c r="T1650">
        <v>19</v>
      </c>
      <c r="U1650" s="5">
        <f>IF(Merge1[[#This Row],[team_defense_snaps]]=0, "", Merge1[[#This Row],[defense_snaps]] / Merge1[[#This Row],[team_defense_snaps]])</f>
        <v>0.26027397260273971</v>
      </c>
      <c r="V1650">
        <v>73</v>
      </c>
      <c r="W1650">
        <v>6</v>
      </c>
      <c r="X1650" s="5" t="s">
        <v>132</v>
      </c>
      <c r="Y1650">
        <v>4</v>
      </c>
      <c r="Z1650">
        <v>0</v>
      </c>
      <c r="AA1650" t="s">
        <v>25</v>
      </c>
      <c r="AB1650" t="s">
        <v>26</v>
      </c>
      <c r="AC1650" t="s">
        <v>27</v>
      </c>
      <c r="AD1650" t="s">
        <v>28</v>
      </c>
      <c r="AE1650" t="s">
        <v>25</v>
      </c>
      <c r="AF16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1650" t="s">
        <v>942</v>
      </c>
      <c r="AH1650">
        <v>47</v>
      </c>
      <c r="AI1650" t="s">
        <v>938</v>
      </c>
      <c r="AJ1650">
        <v>9</v>
      </c>
      <c r="AK16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MIN(AJ1650/8, 1) +
  Merge1[[#This Row],[index_defensive_effort]],
  2
)</f>
        <v>1.7</v>
      </c>
    </row>
    <row r="1651" spans="1:37" x14ac:dyDescent="0.25">
      <c r="A1651" t="s">
        <v>495</v>
      </c>
      <c r="B1651" t="s">
        <v>496</v>
      </c>
      <c r="C1651">
        <v>27</v>
      </c>
      <c r="D1651" t="s">
        <v>56</v>
      </c>
      <c r="E1651">
        <v>70</v>
      </c>
      <c r="F1651">
        <v>190</v>
      </c>
      <c r="G1651" t="s">
        <v>99</v>
      </c>
      <c r="H1651">
        <v>2020</v>
      </c>
      <c r="I1651" t="s">
        <v>33</v>
      </c>
      <c r="J1651">
        <v>14</v>
      </c>
      <c r="K1651">
        <v>2</v>
      </c>
      <c r="L1651">
        <v>2</v>
      </c>
      <c r="M1651">
        <v>1</v>
      </c>
      <c r="N1651">
        <v>3</v>
      </c>
      <c r="O1651">
        <v>0</v>
      </c>
      <c r="P1651">
        <v>0</v>
      </c>
      <c r="Q1651">
        <v>0</v>
      </c>
      <c r="R1651">
        <v>0</v>
      </c>
      <c r="S1651">
        <v>34</v>
      </c>
      <c r="T1651">
        <v>22</v>
      </c>
      <c r="U1651" s="5">
        <f>IF(Merge1[[#This Row],[team_defense_snaps]]=0, "", Merge1[[#This Row],[defense_snaps]] / Merge1[[#This Row],[team_defense_snaps]])</f>
        <v>0.34375</v>
      </c>
      <c r="V1651">
        <v>64</v>
      </c>
      <c r="W1651">
        <v>12</v>
      </c>
      <c r="X1651" s="5" t="s">
        <v>275</v>
      </c>
      <c r="Y1651">
        <v>4</v>
      </c>
      <c r="Z1651">
        <v>0</v>
      </c>
      <c r="AA1651" t="s">
        <v>25</v>
      </c>
      <c r="AB1651" t="s">
        <v>36</v>
      </c>
      <c r="AC1651" t="s">
        <v>96</v>
      </c>
      <c r="AD1651" t="s">
        <v>28</v>
      </c>
      <c r="AE1651" t="s">
        <v>25</v>
      </c>
      <c r="AF16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0.10294117647058823</v>
      </c>
      <c r="AG1651" t="s">
        <v>942</v>
      </c>
      <c r="AH1651">
        <v>56</v>
      </c>
      <c r="AI1651" t="s">
        <v>938</v>
      </c>
      <c r="AJ1651">
        <v>10</v>
      </c>
      <c r="AK16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MIN(AJ1651/8, 1) +
  Merge1[[#This Row],[index_defensive_effort]],
  2
)</f>
        <v>1.7</v>
      </c>
    </row>
    <row r="1652" spans="1:37" x14ac:dyDescent="0.25">
      <c r="A1652" t="s">
        <v>495</v>
      </c>
      <c r="B1652" t="s">
        <v>496</v>
      </c>
      <c r="C1652">
        <v>27</v>
      </c>
      <c r="D1652" t="s">
        <v>56</v>
      </c>
      <c r="E1652">
        <v>70</v>
      </c>
      <c r="F1652">
        <v>190</v>
      </c>
      <c r="G1652" t="s">
        <v>99</v>
      </c>
      <c r="H1652">
        <v>2020</v>
      </c>
      <c r="I1652" t="s">
        <v>33</v>
      </c>
      <c r="J1652">
        <v>15</v>
      </c>
      <c r="K1652">
        <v>1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63</v>
      </c>
      <c r="T1652">
        <v>55</v>
      </c>
      <c r="U1652" s="5">
        <f>IF(Merge1[[#This Row],[team_defense_snaps]]=0, "", Merge1[[#This Row],[defense_snaps]] / Merge1[[#This Row],[team_defense_snaps]])</f>
        <v>0.75342465753424659</v>
      </c>
      <c r="V1652">
        <v>73</v>
      </c>
      <c r="W1652">
        <v>8</v>
      </c>
      <c r="X1652" s="5" t="s">
        <v>134</v>
      </c>
      <c r="Y1652">
        <v>4</v>
      </c>
      <c r="Z1652">
        <v>0</v>
      </c>
      <c r="AA1652" t="s">
        <v>25</v>
      </c>
      <c r="AB1652" t="s">
        <v>36</v>
      </c>
      <c r="AC1652" t="s">
        <v>96</v>
      </c>
      <c r="AD1652" t="s">
        <v>28</v>
      </c>
      <c r="AE1652" t="s">
        <v>25</v>
      </c>
      <c r="AF16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1.5873015873015872E-2</v>
      </c>
      <c r="AG1652" t="s">
        <v>942</v>
      </c>
      <c r="AH1652">
        <v>53</v>
      </c>
      <c r="AI1652" t="s">
        <v>939</v>
      </c>
      <c r="AJ1652">
        <v>11</v>
      </c>
      <c r="AK16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MIN(AJ1652/8, 1) +
  Merge1[[#This Row],[index_defensive_effort]],
  2
)</f>
        <v>1.62</v>
      </c>
    </row>
    <row r="1653" spans="1:37" x14ac:dyDescent="0.25">
      <c r="A1653" t="s">
        <v>495</v>
      </c>
      <c r="B1653" t="s">
        <v>496</v>
      </c>
      <c r="C1653">
        <v>27</v>
      </c>
      <c r="D1653" t="s">
        <v>56</v>
      </c>
      <c r="E1653">
        <v>70</v>
      </c>
      <c r="F1653">
        <v>190</v>
      </c>
      <c r="G1653" t="s">
        <v>99</v>
      </c>
      <c r="H1653">
        <v>2020</v>
      </c>
      <c r="I1653" t="s">
        <v>33</v>
      </c>
      <c r="J1653">
        <v>16</v>
      </c>
      <c r="K1653">
        <v>6</v>
      </c>
      <c r="L1653">
        <v>2</v>
      </c>
      <c r="M1653">
        <v>2</v>
      </c>
      <c r="N1653">
        <v>4</v>
      </c>
      <c r="O1653">
        <v>0</v>
      </c>
      <c r="P1653">
        <v>0</v>
      </c>
      <c r="Q1653">
        <v>0</v>
      </c>
      <c r="R1653">
        <v>2</v>
      </c>
      <c r="S1653">
        <v>70</v>
      </c>
      <c r="T1653">
        <v>61</v>
      </c>
      <c r="U1653" s="5">
        <f>IF(Merge1[[#This Row],[team_defense_snaps]]=0, "", Merge1[[#This Row],[defense_snaps]] / Merge1[[#This Row],[team_defense_snaps]])</f>
        <v>0.84722222222222221</v>
      </c>
      <c r="V1653">
        <v>72</v>
      </c>
      <c r="W1653">
        <v>9</v>
      </c>
      <c r="X1653" s="5" t="s">
        <v>108</v>
      </c>
      <c r="Y1653">
        <v>4</v>
      </c>
      <c r="Z1653">
        <v>0</v>
      </c>
      <c r="AA1653" t="s">
        <v>25</v>
      </c>
      <c r="AB1653" t="s">
        <v>36</v>
      </c>
      <c r="AC1653" t="s">
        <v>96</v>
      </c>
      <c r="AD1653" t="s">
        <v>42</v>
      </c>
      <c r="AE1653" t="s">
        <v>25</v>
      </c>
      <c r="AF16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0.17142857142857143</v>
      </c>
      <c r="AG1653" t="s">
        <v>942</v>
      </c>
      <c r="AH1653">
        <v>66.5</v>
      </c>
      <c r="AI1653" t="s">
        <v>939</v>
      </c>
      <c r="AJ1653">
        <v>12</v>
      </c>
      <c r="AK16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MIN(AJ1653/8, 1) +
  Merge1[[#This Row],[index_defensive_effort]],
  2
)</f>
        <v>1.77</v>
      </c>
    </row>
    <row r="1654" spans="1:37" x14ac:dyDescent="0.25">
      <c r="A1654" t="s">
        <v>495</v>
      </c>
      <c r="B1654" t="s">
        <v>496</v>
      </c>
      <c r="C1654">
        <v>27</v>
      </c>
      <c r="D1654" t="s">
        <v>56</v>
      </c>
      <c r="E1654">
        <v>70</v>
      </c>
      <c r="F1654">
        <v>190</v>
      </c>
      <c r="G1654" t="s">
        <v>99</v>
      </c>
      <c r="H1654">
        <v>2020</v>
      </c>
      <c r="I1654" t="s">
        <v>33</v>
      </c>
      <c r="J1654">
        <v>17</v>
      </c>
      <c r="K1654">
        <v>2</v>
      </c>
      <c r="L1654">
        <v>2</v>
      </c>
      <c r="M1654">
        <v>2</v>
      </c>
      <c r="N1654">
        <v>4</v>
      </c>
      <c r="O1654">
        <v>0</v>
      </c>
      <c r="P1654">
        <v>0</v>
      </c>
      <c r="Q1654">
        <v>2</v>
      </c>
      <c r="R1654">
        <v>0</v>
      </c>
      <c r="S1654">
        <v>61</v>
      </c>
      <c r="T1654">
        <v>49</v>
      </c>
      <c r="U1654" s="5">
        <f>IF(Merge1[[#This Row],[team_defense_snaps]]=0, "", Merge1[[#This Row],[defense_snaps]] / Merge1[[#This Row],[team_defense_snaps]])</f>
        <v>0.73134328358208955</v>
      </c>
      <c r="V1654">
        <v>67</v>
      </c>
      <c r="W1654">
        <v>12</v>
      </c>
      <c r="X1654" s="5" t="s">
        <v>200</v>
      </c>
      <c r="Y1654">
        <v>4</v>
      </c>
      <c r="Z1654">
        <v>0</v>
      </c>
      <c r="AA1654" t="s">
        <v>25</v>
      </c>
      <c r="AB1654" t="s">
        <v>26</v>
      </c>
      <c r="AC1654" t="s">
        <v>27</v>
      </c>
      <c r="AD1654" t="s">
        <v>28</v>
      </c>
      <c r="AE1654" t="s">
        <v>25</v>
      </c>
      <c r="AF16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0.19672131147540983</v>
      </c>
      <c r="AG1654" t="s">
        <v>942</v>
      </c>
      <c r="AH1654">
        <v>44</v>
      </c>
      <c r="AI1654" t="s">
        <v>939</v>
      </c>
      <c r="AJ1654">
        <v>1</v>
      </c>
      <c r="AK16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MIN(AJ1654/8, 1) +
  Merge1[[#This Row],[index_defensive_effort]],
  2
)</f>
        <v>0.92</v>
      </c>
    </row>
    <row r="1655" spans="1:37" x14ac:dyDescent="0.25">
      <c r="A1655" t="s">
        <v>467</v>
      </c>
      <c r="B1655" t="s">
        <v>468</v>
      </c>
      <c r="C1655">
        <v>22</v>
      </c>
      <c r="D1655" t="s">
        <v>22</v>
      </c>
      <c r="E1655">
        <v>74</v>
      </c>
      <c r="F1655">
        <v>203</v>
      </c>
      <c r="G1655" t="s">
        <v>355</v>
      </c>
      <c r="H1655">
        <v>2020</v>
      </c>
      <c r="I1655" t="s">
        <v>33</v>
      </c>
      <c r="J1655">
        <v>1</v>
      </c>
      <c r="K1655">
        <v>5</v>
      </c>
      <c r="L1655">
        <v>3</v>
      </c>
      <c r="M1655">
        <v>1</v>
      </c>
      <c r="N1655">
        <v>4</v>
      </c>
      <c r="O1655">
        <v>0</v>
      </c>
      <c r="P1655">
        <v>0</v>
      </c>
      <c r="Q1655">
        <v>0</v>
      </c>
      <c r="R1655">
        <v>0</v>
      </c>
      <c r="S1655">
        <v>72</v>
      </c>
      <c r="T1655">
        <v>71</v>
      </c>
      <c r="U1655" s="5">
        <f>IF(Merge1[[#This Row],[team_defense_snaps]]=0, "", Merge1[[#This Row],[defense_snaps]] / Merge1[[#This Row],[team_defense_snaps]])</f>
        <v>0.98611111111111116</v>
      </c>
      <c r="V1655">
        <v>72</v>
      </c>
      <c r="W1655">
        <v>1</v>
      </c>
      <c r="X1655" s="5" t="s">
        <v>193</v>
      </c>
      <c r="Y1655">
        <v>0</v>
      </c>
      <c r="Z1655">
        <v>0</v>
      </c>
      <c r="AA1655" t="s">
        <v>25</v>
      </c>
      <c r="AB1655" t="s">
        <v>26</v>
      </c>
      <c r="AC1655" t="s">
        <v>27</v>
      </c>
      <c r="AD1655" t="s">
        <v>42</v>
      </c>
      <c r="AE1655" t="s">
        <v>25</v>
      </c>
      <c r="AF16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9.7222222222222224E-2</v>
      </c>
      <c r="AH1655">
        <v>68.5</v>
      </c>
      <c r="AI1655" t="s">
        <v>939</v>
      </c>
      <c r="AJ1655">
        <v>2</v>
      </c>
      <c r="AK16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MIN(AJ1655/8, 1) +
  Merge1[[#This Row],[index_defensive_effort]],
  2
)</f>
        <v>0.75</v>
      </c>
    </row>
    <row r="1656" spans="1:37" x14ac:dyDescent="0.25">
      <c r="A1656" t="s">
        <v>467</v>
      </c>
      <c r="B1656" t="s">
        <v>468</v>
      </c>
      <c r="C1656">
        <v>22</v>
      </c>
      <c r="D1656" t="s">
        <v>22</v>
      </c>
      <c r="E1656">
        <v>74</v>
      </c>
      <c r="F1656">
        <v>203</v>
      </c>
      <c r="G1656" t="s">
        <v>355</v>
      </c>
      <c r="H1656">
        <v>2020</v>
      </c>
      <c r="I1656" t="s">
        <v>33</v>
      </c>
      <c r="J1656">
        <v>2</v>
      </c>
      <c r="K1656">
        <v>5</v>
      </c>
      <c r="L1656">
        <v>4</v>
      </c>
      <c r="M1656">
        <v>0</v>
      </c>
      <c r="N1656">
        <v>4</v>
      </c>
      <c r="O1656">
        <v>0</v>
      </c>
      <c r="P1656">
        <v>0</v>
      </c>
      <c r="Q1656">
        <v>0</v>
      </c>
      <c r="R1656">
        <v>0</v>
      </c>
      <c r="S1656">
        <v>74</v>
      </c>
      <c r="T1656">
        <v>71</v>
      </c>
      <c r="U1656" s="5">
        <f>IF(Merge1[[#This Row],[team_defense_snaps]]=0, "", Merge1[[#This Row],[defense_snaps]] / Merge1[[#This Row],[team_defense_snaps]])</f>
        <v>1</v>
      </c>
      <c r="V1656">
        <v>71</v>
      </c>
      <c r="W1656">
        <v>3</v>
      </c>
      <c r="X1656" s="5" t="s">
        <v>251</v>
      </c>
      <c r="Y1656">
        <v>0</v>
      </c>
      <c r="Z1656">
        <v>0</v>
      </c>
      <c r="AA1656" t="s">
        <v>25</v>
      </c>
      <c r="AB1656" t="s">
        <v>26</v>
      </c>
      <c r="AC1656" t="s">
        <v>27</v>
      </c>
      <c r="AD1656" t="s">
        <v>42</v>
      </c>
      <c r="AE1656" t="s">
        <v>25</v>
      </c>
      <c r="AF16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9.45945945945946E-2</v>
      </c>
      <c r="AH1656">
        <v>47.5</v>
      </c>
      <c r="AI1656" t="s">
        <v>939</v>
      </c>
      <c r="AJ1656">
        <v>1</v>
      </c>
      <c r="AK16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MIN(AJ1656/8, 1) +
  Merge1[[#This Row],[index_defensive_effort]],
  2
)</f>
        <v>0.62</v>
      </c>
    </row>
    <row r="1657" spans="1:37" x14ac:dyDescent="0.25">
      <c r="A1657" t="s">
        <v>467</v>
      </c>
      <c r="B1657" t="s">
        <v>468</v>
      </c>
      <c r="C1657">
        <v>22</v>
      </c>
      <c r="D1657" t="s">
        <v>22</v>
      </c>
      <c r="E1657">
        <v>74</v>
      </c>
      <c r="F1657">
        <v>203</v>
      </c>
      <c r="G1657" t="s">
        <v>355</v>
      </c>
      <c r="H1657">
        <v>2020</v>
      </c>
      <c r="I1657" t="s">
        <v>33</v>
      </c>
      <c r="J1657">
        <v>5</v>
      </c>
      <c r="K1657">
        <v>3</v>
      </c>
      <c r="L1657">
        <v>1</v>
      </c>
      <c r="M1657">
        <v>0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63</v>
      </c>
      <c r="T1657">
        <v>54</v>
      </c>
      <c r="U1657" s="5">
        <f>IF(Merge1[[#This Row],[team_defense_snaps]]=0, "", Merge1[[#This Row],[defense_snaps]] / Merge1[[#This Row],[team_defense_snaps]])</f>
        <v>1</v>
      </c>
      <c r="V1657">
        <v>54</v>
      </c>
      <c r="W1657">
        <v>9</v>
      </c>
      <c r="X1657" s="5" t="s">
        <v>138</v>
      </c>
      <c r="Y1657">
        <v>0</v>
      </c>
      <c r="Z1657">
        <v>0</v>
      </c>
      <c r="AA1657" t="s">
        <v>25</v>
      </c>
      <c r="AB1657" t="s">
        <v>26</v>
      </c>
      <c r="AC1657" t="s">
        <v>27</v>
      </c>
      <c r="AD1657" t="s">
        <v>42</v>
      </c>
      <c r="AE1657" t="s">
        <v>25</v>
      </c>
      <c r="AF16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H1657">
        <v>64</v>
      </c>
      <c r="AI1657" t="s">
        <v>938</v>
      </c>
      <c r="AJ1657">
        <v>1</v>
      </c>
      <c r="AK16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MIN(AJ1657/8, 1) +
  Merge1[[#This Row],[index_defensive_effort]],
  2
)</f>
        <v>0.57999999999999996</v>
      </c>
    </row>
    <row r="1658" spans="1:37" x14ac:dyDescent="0.25">
      <c r="A1658" t="s">
        <v>467</v>
      </c>
      <c r="B1658" t="s">
        <v>468</v>
      </c>
      <c r="C1658">
        <v>22</v>
      </c>
      <c r="D1658" t="s">
        <v>22</v>
      </c>
      <c r="E1658">
        <v>74</v>
      </c>
      <c r="F1658">
        <v>203</v>
      </c>
      <c r="G1658" t="s">
        <v>355</v>
      </c>
      <c r="H1658">
        <v>2020</v>
      </c>
      <c r="I1658" t="s">
        <v>33</v>
      </c>
      <c r="J1658">
        <v>10</v>
      </c>
      <c r="K1658">
        <v>3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61</v>
      </c>
      <c r="T1658">
        <v>58</v>
      </c>
      <c r="U1658" s="5">
        <f>IF(Merge1[[#This Row],[team_defense_snaps]]=0, "", Merge1[[#This Row],[defense_snaps]] / Merge1[[#This Row],[team_defense_snaps]])</f>
        <v>0.86567164179104472</v>
      </c>
      <c r="V1658">
        <v>67</v>
      </c>
      <c r="W1658">
        <v>3</v>
      </c>
      <c r="X1658" s="5" t="s">
        <v>251</v>
      </c>
      <c r="Y1658">
        <v>0</v>
      </c>
      <c r="Z1658">
        <v>0</v>
      </c>
      <c r="AA1658" t="s">
        <v>25</v>
      </c>
      <c r="AB1658" t="s">
        <v>62</v>
      </c>
      <c r="AC1658" t="s">
        <v>27</v>
      </c>
      <c r="AD1658" t="s">
        <v>42</v>
      </c>
      <c r="AE1658" t="s">
        <v>25</v>
      </c>
      <c r="AF16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8.1967213114754092E-2</v>
      </c>
      <c r="AH1658">
        <v>46</v>
      </c>
      <c r="AI1658" t="s">
        <v>939</v>
      </c>
      <c r="AJ1658">
        <v>2</v>
      </c>
      <c r="AK16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MIN(AJ1658/8, 1) +
  Merge1[[#This Row],[index_defensive_effort]],
  2
)</f>
        <v>0.73</v>
      </c>
    </row>
    <row r="1659" spans="1:37" x14ac:dyDescent="0.25">
      <c r="A1659" t="s">
        <v>467</v>
      </c>
      <c r="B1659" t="s">
        <v>468</v>
      </c>
      <c r="C1659">
        <v>22</v>
      </c>
      <c r="D1659" t="s">
        <v>22</v>
      </c>
      <c r="E1659">
        <v>74</v>
      </c>
      <c r="F1659">
        <v>203</v>
      </c>
      <c r="G1659" t="s">
        <v>355</v>
      </c>
      <c r="H1659">
        <v>2020</v>
      </c>
      <c r="I1659" t="s">
        <v>33</v>
      </c>
      <c r="J1659">
        <v>11</v>
      </c>
      <c r="K1659">
        <v>6</v>
      </c>
      <c r="L1659">
        <v>2</v>
      </c>
      <c r="M1659">
        <v>2</v>
      </c>
      <c r="N1659">
        <v>4</v>
      </c>
      <c r="O1659">
        <v>0</v>
      </c>
      <c r="P1659">
        <v>0</v>
      </c>
      <c r="Q1659">
        <v>4</v>
      </c>
      <c r="R1659">
        <v>0</v>
      </c>
      <c r="S1659">
        <v>69</v>
      </c>
      <c r="T1659">
        <v>69</v>
      </c>
      <c r="U1659" s="5">
        <f>IF(Merge1[[#This Row],[team_defense_snaps]]=0, "", Merge1[[#This Row],[defense_snaps]] / Merge1[[#This Row],[team_defense_snaps]])</f>
        <v>0.98571428571428577</v>
      </c>
      <c r="V1659">
        <v>70</v>
      </c>
      <c r="W1659">
        <v>0</v>
      </c>
      <c r="X1659" s="5" t="s">
        <v>29</v>
      </c>
      <c r="Y1659">
        <v>0</v>
      </c>
      <c r="Z1659">
        <v>0</v>
      </c>
      <c r="AA1659" t="s">
        <v>25</v>
      </c>
      <c r="AB1659" t="s">
        <v>26</v>
      </c>
      <c r="AC1659" t="s">
        <v>27</v>
      </c>
      <c r="AD1659" t="s">
        <v>42</v>
      </c>
      <c r="AE1659" t="s">
        <v>25</v>
      </c>
      <c r="AF16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0.34782608695652173</v>
      </c>
      <c r="AH1659">
        <v>56.5</v>
      </c>
      <c r="AI1659" t="s">
        <v>939</v>
      </c>
      <c r="AJ1659">
        <v>3</v>
      </c>
      <c r="AK16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MIN(AJ1659/8, 1) +
  Merge1[[#This Row],[index_defensive_effort]],
  2
)</f>
        <v>1.1200000000000001</v>
      </c>
    </row>
    <row r="1660" spans="1:37" x14ac:dyDescent="0.25">
      <c r="A1660" t="s">
        <v>467</v>
      </c>
      <c r="B1660" t="s">
        <v>468</v>
      </c>
      <c r="C1660">
        <v>22</v>
      </c>
      <c r="D1660" t="s">
        <v>22</v>
      </c>
      <c r="E1660">
        <v>74</v>
      </c>
      <c r="F1660">
        <v>203</v>
      </c>
      <c r="G1660" t="s">
        <v>355</v>
      </c>
      <c r="H1660">
        <v>2020</v>
      </c>
      <c r="I1660" t="s">
        <v>33</v>
      </c>
      <c r="J1660">
        <v>12</v>
      </c>
      <c r="K1660">
        <v>3</v>
      </c>
      <c r="L1660">
        <v>3</v>
      </c>
      <c r="M1660">
        <v>1</v>
      </c>
      <c r="N1660">
        <v>4</v>
      </c>
      <c r="O1660">
        <v>0</v>
      </c>
      <c r="P1660">
        <v>0</v>
      </c>
      <c r="Q1660">
        <v>2</v>
      </c>
      <c r="R1660">
        <v>0</v>
      </c>
      <c r="S1660">
        <v>72</v>
      </c>
      <c r="T1660">
        <v>72</v>
      </c>
      <c r="U1660" s="5">
        <f>IF(Merge1[[#This Row],[team_defense_snaps]]=0, "", Merge1[[#This Row],[defense_snaps]] / Merge1[[#This Row],[team_defense_snaps]])</f>
        <v>1</v>
      </c>
      <c r="V1660">
        <v>72</v>
      </c>
      <c r="W1660">
        <v>0</v>
      </c>
      <c r="X1660" s="5" t="s">
        <v>29</v>
      </c>
      <c r="Y1660">
        <v>0</v>
      </c>
      <c r="Z1660">
        <v>0</v>
      </c>
      <c r="AA1660" t="s">
        <v>25</v>
      </c>
      <c r="AB1660" t="s">
        <v>26</v>
      </c>
      <c r="AC1660" t="s">
        <v>27</v>
      </c>
      <c r="AD1660" t="s">
        <v>42</v>
      </c>
      <c r="AE1660" t="s">
        <v>25</v>
      </c>
      <c r="AF16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0.18055555555555555</v>
      </c>
      <c r="AH1660">
        <v>70</v>
      </c>
      <c r="AI1660" t="s">
        <v>939</v>
      </c>
      <c r="AJ1660">
        <v>4</v>
      </c>
      <c r="AK16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MIN(AJ1660/8, 1) +
  Merge1[[#This Row],[index_defensive_effort]],
  2
)</f>
        <v>1.08</v>
      </c>
    </row>
    <row r="1661" spans="1:37" x14ac:dyDescent="0.25">
      <c r="A1661" t="s">
        <v>467</v>
      </c>
      <c r="B1661" t="s">
        <v>468</v>
      </c>
      <c r="C1661">
        <v>22</v>
      </c>
      <c r="D1661" t="s">
        <v>22</v>
      </c>
      <c r="E1661">
        <v>74</v>
      </c>
      <c r="F1661">
        <v>203</v>
      </c>
      <c r="G1661" t="s">
        <v>355</v>
      </c>
      <c r="H1661">
        <v>2020</v>
      </c>
      <c r="I1661" t="s">
        <v>33</v>
      </c>
      <c r="J1661">
        <v>13</v>
      </c>
      <c r="K1661">
        <v>2</v>
      </c>
      <c r="L1661">
        <v>1</v>
      </c>
      <c r="M1661">
        <v>1</v>
      </c>
      <c r="N1661">
        <v>2</v>
      </c>
      <c r="O1661">
        <v>0</v>
      </c>
      <c r="P1661">
        <v>0</v>
      </c>
      <c r="Q1661">
        <v>0</v>
      </c>
      <c r="R1661">
        <v>0</v>
      </c>
      <c r="S1661">
        <v>64</v>
      </c>
      <c r="T1661">
        <v>64</v>
      </c>
      <c r="U1661" s="5">
        <f>IF(Merge1[[#This Row],[team_defense_snaps]]=0, "", Merge1[[#This Row],[defense_snaps]] / Merge1[[#This Row],[team_defense_snaps]])</f>
        <v>1</v>
      </c>
      <c r="V1661">
        <v>64</v>
      </c>
      <c r="W1661">
        <v>0</v>
      </c>
      <c r="X1661" s="5" t="s">
        <v>29</v>
      </c>
      <c r="Y1661">
        <v>0</v>
      </c>
      <c r="Z1661">
        <v>0</v>
      </c>
      <c r="AA1661" t="s">
        <v>25</v>
      </c>
      <c r="AB1661" t="s">
        <v>26</v>
      </c>
      <c r="AC1661" t="s">
        <v>27</v>
      </c>
      <c r="AD1661" t="s">
        <v>42</v>
      </c>
      <c r="AE1661" t="s">
        <v>25</v>
      </c>
      <c r="AF16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4.6875E-2</v>
      </c>
      <c r="AH1661">
        <v>50</v>
      </c>
      <c r="AI1661" t="s">
        <v>939</v>
      </c>
      <c r="AJ1661">
        <v>5</v>
      </c>
      <c r="AK16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MIN(AJ1661/8, 1) +
  Merge1[[#This Row],[index_defensive_effort]],
  2
)</f>
        <v>1.07</v>
      </c>
    </row>
    <row r="1662" spans="1:37" x14ac:dyDescent="0.25">
      <c r="A1662" t="s">
        <v>467</v>
      </c>
      <c r="B1662" t="s">
        <v>468</v>
      </c>
      <c r="C1662">
        <v>22</v>
      </c>
      <c r="D1662" t="s">
        <v>22</v>
      </c>
      <c r="E1662">
        <v>74</v>
      </c>
      <c r="F1662">
        <v>203</v>
      </c>
      <c r="G1662" t="s">
        <v>355</v>
      </c>
      <c r="H1662">
        <v>2020</v>
      </c>
      <c r="I1662" t="s">
        <v>33</v>
      </c>
      <c r="J1662">
        <v>14</v>
      </c>
      <c r="K1662">
        <v>6</v>
      </c>
      <c r="L1662">
        <v>0</v>
      </c>
      <c r="M1662">
        <v>0</v>
      </c>
      <c r="N1662">
        <v>0</v>
      </c>
      <c r="O1662">
        <v>0</v>
      </c>
      <c r="P1662">
        <v>2</v>
      </c>
      <c r="Q1662">
        <v>0</v>
      </c>
      <c r="R1662">
        <v>0</v>
      </c>
      <c r="S1662">
        <v>59</v>
      </c>
      <c r="T1662">
        <v>59</v>
      </c>
      <c r="U1662" s="5">
        <f>IF(Merge1[[#This Row],[team_defense_snaps]]=0, "", Merge1[[#This Row],[defense_snaps]] / Merge1[[#This Row],[team_defense_snaps]])</f>
        <v>1</v>
      </c>
      <c r="V1662">
        <v>59</v>
      </c>
      <c r="W1662">
        <v>0</v>
      </c>
      <c r="X1662" s="5" t="s">
        <v>29</v>
      </c>
      <c r="Y1662">
        <v>0</v>
      </c>
      <c r="Z1662">
        <v>0</v>
      </c>
      <c r="AA1662" t="s">
        <v>25</v>
      </c>
      <c r="AB1662" t="s">
        <v>26</v>
      </c>
      <c r="AC1662" t="s">
        <v>27</v>
      </c>
      <c r="AD1662" t="s">
        <v>42</v>
      </c>
      <c r="AE1662" t="s">
        <v>25</v>
      </c>
      <c r="AF16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0.16949152542372881</v>
      </c>
      <c r="AH1662">
        <v>55</v>
      </c>
      <c r="AI1662" t="s">
        <v>939</v>
      </c>
      <c r="AJ1662">
        <v>6</v>
      </c>
      <c r="AK16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MIN(AJ1662/8, 1) +
  Merge1[[#This Row],[index_defensive_effort]],
  2
)</f>
        <v>1.32</v>
      </c>
    </row>
    <row r="1663" spans="1:37" x14ac:dyDescent="0.25">
      <c r="A1663" t="s">
        <v>467</v>
      </c>
      <c r="B1663" t="s">
        <v>468</v>
      </c>
      <c r="C1663">
        <v>22</v>
      </c>
      <c r="D1663" t="s">
        <v>22</v>
      </c>
      <c r="E1663">
        <v>74</v>
      </c>
      <c r="F1663">
        <v>203</v>
      </c>
      <c r="G1663" t="s">
        <v>355</v>
      </c>
      <c r="H1663">
        <v>2020</v>
      </c>
      <c r="I1663" t="s">
        <v>33</v>
      </c>
      <c r="J1663">
        <v>15</v>
      </c>
      <c r="K1663">
        <v>5</v>
      </c>
      <c r="L1663">
        <v>2</v>
      </c>
      <c r="M1663">
        <v>2</v>
      </c>
      <c r="N1663">
        <v>4</v>
      </c>
      <c r="O1663">
        <v>0</v>
      </c>
      <c r="P1663">
        <v>0</v>
      </c>
      <c r="Q1663">
        <v>0</v>
      </c>
      <c r="R1663">
        <v>0</v>
      </c>
      <c r="S1663">
        <v>65</v>
      </c>
      <c r="T1663">
        <v>65</v>
      </c>
      <c r="U1663" s="5">
        <f>IF(Merge1[[#This Row],[team_defense_snaps]]=0, "", Merge1[[#This Row],[defense_snaps]] / Merge1[[#This Row],[team_defense_snaps]])</f>
        <v>1</v>
      </c>
      <c r="V1663">
        <v>65</v>
      </c>
      <c r="W1663">
        <v>0</v>
      </c>
      <c r="X1663" s="5" t="s">
        <v>29</v>
      </c>
      <c r="Y1663">
        <v>0</v>
      </c>
      <c r="Z1663">
        <v>0</v>
      </c>
      <c r="AA1663" t="s">
        <v>25</v>
      </c>
      <c r="AB1663" t="s">
        <v>26</v>
      </c>
      <c r="AC1663" t="s">
        <v>27</v>
      </c>
      <c r="AD1663" t="s">
        <v>42</v>
      </c>
      <c r="AE1663" t="s">
        <v>25</v>
      </c>
      <c r="AF16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0.1076923076923077</v>
      </c>
      <c r="AH1663">
        <v>53.5</v>
      </c>
      <c r="AI1663" t="s">
        <v>939</v>
      </c>
      <c r="AJ1663">
        <v>7</v>
      </c>
      <c r="AK16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MIN(AJ1663/8, 1) +
  Merge1[[#This Row],[index_defensive_effort]],
  2
)</f>
        <v>1.38</v>
      </c>
    </row>
    <row r="1664" spans="1:37" x14ac:dyDescent="0.25">
      <c r="A1664" t="s">
        <v>467</v>
      </c>
      <c r="B1664" t="s">
        <v>468</v>
      </c>
      <c r="C1664">
        <v>22</v>
      </c>
      <c r="D1664" t="s">
        <v>22</v>
      </c>
      <c r="E1664">
        <v>74</v>
      </c>
      <c r="F1664">
        <v>203</v>
      </c>
      <c r="G1664" t="s">
        <v>355</v>
      </c>
      <c r="H1664">
        <v>2020</v>
      </c>
      <c r="I1664" t="s">
        <v>33</v>
      </c>
      <c r="J1664">
        <v>16</v>
      </c>
      <c r="K1664">
        <v>4</v>
      </c>
      <c r="L1664">
        <v>3</v>
      </c>
      <c r="M1664">
        <v>1</v>
      </c>
      <c r="N1664">
        <v>4</v>
      </c>
      <c r="O1664">
        <v>0</v>
      </c>
      <c r="P1664">
        <v>0</v>
      </c>
      <c r="Q1664">
        <v>0</v>
      </c>
      <c r="R1664">
        <v>0</v>
      </c>
      <c r="S1664">
        <v>63</v>
      </c>
      <c r="T1664">
        <v>63</v>
      </c>
      <c r="U1664" s="5">
        <f>IF(Merge1[[#This Row],[team_defense_snaps]]=0, "", Merge1[[#This Row],[defense_snaps]] / Merge1[[#This Row],[team_defense_snaps]])</f>
        <v>1</v>
      </c>
      <c r="V1664">
        <v>63</v>
      </c>
      <c r="W1664">
        <v>0</v>
      </c>
      <c r="X1664" s="5" t="s">
        <v>29</v>
      </c>
      <c r="Y1664">
        <v>0</v>
      </c>
      <c r="Z1664">
        <v>0</v>
      </c>
      <c r="AA1664" t="s">
        <v>25</v>
      </c>
      <c r="AB1664" t="s">
        <v>26</v>
      </c>
      <c r="AC1664" t="s">
        <v>27</v>
      </c>
      <c r="AD1664" t="s">
        <v>42</v>
      </c>
      <c r="AE1664" t="s">
        <v>25</v>
      </c>
      <c r="AF16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9.5238095238095233E-2</v>
      </c>
      <c r="AH1664">
        <v>50.5</v>
      </c>
      <c r="AI1664" t="s">
        <v>939</v>
      </c>
      <c r="AJ1664">
        <v>8</v>
      </c>
      <c r="AK16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MIN(AJ1664/8, 1) +
  Merge1[[#This Row],[index_defensive_effort]],
  2
)</f>
        <v>1.5</v>
      </c>
    </row>
    <row r="1665" spans="1:37" x14ac:dyDescent="0.25">
      <c r="A1665" t="s">
        <v>467</v>
      </c>
      <c r="B1665" t="s">
        <v>468</v>
      </c>
      <c r="C1665">
        <v>22</v>
      </c>
      <c r="D1665" t="s">
        <v>22</v>
      </c>
      <c r="E1665">
        <v>74</v>
      </c>
      <c r="F1665">
        <v>203</v>
      </c>
      <c r="G1665" t="s">
        <v>355</v>
      </c>
      <c r="H1665">
        <v>2020</v>
      </c>
      <c r="I1665" t="s">
        <v>33</v>
      </c>
      <c r="J1665">
        <v>17</v>
      </c>
      <c r="K1665">
        <v>1</v>
      </c>
      <c r="L1665">
        <v>4</v>
      </c>
      <c r="M1665">
        <v>1</v>
      </c>
      <c r="N1665">
        <v>5</v>
      </c>
      <c r="O1665">
        <v>0</v>
      </c>
      <c r="P1665">
        <v>0</v>
      </c>
      <c r="Q1665">
        <v>0</v>
      </c>
      <c r="R1665">
        <v>0</v>
      </c>
      <c r="S1665">
        <v>53</v>
      </c>
      <c r="T1665">
        <v>53</v>
      </c>
      <c r="U1665" s="5">
        <f>IF(Merge1[[#This Row],[team_defense_snaps]]=0, "", Merge1[[#This Row],[defense_snaps]] / Merge1[[#This Row],[team_defense_snaps]])</f>
        <v>1</v>
      </c>
      <c r="V1665">
        <v>53</v>
      </c>
      <c r="W1665">
        <v>0</v>
      </c>
      <c r="X1665" s="5" t="s">
        <v>29</v>
      </c>
      <c r="Y1665">
        <v>0</v>
      </c>
      <c r="Z1665">
        <v>0</v>
      </c>
      <c r="AA1665" t="s">
        <v>25</v>
      </c>
      <c r="AB1665" t="s">
        <v>26</v>
      </c>
      <c r="AC1665" t="s">
        <v>27</v>
      </c>
      <c r="AD1665" t="s">
        <v>42</v>
      </c>
      <c r="AE1665" t="s">
        <v>25</v>
      </c>
      <c r="AF16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6.6037735849056603E-2</v>
      </c>
      <c r="AH1665">
        <v>50</v>
      </c>
      <c r="AI1665" t="s">
        <v>939</v>
      </c>
      <c r="AJ1665">
        <v>9</v>
      </c>
      <c r="AK16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MIN(AJ1665/8, 1) +
  Merge1[[#This Row],[index_defensive_effort]],
  2
)</f>
        <v>1.47</v>
      </c>
    </row>
    <row r="1666" spans="1:37" x14ac:dyDescent="0.25">
      <c r="A1666" t="s">
        <v>467</v>
      </c>
      <c r="B1666" t="s">
        <v>468</v>
      </c>
      <c r="C1666">
        <v>22</v>
      </c>
      <c r="D1666" t="s">
        <v>22</v>
      </c>
      <c r="E1666">
        <v>74</v>
      </c>
      <c r="F1666">
        <v>203</v>
      </c>
      <c r="G1666" t="s">
        <v>355</v>
      </c>
      <c r="H1666">
        <v>2020</v>
      </c>
      <c r="I1666" t="s">
        <v>24</v>
      </c>
      <c r="J1666">
        <v>18</v>
      </c>
      <c r="K1666">
        <v>4</v>
      </c>
      <c r="L1666">
        <v>3</v>
      </c>
      <c r="M1666">
        <v>1</v>
      </c>
      <c r="N1666">
        <v>4</v>
      </c>
      <c r="O1666">
        <v>0</v>
      </c>
      <c r="P1666">
        <v>1</v>
      </c>
      <c r="Q1666">
        <v>0</v>
      </c>
      <c r="R1666">
        <v>0</v>
      </c>
      <c r="S1666">
        <v>61</v>
      </c>
      <c r="T1666">
        <v>61</v>
      </c>
      <c r="U1666" s="5">
        <f>IF(Merge1[[#This Row],[team_defense_snaps]]=0, "", Merge1[[#This Row],[defense_snaps]] / Merge1[[#This Row],[team_defense_snaps]])</f>
        <v>0.9838709677419355</v>
      </c>
      <c r="V1666">
        <v>62</v>
      </c>
      <c r="W1666">
        <v>0</v>
      </c>
      <c r="X1666" s="5" t="s">
        <v>29</v>
      </c>
      <c r="Y1666">
        <v>0</v>
      </c>
      <c r="Z1666">
        <v>0</v>
      </c>
      <c r="AA1666" t="s">
        <v>25</v>
      </c>
      <c r="AB1666" t="s">
        <v>26</v>
      </c>
      <c r="AC1666" t="s">
        <v>27</v>
      </c>
      <c r="AD1666" t="s">
        <v>42</v>
      </c>
      <c r="AE1666" t="s">
        <v>25</v>
      </c>
      <c r="AF16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0.13114754098360656</v>
      </c>
      <c r="AH1666">
        <v>52</v>
      </c>
      <c r="AI1666" t="s">
        <v>939</v>
      </c>
      <c r="AJ1666">
        <v>10</v>
      </c>
      <c r="AK16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MIN(AJ1666/8, 1) +
  Merge1[[#This Row],[index_defensive_effort]],
  2
)</f>
        <v>1.73</v>
      </c>
    </row>
    <row r="1667" spans="1:37" x14ac:dyDescent="0.25">
      <c r="A1667" t="s">
        <v>467</v>
      </c>
      <c r="B1667" t="s">
        <v>468</v>
      </c>
      <c r="C1667">
        <v>22</v>
      </c>
      <c r="D1667" t="s">
        <v>22</v>
      </c>
      <c r="E1667">
        <v>74</v>
      </c>
      <c r="F1667">
        <v>203</v>
      </c>
      <c r="G1667" t="s">
        <v>355</v>
      </c>
      <c r="H1667">
        <v>2020</v>
      </c>
      <c r="I1667" t="s">
        <v>24</v>
      </c>
      <c r="J1667">
        <v>19</v>
      </c>
      <c r="K1667">
        <v>2</v>
      </c>
      <c r="L1667">
        <v>3</v>
      </c>
      <c r="M1667">
        <v>1</v>
      </c>
      <c r="N1667">
        <v>4</v>
      </c>
      <c r="O1667">
        <v>0</v>
      </c>
      <c r="P1667">
        <v>0</v>
      </c>
      <c r="Q1667">
        <v>0</v>
      </c>
      <c r="R1667">
        <v>0</v>
      </c>
      <c r="S1667">
        <v>75</v>
      </c>
      <c r="T1667">
        <v>75</v>
      </c>
      <c r="U1667" s="5">
        <f>IF(Merge1[[#This Row],[team_defense_snaps]]=0, "", Merge1[[#This Row],[defense_snaps]] / Merge1[[#This Row],[team_defense_snaps]])</f>
        <v>0.98684210526315785</v>
      </c>
      <c r="V1667">
        <v>76</v>
      </c>
      <c r="W1667">
        <v>0</v>
      </c>
      <c r="X1667" s="5" t="s">
        <v>29</v>
      </c>
      <c r="Y1667">
        <v>0</v>
      </c>
      <c r="Z1667">
        <v>0</v>
      </c>
      <c r="AA1667" t="s">
        <v>25</v>
      </c>
      <c r="AB1667" t="s">
        <v>26</v>
      </c>
      <c r="AC1667" t="s">
        <v>27</v>
      </c>
      <c r="AD1667" t="s">
        <v>42</v>
      </c>
      <c r="AE1667" t="s">
        <v>25</v>
      </c>
      <c r="AF16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5.3333333333333337E-2</v>
      </c>
      <c r="AH1667">
        <v>49</v>
      </c>
      <c r="AI1667" t="s">
        <v>939</v>
      </c>
      <c r="AJ1667">
        <v>1</v>
      </c>
      <c r="AK16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MIN(AJ1667/8, 1) +
  Merge1[[#This Row],[index_defensive_effort]],
  2
)</f>
        <v>0.78</v>
      </c>
    </row>
    <row r="1668" spans="1:37" x14ac:dyDescent="0.25">
      <c r="A1668" t="s">
        <v>523</v>
      </c>
      <c r="B1668" t="s">
        <v>524</v>
      </c>
      <c r="C1668">
        <v>29</v>
      </c>
      <c r="D1668" t="s">
        <v>22</v>
      </c>
      <c r="E1668">
        <v>72</v>
      </c>
      <c r="F1668">
        <v>191</v>
      </c>
      <c r="G1668" t="s">
        <v>339</v>
      </c>
      <c r="H1668">
        <v>2020</v>
      </c>
      <c r="I1668" t="s">
        <v>33</v>
      </c>
      <c r="J1668">
        <v>1</v>
      </c>
      <c r="K1668">
        <v>3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2</v>
      </c>
      <c r="S1668">
        <v>67</v>
      </c>
      <c r="T1668">
        <v>56</v>
      </c>
      <c r="U1668" s="5">
        <f>IF(Merge1[[#This Row],[team_defense_snaps]]=0, "", Merge1[[#This Row],[defense_snaps]] / Merge1[[#This Row],[team_defense_snaps]])</f>
        <v>1</v>
      </c>
      <c r="V1668">
        <v>56</v>
      </c>
      <c r="W1668">
        <v>11</v>
      </c>
      <c r="X1668" s="5" t="s">
        <v>131</v>
      </c>
      <c r="Y1668">
        <v>7</v>
      </c>
      <c r="Z1668">
        <v>0</v>
      </c>
      <c r="AA1668" t="s">
        <v>25</v>
      </c>
      <c r="AB1668" t="s">
        <v>26</v>
      </c>
      <c r="AC1668" t="s">
        <v>27</v>
      </c>
      <c r="AD1668" t="s">
        <v>42</v>
      </c>
      <c r="AE1668" t="s">
        <v>25</v>
      </c>
      <c r="AF16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0.1044776119402985</v>
      </c>
      <c r="AG1668" t="s">
        <v>942</v>
      </c>
      <c r="AH1668">
        <v>47</v>
      </c>
      <c r="AI1668" t="s">
        <v>939</v>
      </c>
      <c r="AJ1668">
        <v>2</v>
      </c>
      <c r="AK16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MIN(AJ1668/8, 1) +
  Merge1[[#This Row],[index_defensive_effort]],
  2
)</f>
        <v>0.85</v>
      </c>
    </row>
    <row r="1669" spans="1:37" x14ac:dyDescent="0.25">
      <c r="A1669" t="s">
        <v>523</v>
      </c>
      <c r="B1669" t="s">
        <v>524</v>
      </c>
      <c r="C1669">
        <v>29</v>
      </c>
      <c r="D1669" t="s">
        <v>22</v>
      </c>
      <c r="E1669">
        <v>72</v>
      </c>
      <c r="F1669">
        <v>191</v>
      </c>
      <c r="G1669" t="s">
        <v>339</v>
      </c>
      <c r="H1669">
        <v>2020</v>
      </c>
      <c r="I1669" t="s">
        <v>33</v>
      </c>
      <c r="J1669">
        <v>2</v>
      </c>
      <c r="K1669">
        <v>7</v>
      </c>
      <c r="L1669">
        <v>4</v>
      </c>
      <c r="M1669">
        <v>3</v>
      </c>
      <c r="N1669">
        <v>7</v>
      </c>
      <c r="O1669">
        <v>4</v>
      </c>
      <c r="P1669">
        <v>4</v>
      </c>
      <c r="Q1669">
        <v>0</v>
      </c>
      <c r="R1669">
        <v>0</v>
      </c>
      <c r="S1669">
        <v>85</v>
      </c>
      <c r="T1669">
        <v>74</v>
      </c>
      <c r="U1669" s="5">
        <f>IF(Merge1[[#This Row],[team_defense_snaps]]=0, "", Merge1[[#This Row],[defense_snaps]] / Merge1[[#This Row],[team_defense_snaps]])</f>
        <v>0.98666666666666669</v>
      </c>
      <c r="V1669">
        <v>75</v>
      </c>
      <c r="W1669">
        <v>11</v>
      </c>
      <c r="X1669" s="5" t="s">
        <v>60</v>
      </c>
      <c r="Y1669">
        <v>7</v>
      </c>
      <c r="Z1669">
        <v>0</v>
      </c>
      <c r="AA1669" t="s">
        <v>25</v>
      </c>
      <c r="AB1669" t="s">
        <v>26</v>
      </c>
      <c r="AC1669" t="s">
        <v>27</v>
      </c>
      <c r="AD1669" t="s">
        <v>42</v>
      </c>
      <c r="AE1669" t="s">
        <v>25</v>
      </c>
      <c r="AF16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0.35882352941176471</v>
      </c>
      <c r="AG1669" t="s">
        <v>942</v>
      </c>
      <c r="AH1669">
        <v>44</v>
      </c>
      <c r="AI1669" t="s">
        <v>939</v>
      </c>
      <c r="AJ1669">
        <v>3</v>
      </c>
      <c r="AK16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MIN(AJ1669/8, 1) +
  Merge1[[#This Row],[index_defensive_effort]],
  2
)</f>
        <v>1.23</v>
      </c>
    </row>
    <row r="1670" spans="1:37" x14ac:dyDescent="0.25">
      <c r="A1670" t="s">
        <v>523</v>
      </c>
      <c r="B1670" t="s">
        <v>524</v>
      </c>
      <c r="C1670">
        <v>29</v>
      </c>
      <c r="D1670" t="s">
        <v>22</v>
      </c>
      <c r="E1670">
        <v>72</v>
      </c>
      <c r="F1670">
        <v>191</v>
      </c>
      <c r="G1670" t="s">
        <v>339</v>
      </c>
      <c r="H1670">
        <v>2020</v>
      </c>
      <c r="I1670" t="s">
        <v>33</v>
      </c>
      <c r="J1670">
        <v>3</v>
      </c>
      <c r="K1670">
        <v>9</v>
      </c>
      <c r="L1670">
        <v>4</v>
      </c>
      <c r="M1670">
        <v>3</v>
      </c>
      <c r="N1670">
        <v>7</v>
      </c>
      <c r="O1670">
        <v>0</v>
      </c>
      <c r="P1670">
        <v>0</v>
      </c>
      <c r="Q1670">
        <v>0</v>
      </c>
      <c r="R1670">
        <v>0</v>
      </c>
      <c r="S1670">
        <v>80</v>
      </c>
      <c r="T1670">
        <v>69</v>
      </c>
      <c r="U1670" s="5">
        <f>IF(Merge1[[#This Row],[team_defense_snaps]]=0, "", Merge1[[#This Row],[defense_snaps]] / Merge1[[#This Row],[team_defense_snaps]])</f>
        <v>1</v>
      </c>
      <c r="V1670">
        <v>69</v>
      </c>
      <c r="W1670">
        <v>11</v>
      </c>
      <c r="X1670" s="5" t="s">
        <v>260</v>
      </c>
      <c r="Y1670">
        <v>7</v>
      </c>
      <c r="Z1670">
        <v>0</v>
      </c>
      <c r="AA1670" t="s">
        <v>25</v>
      </c>
      <c r="AB1670" t="s">
        <v>26</v>
      </c>
      <c r="AC1670" t="s">
        <v>27</v>
      </c>
      <c r="AD1670" t="s">
        <v>42</v>
      </c>
      <c r="AE1670" t="s">
        <v>25</v>
      </c>
      <c r="AF16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0.15625</v>
      </c>
      <c r="AG1670" t="s">
        <v>942</v>
      </c>
      <c r="AH1670">
        <v>48</v>
      </c>
      <c r="AI1670" t="s">
        <v>939</v>
      </c>
      <c r="AJ1670">
        <v>4</v>
      </c>
      <c r="AK16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MIN(AJ1670/8, 1) +
  Merge1[[#This Row],[index_defensive_effort]],
  2
)</f>
        <v>1.1599999999999999</v>
      </c>
    </row>
    <row r="1671" spans="1:37" x14ac:dyDescent="0.25">
      <c r="A1671" t="s">
        <v>523</v>
      </c>
      <c r="B1671" t="s">
        <v>524</v>
      </c>
      <c r="C1671">
        <v>29</v>
      </c>
      <c r="D1671" t="s">
        <v>22</v>
      </c>
      <c r="E1671">
        <v>72</v>
      </c>
      <c r="F1671">
        <v>191</v>
      </c>
      <c r="G1671" t="s">
        <v>339</v>
      </c>
      <c r="H1671">
        <v>2020</v>
      </c>
      <c r="I1671" t="s">
        <v>33</v>
      </c>
      <c r="J1671">
        <v>4</v>
      </c>
      <c r="K1671">
        <v>6</v>
      </c>
      <c r="L1671">
        <v>5</v>
      </c>
      <c r="M1671">
        <v>2</v>
      </c>
      <c r="N1671">
        <v>7</v>
      </c>
      <c r="O1671">
        <v>0</v>
      </c>
      <c r="P1671">
        <v>0</v>
      </c>
      <c r="Q1671">
        <v>0</v>
      </c>
      <c r="R1671">
        <v>1</v>
      </c>
      <c r="S1671">
        <v>85</v>
      </c>
      <c r="T1671">
        <v>73</v>
      </c>
      <c r="U1671" s="5">
        <f>IF(Merge1[[#This Row],[team_defense_snaps]]=0, "", Merge1[[#This Row],[defense_snaps]] / Merge1[[#This Row],[team_defense_snaps]])</f>
        <v>0.97333333333333338</v>
      </c>
      <c r="V1671">
        <v>75</v>
      </c>
      <c r="W1671">
        <v>12</v>
      </c>
      <c r="X1671" s="5" t="s">
        <v>260</v>
      </c>
      <c r="Y1671">
        <v>7</v>
      </c>
      <c r="Z1671">
        <v>0</v>
      </c>
      <c r="AA1671" t="s">
        <v>25</v>
      </c>
      <c r="AB1671" t="s">
        <v>26</v>
      </c>
      <c r="AC1671" t="s">
        <v>27</v>
      </c>
      <c r="AD1671" t="s">
        <v>42</v>
      </c>
      <c r="AE1671" t="s">
        <v>25</v>
      </c>
      <c r="AF16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0.13529411764705881</v>
      </c>
      <c r="AG1671" t="s">
        <v>942</v>
      </c>
      <c r="AH1671">
        <v>48.5</v>
      </c>
      <c r="AI1671" t="s">
        <v>939</v>
      </c>
      <c r="AJ1671">
        <v>5</v>
      </c>
      <c r="AK16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MIN(AJ1671/8, 1) +
  Merge1[[#This Row],[index_defensive_effort]],
  2
)</f>
        <v>1.26</v>
      </c>
    </row>
    <row r="1672" spans="1:37" x14ac:dyDescent="0.25">
      <c r="A1672" t="s">
        <v>523</v>
      </c>
      <c r="B1672" t="s">
        <v>524</v>
      </c>
      <c r="C1672">
        <v>29</v>
      </c>
      <c r="D1672" t="s">
        <v>22</v>
      </c>
      <c r="E1672">
        <v>72</v>
      </c>
      <c r="F1672">
        <v>191</v>
      </c>
      <c r="G1672" t="s">
        <v>339</v>
      </c>
      <c r="H1672">
        <v>2020</v>
      </c>
      <c r="I1672" t="s">
        <v>33</v>
      </c>
      <c r="J1672">
        <v>5</v>
      </c>
      <c r="K1672">
        <v>5</v>
      </c>
      <c r="L1672">
        <v>2</v>
      </c>
      <c r="M1672">
        <v>1</v>
      </c>
      <c r="N1672">
        <v>3</v>
      </c>
      <c r="O1672">
        <v>0</v>
      </c>
      <c r="P1672">
        <v>0</v>
      </c>
      <c r="Q1672">
        <v>0</v>
      </c>
      <c r="R1672">
        <v>0</v>
      </c>
      <c r="S1672">
        <v>78</v>
      </c>
      <c r="T1672">
        <v>66</v>
      </c>
      <c r="U1672" s="5">
        <f>IF(Merge1[[#This Row],[team_defense_snaps]]=0, "", Merge1[[#This Row],[defense_snaps]] / Merge1[[#This Row],[team_defense_snaps]])</f>
        <v>0.9850746268656716</v>
      </c>
      <c r="V1672">
        <v>67</v>
      </c>
      <c r="W1672">
        <v>12</v>
      </c>
      <c r="X1672" s="5" t="s">
        <v>275</v>
      </c>
      <c r="Y1672">
        <v>7</v>
      </c>
      <c r="Z1672">
        <v>0</v>
      </c>
      <c r="AA1672" t="s">
        <v>25</v>
      </c>
      <c r="AB1672" t="s">
        <v>26</v>
      </c>
      <c r="AC1672" t="s">
        <v>27</v>
      </c>
      <c r="AD1672" t="s">
        <v>42</v>
      </c>
      <c r="AE1672" t="s">
        <v>25</v>
      </c>
      <c r="AF16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1672" t="s">
        <v>942</v>
      </c>
      <c r="AH1672">
        <v>56</v>
      </c>
      <c r="AI1672" t="s">
        <v>939</v>
      </c>
      <c r="AJ1672">
        <v>6</v>
      </c>
      <c r="AK16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MIN(AJ1672/8, 1) +
  Merge1[[#This Row],[index_defensive_effort]],
  2
)</f>
        <v>1.33</v>
      </c>
    </row>
    <row r="1673" spans="1:37" x14ac:dyDescent="0.25">
      <c r="A1673" t="s">
        <v>523</v>
      </c>
      <c r="B1673" t="s">
        <v>524</v>
      </c>
      <c r="C1673">
        <v>29</v>
      </c>
      <c r="D1673" t="s">
        <v>22</v>
      </c>
      <c r="E1673">
        <v>72</v>
      </c>
      <c r="F1673">
        <v>191</v>
      </c>
      <c r="G1673" t="s">
        <v>339</v>
      </c>
      <c r="H1673">
        <v>2020</v>
      </c>
      <c r="I1673" t="s">
        <v>33</v>
      </c>
      <c r="J1673">
        <v>6</v>
      </c>
      <c r="K1673">
        <v>8</v>
      </c>
      <c r="L1673">
        <v>3</v>
      </c>
      <c r="M1673">
        <v>3</v>
      </c>
      <c r="N1673">
        <v>6</v>
      </c>
      <c r="O1673">
        <v>0</v>
      </c>
      <c r="P1673">
        <v>0</v>
      </c>
      <c r="Q1673">
        <v>0</v>
      </c>
      <c r="R1673">
        <v>0</v>
      </c>
      <c r="S1673">
        <v>82</v>
      </c>
      <c r="T1673">
        <v>73</v>
      </c>
      <c r="U1673" s="5">
        <f>IF(Merge1[[#This Row],[team_defense_snaps]]=0, "", Merge1[[#This Row],[defense_snaps]] / Merge1[[#This Row],[team_defense_snaps]])</f>
        <v>0.97333333333333338</v>
      </c>
      <c r="V1673">
        <v>75</v>
      </c>
      <c r="W1673">
        <v>9</v>
      </c>
      <c r="X1673" s="5" t="s">
        <v>134</v>
      </c>
      <c r="Y1673">
        <v>7</v>
      </c>
      <c r="Z1673">
        <v>0</v>
      </c>
      <c r="AA1673" t="s">
        <v>25</v>
      </c>
      <c r="AB1673" t="s">
        <v>26</v>
      </c>
      <c r="AC1673" t="s">
        <v>27</v>
      </c>
      <c r="AD1673" t="s">
        <v>42</v>
      </c>
      <c r="AE1673" t="s">
        <v>25</v>
      </c>
      <c r="AF16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0.13414634146341464</v>
      </c>
      <c r="AG1673" t="s">
        <v>942</v>
      </c>
      <c r="AH1673">
        <v>57.5</v>
      </c>
      <c r="AI1673" t="s">
        <v>939</v>
      </c>
      <c r="AJ1673">
        <v>7</v>
      </c>
      <c r="AK16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MIN(AJ1673/8, 1) +
  Merge1[[#This Row],[index_defensive_effort]],
  2
)</f>
        <v>1.51</v>
      </c>
    </row>
    <row r="1674" spans="1:37" x14ac:dyDescent="0.25">
      <c r="A1674" t="s">
        <v>523</v>
      </c>
      <c r="B1674" t="s">
        <v>524</v>
      </c>
      <c r="C1674">
        <v>29</v>
      </c>
      <c r="D1674" t="s">
        <v>22</v>
      </c>
      <c r="E1674">
        <v>72</v>
      </c>
      <c r="F1674">
        <v>191</v>
      </c>
      <c r="G1674" t="s">
        <v>339</v>
      </c>
      <c r="H1674">
        <v>2020</v>
      </c>
      <c r="I1674" t="s">
        <v>33</v>
      </c>
      <c r="J1674">
        <v>7</v>
      </c>
      <c r="K1674">
        <v>6</v>
      </c>
      <c r="L1674">
        <v>2</v>
      </c>
      <c r="M1674">
        <v>0</v>
      </c>
      <c r="N1674">
        <v>2</v>
      </c>
      <c r="O1674">
        <v>4</v>
      </c>
      <c r="P1674">
        <v>4</v>
      </c>
      <c r="Q1674">
        <v>0</v>
      </c>
      <c r="R1674">
        <v>0</v>
      </c>
      <c r="S1674">
        <v>65</v>
      </c>
      <c r="T1674">
        <v>57</v>
      </c>
      <c r="U1674" s="5">
        <f>IF(Merge1[[#This Row],[team_defense_snaps]]=0, "", Merge1[[#This Row],[defense_snaps]] / Merge1[[#This Row],[team_defense_snaps]])</f>
        <v>1</v>
      </c>
      <c r="V1674">
        <v>57</v>
      </c>
      <c r="W1674">
        <v>8</v>
      </c>
      <c r="X1674" s="5" t="s">
        <v>70</v>
      </c>
      <c r="Y1674">
        <v>7</v>
      </c>
      <c r="Z1674">
        <v>0</v>
      </c>
      <c r="AA1674" t="s">
        <v>25</v>
      </c>
      <c r="AB1674" t="s">
        <v>26</v>
      </c>
      <c r="AC1674" t="s">
        <v>27</v>
      </c>
      <c r="AD1674" t="s">
        <v>42</v>
      </c>
      <c r="AE1674" t="s">
        <v>25</v>
      </c>
      <c r="AF16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0.41538461538461541</v>
      </c>
      <c r="AG1674" t="s">
        <v>942</v>
      </c>
      <c r="AH1674">
        <v>51.5</v>
      </c>
      <c r="AI1674" t="s">
        <v>939</v>
      </c>
      <c r="AJ1674">
        <v>8</v>
      </c>
      <c r="AK16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MIN(AJ1674/8, 1) +
  Merge1[[#This Row],[index_defensive_effort]],
  2
)</f>
        <v>1.92</v>
      </c>
    </row>
    <row r="1675" spans="1:37" x14ac:dyDescent="0.25">
      <c r="A1675" t="s">
        <v>523</v>
      </c>
      <c r="B1675" t="s">
        <v>524</v>
      </c>
      <c r="C1675">
        <v>29</v>
      </c>
      <c r="D1675" t="s">
        <v>22</v>
      </c>
      <c r="E1675">
        <v>72</v>
      </c>
      <c r="F1675">
        <v>191</v>
      </c>
      <c r="G1675" t="s">
        <v>339</v>
      </c>
      <c r="H1675">
        <v>2020</v>
      </c>
      <c r="I1675" t="s">
        <v>33</v>
      </c>
      <c r="J1675">
        <v>8</v>
      </c>
      <c r="K1675">
        <v>11</v>
      </c>
      <c r="L1675">
        <v>0</v>
      </c>
      <c r="M1675">
        <v>0</v>
      </c>
      <c r="N1675">
        <v>0</v>
      </c>
      <c r="O1675">
        <v>0</v>
      </c>
      <c r="P1675">
        <v>2</v>
      </c>
      <c r="Q1675">
        <v>0</v>
      </c>
      <c r="R1675">
        <v>0</v>
      </c>
      <c r="S1675">
        <v>74</v>
      </c>
      <c r="T1675">
        <v>65</v>
      </c>
      <c r="U1675" s="5">
        <f>IF(Merge1[[#This Row],[team_defense_snaps]]=0, "", Merge1[[#This Row],[defense_snaps]] / Merge1[[#This Row],[team_defense_snaps]])</f>
        <v>1</v>
      </c>
      <c r="V1675">
        <v>65</v>
      </c>
      <c r="W1675">
        <v>9</v>
      </c>
      <c r="X1675" s="5" t="s">
        <v>158</v>
      </c>
      <c r="Y1675">
        <v>7</v>
      </c>
      <c r="Z1675">
        <v>0</v>
      </c>
      <c r="AA1675" t="s">
        <v>25</v>
      </c>
      <c r="AB1675" t="s">
        <v>26</v>
      </c>
      <c r="AC1675" t="s">
        <v>27</v>
      </c>
      <c r="AD1675" t="s">
        <v>42</v>
      </c>
      <c r="AE1675" t="s">
        <v>25</v>
      </c>
      <c r="AF16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0.20270270270270271</v>
      </c>
      <c r="AG1675" t="s">
        <v>942</v>
      </c>
      <c r="AH1675">
        <v>45.5</v>
      </c>
      <c r="AI1675" t="s">
        <v>939</v>
      </c>
      <c r="AJ1675">
        <v>9</v>
      </c>
      <c r="AK16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MIN(AJ1675/8, 1) +
  Merge1[[#This Row],[index_defensive_effort]],
  2
)</f>
        <v>1.7</v>
      </c>
    </row>
    <row r="1676" spans="1:37" x14ac:dyDescent="0.25">
      <c r="A1676" t="s">
        <v>523</v>
      </c>
      <c r="B1676" t="s">
        <v>524</v>
      </c>
      <c r="C1676">
        <v>29</v>
      </c>
      <c r="D1676" t="s">
        <v>22</v>
      </c>
      <c r="E1676">
        <v>72</v>
      </c>
      <c r="F1676">
        <v>191</v>
      </c>
      <c r="G1676" t="s">
        <v>339</v>
      </c>
      <c r="H1676">
        <v>2020</v>
      </c>
      <c r="I1676" t="s">
        <v>33</v>
      </c>
      <c r="J1676">
        <v>9</v>
      </c>
      <c r="K1676">
        <v>6</v>
      </c>
      <c r="L1676">
        <v>5</v>
      </c>
      <c r="M1676">
        <v>4</v>
      </c>
      <c r="N1676">
        <v>9</v>
      </c>
      <c r="O1676">
        <v>0</v>
      </c>
      <c r="P1676">
        <v>2</v>
      </c>
      <c r="Q1676">
        <v>2</v>
      </c>
      <c r="R1676">
        <v>0</v>
      </c>
      <c r="S1676">
        <v>81</v>
      </c>
      <c r="T1676">
        <v>65</v>
      </c>
      <c r="U1676" s="5">
        <f>IF(Merge1[[#This Row],[team_defense_snaps]]=0, "", Merge1[[#This Row],[defense_snaps]] / Merge1[[#This Row],[team_defense_snaps]])</f>
        <v>0.97014925373134331</v>
      </c>
      <c r="V1676">
        <v>67</v>
      </c>
      <c r="W1676">
        <v>16</v>
      </c>
      <c r="X1676" s="5" t="s">
        <v>231</v>
      </c>
      <c r="Y1676">
        <v>7</v>
      </c>
      <c r="Z1676">
        <v>0</v>
      </c>
      <c r="AA1676" t="s">
        <v>25</v>
      </c>
      <c r="AB1676" t="s">
        <v>26</v>
      </c>
      <c r="AC1676" t="s">
        <v>27</v>
      </c>
      <c r="AD1676" t="s">
        <v>42</v>
      </c>
      <c r="AE1676" t="s">
        <v>25</v>
      </c>
      <c r="AF16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0.27777777777777779</v>
      </c>
      <c r="AG1676" t="s">
        <v>942</v>
      </c>
      <c r="AH1676">
        <v>48</v>
      </c>
      <c r="AI1676" t="s">
        <v>939</v>
      </c>
      <c r="AJ1676">
        <v>10</v>
      </c>
      <c r="AK16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MIN(AJ1676/8, 1) +
  Merge1[[#This Row],[index_defensive_effort]],
  2
)</f>
        <v>1.78</v>
      </c>
    </row>
    <row r="1677" spans="1:37" x14ac:dyDescent="0.25">
      <c r="A1677" t="s">
        <v>523</v>
      </c>
      <c r="B1677" t="s">
        <v>524</v>
      </c>
      <c r="C1677">
        <v>29</v>
      </c>
      <c r="D1677" t="s">
        <v>22</v>
      </c>
      <c r="E1677">
        <v>72</v>
      </c>
      <c r="F1677">
        <v>191</v>
      </c>
      <c r="G1677" t="s">
        <v>339</v>
      </c>
      <c r="H1677">
        <v>2020</v>
      </c>
      <c r="I1677" t="s">
        <v>33</v>
      </c>
      <c r="J1677">
        <v>10</v>
      </c>
      <c r="K1677">
        <v>5</v>
      </c>
      <c r="L1677">
        <v>1</v>
      </c>
      <c r="M1677">
        <v>1</v>
      </c>
      <c r="N1677">
        <v>2</v>
      </c>
      <c r="O1677">
        <v>0</v>
      </c>
      <c r="P1677">
        <v>0</v>
      </c>
      <c r="Q1677">
        <v>2</v>
      </c>
      <c r="R1677">
        <v>0</v>
      </c>
      <c r="S1677">
        <v>85</v>
      </c>
      <c r="T1677">
        <v>73</v>
      </c>
      <c r="U1677" s="5">
        <f>IF(Merge1[[#This Row],[team_defense_snaps]]=0, "", Merge1[[#This Row],[defense_snaps]] / Merge1[[#This Row],[team_defense_snaps]])</f>
        <v>0.97333333333333338</v>
      </c>
      <c r="V1677">
        <v>75</v>
      </c>
      <c r="W1677">
        <v>12</v>
      </c>
      <c r="X1677" s="5" t="s">
        <v>134</v>
      </c>
      <c r="Y1677">
        <v>7</v>
      </c>
      <c r="Z1677">
        <v>0</v>
      </c>
      <c r="AA1677" t="s">
        <v>25</v>
      </c>
      <c r="AB1677" t="s">
        <v>26</v>
      </c>
      <c r="AC1677" t="s">
        <v>27</v>
      </c>
      <c r="AD1677" t="s">
        <v>42</v>
      </c>
      <c r="AE1677" t="s">
        <v>25</v>
      </c>
      <c r="AF16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0.16470588235294117</v>
      </c>
      <c r="AG1677" t="s">
        <v>942</v>
      </c>
      <c r="AH1677">
        <v>59</v>
      </c>
      <c r="AI1677" t="s">
        <v>939</v>
      </c>
      <c r="AJ1677">
        <v>1</v>
      </c>
      <c r="AK16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MIN(AJ1677/8, 1) +
  Merge1[[#This Row],[index_defensive_effort]],
  2
)</f>
        <v>0.79</v>
      </c>
    </row>
    <row r="1678" spans="1:37" x14ac:dyDescent="0.25">
      <c r="A1678" t="s">
        <v>523</v>
      </c>
      <c r="B1678" t="s">
        <v>524</v>
      </c>
      <c r="C1678">
        <v>29</v>
      </c>
      <c r="D1678" t="s">
        <v>22</v>
      </c>
      <c r="E1678">
        <v>72</v>
      </c>
      <c r="F1678">
        <v>191</v>
      </c>
      <c r="G1678" t="s">
        <v>339</v>
      </c>
      <c r="H1678">
        <v>2020</v>
      </c>
      <c r="I1678" t="s">
        <v>33</v>
      </c>
      <c r="J1678">
        <v>12</v>
      </c>
      <c r="K1678">
        <v>5</v>
      </c>
      <c r="L1678">
        <v>4</v>
      </c>
      <c r="M1678">
        <v>3</v>
      </c>
      <c r="N1678">
        <v>7</v>
      </c>
      <c r="O1678">
        <v>0</v>
      </c>
      <c r="P1678">
        <v>1</v>
      </c>
      <c r="Q1678">
        <v>0</v>
      </c>
      <c r="R1678">
        <v>0</v>
      </c>
      <c r="S1678">
        <v>93</v>
      </c>
      <c r="T1678">
        <v>83</v>
      </c>
      <c r="U1678" s="5">
        <f>IF(Merge1[[#This Row],[team_defense_snaps]]=0, "", Merge1[[#This Row],[defense_snaps]] / Merge1[[#This Row],[team_defense_snaps]])</f>
        <v>1</v>
      </c>
      <c r="V1678">
        <v>83</v>
      </c>
      <c r="W1678">
        <v>10</v>
      </c>
      <c r="X1678" s="5" t="s">
        <v>60</v>
      </c>
      <c r="Y1678">
        <v>7</v>
      </c>
      <c r="Z1678">
        <v>0</v>
      </c>
      <c r="AA1678" t="s">
        <v>25</v>
      </c>
      <c r="AB1678" t="s">
        <v>26</v>
      </c>
      <c r="AC1678" t="s">
        <v>27</v>
      </c>
      <c r="AD1678" t="s">
        <v>42</v>
      </c>
      <c r="AE1678" t="s">
        <v>25</v>
      </c>
      <c r="AF16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0.11290322580645161</v>
      </c>
      <c r="AG1678" t="s">
        <v>942</v>
      </c>
      <c r="AH1678">
        <v>50</v>
      </c>
      <c r="AI1678" t="s">
        <v>939</v>
      </c>
      <c r="AJ1678">
        <v>2</v>
      </c>
      <c r="AK16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MIN(AJ1678/8, 1) +
  Merge1[[#This Row],[index_defensive_effort]],
  2
)</f>
        <v>0.86</v>
      </c>
    </row>
    <row r="1679" spans="1:37" x14ac:dyDescent="0.25">
      <c r="A1679" t="s">
        <v>523</v>
      </c>
      <c r="B1679" t="s">
        <v>524</v>
      </c>
      <c r="C1679">
        <v>29</v>
      </c>
      <c r="D1679" t="s">
        <v>22</v>
      </c>
      <c r="E1679">
        <v>72</v>
      </c>
      <c r="F1679">
        <v>191</v>
      </c>
      <c r="G1679" t="s">
        <v>339</v>
      </c>
      <c r="H1679">
        <v>2020</v>
      </c>
      <c r="I1679" t="s">
        <v>33</v>
      </c>
      <c r="J1679">
        <v>13</v>
      </c>
      <c r="K1679">
        <v>3</v>
      </c>
      <c r="L1679">
        <v>4</v>
      </c>
      <c r="M1679">
        <v>3</v>
      </c>
      <c r="N1679">
        <v>7</v>
      </c>
      <c r="O1679">
        <v>0</v>
      </c>
      <c r="P1679">
        <v>0</v>
      </c>
      <c r="Q1679">
        <v>0</v>
      </c>
      <c r="R1679">
        <v>0</v>
      </c>
      <c r="S1679">
        <v>71</v>
      </c>
      <c r="T1679">
        <v>60</v>
      </c>
      <c r="U1679" s="5">
        <f>IF(Merge1[[#This Row],[team_defense_snaps]]=0, "", Merge1[[#This Row],[defense_snaps]] / Merge1[[#This Row],[team_defense_snaps]])</f>
        <v>0.98360655737704916</v>
      </c>
      <c r="V1679">
        <v>61</v>
      </c>
      <c r="W1679">
        <v>11</v>
      </c>
      <c r="X1679" s="5" t="s">
        <v>260</v>
      </c>
      <c r="Y1679">
        <v>7</v>
      </c>
      <c r="Z1679">
        <v>0</v>
      </c>
      <c r="AA1679" t="s">
        <v>25</v>
      </c>
      <c r="AB1679" t="s">
        <v>26</v>
      </c>
      <c r="AC1679" t="s">
        <v>27</v>
      </c>
      <c r="AD1679" t="s">
        <v>42</v>
      </c>
      <c r="AE1679" t="s">
        <v>25</v>
      </c>
      <c r="AF16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9.154929577464789E-2</v>
      </c>
      <c r="AG1679" t="s">
        <v>942</v>
      </c>
      <c r="AH1679">
        <v>63.5</v>
      </c>
      <c r="AI1679" t="s">
        <v>939</v>
      </c>
      <c r="AJ1679">
        <v>3</v>
      </c>
      <c r="AK16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MIN(AJ1679/8, 1) +
  Merge1[[#This Row],[index_defensive_effort]],
  2
)</f>
        <v>0.97</v>
      </c>
    </row>
    <row r="1680" spans="1:37" x14ac:dyDescent="0.25">
      <c r="A1680" t="s">
        <v>523</v>
      </c>
      <c r="B1680" t="s">
        <v>524</v>
      </c>
      <c r="C1680">
        <v>29</v>
      </c>
      <c r="D1680" t="s">
        <v>22</v>
      </c>
      <c r="E1680">
        <v>72</v>
      </c>
      <c r="F1680">
        <v>191</v>
      </c>
      <c r="G1680" t="s">
        <v>339</v>
      </c>
      <c r="H1680">
        <v>2020</v>
      </c>
      <c r="I1680" t="s">
        <v>33</v>
      </c>
      <c r="J1680">
        <v>14</v>
      </c>
      <c r="K1680">
        <v>3</v>
      </c>
      <c r="L1680">
        <v>5</v>
      </c>
      <c r="M1680">
        <v>1</v>
      </c>
      <c r="N1680">
        <v>6</v>
      </c>
      <c r="O1680">
        <v>0</v>
      </c>
      <c r="P1680">
        <v>0</v>
      </c>
      <c r="Q1680">
        <v>0</v>
      </c>
      <c r="R1680">
        <v>2</v>
      </c>
      <c r="S1680">
        <v>65</v>
      </c>
      <c r="T1680">
        <v>57</v>
      </c>
      <c r="U1680" s="5">
        <f>IF(Merge1[[#This Row],[team_defense_snaps]]=0, "", Merge1[[#This Row],[defense_snaps]] / Merge1[[#This Row],[team_defense_snaps]])</f>
        <v>1</v>
      </c>
      <c r="V1680">
        <v>57</v>
      </c>
      <c r="W1680">
        <v>8</v>
      </c>
      <c r="X1680" s="5" t="s">
        <v>113</v>
      </c>
      <c r="Y1680">
        <v>7</v>
      </c>
      <c r="Z1680">
        <v>0</v>
      </c>
      <c r="AA1680" t="s">
        <v>25</v>
      </c>
      <c r="AB1680" t="s">
        <v>26</v>
      </c>
      <c r="AC1680" t="s">
        <v>27</v>
      </c>
      <c r="AD1680" t="s">
        <v>42</v>
      </c>
      <c r="AE1680" t="s">
        <v>25</v>
      </c>
      <c r="AF16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0.15384615384615385</v>
      </c>
      <c r="AG1680" t="s">
        <v>942</v>
      </c>
      <c r="AH1680">
        <v>62</v>
      </c>
      <c r="AI1680" t="s">
        <v>939</v>
      </c>
      <c r="AJ1680">
        <v>4</v>
      </c>
      <c r="AK16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MIN(AJ1680/8, 1) +
  Merge1[[#This Row],[index_defensive_effort]],
  2
)</f>
        <v>1.1499999999999999</v>
      </c>
    </row>
    <row r="1681" spans="1:37" x14ac:dyDescent="0.25">
      <c r="A1681" t="s">
        <v>523</v>
      </c>
      <c r="B1681" t="s">
        <v>524</v>
      </c>
      <c r="C1681">
        <v>29</v>
      </c>
      <c r="D1681" t="s">
        <v>22</v>
      </c>
      <c r="E1681">
        <v>72</v>
      </c>
      <c r="F1681">
        <v>191</v>
      </c>
      <c r="G1681" t="s">
        <v>339</v>
      </c>
      <c r="H1681">
        <v>2020</v>
      </c>
      <c r="I1681" t="s">
        <v>33</v>
      </c>
      <c r="J1681">
        <v>15</v>
      </c>
      <c r="K1681">
        <v>4</v>
      </c>
      <c r="L1681">
        <v>4</v>
      </c>
      <c r="M1681">
        <v>0</v>
      </c>
      <c r="N1681">
        <v>4</v>
      </c>
      <c r="O1681">
        <v>0</v>
      </c>
      <c r="P1681">
        <v>0</v>
      </c>
      <c r="Q1681">
        <v>0</v>
      </c>
      <c r="R1681">
        <v>0</v>
      </c>
      <c r="S1681">
        <v>73</v>
      </c>
      <c r="T1681">
        <v>60</v>
      </c>
      <c r="U1681" s="5">
        <f>IF(Merge1[[#This Row],[team_defense_snaps]]=0, "", Merge1[[#This Row],[defense_snaps]] / Merge1[[#This Row],[team_defense_snaps]])</f>
        <v>0.92307692307692313</v>
      </c>
      <c r="V1681">
        <v>65</v>
      </c>
      <c r="W1681">
        <v>13</v>
      </c>
      <c r="X1681" s="5" t="s">
        <v>210</v>
      </c>
      <c r="Y1681">
        <v>7</v>
      </c>
      <c r="Z1681">
        <v>0</v>
      </c>
      <c r="AA1681" t="s">
        <v>25</v>
      </c>
      <c r="AB1681" t="s">
        <v>26</v>
      </c>
      <c r="AC1681" t="s">
        <v>27</v>
      </c>
      <c r="AD1681" t="s">
        <v>42</v>
      </c>
      <c r="AE1681" t="s">
        <v>25</v>
      </c>
      <c r="AF16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8.2191780821917804E-2</v>
      </c>
      <c r="AG1681" t="s">
        <v>942</v>
      </c>
      <c r="AH1681">
        <v>60.5</v>
      </c>
      <c r="AI1681" t="s">
        <v>939</v>
      </c>
      <c r="AJ1681">
        <v>5</v>
      </c>
      <c r="AK16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MIN(AJ1681/8, 1) +
  Merge1[[#This Row],[index_defensive_effort]],
  2
)</f>
        <v>1.21</v>
      </c>
    </row>
    <row r="1682" spans="1:37" x14ac:dyDescent="0.25">
      <c r="A1682" t="s">
        <v>523</v>
      </c>
      <c r="B1682" t="s">
        <v>524</v>
      </c>
      <c r="C1682">
        <v>29</v>
      </c>
      <c r="D1682" t="s">
        <v>22</v>
      </c>
      <c r="E1682">
        <v>72</v>
      </c>
      <c r="F1682">
        <v>191</v>
      </c>
      <c r="G1682" t="s">
        <v>339</v>
      </c>
      <c r="H1682">
        <v>2020</v>
      </c>
      <c r="I1682" t="s">
        <v>33</v>
      </c>
      <c r="J1682">
        <v>16</v>
      </c>
      <c r="K1682">
        <v>4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46</v>
      </c>
      <c r="T1682">
        <v>37</v>
      </c>
      <c r="U1682" s="5">
        <f>IF(Merge1[[#This Row],[team_defense_snaps]]=0, "", Merge1[[#This Row],[defense_snaps]] / Merge1[[#This Row],[team_defense_snaps]])</f>
        <v>0.74</v>
      </c>
      <c r="V1682">
        <v>50</v>
      </c>
      <c r="W1682">
        <v>9</v>
      </c>
      <c r="X1682" s="5" t="s">
        <v>108</v>
      </c>
      <c r="Y1682">
        <v>7</v>
      </c>
      <c r="Z1682">
        <v>0</v>
      </c>
      <c r="AA1682" t="s">
        <v>25</v>
      </c>
      <c r="AB1682" t="s">
        <v>26</v>
      </c>
      <c r="AC1682" t="s">
        <v>27</v>
      </c>
      <c r="AD1682" t="s">
        <v>42</v>
      </c>
      <c r="AE1682" t="s">
        <v>25</v>
      </c>
      <c r="AF16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8.6956521739130432E-2</v>
      </c>
      <c r="AG1682" t="s">
        <v>942</v>
      </c>
      <c r="AH1682">
        <v>68</v>
      </c>
      <c r="AI1682" t="s">
        <v>939</v>
      </c>
      <c r="AJ1682">
        <v>6</v>
      </c>
      <c r="AK16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MIN(AJ1682/8, 1) +
  Merge1[[#This Row],[index_defensive_effort]],
  2
)</f>
        <v>1.34</v>
      </c>
    </row>
    <row r="1683" spans="1:37" x14ac:dyDescent="0.25">
      <c r="A1683" t="s">
        <v>523</v>
      </c>
      <c r="B1683" t="s">
        <v>524</v>
      </c>
      <c r="C1683">
        <v>29</v>
      </c>
      <c r="D1683" t="s">
        <v>22</v>
      </c>
      <c r="E1683">
        <v>72</v>
      </c>
      <c r="F1683">
        <v>191</v>
      </c>
      <c r="G1683" t="s">
        <v>339</v>
      </c>
      <c r="H1683">
        <v>2020</v>
      </c>
      <c r="I1683" t="s">
        <v>33</v>
      </c>
      <c r="J1683">
        <v>17</v>
      </c>
      <c r="K1683">
        <v>1</v>
      </c>
      <c r="L1683">
        <v>1</v>
      </c>
      <c r="M1683">
        <v>1</v>
      </c>
      <c r="N1683">
        <v>2</v>
      </c>
      <c r="O1683">
        <v>0</v>
      </c>
      <c r="P1683">
        <v>0</v>
      </c>
      <c r="Q1683">
        <v>0</v>
      </c>
      <c r="R1683">
        <v>0</v>
      </c>
      <c r="S1683">
        <v>43</v>
      </c>
      <c r="T1683">
        <v>42</v>
      </c>
      <c r="U1683" s="5">
        <f>IF(Merge1[[#This Row],[team_defense_snaps]]=0, "", Merge1[[#This Row],[defense_snaps]] / Merge1[[#This Row],[team_defense_snaps]])</f>
        <v>0.5</v>
      </c>
      <c r="V1683">
        <v>84</v>
      </c>
      <c r="W1683">
        <v>1</v>
      </c>
      <c r="X1683" s="5" t="s">
        <v>303</v>
      </c>
      <c r="Y1683">
        <v>7</v>
      </c>
      <c r="Z1683">
        <v>0</v>
      </c>
      <c r="AA1683" t="s">
        <v>25</v>
      </c>
      <c r="AB1683" t="s">
        <v>26</v>
      </c>
      <c r="AC1683" t="s">
        <v>27</v>
      </c>
      <c r="AD1683" t="s">
        <v>42</v>
      </c>
      <c r="AE1683" t="s">
        <v>25</v>
      </c>
      <c r="AF16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4.6511627906976744E-2</v>
      </c>
      <c r="AG1683" t="s">
        <v>942</v>
      </c>
      <c r="AH1683">
        <v>65</v>
      </c>
      <c r="AI1683" t="s">
        <v>939</v>
      </c>
      <c r="AJ1683">
        <v>7</v>
      </c>
      <c r="AK16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MIN(AJ1683/8, 1) +
  Merge1[[#This Row],[index_defensive_effort]],
  2
)</f>
        <v>1.42</v>
      </c>
    </row>
    <row r="1684" spans="1:37" x14ac:dyDescent="0.25">
      <c r="A1684" t="s">
        <v>523</v>
      </c>
      <c r="B1684" t="s">
        <v>524</v>
      </c>
      <c r="C1684">
        <v>29</v>
      </c>
      <c r="D1684" t="s">
        <v>22</v>
      </c>
      <c r="E1684">
        <v>72</v>
      </c>
      <c r="F1684">
        <v>191</v>
      </c>
      <c r="G1684" t="s">
        <v>339</v>
      </c>
      <c r="H1684">
        <v>2020</v>
      </c>
      <c r="I1684" t="s">
        <v>24</v>
      </c>
      <c r="J1684">
        <v>18</v>
      </c>
      <c r="K1684">
        <v>8</v>
      </c>
      <c r="L1684">
        <v>2</v>
      </c>
      <c r="M1684">
        <v>2</v>
      </c>
      <c r="N1684">
        <v>4</v>
      </c>
      <c r="O1684">
        <v>0</v>
      </c>
      <c r="P1684">
        <v>0</v>
      </c>
      <c r="Q1684">
        <v>0</v>
      </c>
      <c r="R1684">
        <v>0</v>
      </c>
      <c r="S1684">
        <v>90</v>
      </c>
      <c r="T1684">
        <v>79</v>
      </c>
      <c r="U1684" s="5">
        <f>IF(Merge1[[#This Row],[team_defense_snaps]]=0, "", Merge1[[#This Row],[defense_snaps]] / Merge1[[#This Row],[team_defense_snaps]])</f>
        <v>1</v>
      </c>
      <c r="V1684">
        <v>79</v>
      </c>
      <c r="W1684">
        <v>11</v>
      </c>
      <c r="X1684" s="5" t="s">
        <v>131</v>
      </c>
      <c r="Y1684">
        <v>7</v>
      </c>
      <c r="Z1684">
        <v>0</v>
      </c>
      <c r="AA1684" t="s">
        <v>25</v>
      </c>
      <c r="AB1684" t="s">
        <v>26</v>
      </c>
      <c r="AC1684" t="s">
        <v>27</v>
      </c>
      <c r="AD1684" t="s">
        <v>42</v>
      </c>
      <c r="AE1684" t="s">
        <v>25</v>
      </c>
      <c r="AF16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0.1111111111111111</v>
      </c>
      <c r="AG1684" t="s">
        <v>942</v>
      </c>
      <c r="AH1684">
        <v>48</v>
      </c>
      <c r="AI1684" t="s">
        <v>939</v>
      </c>
      <c r="AJ1684">
        <v>8</v>
      </c>
      <c r="AK16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MIN(AJ1684/8, 1) +
  Merge1[[#This Row],[index_defensive_effort]],
  2
)</f>
        <v>1.81</v>
      </c>
    </row>
    <row r="1685" spans="1:37" x14ac:dyDescent="0.25">
      <c r="A1685" t="s">
        <v>523</v>
      </c>
      <c r="B1685" t="s">
        <v>524</v>
      </c>
      <c r="C1685">
        <v>29</v>
      </c>
      <c r="D1685" t="s">
        <v>22</v>
      </c>
      <c r="E1685">
        <v>72</v>
      </c>
      <c r="F1685">
        <v>191</v>
      </c>
      <c r="G1685" t="s">
        <v>339</v>
      </c>
      <c r="H1685">
        <v>2020</v>
      </c>
      <c r="I1685" t="s">
        <v>24</v>
      </c>
      <c r="J1685">
        <v>19</v>
      </c>
      <c r="K1685">
        <v>2</v>
      </c>
      <c r="L1685">
        <v>1</v>
      </c>
      <c r="M1685">
        <v>1</v>
      </c>
      <c r="N1685">
        <v>2</v>
      </c>
      <c r="O1685">
        <v>0</v>
      </c>
      <c r="P1685">
        <v>0</v>
      </c>
      <c r="Q1685">
        <v>0</v>
      </c>
      <c r="R1685">
        <v>0</v>
      </c>
      <c r="S1685">
        <v>82</v>
      </c>
      <c r="T1685">
        <v>76</v>
      </c>
      <c r="U1685" s="5">
        <f>IF(Merge1[[#This Row],[team_defense_snaps]]=0, "", Merge1[[#This Row],[defense_snaps]] / Merge1[[#This Row],[team_defense_snaps]])</f>
        <v>1</v>
      </c>
      <c r="V1685">
        <v>76</v>
      </c>
      <c r="W1685">
        <v>6</v>
      </c>
      <c r="X1685" s="5" t="s">
        <v>135</v>
      </c>
      <c r="Y1685">
        <v>7</v>
      </c>
      <c r="Z1685">
        <v>0</v>
      </c>
      <c r="AA1685" t="s">
        <v>25</v>
      </c>
      <c r="AB1685" t="s">
        <v>26</v>
      </c>
      <c r="AC1685" t="s">
        <v>27</v>
      </c>
      <c r="AD1685" t="s">
        <v>42</v>
      </c>
      <c r="AE1685" t="s">
        <v>25</v>
      </c>
      <c r="AF16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3.6585365853658534E-2</v>
      </c>
      <c r="AG1685" t="s">
        <v>942</v>
      </c>
      <c r="AH1685">
        <v>54.5</v>
      </c>
      <c r="AI1685" t="s">
        <v>939</v>
      </c>
      <c r="AJ1685">
        <v>9</v>
      </c>
      <c r="AK16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MIN(AJ1685/8, 1) +
  Merge1[[#This Row],[index_defensive_effort]],
  2
)</f>
        <v>1.74</v>
      </c>
    </row>
    <row r="1686" spans="1:37" x14ac:dyDescent="0.25">
      <c r="A1686" t="s">
        <v>523</v>
      </c>
      <c r="B1686" t="s">
        <v>524</v>
      </c>
      <c r="C1686">
        <v>29</v>
      </c>
      <c r="D1686" t="s">
        <v>22</v>
      </c>
      <c r="E1686">
        <v>72</v>
      </c>
      <c r="F1686">
        <v>191</v>
      </c>
      <c r="G1686" t="s">
        <v>339</v>
      </c>
      <c r="H1686">
        <v>2020</v>
      </c>
      <c r="I1686" t="s">
        <v>24</v>
      </c>
      <c r="J1686">
        <v>20</v>
      </c>
      <c r="K1686">
        <v>6</v>
      </c>
      <c r="L1686">
        <v>2</v>
      </c>
      <c r="M1686">
        <v>1</v>
      </c>
      <c r="N1686">
        <v>3</v>
      </c>
      <c r="O1686">
        <v>0</v>
      </c>
      <c r="P1686">
        <v>1</v>
      </c>
      <c r="Q1686">
        <v>0</v>
      </c>
      <c r="R1686">
        <v>0</v>
      </c>
      <c r="S1686">
        <v>77</v>
      </c>
      <c r="T1686">
        <v>64</v>
      </c>
      <c r="U1686" s="5">
        <f>IF(Merge1[[#This Row],[team_defense_snaps]]=0, "", Merge1[[#This Row],[defense_snaps]] / Merge1[[#This Row],[team_defense_snaps]])</f>
        <v>0.98461538461538467</v>
      </c>
      <c r="V1686">
        <v>65</v>
      </c>
      <c r="W1686">
        <v>13</v>
      </c>
      <c r="X1686" s="5" t="s">
        <v>238</v>
      </c>
      <c r="Y1686">
        <v>7</v>
      </c>
      <c r="Z1686">
        <v>0</v>
      </c>
      <c r="AA1686" t="s">
        <v>25</v>
      </c>
      <c r="AB1686" t="s">
        <v>26</v>
      </c>
      <c r="AC1686" t="s">
        <v>27</v>
      </c>
      <c r="AD1686" t="s">
        <v>42</v>
      </c>
      <c r="AE1686" t="s">
        <v>25</v>
      </c>
      <c r="AF16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0.12337662337662338</v>
      </c>
      <c r="AG1686" t="s">
        <v>942</v>
      </c>
      <c r="AH1686">
        <v>66.5</v>
      </c>
      <c r="AI1686" t="s">
        <v>939</v>
      </c>
      <c r="AJ1686">
        <v>1</v>
      </c>
      <c r="AK16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MIN(AJ1686/8, 1) +
  Merge1[[#This Row],[index_defensive_effort]],
  2
)</f>
        <v>0.95</v>
      </c>
    </row>
    <row r="1687" spans="1:37" x14ac:dyDescent="0.25">
      <c r="A1687" t="s">
        <v>556</v>
      </c>
      <c r="B1687" t="s">
        <v>557</v>
      </c>
      <c r="C1687">
        <v>23</v>
      </c>
      <c r="D1687" t="s">
        <v>22</v>
      </c>
      <c r="E1687">
        <v>70</v>
      </c>
      <c r="F1687">
        <v>198</v>
      </c>
      <c r="G1687" t="s">
        <v>23</v>
      </c>
      <c r="H1687">
        <v>2020</v>
      </c>
      <c r="I1687" t="s">
        <v>33</v>
      </c>
      <c r="J1687">
        <v>1</v>
      </c>
      <c r="K1687">
        <v>3</v>
      </c>
      <c r="L1687">
        <v>4</v>
      </c>
      <c r="M1687">
        <v>2</v>
      </c>
      <c r="N1687">
        <v>6</v>
      </c>
      <c r="O1687">
        <v>0</v>
      </c>
      <c r="P1687">
        <v>0</v>
      </c>
      <c r="Q1687">
        <v>0</v>
      </c>
      <c r="R1687">
        <v>0</v>
      </c>
      <c r="S1687">
        <v>73</v>
      </c>
      <c r="T1687">
        <v>62</v>
      </c>
      <c r="U1687" s="5">
        <f>IF(Merge1[[#This Row],[team_defense_snaps]]=0, "", Merge1[[#This Row],[defense_snaps]] / Merge1[[#This Row],[team_defense_snaps]])</f>
        <v>0.89855072463768115</v>
      </c>
      <c r="V1687">
        <v>69</v>
      </c>
      <c r="W1687">
        <v>11</v>
      </c>
      <c r="X1687" s="5" t="s">
        <v>123</v>
      </c>
      <c r="Y1687">
        <v>2</v>
      </c>
      <c r="Z1687">
        <v>0</v>
      </c>
      <c r="AA1687" t="s">
        <v>25</v>
      </c>
      <c r="AB1687" t="s">
        <v>26</v>
      </c>
      <c r="AC1687" t="s">
        <v>27</v>
      </c>
      <c r="AD1687" t="s">
        <v>42</v>
      </c>
      <c r="AE1687" t="s">
        <v>25</v>
      </c>
      <c r="AF16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8.2191780821917804E-2</v>
      </c>
      <c r="AG1687" t="s">
        <v>941</v>
      </c>
      <c r="AH1687">
        <v>62</v>
      </c>
      <c r="AI1687" t="s">
        <v>939</v>
      </c>
      <c r="AJ1687">
        <v>2</v>
      </c>
      <c r="AK16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MIN(AJ1687/8, 1) +
  Merge1[[#This Row],[index_defensive_effort]],
  2
)</f>
        <v>0.83</v>
      </c>
    </row>
    <row r="1688" spans="1:37" x14ac:dyDescent="0.25">
      <c r="A1688" t="s">
        <v>556</v>
      </c>
      <c r="B1688" t="s">
        <v>557</v>
      </c>
      <c r="C1688">
        <v>23</v>
      </c>
      <c r="D1688" t="s">
        <v>22</v>
      </c>
      <c r="E1688">
        <v>70</v>
      </c>
      <c r="F1688">
        <v>198</v>
      </c>
      <c r="G1688" t="s">
        <v>23</v>
      </c>
      <c r="H1688">
        <v>2020</v>
      </c>
      <c r="I1688" t="s">
        <v>33</v>
      </c>
      <c r="J1688">
        <v>2</v>
      </c>
      <c r="K1688">
        <v>7</v>
      </c>
      <c r="L1688">
        <v>1</v>
      </c>
      <c r="M1688">
        <v>1</v>
      </c>
      <c r="N1688">
        <v>2</v>
      </c>
      <c r="O1688">
        <v>0</v>
      </c>
      <c r="P1688">
        <v>0</v>
      </c>
      <c r="Q1688">
        <v>2</v>
      </c>
      <c r="R1688">
        <v>0</v>
      </c>
      <c r="S1688">
        <v>81</v>
      </c>
      <c r="T1688">
        <v>73</v>
      </c>
      <c r="U1688" s="5">
        <f>IF(Merge1[[#This Row],[team_defense_snaps]]=0, "", Merge1[[#This Row],[defense_snaps]] / Merge1[[#This Row],[team_defense_snaps]])</f>
        <v>1</v>
      </c>
      <c r="V1688">
        <v>73</v>
      </c>
      <c r="W1688">
        <v>8</v>
      </c>
      <c r="X1688" s="5" t="s">
        <v>108</v>
      </c>
      <c r="Y1688">
        <v>2</v>
      </c>
      <c r="Z1688">
        <v>0</v>
      </c>
      <c r="AA1688" t="s">
        <v>25</v>
      </c>
      <c r="AB1688" t="s">
        <v>26</v>
      </c>
      <c r="AC1688" t="s">
        <v>27</v>
      </c>
      <c r="AD1688" t="s">
        <v>42</v>
      </c>
      <c r="AE1688" t="s">
        <v>25</v>
      </c>
      <c r="AF16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0.19753086419753085</v>
      </c>
      <c r="AG1688" t="s">
        <v>941</v>
      </c>
      <c r="AH1688">
        <v>75.5</v>
      </c>
      <c r="AI1688" t="s">
        <v>939</v>
      </c>
      <c r="AJ1688">
        <v>3</v>
      </c>
      <c r="AK16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MIN(AJ1688/8, 1) +
  Merge1[[#This Row],[index_defensive_effort]],
  2
)</f>
        <v>1.07</v>
      </c>
    </row>
    <row r="1689" spans="1:37" x14ac:dyDescent="0.25">
      <c r="A1689" t="s">
        <v>556</v>
      </c>
      <c r="B1689" t="s">
        <v>557</v>
      </c>
      <c r="C1689">
        <v>23</v>
      </c>
      <c r="D1689" t="s">
        <v>22</v>
      </c>
      <c r="E1689">
        <v>70</v>
      </c>
      <c r="F1689">
        <v>198</v>
      </c>
      <c r="G1689" t="s">
        <v>23</v>
      </c>
      <c r="H1689">
        <v>2020</v>
      </c>
      <c r="I1689" t="s">
        <v>33</v>
      </c>
      <c r="J1689">
        <v>3</v>
      </c>
      <c r="K1689">
        <v>7</v>
      </c>
      <c r="L1689">
        <v>2</v>
      </c>
      <c r="M1689">
        <v>0</v>
      </c>
      <c r="N1689">
        <v>2</v>
      </c>
      <c r="O1689">
        <v>4</v>
      </c>
      <c r="P1689">
        <v>5</v>
      </c>
      <c r="Q1689">
        <v>0</v>
      </c>
      <c r="R1689">
        <v>0</v>
      </c>
      <c r="S1689">
        <v>70</v>
      </c>
      <c r="T1689">
        <v>63</v>
      </c>
      <c r="U1689" s="5">
        <f>IF(Merge1[[#This Row],[team_defense_snaps]]=0, "", Merge1[[#This Row],[defense_snaps]] / Merge1[[#This Row],[team_defense_snaps]])</f>
        <v>1</v>
      </c>
      <c r="V1689">
        <v>63</v>
      </c>
      <c r="W1689">
        <v>7</v>
      </c>
      <c r="X1689" s="5" t="s">
        <v>135</v>
      </c>
      <c r="Y1689">
        <v>2</v>
      </c>
      <c r="Z1689">
        <v>0</v>
      </c>
      <c r="AA1689" t="s">
        <v>25</v>
      </c>
      <c r="AB1689" t="s">
        <v>26</v>
      </c>
      <c r="AC1689" t="s">
        <v>27</v>
      </c>
      <c r="AD1689" t="s">
        <v>42</v>
      </c>
      <c r="AE1689" t="s">
        <v>25</v>
      </c>
      <c r="AF16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0.42857142857142855</v>
      </c>
      <c r="AG1689" t="s">
        <v>941</v>
      </c>
      <c r="AH1689">
        <v>78.5</v>
      </c>
      <c r="AI1689" t="s">
        <v>939</v>
      </c>
      <c r="AJ1689">
        <v>4</v>
      </c>
      <c r="AK16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MIN(AJ1689/8, 1) +
  Merge1[[#This Row],[index_defensive_effort]],
  2
)</f>
        <v>1.43</v>
      </c>
    </row>
    <row r="1690" spans="1:37" x14ac:dyDescent="0.25">
      <c r="A1690" t="s">
        <v>556</v>
      </c>
      <c r="B1690" t="s">
        <v>557</v>
      </c>
      <c r="C1690">
        <v>23</v>
      </c>
      <c r="D1690" t="s">
        <v>22</v>
      </c>
      <c r="E1690">
        <v>70</v>
      </c>
      <c r="F1690">
        <v>198</v>
      </c>
      <c r="G1690" t="s">
        <v>23</v>
      </c>
      <c r="H1690">
        <v>2020</v>
      </c>
      <c r="I1690" t="s">
        <v>33</v>
      </c>
      <c r="J1690">
        <v>4</v>
      </c>
      <c r="K1690">
        <v>7</v>
      </c>
      <c r="L1690">
        <v>0</v>
      </c>
      <c r="M1690">
        <v>0</v>
      </c>
      <c r="N1690">
        <v>0</v>
      </c>
      <c r="O1690">
        <v>4</v>
      </c>
      <c r="P1690">
        <v>5</v>
      </c>
      <c r="Q1690">
        <v>0</v>
      </c>
      <c r="R1690">
        <v>0</v>
      </c>
      <c r="S1690">
        <v>60</v>
      </c>
      <c r="T1690">
        <v>53</v>
      </c>
      <c r="U1690" s="5">
        <f>IF(Merge1[[#This Row],[team_defense_snaps]]=0, "", Merge1[[#This Row],[defense_snaps]] / Merge1[[#This Row],[team_defense_snaps]])</f>
        <v>1</v>
      </c>
      <c r="V1690">
        <v>53</v>
      </c>
      <c r="W1690">
        <v>7</v>
      </c>
      <c r="X1690" s="5" t="s">
        <v>139</v>
      </c>
      <c r="Y1690">
        <v>2</v>
      </c>
      <c r="Z1690">
        <v>0</v>
      </c>
      <c r="AA1690" t="s">
        <v>25</v>
      </c>
      <c r="AB1690" t="s">
        <v>26</v>
      </c>
      <c r="AC1690" t="s">
        <v>27</v>
      </c>
      <c r="AD1690" t="s">
        <v>42</v>
      </c>
      <c r="AE1690" t="s">
        <v>25</v>
      </c>
      <c r="AF16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0.48333333333333334</v>
      </c>
      <c r="AG1690" t="s">
        <v>941</v>
      </c>
      <c r="AH1690">
        <v>63.5</v>
      </c>
      <c r="AI1690" t="s">
        <v>939</v>
      </c>
      <c r="AJ1690">
        <v>5</v>
      </c>
      <c r="AK16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MIN(AJ1690/8, 1) +
  Merge1[[#This Row],[index_defensive_effort]],
  2
)</f>
        <v>1.61</v>
      </c>
    </row>
    <row r="1691" spans="1:37" x14ac:dyDescent="0.25">
      <c r="A1691" t="s">
        <v>556</v>
      </c>
      <c r="B1691" t="s">
        <v>557</v>
      </c>
      <c r="C1691">
        <v>23</v>
      </c>
      <c r="D1691" t="s">
        <v>22</v>
      </c>
      <c r="E1691">
        <v>70</v>
      </c>
      <c r="F1691">
        <v>198</v>
      </c>
      <c r="G1691" t="s">
        <v>23</v>
      </c>
      <c r="H1691">
        <v>2020</v>
      </c>
      <c r="I1691" t="s">
        <v>33</v>
      </c>
      <c r="J1691">
        <v>5</v>
      </c>
      <c r="K1691">
        <v>3</v>
      </c>
      <c r="L1691">
        <v>4</v>
      </c>
      <c r="M1691">
        <v>0</v>
      </c>
      <c r="N1691">
        <v>4</v>
      </c>
      <c r="O1691">
        <v>0</v>
      </c>
      <c r="P1691">
        <v>0</v>
      </c>
      <c r="Q1691">
        <v>0</v>
      </c>
      <c r="R1691">
        <v>0</v>
      </c>
      <c r="S1691">
        <v>67</v>
      </c>
      <c r="T1691">
        <v>63</v>
      </c>
      <c r="U1691" s="5">
        <f>IF(Merge1[[#This Row],[team_defense_snaps]]=0, "", Merge1[[#This Row],[defense_snaps]] / Merge1[[#This Row],[team_defense_snaps]])</f>
        <v>1</v>
      </c>
      <c r="V1691">
        <v>63</v>
      </c>
      <c r="W1691">
        <v>4</v>
      </c>
      <c r="X1691" s="5" t="s">
        <v>212</v>
      </c>
      <c r="Y1691">
        <v>2</v>
      </c>
      <c r="Z1691">
        <v>0</v>
      </c>
      <c r="AA1691" t="s">
        <v>25</v>
      </c>
      <c r="AB1691" t="s">
        <v>26</v>
      </c>
      <c r="AC1691" t="s">
        <v>27</v>
      </c>
      <c r="AD1691" t="s">
        <v>42</v>
      </c>
      <c r="AE1691" t="s">
        <v>25</v>
      </c>
      <c r="AF16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7.4626865671641784E-2</v>
      </c>
      <c r="AG1691" t="s">
        <v>941</v>
      </c>
      <c r="AH1691">
        <v>66</v>
      </c>
      <c r="AI1691" t="s">
        <v>939</v>
      </c>
      <c r="AJ1691">
        <v>6</v>
      </c>
      <c r="AK16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MIN(AJ1691/8, 1) +
  Merge1[[#This Row],[index_defensive_effort]],
  2
)</f>
        <v>1.32</v>
      </c>
    </row>
    <row r="1692" spans="1:37" x14ac:dyDescent="0.25">
      <c r="A1692" t="s">
        <v>556</v>
      </c>
      <c r="B1692" t="s">
        <v>557</v>
      </c>
      <c r="C1692">
        <v>23</v>
      </c>
      <c r="D1692" t="s">
        <v>22</v>
      </c>
      <c r="E1692">
        <v>70</v>
      </c>
      <c r="F1692">
        <v>198</v>
      </c>
      <c r="G1692" t="s">
        <v>23</v>
      </c>
      <c r="H1692">
        <v>2020</v>
      </c>
      <c r="I1692" t="s">
        <v>33</v>
      </c>
      <c r="J1692">
        <v>6</v>
      </c>
      <c r="K1692">
        <v>0</v>
      </c>
      <c r="L1692">
        <v>1</v>
      </c>
      <c r="M1692">
        <v>0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62</v>
      </c>
      <c r="T1692">
        <v>60</v>
      </c>
      <c r="U1692" s="5">
        <f>IF(Merge1[[#This Row],[team_defense_snaps]]=0, "", Merge1[[#This Row],[defense_snaps]] / Merge1[[#This Row],[team_defense_snaps]])</f>
        <v>0.95238095238095233</v>
      </c>
      <c r="V1692">
        <v>63</v>
      </c>
      <c r="W1692">
        <v>2</v>
      </c>
      <c r="X1692" s="5" t="s">
        <v>208</v>
      </c>
      <c r="Y1692">
        <v>2</v>
      </c>
      <c r="Z1692">
        <v>0</v>
      </c>
      <c r="AA1692" t="s">
        <v>25</v>
      </c>
      <c r="AB1692" t="s">
        <v>26</v>
      </c>
      <c r="AC1692" t="s">
        <v>27</v>
      </c>
      <c r="AD1692" t="s">
        <v>42</v>
      </c>
      <c r="AE1692" t="s">
        <v>25</v>
      </c>
      <c r="AF16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8.0645161290322578E-3</v>
      </c>
      <c r="AG1692" t="s">
        <v>941</v>
      </c>
      <c r="AH1692">
        <v>71</v>
      </c>
      <c r="AI1692" t="s">
        <v>939</v>
      </c>
      <c r="AJ1692">
        <v>7</v>
      </c>
      <c r="AK16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MIN(AJ1692/8, 1) +
  Merge1[[#This Row],[index_defensive_effort]],
  2
)</f>
        <v>1.38</v>
      </c>
    </row>
    <row r="1693" spans="1:37" x14ac:dyDescent="0.25">
      <c r="A1693" t="s">
        <v>556</v>
      </c>
      <c r="B1693" t="s">
        <v>557</v>
      </c>
      <c r="C1693">
        <v>23</v>
      </c>
      <c r="D1693" t="s">
        <v>22</v>
      </c>
      <c r="E1693">
        <v>70</v>
      </c>
      <c r="F1693">
        <v>198</v>
      </c>
      <c r="G1693" t="s">
        <v>23</v>
      </c>
      <c r="H1693">
        <v>2020</v>
      </c>
      <c r="I1693" t="s">
        <v>33</v>
      </c>
      <c r="J1693">
        <v>7</v>
      </c>
      <c r="K1693">
        <v>3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62</v>
      </c>
      <c r="T1693">
        <v>56</v>
      </c>
      <c r="U1693" s="5">
        <f>IF(Merge1[[#This Row],[team_defense_snaps]]=0, "", Merge1[[#This Row],[defense_snaps]] / Merge1[[#This Row],[team_defense_snaps]])</f>
        <v>0.86153846153846159</v>
      </c>
      <c r="V1693">
        <v>65</v>
      </c>
      <c r="W1693">
        <v>6</v>
      </c>
      <c r="X1693" s="5" t="s">
        <v>59</v>
      </c>
      <c r="Y1693">
        <v>2</v>
      </c>
      <c r="Z1693">
        <v>0</v>
      </c>
      <c r="AA1693" t="s">
        <v>25</v>
      </c>
      <c r="AB1693" t="s">
        <v>26</v>
      </c>
      <c r="AC1693" t="s">
        <v>27</v>
      </c>
      <c r="AD1693" t="s">
        <v>42</v>
      </c>
      <c r="AE1693" t="s">
        <v>25</v>
      </c>
      <c r="AF16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4.8387096774193547E-2</v>
      </c>
      <c r="AG1693" t="s">
        <v>941</v>
      </c>
      <c r="AH1693">
        <v>65</v>
      </c>
      <c r="AI1693" t="s">
        <v>939</v>
      </c>
      <c r="AJ1693">
        <v>8</v>
      </c>
      <c r="AK16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MIN(AJ1693/8, 1) +
  Merge1[[#This Row],[index_defensive_effort]],
  2
)</f>
        <v>1.55</v>
      </c>
    </row>
    <row r="1694" spans="1:37" x14ac:dyDescent="0.25">
      <c r="A1694" t="s">
        <v>556</v>
      </c>
      <c r="B1694" t="s">
        <v>557</v>
      </c>
      <c r="C1694">
        <v>23</v>
      </c>
      <c r="D1694" t="s">
        <v>22</v>
      </c>
      <c r="E1694">
        <v>70</v>
      </c>
      <c r="F1694">
        <v>198</v>
      </c>
      <c r="G1694" t="s">
        <v>23</v>
      </c>
      <c r="H1694">
        <v>2020</v>
      </c>
      <c r="I1694" t="s">
        <v>33</v>
      </c>
      <c r="J1694">
        <v>8</v>
      </c>
      <c r="K1694">
        <v>5</v>
      </c>
      <c r="L1694">
        <v>3</v>
      </c>
      <c r="M1694">
        <v>1</v>
      </c>
      <c r="N1694">
        <v>4</v>
      </c>
      <c r="O1694">
        <v>0</v>
      </c>
      <c r="P1694">
        <v>0</v>
      </c>
      <c r="Q1694">
        <v>0</v>
      </c>
      <c r="R1694">
        <v>0</v>
      </c>
      <c r="S1694">
        <v>59</v>
      </c>
      <c r="T1694">
        <v>55</v>
      </c>
      <c r="U1694" s="5">
        <f>IF(Merge1[[#This Row],[team_defense_snaps]]=0, "", Merge1[[#This Row],[defense_snaps]] / Merge1[[#This Row],[team_defense_snaps]])</f>
        <v>0.73333333333333328</v>
      </c>
      <c r="V1694">
        <v>75</v>
      </c>
      <c r="W1694">
        <v>4</v>
      </c>
      <c r="X1694" s="5" t="s">
        <v>168</v>
      </c>
      <c r="Y1694">
        <v>2</v>
      </c>
      <c r="Z1694">
        <v>0</v>
      </c>
      <c r="AA1694" t="s">
        <v>25</v>
      </c>
      <c r="AB1694" t="s">
        <v>26</v>
      </c>
      <c r="AC1694" t="s">
        <v>27</v>
      </c>
      <c r="AD1694" t="s">
        <v>42</v>
      </c>
      <c r="AE1694" t="s">
        <v>25</v>
      </c>
      <c r="AF16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0.11864406779661017</v>
      </c>
      <c r="AG1694" t="s">
        <v>941</v>
      </c>
      <c r="AH1694">
        <v>83</v>
      </c>
      <c r="AI1694" t="s">
        <v>939</v>
      </c>
      <c r="AJ1694">
        <v>9</v>
      </c>
      <c r="AK16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MIN(AJ1694/8, 1) +
  Merge1[[#This Row],[index_defensive_effort]],
  2
)</f>
        <v>1.62</v>
      </c>
    </row>
    <row r="1695" spans="1:37" x14ac:dyDescent="0.25">
      <c r="A1695" t="s">
        <v>556</v>
      </c>
      <c r="B1695" t="s">
        <v>557</v>
      </c>
      <c r="C1695">
        <v>23</v>
      </c>
      <c r="D1695" t="s">
        <v>22</v>
      </c>
      <c r="E1695">
        <v>70</v>
      </c>
      <c r="F1695">
        <v>198</v>
      </c>
      <c r="G1695" t="s">
        <v>23</v>
      </c>
      <c r="H1695">
        <v>2020</v>
      </c>
      <c r="I1695" t="s">
        <v>33</v>
      </c>
      <c r="J1695">
        <v>9</v>
      </c>
      <c r="K1695">
        <v>5</v>
      </c>
      <c r="L1695">
        <v>5</v>
      </c>
      <c r="M1695">
        <v>2</v>
      </c>
      <c r="N1695">
        <v>7</v>
      </c>
      <c r="O1695">
        <v>0</v>
      </c>
      <c r="P1695">
        <v>0</v>
      </c>
      <c r="Q1695">
        <v>0</v>
      </c>
      <c r="R1695">
        <v>2</v>
      </c>
      <c r="S1695">
        <v>72</v>
      </c>
      <c r="T1695">
        <v>66</v>
      </c>
      <c r="U1695" s="5">
        <f>IF(Merge1[[#This Row],[team_defense_snaps]]=0, "", Merge1[[#This Row],[defense_snaps]] / Merge1[[#This Row],[team_defense_snaps]])</f>
        <v>0.90410958904109584</v>
      </c>
      <c r="V1695">
        <v>73</v>
      </c>
      <c r="W1695">
        <v>6</v>
      </c>
      <c r="X1695" s="5" t="s">
        <v>113</v>
      </c>
      <c r="Y1695">
        <v>2</v>
      </c>
      <c r="Z1695">
        <v>0</v>
      </c>
      <c r="AA1695" t="s">
        <v>25</v>
      </c>
      <c r="AB1695" t="s">
        <v>26</v>
      </c>
      <c r="AC1695" t="s">
        <v>27</v>
      </c>
      <c r="AD1695" t="s">
        <v>42</v>
      </c>
      <c r="AE1695" t="s">
        <v>25</v>
      </c>
      <c r="AF16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0.1736111111111111</v>
      </c>
      <c r="AG1695" t="s">
        <v>941</v>
      </c>
      <c r="AH1695">
        <v>66</v>
      </c>
      <c r="AI1695" t="s">
        <v>939</v>
      </c>
      <c r="AJ1695">
        <v>10</v>
      </c>
      <c r="AK16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MIN(AJ1695/8, 1) +
  Merge1[[#This Row],[index_defensive_effort]],
  2
)</f>
        <v>1.67</v>
      </c>
    </row>
    <row r="1696" spans="1:37" x14ac:dyDescent="0.25">
      <c r="A1696" t="s">
        <v>556</v>
      </c>
      <c r="B1696" t="s">
        <v>557</v>
      </c>
      <c r="C1696">
        <v>23</v>
      </c>
      <c r="D1696" t="s">
        <v>22</v>
      </c>
      <c r="E1696">
        <v>70</v>
      </c>
      <c r="F1696">
        <v>198</v>
      </c>
      <c r="G1696" t="s">
        <v>23</v>
      </c>
      <c r="H1696">
        <v>2020</v>
      </c>
      <c r="I1696" t="s">
        <v>33</v>
      </c>
      <c r="J1696">
        <v>10</v>
      </c>
      <c r="K1696">
        <v>2</v>
      </c>
      <c r="L1696">
        <v>2</v>
      </c>
      <c r="M1696">
        <v>0</v>
      </c>
      <c r="N1696">
        <v>2</v>
      </c>
      <c r="O1696">
        <v>0</v>
      </c>
      <c r="P1696">
        <v>0</v>
      </c>
      <c r="Q1696">
        <v>0</v>
      </c>
      <c r="R1696">
        <v>0</v>
      </c>
      <c r="S1696">
        <v>37</v>
      </c>
      <c r="T1696">
        <v>34</v>
      </c>
      <c r="U1696" s="5">
        <f>IF(Merge1[[#This Row],[team_defense_snaps]]=0, "", Merge1[[#This Row],[defense_snaps]] / Merge1[[#This Row],[team_defense_snaps]])</f>
        <v>0.70833333333333337</v>
      </c>
      <c r="V1696">
        <v>48</v>
      </c>
      <c r="W1696">
        <v>3</v>
      </c>
      <c r="X1696" s="5" t="s">
        <v>250</v>
      </c>
      <c r="Y1696">
        <v>2</v>
      </c>
      <c r="Z1696">
        <v>0</v>
      </c>
      <c r="AA1696" t="s">
        <v>25</v>
      </c>
      <c r="AB1696" t="s">
        <v>26</v>
      </c>
      <c r="AC1696" t="s">
        <v>27</v>
      </c>
      <c r="AD1696" t="s">
        <v>42</v>
      </c>
      <c r="AE1696" t="s">
        <v>25</v>
      </c>
      <c r="AF16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8.1081081081081086E-2</v>
      </c>
      <c r="AG1696" t="s">
        <v>941</v>
      </c>
      <c r="AH1696">
        <v>77</v>
      </c>
      <c r="AI1696" t="s">
        <v>939</v>
      </c>
      <c r="AJ1696">
        <v>11</v>
      </c>
      <c r="AK16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MIN(AJ1696/8, 1) +
  Merge1[[#This Row],[index_defensive_effort]],
  2
)</f>
        <v>1.58</v>
      </c>
    </row>
    <row r="1697" spans="1:37" x14ac:dyDescent="0.25">
      <c r="A1697" t="s">
        <v>556</v>
      </c>
      <c r="B1697" t="s">
        <v>557</v>
      </c>
      <c r="C1697">
        <v>23</v>
      </c>
      <c r="D1697" t="s">
        <v>22</v>
      </c>
      <c r="E1697">
        <v>70</v>
      </c>
      <c r="F1697">
        <v>198</v>
      </c>
      <c r="G1697" t="s">
        <v>23</v>
      </c>
      <c r="H1697">
        <v>2020</v>
      </c>
      <c r="I1697" t="s">
        <v>33</v>
      </c>
      <c r="J1697">
        <v>11</v>
      </c>
      <c r="K1697">
        <v>7</v>
      </c>
      <c r="L1697">
        <v>3</v>
      </c>
      <c r="M1697">
        <v>0</v>
      </c>
      <c r="N1697">
        <v>3</v>
      </c>
      <c r="O1697">
        <v>0</v>
      </c>
      <c r="P1697">
        <v>0</v>
      </c>
      <c r="Q1697">
        <v>2</v>
      </c>
      <c r="R1697">
        <v>0</v>
      </c>
      <c r="S1697">
        <v>56</v>
      </c>
      <c r="T1697">
        <v>50</v>
      </c>
      <c r="U1697" s="5">
        <f>IF(Merge1[[#This Row],[team_defense_snaps]]=0, "", Merge1[[#This Row],[defense_snaps]] / Merge1[[#This Row],[team_defense_snaps]])</f>
        <v>0.68493150684931503</v>
      </c>
      <c r="V1697">
        <v>73</v>
      </c>
      <c r="W1697">
        <v>6</v>
      </c>
      <c r="X1697" s="5" t="s">
        <v>58</v>
      </c>
      <c r="Y1697">
        <v>2</v>
      </c>
      <c r="Z1697">
        <v>0</v>
      </c>
      <c r="AA1697" t="s">
        <v>25</v>
      </c>
      <c r="AB1697" t="s">
        <v>26</v>
      </c>
      <c r="AC1697" t="s">
        <v>27</v>
      </c>
      <c r="AD1697" t="s">
        <v>42</v>
      </c>
      <c r="AE1697" t="s">
        <v>25</v>
      </c>
      <c r="AF16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0.29464285714285715</v>
      </c>
      <c r="AG1697" t="s">
        <v>941</v>
      </c>
      <c r="AH1697">
        <v>80</v>
      </c>
      <c r="AI1697" t="s">
        <v>939</v>
      </c>
      <c r="AJ1697">
        <v>12</v>
      </c>
      <c r="AK16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MIN(AJ1697/8, 1) +
  Merge1[[#This Row],[index_defensive_effort]],
  2
)</f>
        <v>1.79</v>
      </c>
    </row>
    <row r="1698" spans="1:37" x14ac:dyDescent="0.25">
      <c r="A1698" t="s">
        <v>556</v>
      </c>
      <c r="B1698" t="s">
        <v>557</v>
      </c>
      <c r="C1698">
        <v>23</v>
      </c>
      <c r="D1698" t="s">
        <v>22</v>
      </c>
      <c r="E1698">
        <v>70</v>
      </c>
      <c r="F1698">
        <v>198</v>
      </c>
      <c r="G1698" t="s">
        <v>23</v>
      </c>
      <c r="H1698">
        <v>2020</v>
      </c>
      <c r="I1698" t="s">
        <v>33</v>
      </c>
      <c r="J1698">
        <v>12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76</v>
      </c>
      <c r="T1698">
        <v>70</v>
      </c>
      <c r="U1698" s="5">
        <f>IF(Merge1[[#This Row],[team_defense_snaps]]=0, "", Merge1[[#This Row],[defense_snaps]] / Merge1[[#This Row],[team_defense_snaps]])</f>
        <v>0.88607594936708856</v>
      </c>
      <c r="V1698">
        <v>79</v>
      </c>
      <c r="W1698">
        <v>6</v>
      </c>
      <c r="X1698" s="5" t="s">
        <v>293</v>
      </c>
      <c r="Y1698">
        <v>2</v>
      </c>
      <c r="Z1698">
        <v>0</v>
      </c>
      <c r="AA1698" t="s">
        <v>25</v>
      </c>
      <c r="AB1698" t="s">
        <v>26</v>
      </c>
      <c r="AC1698" t="s">
        <v>27</v>
      </c>
      <c r="AD1698" t="s">
        <v>42</v>
      </c>
      <c r="AE1698" t="s">
        <v>25</v>
      </c>
      <c r="AF16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1.3157894736842105E-2</v>
      </c>
      <c r="AG1698" t="s">
        <v>941</v>
      </c>
      <c r="AH1698">
        <v>74</v>
      </c>
      <c r="AI1698" t="s">
        <v>939</v>
      </c>
      <c r="AJ1698">
        <v>1</v>
      </c>
      <c r="AK16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MIN(AJ1698/8, 1) +
  Merge1[[#This Row],[index_defensive_effort]],
  2
)</f>
        <v>0.64</v>
      </c>
    </row>
    <row r="1699" spans="1:37" x14ac:dyDescent="0.25">
      <c r="A1699" t="s">
        <v>556</v>
      </c>
      <c r="B1699" t="s">
        <v>557</v>
      </c>
      <c r="C1699">
        <v>23</v>
      </c>
      <c r="D1699" t="s">
        <v>22</v>
      </c>
      <c r="E1699">
        <v>70</v>
      </c>
      <c r="F1699">
        <v>198</v>
      </c>
      <c r="G1699" t="s">
        <v>23</v>
      </c>
      <c r="H1699">
        <v>2020</v>
      </c>
      <c r="I1699" t="s">
        <v>33</v>
      </c>
      <c r="J1699">
        <v>14</v>
      </c>
      <c r="K1699">
        <v>5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59</v>
      </c>
      <c r="T1699">
        <v>55</v>
      </c>
      <c r="U1699" s="5">
        <f>IF(Merge1[[#This Row],[team_defense_snaps]]=0, "", Merge1[[#This Row],[defense_snaps]] / Merge1[[#This Row],[team_defense_snaps]])</f>
        <v>0.69620253164556967</v>
      </c>
      <c r="V1699">
        <v>79</v>
      </c>
      <c r="W1699">
        <v>4</v>
      </c>
      <c r="X1699" s="5" t="s">
        <v>181</v>
      </c>
      <c r="Y1699">
        <v>2</v>
      </c>
      <c r="Z1699">
        <v>0</v>
      </c>
      <c r="AA1699" t="s">
        <v>25</v>
      </c>
      <c r="AB1699" t="s">
        <v>26</v>
      </c>
      <c r="AC1699" t="s">
        <v>27</v>
      </c>
      <c r="AD1699" t="s">
        <v>42</v>
      </c>
      <c r="AE1699" t="s">
        <v>25</v>
      </c>
      <c r="AF16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8.4745762711864403E-2</v>
      </c>
      <c r="AG1699" t="s">
        <v>941</v>
      </c>
      <c r="AH1699">
        <v>66.5</v>
      </c>
      <c r="AI1699" t="s">
        <v>939</v>
      </c>
      <c r="AJ1699">
        <v>2</v>
      </c>
      <c r="AK16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MIN(AJ1699/8, 1) +
  Merge1[[#This Row],[index_defensive_effort]],
  2
)</f>
        <v>0.83</v>
      </c>
    </row>
    <row r="1700" spans="1:37" x14ac:dyDescent="0.25">
      <c r="A1700" t="s">
        <v>556</v>
      </c>
      <c r="B1700" t="s">
        <v>557</v>
      </c>
      <c r="C1700">
        <v>23</v>
      </c>
      <c r="D1700" t="s">
        <v>22</v>
      </c>
      <c r="E1700">
        <v>70</v>
      </c>
      <c r="F1700">
        <v>198</v>
      </c>
      <c r="G1700" t="s">
        <v>23</v>
      </c>
      <c r="H1700">
        <v>2020</v>
      </c>
      <c r="I1700" t="s">
        <v>33</v>
      </c>
      <c r="J1700">
        <v>15</v>
      </c>
      <c r="K1700">
        <v>2</v>
      </c>
      <c r="L1700">
        <v>1</v>
      </c>
      <c r="M1700">
        <v>0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55</v>
      </c>
      <c r="T1700">
        <v>49</v>
      </c>
      <c r="U1700" s="5">
        <f>IF(Merge1[[#This Row],[team_defense_snaps]]=0, "", Merge1[[#This Row],[defense_snaps]] / Merge1[[#This Row],[team_defense_snaps]])</f>
        <v>0.75384615384615383</v>
      </c>
      <c r="V1700">
        <v>65</v>
      </c>
      <c r="W1700">
        <v>6</v>
      </c>
      <c r="X1700" s="5" t="s">
        <v>181</v>
      </c>
      <c r="Y1700">
        <v>2</v>
      </c>
      <c r="Z1700">
        <v>0</v>
      </c>
      <c r="AA1700" t="s">
        <v>25</v>
      </c>
      <c r="AB1700" t="s">
        <v>26</v>
      </c>
      <c r="AC1700" t="s">
        <v>27</v>
      </c>
      <c r="AD1700" t="s">
        <v>42</v>
      </c>
      <c r="AE1700" t="s">
        <v>25</v>
      </c>
      <c r="AF17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G1700" t="s">
        <v>941</v>
      </c>
      <c r="AH1700">
        <v>72.5</v>
      </c>
      <c r="AI1700" t="s">
        <v>939</v>
      </c>
      <c r="AJ1700">
        <v>3</v>
      </c>
      <c r="AK17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MIN(AJ1700/8, 1) +
  Merge1[[#This Row],[index_defensive_effort]],
  2
)</f>
        <v>0.92</v>
      </c>
    </row>
    <row r="1701" spans="1:37" x14ac:dyDescent="0.25">
      <c r="A1701" t="s">
        <v>556</v>
      </c>
      <c r="B1701" t="s">
        <v>557</v>
      </c>
      <c r="C1701">
        <v>23</v>
      </c>
      <c r="D1701" t="s">
        <v>22</v>
      </c>
      <c r="E1701">
        <v>70</v>
      </c>
      <c r="F1701">
        <v>198</v>
      </c>
      <c r="G1701" t="s">
        <v>23</v>
      </c>
      <c r="H1701">
        <v>2020</v>
      </c>
      <c r="I1701" t="s">
        <v>33</v>
      </c>
      <c r="J1701">
        <v>16</v>
      </c>
      <c r="K1701">
        <v>4</v>
      </c>
      <c r="L1701">
        <v>0</v>
      </c>
      <c r="M1701">
        <v>0</v>
      </c>
      <c r="N1701">
        <v>0</v>
      </c>
      <c r="O1701">
        <v>0</v>
      </c>
      <c r="P1701">
        <v>3</v>
      </c>
      <c r="Q1701">
        <v>0</v>
      </c>
      <c r="R1701">
        <v>0</v>
      </c>
      <c r="S1701">
        <v>52</v>
      </c>
      <c r="T1701">
        <v>47</v>
      </c>
      <c r="U1701" s="5">
        <f>IF(Merge1[[#This Row],[team_defense_snaps]]=0, "", Merge1[[#This Row],[defense_snaps]] / Merge1[[#This Row],[team_defense_snaps]])</f>
        <v>0.87037037037037035</v>
      </c>
      <c r="V1701">
        <v>54</v>
      </c>
      <c r="W1701">
        <v>5</v>
      </c>
      <c r="X1701" s="5" t="s">
        <v>124</v>
      </c>
      <c r="Y1701">
        <v>2</v>
      </c>
      <c r="Z1701">
        <v>0</v>
      </c>
      <c r="AA1701" t="s">
        <v>25</v>
      </c>
      <c r="AB1701" t="s">
        <v>26</v>
      </c>
      <c r="AC1701" t="s">
        <v>27</v>
      </c>
      <c r="AD1701" t="s">
        <v>42</v>
      </c>
      <c r="AE1701" t="s">
        <v>25</v>
      </c>
      <c r="AF17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0.19230769230769232</v>
      </c>
      <c r="AG1701" t="s">
        <v>941</v>
      </c>
      <c r="AH1701">
        <v>86</v>
      </c>
      <c r="AI1701" t="s">
        <v>939</v>
      </c>
      <c r="AJ1701">
        <v>4</v>
      </c>
      <c r="AK17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MIN(AJ1701/8, 1) +
  Merge1[[#This Row],[index_defensive_effort]],
  2
)</f>
        <v>1.19</v>
      </c>
    </row>
    <row r="1702" spans="1:37" x14ac:dyDescent="0.25">
      <c r="A1702" t="s">
        <v>556</v>
      </c>
      <c r="B1702" t="s">
        <v>557</v>
      </c>
      <c r="C1702">
        <v>23</v>
      </c>
      <c r="D1702" t="s">
        <v>22</v>
      </c>
      <c r="E1702">
        <v>70</v>
      </c>
      <c r="F1702">
        <v>198</v>
      </c>
      <c r="G1702" t="s">
        <v>23</v>
      </c>
      <c r="H1702">
        <v>2020</v>
      </c>
      <c r="I1702" t="s">
        <v>33</v>
      </c>
      <c r="J1702">
        <v>17</v>
      </c>
      <c r="K1702">
        <v>5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66</v>
      </c>
      <c r="T1702">
        <v>62</v>
      </c>
      <c r="U1702" s="5">
        <f>IF(Merge1[[#This Row],[team_defense_snaps]]=0, "", Merge1[[#This Row],[defense_snaps]] / Merge1[[#This Row],[team_defense_snaps]])</f>
        <v>0.86111111111111116</v>
      </c>
      <c r="V1702">
        <v>72</v>
      </c>
      <c r="W1702">
        <v>4</v>
      </c>
      <c r="X1702" s="5" t="s">
        <v>212</v>
      </c>
      <c r="Y1702">
        <v>2</v>
      </c>
      <c r="Z1702">
        <v>0</v>
      </c>
      <c r="AA1702" t="s">
        <v>25</v>
      </c>
      <c r="AB1702" t="s">
        <v>26</v>
      </c>
      <c r="AC1702" t="s">
        <v>27</v>
      </c>
      <c r="AD1702" t="s">
        <v>42</v>
      </c>
      <c r="AE1702" t="s">
        <v>25</v>
      </c>
      <c r="AF17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7.575757575757576E-2</v>
      </c>
      <c r="AG1702" t="s">
        <v>941</v>
      </c>
      <c r="AH1702">
        <v>69.5</v>
      </c>
      <c r="AI1702" t="s">
        <v>939</v>
      </c>
      <c r="AJ1702">
        <v>5</v>
      </c>
      <c r="AK17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MIN(AJ1702/8, 1) +
  Merge1[[#This Row],[index_defensive_effort]],
  2
)</f>
        <v>1.2</v>
      </c>
    </row>
    <row r="1703" spans="1:37" x14ac:dyDescent="0.25">
      <c r="A1703" t="s">
        <v>556</v>
      </c>
      <c r="B1703" t="s">
        <v>557</v>
      </c>
      <c r="C1703">
        <v>23</v>
      </c>
      <c r="D1703" t="s">
        <v>22</v>
      </c>
      <c r="E1703">
        <v>70</v>
      </c>
      <c r="F1703">
        <v>198</v>
      </c>
      <c r="G1703" t="s">
        <v>23</v>
      </c>
      <c r="H1703">
        <v>2020</v>
      </c>
      <c r="I1703" t="s">
        <v>24</v>
      </c>
      <c r="J1703">
        <v>18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66</v>
      </c>
      <c r="T1703">
        <v>62</v>
      </c>
      <c r="U1703" s="5">
        <f>IF(Merge1[[#This Row],[team_defense_snaps]]=0, "", Merge1[[#This Row],[defense_snaps]] / Merge1[[#This Row],[team_defense_snaps]])</f>
        <v>0.86111111111111116</v>
      </c>
      <c r="V1703">
        <v>72</v>
      </c>
      <c r="W1703">
        <v>4</v>
      </c>
      <c r="X1703" s="5" t="s">
        <v>209</v>
      </c>
      <c r="Y1703">
        <v>2</v>
      </c>
      <c r="Z1703">
        <v>0</v>
      </c>
      <c r="AA1703" t="s">
        <v>25</v>
      </c>
      <c r="AB1703" t="s">
        <v>26</v>
      </c>
      <c r="AC1703" t="s">
        <v>27</v>
      </c>
      <c r="AD1703" t="s">
        <v>42</v>
      </c>
      <c r="AE1703" t="s">
        <v>25</v>
      </c>
      <c r="AF17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3.0303030303030304E-2</v>
      </c>
      <c r="AG1703" t="s">
        <v>941</v>
      </c>
      <c r="AH1703">
        <v>81.5</v>
      </c>
      <c r="AI1703" t="s">
        <v>939</v>
      </c>
      <c r="AJ1703">
        <v>6</v>
      </c>
      <c r="AK17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MIN(AJ1703/8, 1) +
  Merge1[[#This Row],[index_defensive_effort]],
  2
)</f>
        <v>1.48</v>
      </c>
    </row>
    <row r="1704" spans="1:37" x14ac:dyDescent="0.25">
      <c r="A1704" t="s">
        <v>556</v>
      </c>
      <c r="B1704" t="s">
        <v>557</v>
      </c>
      <c r="C1704">
        <v>23</v>
      </c>
      <c r="D1704" t="s">
        <v>22</v>
      </c>
      <c r="E1704">
        <v>70</v>
      </c>
      <c r="F1704">
        <v>198</v>
      </c>
      <c r="G1704" t="s">
        <v>23</v>
      </c>
      <c r="H1704">
        <v>2020</v>
      </c>
      <c r="I1704" t="s">
        <v>24</v>
      </c>
      <c r="J1704">
        <v>19</v>
      </c>
      <c r="K1704">
        <v>2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56</v>
      </c>
      <c r="T1704">
        <v>51</v>
      </c>
      <c r="U1704" s="5">
        <f>IF(Merge1[[#This Row],[team_defense_snaps]]=0, "", Merge1[[#This Row],[defense_snaps]] / Merge1[[#This Row],[team_defense_snaps]])</f>
        <v>0.80952380952380953</v>
      </c>
      <c r="V1704">
        <v>63</v>
      </c>
      <c r="W1704">
        <v>5</v>
      </c>
      <c r="X1704" s="5" t="s">
        <v>59</v>
      </c>
      <c r="Y1704">
        <v>2</v>
      </c>
      <c r="Z1704">
        <v>0</v>
      </c>
      <c r="AA1704" t="s">
        <v>25</v>
      </c>
      <c r="AB1704" t="s">
        <v>36</v>
      </c>
      <c r="AC1704" t="s">
        <v>247</v>
      </c>
      <c r="AD1704" t="s">
        <v>42</v>
      </c>
      <c r="AE1704" t="s">
        <v>25</v>
      </c>
      <c r="AF17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3.5714285714285712E-2</v>
      </c>
      <c r="AG1704" t="s">
        <v>941</v>
      </c>
      <c r="AH1704">
        <v>66</v>
      </c>
      <c r="AI1704" t="s">
        <v>939</v>
      </c>
      <c r="AJ1704">
        <v>7</v>
      </c>
      <c r="AK17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MIN(AJ1704/8, 1) +
  Merge1[[#This Row],[index_defensive_effort]],
  2
)</f>
        <v>1.61</v>
      </c>
    </row>
    <row r="1705" spans="1:37" x14ac:dyDescent="0.25">
      <c r="A1705" t="s">
        <v>556</v>
      </c>
      <c r="B1705" t="s">
        <v>557</v>
      </c>
      <c r="C1705">
        <v>23</v>
      </c>
      <c r="D1705" t="s">
        <v>22</v>
      </c>
      <c r="E1705">
        <v>70</v>
      </c>
      <c r="F1705">
        <v>198</v>
      </c>
      <c r="G1705" t="s">
        <v>23</v>
      </c>
      <c r="H1705">
        <v>2020</v>
      </c>
      <c r="I1705" t="s">
        <v>24</v>
      </c>
      <c r="J1705">
        <v>20</v>
      </c>
      <c r="K1705">
        <v>3</v>
      </c>
      <c r="L1705">
        <v>3</v>
      </c>
      <c r="M1705">
        <v>1</v>
      </c>
      <c r="N1705">
        <v>4</v>
      </c>
      <c r="O1705">
        <v>0</v>
      </c>
      <c r="P1705">
        <v>0</v>
      </c>
      <c r="Q1705">
        <v>0</v>
      </c>
      <c r="R1705">
        <v>4</v>
      </c>
      <c r="S1705">
        <v>37</v>
      </c>
      <c r="T1705">
        <v>35</v>
      </c>
      <c r="U1705" s="5">
        <f>IF(Merge1[[#This Row],[team_defense_snaps]]=0, "", Merge1[[#This Row],[defense_snaps]] / Merge1[[#This Row],[team_defense_snaps]])</f>
        <v>0.49295774647887325</v>
      </c>
      <c r="V1705">
        <v>71</v>
      </c>
      <c r="W1705">
        <v>2</v>
      </c>
      <c r="X1705" s="5" t="s">
        <v>167</v>
      </c>
      <c r="Y1705">
        <v>2</v>
      </c>
      <c r="Z1705">
        <v>0</v>
      </c>
      <c r="AA1705" t="s">
        <v>25</v>
      </c>
      <c r="AB1705" t="s">
        <v>26</v>
      </c>
      <c r="AC1705" t="s">
        <v>27</v>
      </c>
      <c r="AD1705" t="s">
        <v>42</v>
      </c>
      <c r="AE1705" t="s">
        <v>25</v>
      </c>
      <c r="AF17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0.35135135135135137</v>
      </c>
      <c r="AG1705" t="s">
        <v>941</v>
      </c>
      <c r="AH1705">
        <v>66</v>
      </c>
      <c r="AI1705" t="s">
        <v>939</v>
      </c>
      <c r="AJ1705">
        <v>8</v>
      </c>
      <c r="AK17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MIN(AJ1705/8, 1) +
  Merge1[[#This Row],[index_defensive_effort]],
  2
)</f>
        <v>2.0499999999999998</v>
      </c>
    </row>
    <row r="1706" spans="1:37" x14ac:dyDescent="0.25">
      <c r="A1706" t="s">
        <v>556</v>
      </c>
      <c r="B1706" t="s">
        <v>557</v>
      </c>
      <c r="C1706">
        <v>23</v>
      </c>
      <c r="D1706" t="s">
        <v>22</v>
      </c>
      <c r="E1706">
        <v>70</v>
      </c>
      <c r="F1706">
        <v>198</v>
      </c>
      <c r="G1706" t="s">
        <v>23</v>
      </c>
      <c r="H1706">
        <v>2020</v>
      </c>
      <c r="I1706" t="s">
        <v>24</v>
      </c>
      <c r="J1706">
        <v>21</v>
      </c>
      <c r="K1706">
        <v>2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3</v>
      </c>
      <c r="T1706">
        <v>0</v>
      </c>
      <c r="U1706" s="5" t="str">
        <f>IF(Merge1[[#This Row],[team_defense_snaps]]=0, "", Merge1[[#This Row],[defense_snaps]] / Merge1[[#This Row],[team_defense_snaps]])</f>
        <v/>
      </c>
      <c r="V1706">
        <v>0</v>
      </c>
      <c r="W1706">
        <v>3</v>
      </c>
      <c r="X1706" s="5" t="s">
        <v>35</v>
      </c>
      <c r="Y1706">
        <v>2</v>
      </c>
      <c r="Z1706">
        <v>0</v>
      </c>
      <c r="AA1706" t="s">
        <v>25</v>
      </c>
      <c r="AB1706" t="s">
        <v>26</v>
      </c>
      <c r="AC1706" t="s">
        <v>27</v>
      </c>
      <c r="AD1706" t="s">
        <v>42</v>
      </c>
      <c r="AE1706" t="s">
        <v>25</v>
      </c>
      <c r="AF17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0.66666666666666663</v>
      </c>
      <c r="AG1706" t="s">
        <v>941</v>
      </c>
      <c r="AH1706">
        <v>84.5</v>
      </c>
      <c r="AI1706" t="s">
        <v>939</v>
      </c>
      <c r="AJ1706">
        <v>1</v>
      </c>
      <c r="AK17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MIN(AJ1706/8, 1) +
  Merge1[[#This Row],[index_defensive_effort]],
  2
)</f>
        <v>1.49</v>
      </c>
    </row>
    <row r="1707" spans="1:37" x14ac:dyDescent="0.25">
      <c r="A1707" t="s">
        <v>481</v>
      </c>
      <c r="B1707" t="s">
        <v>482</v>
      </c>
      <c r="C1707">
        <v>24</v>
      </c>
      <c r="D1707" t="s">
        <v>56</v>
      </c>
      <c r="E1707">
        <v>72</v>
      </c>
      <c r="F1707">
        <v>196</v>
      </c>
      <c r="G1707" t="s">
        <v>41</v>
      </c>
      <c r="H1707">
        <v>2020</v>
      </c>
      <c r="I1707" t="s">
        <v>33</v>
      </c>
      <c r="J1707">
        <v>2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24</v>
      </c>
      <c r="T1707">
        <v>5</v>
      </c>
      <c r="U1707" s="5">
        <f>IF(Merge1[[#This Row],[team_defense_snaps]]=0, "", Merge1[[#This Row],[defense_snaps]] / Merge1[[#This Row],[team_defense_snaps]])</f>
        <v>8.0645161290322578E-2</v>
      </c>
      <c r="V1707">
        <v>62</v>
      </c>
      <c r="W1707">
        <v>19</v>
      </c>
      <c r="X1707" s="5" t="s">
        <v>215</v>
      </c>
      <c r="Y1707">
        <v>2</v>
      </c>
      <c r="Z1707">
        <v>0</v>
      </c>
      <c r="AA1707" t="s">
        <v>25</v>
      </c>
      <c r="AB1707" t="s">
        <v>26</v>
      </c>
      <c r="AC1707" t="s">
        <v>27</v>
      </c>
      <c r="AD1707" t="s">
        <v>28</v>
      </c>
      <c r="AE1707" t="s">
        <v>25</v>
      </c>
      <c r="AF17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1707" t="s">
        <v>943</v>
      </c>
      <c r="AH1707">
        <v>63.5</v>
      </c>
      <c r="AI1707" t="s">
        <v>939</v>
      </c>
      <c r="AJ1707">
        <v>1</v>
      </c>
      <c r="AK17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MIN(AJ1707/8, 1) +
  Merge1[[#This Row],[index_defensive_effort]],
  2
)</f>
        <v>0.53</v>
      </c>
    </row>
    <row r="1708" spans="1:37" x14ac:dyDescent="0.25">
      <c r="A1708" t="s">
        <v>481</v>
      </c>
      <c r="B1708" t="s">
        <v>482</v>
      </c>
      <c r="C1708">
        <v>24</v>
      </c>
      <c r="D1708" t="s">
        <v>56</v>
      </c>
      <c r="E1708">
        <v>72</v>
      </c>
      <c r="F1708">
        <v>196</v>
      </c>
      <c r="G1708" t="s">
        <v>41</v>
      </c>
      <c r="H1708">
        <v>2020</v>
      </c>
      <c r="I1708" t="s">
        <v>33</v>
      </c>
      <c r="J1708">
        <v>4</v>
      </c>
      <c r="K1708">
        <v>2</v>
      </c>
      <c r="L1708">
        <v>0</v>
      </c>
      <c r="M1708">
        <v>0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39</v>
      </c>
      <c r="T1708">
        <v>28</v>
      </c>
      <c r="U1708" s="5">
        <f>IF(Merge1[[#This Row],[team_defense_snaps]]=0, "", Merge1[[#This Row],[defense_snaps]] / Merge1[[#This Row],[team_defense_snaps]])</f>
        <v>0.37333333333333335</v>
      </c>
      <c r="V1708">
        <v>75</v>
      </c>
      <c r="W1708">
        <v>11</v>
      </c>
      <c r="X1708" s="5" t="s">
        <v>200</v>
      </c>
      <c r="Y1708">
        <v>2</v>
      </c>
      <c r="Z1708">
        <v>0</v>
      </c>
      <c r="AA1708" t="s">
        <v>25</v>
      </c>
      <c r="AB1708" t="s">
        <v>26</v>
      </c>
      <c r="AC1708" t="s">
        <v>27</v>
      </c>
      <c r="AD1708" t="s">
        <v>28</v>
      </c>
      <c r="AE1708" t="s">
        <v>25</v>
      </c>
      <c r="AF17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0.10256410256410256</v>
      </c>
      <c r="AG1708" t="s">
        <v>943</v>
      </c>
      <c r="AH1708">
        <v>56</v>
      </c>
      <c r="AI1708" t="s">
        <v>939</v>
      </c>
      <c r="AJ1708">
        <v>1</v>
      </c>
      <c r="AK17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MIN(AJ1708/8, 1) +
  Merge1[[#This Row],[index_defensive_effort]],
  2
)</f>
        <v>0.63</v>
      </c>
    </row>
    <row r="1709" spans="1:37" x14ac:dyDescent="0.25">
      <c r="A1709" t="s">
        <v>481</v>
      </c>
      <c r="B1709" t="s">
        <v>482</v>
      </c>
      <c r="C1709">
        <v>24</v>
      </c>
      <c r="D1709" t="s">
        <v>56</v>
      </c>
      <c r="E1709">
        <v>72</v>
      </c>
      <c r="F1709">
        <v>196</v>
      </c>
      <c r="G1709" t="s">
        <v>41</v>
      </c>
      <c r="H1709">
        <v>2020</v>
      </c>
      <c r="I1709" t="s">
        <v>33</v>
      </c>
      <c r="J1709">
        <v>6</v>
      </c>
      <c r="K1709">
        <v>4</v>
      </c>
      <c r="L1709">
        <v>2</v>
      </c>
      <c r="M1709">
        <v>1</v>
      </c>
      <c r="N1709">
        <v>3</v>
      </c>
      <c r="O1709">
        <v>0</v>
      </c>
      <c r="P1709">
        <v>0</v>
      </c>
      <c r="Q1709">
        <v>0</v>
      </c>
      <c r="R1709">
        <v>0</v>
      </c>
      <c r="S1709">
        <v>74</v>
      </c>
      <c r="T1709">
        <v>64</v>
      </c>
      <c r="U1709" s="5">
        <f>IF(Merge1[[#This Row],[team_defense_snaps]]=0, "", Merge1[[#This Row],[defense_snaps]] / Merge1[[#This Row],[team_defense_snaps]])</f>
        <v>1</v>
      </c>
      <c r="V1709">
        <v>64</v>
      </c>
      <c r="W1709">
        <v>10</v>
      </c>
      <c r="X1709" s="5" t="s">
        <v>123</v>
      </c>
      <c r="Y1709">
        <v>2</v>
      </c>
      <c r="Z1709">
        <v>0</v>
      </c>
      <c r="AA1709" t="s">
        <v>25</v>
      </c>
      <c r="AB1709" t="s">
        <v>26</v>
      </c>
      <c r="AC1709" t="s">
        <v>27</v>
      </c>
      <c r="AD1709" t="s">
        <v>42</v>
      </c>
      <c r="AE1709" t="s">
        <v>25</v>
      </c>
      <c r="AF17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7.4324324324324328E-2</v>
      </c>
      <c r="AG1709" t="s">
        <v>943</v>
      </c>
      <c r="AH1709">
        <v>57.5</v>
      </c>
      <c r="AI1709" t="s">
        <v>939</v>
      </c>
      <c r="AJ1709">
        <v>2</v>
      </c>
      <c r="AK17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MIN(AJ1709/8, 1) +
  Merge1[[#This Row],[index_defensive_effort]],
  2
)</f>
        <v>0.72</v>
      </c>
    </row>
    <row r="1710" spans="1:37" x14ac:dyDescent="0.25">
      <c r="A1710" t="s">
        <v>481</v>
      </c>
      <c r="B1710" t="s">
        <v>482</v>
      </c>
      <c r="C1710">
        <v>24</v>
      </c>
      <c r="D1710" t="s">
        <v>56</v>
      </c>
      <c r="E1710">
        <v>72</v>
      </c>
      <c r="F1710">
        <v>196</v>
      </c>
      <c r="G1710" t="s">
        <v>41</v>
      </c>
      <c r="H1710">
        <v>2020</v>
      </c>
      <c r="I1710" t="s">
        <v>33</v>
      </c>
      <c r="J1710">
        <v>7</v>
      </c>
      <c r="K1710">
        <v>5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77</v>
      </c>
      <c r="T1710">
        <v>68</v>
      </c>
      <c r="U1710" s="5">
        <f>IF(Merge1[[#This Row],[team_defense_snaps]]=0, "", Merge1[[#This Row],[defense_snaps]] / Merge1[[#This Row],[team_defense_snaps]])</f>
        <v>1</v>
      </c>
      <c r="V1710">
        <v>68</v>
      </c>
      <c r="W1710">
        <v>9</v>
      </c>
      <c r="X1710" s="5" t="s">
        <v>138</v>
      </c>
      <c r="Y1710">
        <v>2</v>
      </c>
      <c r="Z1710">
        <v>0</v>
      </c>
      <c r="AA1710" t="s">
        <v>25</v>
      </c>
      <c r="AB1710" t="s">
        <v>26</v>
      </c>
      <c r="AC1710" t="s">
        <v>27</v>
      </c>
      <c r="AD1710" t="s">
        <v>42</v>
      </c>
      <c r="AE1710" t="s">
        <v>25</v>
      </c>
      <c r="AF17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6.4935064935064929E-2</v>
      </c>
      <c r="AG1710" t="s">
        <v>943</v>
      </c>
      <c r="AH1710">
        <v>53</v>
      </c>
      <c r="AI1710" t="s">
        <v>939</v>
      </c>
      <c r="AJ1710">
        <v>3</v>
      </c>
      <c r="AK17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MIN(AJ1710/8, 1) +
  Merge1[[#This Row],[index_defensive_effort]],
  2
)</f>
        <v>0.84</v>
      </c>
    </row>
    <row r="1711" spans="1:37" x14ac:dyDescent="0.25">
      <c r="A1711" t="s">
        <v>481</v>
      </c>
      <c r="B1711" t="s">
        <v>482</v>
      </c>
      <c r="C1711">
        <v>24</v>
      </c>
      <c r="D1711" t="s">
        <v>56</v>
      </c>
      <c r="E1711">
        <v>72</v>
      </c>
      <c r="F1711">
        <v>196</v>
      </c>
      <c r="G1711" t="s">
        <v>41</v>
      </c>
      <c r="H1711">
        <v>2020</v>
      </c>
      <c r="I1711" t="s">
        <v>33</v>
      </c>
      <c r="J1711">
        <v>8</v>
      </c>
      <c r="K1711">
        <v>3</v>
      </c>
      <c r="L1711">
        <v>2</v>
      </c>
      <c r="M1711">
        <v>1</v>
      </c>
      <c r="N1711">
        <v>3</v>
      </c>
      <c r="O1711">
        <v>0</v>
      </c>
      <c r="P1711">
        <v>0</v>
      </c>
      <c r="Q1711">
        <v>0</v>
      </c>
      <c r="R1711">
        <v>0</v>
      </c>
      <c r="S1711">
        <v>52</v>
      </c>
      <c r="T1711">
        <v>45</v>
      </c>
      <c r="U1711" s="5">
        <f>IF(Merge1[[#This Row],[team_defense_snaps]]=0, "", Merge1[[#This Row],[defense_snaps]] / Merge1[[#This Row],[team_defense_snaps]])</f>
        <v>0.86538461538461542</v>
      </c>
      <c r="V1711">
        <v>52</v>
      </c>
      <c r="W1711">
        <v>7</v>
      </c>
      <c r="X1711" s="5" t="s">
        <v>60</v>
      </c>
      <c r="Y1711">
        <v>2</v>
      </c>
      <c r="Z1711">
        <v>0</v>
      </c>
      <c r="AA1711" t="s">
        <v>25</v>
      </c>
      <c r="AB1711" t="s">
        <v>26</v>
      </c>
      <c r="AC1711" t="s">
        <v>27</v>
      </c>
      <c r="AD1711" t="s">
        <v>42</v>
      </c>
      <c r="AE1711" t="s">
        <v>25</v>
      </c>
      <c r="AF17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8.6538461538461536E-2</v>
      </c>
      <c r="AG1711" t="s">
        <v>943</v>
      </c>
      <c r="AH1711">
        <v>60.5</v>
      </c>
      <c r="AI1711" t="s">
        <v>939</v>
      </c>
      <c r="AJ1711">
        <v>4</v>
      </c>
      <c r="AK17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MIN(AJ1711/8, 1) +
  Merge1[[#This Row],[index_defensive_effort]],
  2
)</f>
        <v>0.99</v>
      </c>
    </row>
    <row r="1712" spans="1:37" x14ac:dyDescent="0.25">
      <c r="A1712" t="s">
        <v>481</v>
      </c>
      <c r="B1712" t="s">
        <v>482</v>
      </c>
      <c r="C1712">
        <v>24</v>
      </c>
      <c r="D1712" t="s">
        <v>56</v>
      </c>
      <c r="E1712">
        <v>72</v>
      </c>
      <c r="F1712">
        <v>196</v>
      </c>
      <c r="G1712" t="s">
        <v>41</v>
      </c>
      <c r="H1712">
        <v>2020</v>
      </c>
      <c r="I1712" t="s">
        <v>33</v>
      </c>
      <c r="J1712">
        <v>9</v>
      </c>
      <c r="K1712">
        <v>4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63</v>
      </c>
      <c r="T1712">
        <v>56</v>
      </c>
      <c r="U1712" s="5">
        <f>IF(Merge1[[#This Row],[team_defense_snaps]]=0, "", Merge1[[#This Row],[defense_snaps]] / Merge1[[#This Row],[team_defense_snaps]])</f>
        <v>0.98245614035087714</v>
      </c>
      <c r="V1712">
        <v>57</v>
      </c>
      <c r="W1712">
        <v>7</v>
      </c>
      <c r="X1712" s="5" t="s">
        <v>137</v>
      </c>
      <c r="Y1712">
        <v>2</v>
      </c>
      <c r="Z1712">
        <v>0</v>
      </c>
      <c r="AA1712" t="s">
        <v>25</v>
      </c>
      <c r="AB1712" t="s">
        <v>26</v>
      </c>
      <c r="AC1712" t="s">
        <v>27</v>
      </c>
      <c r="AD1712" t="s">
        <v>42</v>
      </c>
      <c r="AE1712" t="s">
        <v>25</v>
      </c>
      <c r="AF17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6.3492063492063489E-2</v>
      </c>
      <c r="AG1712" t="s">
        <v>943</v>
      </c>
      <c r="AH1712">
        <v>51.5</v>
      </c>
      <c r="AI1712" t="s">
        <v>939</v>
      </c>
      <c r="AJ1712">
        <v>5</v>
      </c>
      <c r="AK17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MIN(AJ1712/8, 1) +
  Merge1[[#This Row],[index_defensive_effort]],
  2
)</f>
        <v>1.0900000000000001</v>
      </c>
    </row>
    <row r="1713" spans="1:37" x14ac:dyDescent="0.25">
      <c r="A1713" t="s">
        <v>481</v>
      </c>
      <c r="B1713" t="s">
        <v>482</v>
      </c>
      <c r="C1713">
        <v>24</v>
      </c>
      <c r="D1713" t="s">
        <v>56</v>
      </c>
      <c r="E1713">
        <v>72</v>
      </c>
      <c r="F1713">
        <v>196</v>
      </c>
      <c r="G1713" t="s">
        <v>41</v>
      </c>
      <c r="H1713">
        <v>2020</v>
      </c>
      <c r="I1713" t="s">
        <v>33</v>
      </c>
      <c r="J1713">
        <v>10</v>
      </c>
      <c r="K1713">
        <v>2</v>
      </c>
      <c r="L1713">
        <v>1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67</v>
      </c>
      <c r="T1713">
        <v>60</v>
      </c>
      <c r="U1713" s="5">
        <f>IF(Merge1[[#This Row],[team_defense_snaps]]=0, "", Merge1[[#This Row],[defense_snaps]] / Merge1[[#This Row],[team_defense_snaps]])</f>
        <v>0.9375</v>
      </c>
      <c r="V1713">
        <v>64</v>
      </c>
      <c r="W1713">
        <v>7</v>
      </c>
      <c r="X1713" s="5" t="s">
        <v>132</v>
      </c>
      <c r="Y1713">
        <v>2</v>
      </c>
      <c r="Z1713">
        <v>0</v>
      </c>
      <c r="AA1713" t="s">
        <v>25</v>
      </c>
      <c r="AB1713" t="s">
        <v>26</v>
      </c>
      <c r="AC1713" t="s">
        <v>27</v>
      </c>
      <c r="AD1713" t="s">
        <v>42</v>
      </c>
      <c r="AE1713" t="s">
        <v>25</v>
      </c>
      <c r="AF17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3.7313432835820892E-2</v>
      </c>
      <c r="AG1713" t="s">
        <v>943</v>
      </c>
      <c r="AH1713">
        <v>54.5</v>
      </c>
      <c r="AI1713" t="s">
        <v>940</v>
      </c>
      <c r="AJ1713">
        <v>1</v>
      </c>
      <c r="AK17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MIN(AJ1713/8, 1) +
  Merge1[[#This Row],[index_defensive_effort]],
  2
)</f>
        <v>0.56000000000000005</v>
      </c>
    </row>
    <row r="1714" spans="1:37" x14ac:dyDescent="0.25">
      <c r="A1714" t="s">
        <v>493</v>
      </c>
      <c r="B1714" t="s">
        <v>494</v>
      </c>
      <c r="C1714">
        <v>26</v>
      </c>
      <c r="D1714" t="s">
        <v>22</v>
      </c>
      <c r="E1714">
        <v>74</v>
      </c>
      <c r="F1714">
        <v>220</v>
      </c>
      <c r="G1714" t="s">
        <v>180</v>
      </c>
      <c r="H1714">
        <v>2020</v>
      </c>
      <c r="I1714" t="s">
        <v>33</v>
      </c>
      <c r="J1714">
        <v>1</v>
      </c>
      <c r="K1714">
        <v>6</v>
      </c>
      <c r="L1714">
        <v>6</v>
      </c>
      <c r="M1714">
        <v>0</v>
      </c>
      <c r="N1714">
        <v>6</v>
      </c>
      <c r="O1714">
        <v>0</v>
      </c>
      <c r="P1714">
        <v>1</v>
      </c>
      <c r="Q1714">
        <v>0</v>
      </c>
      <c r="R1714">
        <v>0</v>
      </c>
      <c r="S1714">
        <v>72</v>
      </c>
      <c r="T1714">
        <v>72</v>
      </c>
      <c r="U1714" s="5">
        <f>IF(Merge1[[#This Row],[team_defense_snaps]]=0, "", Merge1[[#This Row],[defense_snaps]] / Merge1[[#This Row],[team_defense_snaps]])</f>
        <v>0.97297297297297303</v>
      </c>
      <c r="V1714">
        <v>74</v>
      </c>
      <c r="W1714">
        <v>0</v>
      </c>
      <c r="X1714" s="5" t="s">
        <v>29</v>
      </c>
      <c r="Y1714">
        <v>3</v>
      </c>
      <c r="Z1714">
        <v>0</v>
      </c>
      <c r="AA1714" t="s">
        <v>207</v>
      </c>
      <c r="AB1714" t="s">
        <v>207</v>
      </c>
      <c r="AC1714" t="s">
        <v>63</v>
      </c>
      <c r="AD1714" t="s">
        <v>28</v>
      </c>
      <c r="AE1714" t="s">
        <v>25</v>
      </c>
      <c r="AF17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0.15277777777777779</v>
      </c>
      <c r="AG1714" t="s">
        <v>941</v>
      </c>
      <c r="AH1714">
        <v>68</v>
      </c>
      <c r="AI1714" t="s">
        <v>939</v>
      </c>
      <c r="AJ1714">
        <v>1</v>
      </c>
      <c r="AK17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MIN(AJ1714/8, 1) +
  Merge1[[#This Row],[index_defensive_effort]],
  2
)</f>
        <v>0.88</v>
      </c>
    </row>
    <row r="1715" spans="1:37" x14ac:dyDescent="0.25">
      <c r="A1715" t="s">
        <v>493</v>
      </c>
      <c r="B1715" t="s">
        <v>494</v>
      </c>
      <c r="C1715">
        <v>26</v>
      </c>
      <c r="D1715" t="s">
        <v>22</v>
      </c>
      <c r="E1715">
        <v>74</v>
      </c>
      <c r="F1715">
        <v>220</v>
      </c>
      <c r="G1715" t="s">
        <v>180</v>
      </c>
      <c r="H1715">
        <v>2020</v>
      </c>
      <c r="I1715" t="s">
        <v>33</v>
      </c>
      <c r="J1715">
        <v>1</v>
      </c>
      <c r="K1715">
        <v>6</v>
      </c>
      <c r="L1715">
        <v>6</v>
      </c>
      <c r="M1715">
        <v>0</v>
      </c>
      <c r="N1715">
        <v>6</v>
      </c>
      <c r="O1715">
        <v>0</v>
      </c>
      <c r="P1715">
        <v>1</v>
      </c>
      <c r="Q1715">
        <v>0</v>
      </c>
      <c r="R1715">
        <v>0</v>
      </c>
      <c r="S1715">
        <v>73</v>
      </c>
      <c r="T1715">
        <v>72</v>
      </c>
      <c r="U1715" s="5">
        <f>IF(Merge1[[#This Row],[team_defense_snaps]]=0, "", Merge1[[#This Row],[defense_snaps]] / Merge1[[#This Row],[team_defense_snaps]])</f>
        <v>0.97297297297297303</v>
      </c>
      <c r="V1715">
        <v>74</v>
      </c>
      <c r="W1715">
        <v>1</v>
      </c>
      <c r="X1715" s="5" t="s">
        <v>193</v>
      </c>
      <c r="Y1715">
        <v>3</v>
      </c>
      <c r="Z1715">
        <v>0</v>
      </c>
      <c r="AA1715" t="s">
        <v>25</v>
      </c>
      <c r="AB1715" t="s">
        <v>26</v>
      </c>
      <c r="AC1715" t="s">
        <v>27</v>
      </c>
      <c r="AD1715" t="s">
        <v>42</v>
      </c>
      <c r="AE1715" t="s">
        <v>25</v>
      </c>
      <c r="AF17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0.15068493150684931</v>
      </c>
      <c r="AG1715" t="s">
        <v>941</v>
      </c>
      <c r="AH1715">
        <v>84.5</v>
      </c>
      <c r="AI1715" t="s">
        <v>938</v>
      </c>
      <c r="AJ1715">
        <v>2</v>
      </c>
      <c r="AK17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MIN(AJ1715/8, 1) +
  Merge1[[#This Row],[index_defensive_effort]],
  2
)</f>
        <v>1</v>
      </c>
    </row>
    <row r="1716" spans="1:37" x14ac:dyDescent="0.25">
      <c r="A1716" t="s">
        <v>493</v>
      </c>
      <c r="B1716" t="s">
        <v>494</v>
      </c>
      <c r="C1716">
        <v>26</v>
      </c>
      <c r="D1716" t="s">
        <v>22</v>
      </c>
      <c r="E1716">
        <v>74</v>
      </c>
      <c r="F1716">
        <v>220</v>
      </c>
      <c r="G1716" t="s">
        <v>180</v>
      </c>
      <c r="H1716">
        <v>2020</v>
      </c>
      <c r="I1716" t="s">
        <v>33</v>
      </c>
      <c r="J1716">
        <v>2</v>
      </c>
      <c r="K1716">
        <v>2</v>
      </c>
      <c r="L1716">
        <v>3</v>
      </c>
      <c r="M1716">
        <v>1</v>
      </c>
      <c r="N1716">
        <v>4</v>
      </c>
      <c r="O1716">
        <v>0</v>
      </c>
      <c r="P1716">
        <v>0</v>
      </c>
      <c r="Q1716">
        <v>0</v>
      </c>
      <c r="R1716">
        <v>0</v>
      </c>
      <c r="S1716">
        <v>64</v>
      </c>
      <c r="T1716">
        <v>62</v>
      </c>
      <c r="U1716" s="5">
        <f>IF(Merge1[[#This Row],[team_defense_snaps]]=0, "", Merge1[[#This Row],[defense_snaps]] / Merge1[[#This Row],[team_defense_snaps]])</f>
        <v>1</v>
      </c>
      <c r="V1716">
        <v>62</v>
      </c>
      <c r="W1716">
        <v>2</v>
      </c>
      <c r="X1716" s="5" t="s">
        <v>208</v>
      </c>
      <c r="Y1716">
        <v>3</v>
      </c>
      <c r="Z1716">
        <v>0</v>
      </c>
      <c r="AA1716" t="s">
        <v>25</v>
      </c>
      <c r="AB1716" t="s">
        <v>36</v>
      </c>
      <c r="AC1716" t="s">
        <v>63</v>
      </c>
      <c r="AD1716" t="s">
        <v>28</v>
      </c>
      <c r="AE1716" t="s">
        <v>25</v>
      </c>
      <c r="AF17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1716" t="s">
        <v>941</v>
      </c>
      <c r="AH1716">
        <v>66.5</v>
      </c>
      <c r="AI1716" t="s">
        <v>939</v>
      </c>
      <c r="AJ1716">
        <v>1</v>
      </c>
      <c r="AK17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MIN(AJ1716/8, 1) +
  Merge1[[#This Row],[index_defensive_effort]],
  2
)</f>
        <v>0.79</v>
      </c>
    </row>
    <row r="1717" spans="1:37" x14ac:dyDescent="0.25">
      <c r="A1717" t="s">
        <v>493</v>
      </c>
      <c r="B1717" t="s">
        <v>494</v>
      </c>
      <c r="C1717">
        <v>26</v>
      </c>
      <c r="D1717" t="s">
        <v>22</v>
      </c>
      <c r="E1717">
        <v>74</v>
      </c>
      <c r="F1717">
        <v>220</v>
      </c>
      <c r="G1717" t="s">
        <v>180</v>
      </c>
      <c r="H1717">
        <v>2020</v>
      </c>
      <c r="I1717" t="s">
        <v>33</v>
      </c>
      <c r="J1717">
        <v>2</v>
      </c>
      <c r="K1717">
        <v>2</v>
      </c>
      <c r="L1717">
        <v>3</v>
      </c>
      <c r="M1717">
        <v>1</v>
      </c>
      <c r="N1717">
        <v>4</v>
      </c>
      <c r="O1717">
        <v>0</v>
      </c>
      <c r="P1717">
        <v>0</v>
      </c>
      <c r="Q1717">
        <v>0</v>
      </c>
      <c r="R1717">
        <v>0</v>
      </c>
      <c r="S1717">
        <v>65</v>
      </c>
      <c r="T1717">
        <v>62</v>
      </c>
      <c r="U1717" s="5">
        <f>IF(Merge1[[#This Row],[team_defense_snaps]]=0, "", Merge1[[#This Row],[defense_snaps]] / Merge1[[#This Row],[team_defense_snaps]])</f>
        <v>1</v>
      </c>
      <c r="V1717">
        <v>62</v>
      </c>
      <c r="W1717">
        <v>3</v>
      </c>
      <c r="X1717" s="5" t="s">
        <v>35</v>
      </c>
      <c r="Y1717">
        <v>3</v>
      </c>
      <c r="Z1717">
        <v>0</v>
      </c>
      <c r="AA1717" t="s">
        <v>25</v>
      </c>
      <c r="AB1717" t="s">
        <v>26</v>
      </c>
      <c r="AC1717" t="s">
        <v>27</v>
      </c>
      <c r="AD1717" t="s">
        <v>42</v>
      </c>
      <c r="AE1717" t="s">
        <v>25</v>
      </c>
      <c r="AF17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6.1538461538461542E-2</v>
      </c>
      <c r="AG1717" t="s">
        <v>941</v>
      </c>
      <c r="AH1717">
        <v>78.5</v>
      </c>
      <c r="AI1717" t="s">
        <v>939</v>
      </c>
      <c r="AJ1717">
        <v>2</v>
      </c>
      <c r="AK17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MIN(AJ1717/8, 1) +
  Merge1[[#This Row],[index_defensive_effort]],
  2
)</f>
        <v>0.91</v>
      </c>
    </row>
    <row r="1718" spans="1:37" x14ac:dyDescent="0.25">
      <c r="A1718" t="s">
        <v>493</v>
      </c>
      <c r="B1718" t="s">
        <v>494</v>
      </c>
      <c r="C1718">
        <v>26</v>
      </c>
      <c r="D1718" t="s">
        <v>22</v>
      </c>
      <c r="E1718">
        <v>74</v>
      </c>
      <c r="F1718">
        <v>220</v>
      </c>
      <c r="G1718" t="s">
        <v>180</v>
      </c>
      <c r="H1718">
        <v>2020</v>
      </c>
      <c r="I1718" t="s">
        <v>33</v>
      </c>
      <c r="J1718">
        <v>3</v>
      </c>
      <c r="K1718">
        <v>7</v>
      </c>
      <c r="L1718">
        <v>1</v>
      </c>
      <c r="M1718">
        <v>0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65</v>
      </c>
      <c r="T1718">
        <v>61</v>
      </c>
      <c r="U1718" s="5">
        <f>IF(Merge1[[#This Row],[team_defense_snaps]]=0, "", Merge1[[#This Row],[defense_snaps]] / Merge1[[#This Row],[team_defense_snaps]])</f>
        <v>0.9838709677419355</v>
      </c>
      <c r="V1718">
        <v>62</v>
      </c>
      <c r="W1718">
        <v>4</v>
      </c>
      <c r="X1718" s="5" t="s">
        <v>168</v>
      </c>
      <c r="Y1718">
        <v>3</v>
      </c>
      <c r="Z1718">
        <v>0</v>
      </c>
      <c r="AA1718" t="s">
        <v>25</v>
      </c>
      <c r="AB1718" t="s">
        <v>26</v>
      </c>
      <c r="AC1718" t="s">
        <v>27</v>
      </c>
      <c r="AD1718" t="s">
        <v>28</v>
      </c>
      <c r="AE1718" t="s">
        <v>25</v>
      </c>
      <c r="AF17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0.11538461538461539</v>
      </c>
      <c r="AG1718" t="s">
        <v>941</v>
      </c>
      <c r="AH1718">
        <v>77</v>
      </c>
      <c r="AI1718" t="s">
        <v>939</v>
      </c>
      <c r="AJ1718">
        <v>1</v>
      </c>
      <c r="AK17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MIN(AJ1718/8, 1) +
  Merge1[[#This Row],[index_defensive_effort]],
  2
)</f>
        <v>0.84</v>
      </c>
    </row>
    <row r="1719" spans="1:37" x14ac:dyDescent="0.25">
      <c r="A1719" t="s">
        <v>493</v>
      </c>
      <c r="B1719" t="s">
        <v>494</v>
      </c>
      <c r="C1719">
        <v>26</v>
      </c>
      <c r="D1719" t="s">
        <v>22</v>
      </c>
      <c r="E1719">
        <v>74</v>
      </c>
      <c r="F1719">
        <v>220</v>
      </c>
      <c r="G1719" t="s">
        <v>180</v>
      </c>
      <c r="H1719">
        <v>2020</v>
      </c>
      <c r="I1719" t="s">
        <v>33</v>
      </c>
      <c r="J1719">
        <v>3</v>
      </c>
      <c r="K1719">
        <v>7</v>
      </c>
      <c r="L1719">
        <v>1</v>
      </c>
      <c r="M1719">
        <v>0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65</v>
      </c>
      <c r="T1719">
        <v>61</v>
      </c>
      <c r="U1719" s="5">
        <f>IF(Merge1[[#This Row],[team_defense_snaps]]=0, "", Merge1[[#This Row],[defense_snaps]] / Merge1[[#This Row],[team_defense_snaps]])</f>
        <v>0.9838709677419355</v>
      </c>
      <c r="V1719">
        <v>62</v>
      </c>
      <c r="W1719">
        <v>4</v>
      </c>
      <c r="X1719" s="5" t="s">
        <v>124</v>
      </c>
      <c r="Y1719">
        <v>3</v>
      </c>
      <c r="Z1719">
        <v>0</v>
      </c>
      <c r="AA1719" t="s">
        <v>25</v>
      </c>
      <c r="AB1719" t="s">
        <v>26</v>
      </c>
      <c r="AC1719" t="s">
        <v>27</v>
      </c>
      <c r="AD1719" t="s">
        <v>42</v>
      </c>
      <c r="AE1719" t="s">
        <v>25</v>
      </c>
      <c r="AF17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0.11538461538461539</v>
      </c>
      <c r="AG1719" t="s">
        <v>941</v>
      </c>
      <c r="AH1719">
        <v>81.5</v>
      </c>
      <c r="AI1719" t="s">
        <v>939</v>
      </c>
      <c r="AJ1719">
        <v>2</v>
      </c>
      <c r="AK17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MIN(AJ1719/8, 1) +
  Merge1[[#This Row],[index_defensive_effort]],
  2
)</f>
        <v>0.97</v>
      </c>
    </row>
    <row r="1720" spans="1:37" x14ac:dyDescent="0.25">
      <c r="A1720" t="s">
        <v>493</v>
      </c>
      <c r="B1720" t="s">
        <v>494</v>
      </c>
      <c r="C1720">
        <v>26</v>
      </c>
      <c r="D1720" t="s">
        <v>22</v>
      </c>
      <c r="E1720">
        <v>74</v>
      </c>
      <c r="F1720">
        <v>220</v>
      </c>
      <c r="G1720" t="s">
        <v>180</v>
      </c>
      <c r="H1720">
        <v>2020</v>
      </c>
      <c r="I1720" t="s">
        <v>33</v>
      </c>
      <c r="J1720">
        <v>4</v>
      </c>
      <c r="K1720">
        <v>6</v>
      </c>
      <c r="L1720">
        <v>5</v>
      </c>
      <c r="M1720">
        <v>1</v>
      </c>
      <c r="N1720">
        <v>6</v>
      </c>
      <c r="O1720">
        <v>0</v>
      </c>
      <c r="P1720">
        <v>1</v>
      </c>
      <c r="Q1720">
        <v>0</v>
      </c>
      <c r="R1720">
        <v>0</v>
      </c>
      <c r="S1720">
        <v>74</v>
      </c>
      <c r="T1720">
        <v>74</v>
      </c>
      <c r="U1720" s="5">
        <f>IF(Merge1[[#This Row],[team_defense_snaps]]=0, "", Merge1[[#This Row],[defense_snaps]] / Merge1[[#This Row],[team_defense_snaps]])</f>
        <v>0.98666666666666669</v>
      </c>
      <c r="V1720">
        <v>75</v>
      </c>
      <c r="W1720">
        <v>0</v>
      </c>
      <c r="X1720" s="5" t="s">
        <v>29</v>
      </c>
      <c r="Y1720">
        <v>3</v>
      </c>
      <c r="Z1720">
        <v>0</v>
      </c>
      <c r="AA1720" t="s">
        <v>25</v>
      </c>
      <c r="AB1720" t="s">
        <v>26</v>
      </c>
      <c r="AC1720" t="s">
        <v>27</v>
      </c>
      <c r="AD1720" t="s">
        <v>28</v>
      </c>
      <c r="AE1720" t="s">
        <v>25</v>
      </c>
      <c r="AF17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0.14864864864864866</v>
      </c>
      <c r="AG1720" t="s">
        <v>941</v>
      </c>
      <c r="AH1720">
        <v>62</v>
      </c>
      <c r="AI1720" t="s">
        <v>939</v>
      </c>
      <c r="AJ1720">
        <v>1</v>
      </c>
      <c r="AK17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MIN(AJ1720/8, 1) +
  Merge1[[#This Row],[index_defensive_effort]],
  2
)</f>
        <v>0.87</v>
      </c>
    </row>
    <row r="1721" spans="1:37" x14ac:dyDescent="0.25">
      <c r="A1721" t="s">
        <v>493</v>
      </c>
      <c r="B1721" t="s">
        <v>494</v>
      </c>
      <c r="C1721">
        <v>26</v>
      </c>
      <c r="D1721" t="s">
        <v>22</v>
      </c>
      <c r="E1721">
        <v>74</v>
      </c>
      <c r="F1721">
        <v>220</v>
      </c>
      <c r="G1721" t="s">
        <v>180</v>
      </c>
      <c r="H1721">
        <v>2020</v>
      </c>
      <c r="I1721" t="s">
        <v>33</v>
      </c>
      <c r="J1721">
        <v>4</v>
      </c>
      <c r="K1721">
        <v>6</v>
      </c>
      <c r="L1721">
        <v>5</v>
      </c>
      <c r="M1721">
        <v>1</v>
      </c>
      <c r="N1721">
        <v>6</v>
      </c>
      <c r="O1721">
        <v>0</v>
      </c>
      <c r="P1721">
        <v>1</v>
      </c>
      <c r="Q1721">
        <v>0</v>
      </c>
      <c r="R1721">
        <v>0</v>
      </c>
      <c r="S1721">
        <v>78</v>
      </c>
      <c r="T1721">
        <v>74</v>
      </c>
      <c r="U1721" s="5">
        <f>IF(Merge1[[#This Row],[team_defense_snaps]]=0, "", Merge1[[#This Row],[defense_snaps]] / Merge1[[#This Row],[team_defense_snaps]])</f>
        <v>0.98666666666666669</v>
      </c>
      <c r="V1721">
        <v>75</v>
      </c>
      <c r="W1721">
        <v>4</v>
      </c>
      <c r="X1721" s="5" t="s">
        <v>209</v>
      </c>
      <c r="Y1721">
        <v>3</v>
      </c>
      <c r="Z1721">
        <v>0</v>
      </c>
      <c r="AA1721" t="s">
        <v>25</v>
      </c>
      <c r="AB1721" t="s">
        <v>26</v>
      </c>
      <c r="AC1721" t="s">
        <v>27</v>
      </c>
      <c r="AD1721" t="s">
        <v>42</v>
      </c>
      <c r="AE1721" t="s">
        <v>25</v>
      </c>
      <c r="AF17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0.14102564102564102</v>
      </c>
      <c r="AG1721" t="s">
        <v>941</v>
      </c>
      <c r="AH1721">
        <v>80</v>
      </c>
      <c r="AI1721" t="s">
        <v>939</v>
      </c>
      <c r="AJ1721">
        <v>2</v>
      </c>
      <c r="AK17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MIN(AJ1721/8, 1) +
  Merge1[[#This Row],[index_defensive_effort]],
  2
)</f>
        <v>0.99</v>
      </c>
    </row>
    <row r="1722" spans="1:37" x14ac:dyDescent="0.25">
      <c r="A1722" t="s">
        <v>493</v>
      </c>
      <c r="B1722" t="s">
        <v>494</v>
      </c>
      <c r="C1722">
        <v>26</v>
      </c>
      <c r="D1722" t="s">
        <v>22</v>
      </c>
      <c r="E1722">
        <v>74</v>
      </c>
      <c r="F1722">
        <v>220</v>
      </c>
      <c r="G1722" t="s">
        <v>180</v>
      </c>
      <c r="H1722">
        <v>2020</v>
      </c>
      <c r="I1722" t="s">
        <v>33</v>
      </c>
      <c r="J1722">
        <v>5</v>
      </c>
      <c r="K1722">
        <v>2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30</v>
      </c>
      <c r="T1722">
        <v>30</v>
      </c>
      <c r="U1722" s="5">
        <f>IF(Merge1[[#This Row],[team_defense_snaps]]=0, "", Merge1[[#This Row],[defense_snaps]] / Merge1[[#This Row],[team_defense_snaps]])</f>
        <v>0.51724137931034486</v>
      </c>
      <c r="V1722">
        <v>58</v>
      </c>
      <c r="W1722">
        <v>0</v>
      </c>
      <c r="X1722" s="5" t="s">
        <v>29</v>
      </c>
      <c r="Y1722">
        <v>3</v>
      </c>
      <c r="Z1722">
        <v>0</v>
      </c>
      <c r="AA1722" t="s">
        <v>25</v>
      </c>
      <c r="AB1722" t="s">
        <v>26</v>
      </c>
      <c r="AC1722" t="s">
        <v>27</v>
      </c>
      <c r="AD1722" t="s">
        <v>28</v>
      </c>
      <c r="AE1722" t="s">
        <v>25</v>
      </c>
      <c r="AF17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1722" t="s">
        <v>941</v>
      </c>
      <c r="AH1722">
        <v>65</v>
      </c>
      <c r="AI1722" t="s">
        <v>939</v>
      </c>
      <c r="AJ1722">
        <v>1</v>
      </c>
      <c r="AK17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MIN(AJ1722/8, 1) +
  Merge1[[#This Row],[index_defensive_effort]],
  2
)</f>
        <v>0.79</v>
      </c>
    </row>
    <row r="1723" spans="1:37" x14ac:dyDescent="0.25">
      <c r="A1723" t="s">
        <v>493</v>
      </c>
      <c r="B1723" t="s">
        <v>494</v>
      </c>
      <c r="C1723">
        <v>26</v>
      </c>
      <c r="D1723" t="s">
        <v>22</v>
      </c>
      <c r="E1723">
        <v>74</v>
      </c>
      <c r="F1723">
        <v>220</v>
      </c>
      <c r="G1723" t="s">
        <v>180</v>
      </c>
      <c r="H1723">
        <v>2020</v>
      </c>
      <c r="I1723" t="s">
        <v>33</v>
      </c>
      <c r="J1723">
        <v>5</v>
      </c>
      <c r="K1723">
        <v>2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31</v>
      </c>
      <c r="T1723">
        <v>30</v>
      </c>
      <c r="U1723" s="5">
        <f>IF(Merge1[[#This Row],[team_defense_snaps]]=0, "", Merge1[[#This Row],[defense_snaps]] / Merge1[[#This Row],[team_defense_snaps]])</f>
        <v>0.51724137931034486</v>
      </c>
      <c r="V1723">
        <v>58</v>
      </c>
      <c r="W1723">
        <v>1</v>
      </c>
      <c r="X1723" s="5" t="s">
        <v>193</v>
      </c>
      <c r="Y1723">
        <v>3</v>
      </c>
      <c r="Z1723">
        <v>0</v>
      </c>
      <c r="AA1723" t="s">
        <v>25</v>
      </c>
      <c r="AB1723" t="s">
        <v>26</v>
      </c>
      <c r="AC1723" t="s">
        <v>27</v>
      </c>
      <c r="AD1723" t="s">
        <v>42</v>
      </c>
      <c r="AE1723" t="s">
        <v>25</v>
      </c>
      <c r="AF17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6.4516129032258063E-2</v>
      </c>
      <c r="AG1723" t="s">
        <v>941</v>
      </c>
      <c r="AH1723">
        <v>86</v>
      </c>
      <c r="AI1723" t="s">
        <v>939</v>
      </c>
      <c r="AJ1723">
        <v>2</v>
      </c>
      <c r="AK17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MIN(AJ1723/8, 1) +
  Merge1[[#This Row],[index_defensive_effort]],
  2
)</f>
        <v>0.91</v>
      </c>
    </row>
    <row r="1724" spans="1:37" x14ac:dyDescent="0.25">
      <c r="A1724" t="s">
        <v>493</v>
      </c>
      <c r="B1724" t="s">
        <v>494</v>
      </c>
      <c r="C1724">
        <v>26</v>
      </c>
      <c r="D1724" t="s">
        <v>22</v>
      </c>
      <c r="E1724">
        <v>74</v>
      </c>
      <c r="F1724">
        <v>220</v>
      </c>
      <c r="G1724" t="s">
        <v>180</v>
      </c>
      <c r="H1724">
        <v>2020</v>
      </c>
      <c r="I1724" t="s">
        <v>33</v>
      </c>
      <c r="J1724">
        <v>6</v>
      </c>
      <c r="K1724">
        <v>8</v>
      </c>
      <c r="L1724">
        <v>2</v>
      </c>
      <c r="M1724">
        <v>0</v>
      </c>
      <c r="N1724">
        <v>2</v>
      </c>
      <c r="O1724">
        <v>0</v>
      </c>
      <c r="P1724">
        <v>0</v>
      </c>
      <c r="Q1724">
        <v>0</v>
      </c>
      <c r="R1724">
        <v>0</v>
      </c>
      <c r="S1724">
        <v>77</v>
      </c>
      <c r="T1724">
        <v>77</v>
      </c>
      <c r="U1724" s="5">
        <f>IF(Merge1[[#This Row],[team_defense_snaps]]=0, "", Merge1[[#This Row],[defense_snaps]] / Merge1[[#This Row],[team_defense_snaps]])</f>
        <v>1</v>
      </c>
      <c r="V1724">
        <v>77</v>
      </c>
      <c r="W1724">
        <v>0</v>
      </c>
      <c r="X1724" s="5" t="s">
        <v>29</v>
      </c>
      <c r="Y1724">
        <v>3</v>
      </c>
      <c r="Z1724">
        <v>0</v>
      </c>
      <c r="AA1724" t="s">
        <v>25</v>
      </c>
      <c r="AB1724" t="s">
        <v>26</v>
      </c>
      <c r="AC1724" t="s">
        <v>27</v>
      </c>
      <c r="AD1724" t="s">
        <v>28</v>
      </c>
      <c r="AE1724" t="s">
        <v>25</v>
      </c>
      <c r="AF17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0.11688311688311688</v>
      </c>
      <c r="AG1724" t="s">
        <v>941</v>
      </c>
      <c r="AH1724">
        <v>83</v>
      </c>
      <c r="AI1724" t="s">
        <v>939</v>
      </c>
      <c r="AJ1724">
        <v>1</v>
      </c>
      <c r="AK17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MIN(AJ1724/8, 1) +
  Merge1[[#This Row],[index_defensive_effort]],
  2
)</f>
        <v>0.84</v>
      </c>
    </row>
    <row r="1725" spans="1:37" x14ac:dyDescent="0.25">
      <c r="A1725" t="s">
        <v>493</v>
      </c>
      <c r="B1725" t="s">
        <v>494</v>
      </c>
      <c r="C1725">
        <v>26</v>
      </c>
      <c r="D1725" t="s">
        <v>22</v>
      </c>
      <c r="E1725">
        <v>74</v>
      </c>
      <c r="F1725">
        <v>220</v>
      </c>
      <c r="G1725" t="s">
        <v>180</v>
      </c>
      <c r="H1725">
        <v>2020</v>
      </c>
      <c r="I1725" t="s">
        <v>33</v>
      </c>
      <c r="J1725">
        <v>6</v>
      </c>
      <c r="K1725">
        <v>8</v>
      </c>
      <c r="L1725">
        <v>2</v>
      </c>
      <c r="M1725">
        <v>0</v>
      </c>
      <c r="N1725">
        <v>2</v>
      </c>
      <c r="O1725">
        <v>0</v>
      </c>
      <c r="P1725">
        <v>0</v>
      </c>
      <c r="Q1725">
        <v>0</v>
      </c>
      <c r="R1725">
        <v>0</v>
      </c>
      <c r="S1725">
        <v>80</v>
      </c>
      <c r="T1725">
        <v>77</v>
      </c>
      <c r="U1725" s="5">
        <f>IF(Merge1[[#This Row],[team_defense_snaps]]=0, "", Merge1[[#This Row],[defense_snaps]] / Merge1[[#This Row],[team_defense_snaps]])</f>
        <v>1</v>
      </c>
      <c r="V1725">
        <v>77</v>
      </c>
      <c r="W1725">
        <v>3</v>
      </c>
      <c r="X1725" s="5" t="s">
        <v>251</v>
      </c>
      <c r="Y1725">
        <v>3</v>
      </c>
      <c r="Z1725">
        <v>0</v>
      </c>
      <c r="AA1725" t="s">
        <v>25</v>
      </c>
      <c r="AB1725" t="s">
        <v>26</v>
      </c>
      <c r="AC1725" t="s">
        <v>27</v>
      </c>
      <c r="AD1725" t="s">
        <v>42</v>
      </c>
      <c r="AE1725" t="s">
        <v>25</v>
      </c>
      <c r="AF17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0.1125</v>
      </c>
      <c r="AG1725" t="s">
        <v>941</v>
      </c>
      <c r="AH1725">
        <v>63.5</v>
      </c>
      <c r="AI1725" t="s">
        <v>939</v>
      </c>
      <c r="AJ1725">
        <v>2</v>
      </c>
      <c r="AK17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MIN(AJ1725/8, 1) +
  Merge1[[#This Row],[index_defensive_effort]],
  2
)</f>
        <v>0.96</v>
      </c>
    </row>
    <row r="1726" spans="1:37" x14ac:dyDescent="0.25">
      <c r="A1726" t="s">
        <v>493</v>
      </c>
      <c r="B1726" t="s">
        <v>494</v>
      </c>
      <c r="C1726">
        <v>26</v>
      </c>
      <c r="D1726" t="s">
        <v>22</v>
      </c>
      <c r="E1726">
        <v>74</v>
      </c>
      <c r="F1726">
        <v>220</v>
      </c>
      <c r="G1726" t="s">
        <v>180</v>
      </c>
      <c r="H1726">
        <v>2020</v>
      </c>
      <c r="I1726" t="s">
        <v>33</v>
      </c>
      <c r="J1726">
        <v>7</v>
      </c>
      <c r="K1726">
        <v>5</v>
      </c>
      <c r="L1726">
        <v>3</v>
      </c>
      <c r="M1726">
        <v>1</v>
      </c>
      <c r="N1726">
        <v>4</v>
      </c>
      <c r="O1726">
        <v>0</v>
      </c>
      <c r="P1726">
        <v>1</v>
      </c>
      <c r="Q1726">
        <v>0</v>
      </c>
      <c r="R1726">
        <v>0</v>
      </c>
      <c r="S1726">
        <v>81</v>
      </c>
      <c r="T1726">
        <v>81</v>
      </c>
      <c r="U1726" s="5">
        <f>IF(Merge1[[#This Row],[team_defense_snaps]]=0, "", Merge1[[#This Row],[defense_snaps]] / Merge1[[#This Row],[team_defense_snaps]])</f>
        <v>0.81</v>
      </c>
      <c r="V1726">
        <v>100</v>
      </c>
      <c r="W1726">
        <v>0</v>
      </c>
      <c r="X1726" s="5" t="s">
        <v>29</v>
      </c>
      <c r="Y1726">
        <v>3</v>
      </c>
      <c r="Z1726">
        <v>0</v>
      </c>
      <c r="AA1726" t="s">
        <v>25</v>
      </c>
      <c r="AB1726" t="s">
        <v>26</v>
      </c>
      <c r="AC1726" t="s">
        <v>27</v>
      </c>
      <c r="AD1726" t="s">
        <v>28</v>
      </c>
      <c r="AE1726" t="s">
        <v>25</v>
      </c>
      <c r="AF17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0.1111111111111111</v>
      </c>
      <c r="AG1726" t="s">
        <v>941</v>
      </c>
      <c r="AH1726">
        <v>74</v>
      </c>
      <c r="AI1726" t="s">
        <v>939</v>
      </c>
      <c r="AJ1726">
        <v>1</v>
      </c>
      <c r="AK17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MIN(AJ1726/8, 1) +
  Merge1[[#This Row],[index_defensive_effort]],
  2
)</f>
        <v>0.84</v>
      </c>
    </row>
    <row r="1727" spans="1:37" x14ac:dyDescent="0.25">
      <c r="A1727" t="s">
        <v>493</v>
      </c>
      <c r="B1727" t="s">
        <v>494</v>
      </c>
      <c r="C1727">
        <v>26</v>
      </c>
      <c r="D1727" t="s">
        <v>22</v>
      </c>
      <c r="E1727">
        <v>74</v>
      </c>
      <c r="F1727">
        <v>220</v>
      </c>
      <c r="G1727" t="s">
        <v>180</v>
      </c>
      <c r="H1727">
        <v>2020</v>
      </c>
      <c r="I1727" t="s">
        <v>33</v>
      </c>
      <c r="J1727">
        <v>7</v>
      </c>
      <c r="K1727">
        <v>5</v>
      </c>
      <c r="L1727">
        <v>3</v>
      </c>
      <c r="M1727">
        <v>1</v>
      </c>
      <c r="N1727">
        <v>4</v>
      </c>
      <c r="O1727">
        <v>0</v>
      </c>
      <c r="P1727">
        <v>1</v>
      </c>
      <c r="Q1727">
        <v>0</v>
      </c>
      <c r="R1727">
        <v>0</v>
      </c>
      <c r="S1727">
        <v>84</v>
      </c>
      <c r="T1727">
        <v>81</v>
      </c>
      <c r="U1727" s="5">
        <f>IF(Merge1[[#This Row],[team_defense_snaps]]=0, "", Merge1[[#This Row],[defense_snaps]] / Merge1[[#This Row],[team_defense_snaps]])</f>
        <v>0.81</v>
      </c>
      <c r="V1727">
        <v>100</v>
      </c>
      <c r="W1727">
        <v>3</v>
      </c>
      <c r="X1727" s="5" t="s">
        <v>38</v>
      </c>
      <c r="Y1727">
        <v>3</v>
      </c>
      <c r="Z1727">
        <v>0</v>
      </c>
      <c r="AA1727" t="s">
        <v>25</v>
      </c>
      <c r="AB1727" t="s">
        <v>26</v>
      </c>
      <c r="AC1727" t="s">
        <v>27</v>
      </c>
      <c r="AD1727" t="s">
        <v>42</v>
      </c>
      <c r="AE1727" t="s">
        <v>25</v>
      </c>
      <c r="AF17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0.10714285714285714</v>
      </c>
      <c r="AG1727" t="s">
        <v>941</v>
      </c>
      <c r="AH1727">
        <v>65</v>
      </c>
      <c r="AI1727" t="s">
        <v>939</v>
      </c>
      <c r="AJ1727">
        <v>1</v>
      </c>
      <c r="AK17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MIN(AJ1727/8, 1) +
  Merge1[[#This Row],[index_defensive_effort]],
  2
)</f>
        <v>0.83</v>
      </c>
    </row>
    <row r="1728" spans="1:37" x14ac:dyDescent="0.25">
      <c r="A1728" t="s">
        <v>493</v>
      </c>
      <c r="B1728" t="s">
        <v>494</v>
      </c>
      <c r="C1728">
        <v>26</v>
      </c>
      <c r="D1728" t="s">
        <v>22</v>
      </c>
      <c r="E1728">
        <v>74</v>
      </c>
      <c r="F1728">
        <v>220</v>
      </c>
      <c r="G1728" t="s">
        <v>180</v>
      </c>
      <c r="H1728">
        <v>2020</v>
      </c>
      <c r="I1728" t="s">
        <v>33</v>
      </c>
      <c r="J1728">
        <v>9</v>
      </c>
      <c r="K1728">
        <v>3</v>
      </c>
      <c r="L1728">
        <v>2</v>
      </c>
      <c r="M1728">
        <v>0</v>
      </c>
      <c r="N1728">
        <v>2</v>
      </c>
      <c r="O1728">
        <v>0</v>
      </c>
      <c r="P1728">
        <v>0</v>
      </c>
      <c r="Q1728">
        <v>0</v>
      </c>
      <c r="R1728">
        <v>0</v>
      </c>
      <c r="S1728">
        <v>42</v>
      </c>
      <c r="T1728">
        <v>42</v>
      </c>
      <c r="U1728" s="5">
        <f>IF(Merge1[[#This Row],[team_defense_snaps]]=0, "", Merge1[[#This Row],[defense_snaps]] / Merge1[[#This Row],[team_defense_snaps]])</f>
        <v>0.64615384615384619</v>
      </c>
      <c r="V1728">
        <v>65</v>
      </c>
      <c r="W1728">
        <v>0</v>
      </c>
      <c r="X1728" s="5" t="s">
        <v>29</v>
      </c>
      <c r="Y1728">
        <v>3</v>
      </c>
      <c r="Z1728">
        <v>0</v>
      </c>
      <c r="AA1728" t="s">
        <v>25</v>
      </c>
      <c r="AB1728" t="s">
        <v>26</v>
      </c>
      <c r="AC1728" t="s">
        <v>27</v>
      </c>
      <c r="AD1728" t="s">
        <v>28</v>
      </c>
      <c r="AE1728" t="s">
        <v>25</v>
      </c>
      <c r="AF17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9.5238095238095233E-2</v>
      </c>
      <c r="AG1728" t="s">
        <v>941</v>
      </c>
      <c r="AH1728">
        <v>63.5</v>
      </c>
      <c r="AI1728" t="s">
        <v>939</v>
      </c>
      <c r="AJ1728">
        <v>1</v>
      </c>
      <c r="AK17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MIN(AJ1728/8, 1) +
  Merge1[[#This Row],[index_defensive_effort]],
  2
)</f>
        <v>0.82</v>
      </c>
    </row>
    <row r="1729" spans="1:37" x14ac:dyDescent="0.25">
      <c r="A1729" t="s">
        <v>493</v>
      </c>
      <c r="B1729" t="s">
        <v>494</v>
      </c>
      <c r="C1729">
        <v>26</v>
      </c>
      <c r="D1729" t="s">
        <v>22</v>
      </c>
      <c r="E1729">
        <v>74</v>
      </c>
      <c r="F1729">
        <v>220</v>
      </c>
      <c r="G1729" t="s">
        <v>180</v>
      </c>
      <c r="H1729">
        <v>2020</v>
      </c>
      <c r="I1729" t="s">
        <v>33</v>
      </c>
      <c r="J1729">
        <v>9</v>
      </c>
      <c r="K1729">
        <v>3</v>
      </c>
      <c r="L1729">
        <v>2</v>
      </c>
      <c r="M1729">
        <v>0</v>
      </c>
      <c r="N1729">
        <v>2</v>
      </c>
      <c r="O1729">
        <v>0</v>
      </c>
      <c r="P1729">
        <v>0</v>
      </c>
      <c r="Q1729">
        <v>0</v>
      </c>
      <c r="R1729">
        <v>0</v>
      </c>
      <c r="S1729">
        <v>45</v>
      </c>
      <c r="T1729">
        <v>42</v>
      </c>
      <c r="U1729" s="5">
        <f>IF(Merge1[[#This Row],[team_defense_snaps]]=0, "", Merge1[[#This Row],[defense_snaps]] / Merge1[[#This Row],[team_defense_snaps]])</f>
        <v>0.64615384615384619</v>
      </c>
      <c r="V1729">
        <v>65</v>
      </c>
      <c r="W1729">
        <v>3</v>
      </c>
      <c r="X1729" s="5" t="s">
        <v>38</v>
      </c>
      <c r="Y1729">
        <v>3</v>
      </c>
      <c r="Z1729">
        <v>0</v>
      </c>
      <c r="AA1729" t="s">
        <v>25</v>
      </c>
      <c r="AB1729" t="s">
        <v>26</v>
      </c>
      <c r="AC1729" t="s">
        <v>27</v>
      </c>
      <c r="AD1729" t="s">
        <v>42</v>
      </c>
      <c r="AE1729" t="s">
        <v>25</v>
      </c>
      <c r="AF17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8.8888888888888892E-2</v>
      </c>
      <c r="AG1729" t="s">
        <v>941</v>
      </c>
      <c r="AH1729">
        <v>66.5</v>
      </c>
      <c r="AI1729" t="s">
        <v>939</v>
      </c>
      <c r="AJ1729">
        <v>1</v>
      </c>
      <c r="AK17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MIN(AJ1729/8, 1) +
  Merge1[[#This Row],[index_defensive_effort]],
  2
)</f>
        <v>0.81</v>
      </c>
    </row>
    <row r="1730" spans="1:37" x14ac:dyDescent="0.25">
      <c r="A1730" t="s">
        <v>493</v>
      </c>
      <c r="B1730" t="s">
        <v>494</v>
      </c>
      <c r="C1730">
        <v>26</v>
      </c>
      <c r="D1730" t="s">
        <v>22</v>
      </c>
      <c r="E1730">
        <v>74</v>
      </c>
      <c r="F1730">
        <v>220</v>
      </c>
      <c r="G1730" t="s">
        <v>180</v>
      </c>
      <c r="H1730">
        <v>2020</v>
      </c>
      <c r="I1730" t="s">
        <v>33</v>
      </c>
      <c r="J1730">
        <v>13</v>
      </c>
      <c r="K1730">
        <v>7</v>
      </c>
      <c r="L1730">
        <v>3</v>
      </c>
      <c r="M1730">
        <v>0</v>
      </c>
      <c r="N1730">
        <v>3</v>
      </c>
      <c r="O1730">
        <v>0</v>
      </c>
      <c r="P1730">
        <v>1</v>
      </c>
      <c r="Q1730">
        <v>0</v>
      </c>
      <c r="R1730">
        <v>0</v>
      </c>
      <c r="S1730">
        <v>96</v>
      </c>
      <c r="T1730">
        <v>91</v>
      </c>
      <c r="U1730" s="5">
        <f>IF(Merge1[[#This Row],[team_defense_snaps]]=0, "", Merge1[[#This Row],[defense_snaps]] / Merge1[[#This Row],[team_defense_snaps]])</f>
        <v>0.98913043478260865</v>
      </c>
      <c r="V1730">
        <v>92</v>
      </c>
      <c r="W1730">
        <v>5</v>
      </c>
      <c r="X1730" s="5" t="s">
        <v>124</v>
      </c>
      <c r="Y1730">
        <v>3</v>
      </c>
      <c r="Z1730">
        <v>0</v>
      </c>
      <c r="AA1730" t="s">
        <v>25</v>
      </c>
      <c r="AB1730" t="s">
        <v>26</v>
      </c>
      <c r="AC1730" t="s">
        <v>27</v>
      </c>
      <c r="AD1730" t="s">
        <v>28</v>
      </c>
      <c r="AE1730" t="s">
        <v>25</v>
      </c>
      <c r="AF17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0.109375</v>
      </c>
      <c r="AG1730" t="s">
        <v>941</v>
      </c>
      <c r="AH1730">
        <v>62</v>
      </c>
      <c r="AI1730" t="s">
        <v>938</v>
      </c>
      <c r="AJ1730">
        <v>1</v>
      </c>
      <c r="AK17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MIN(AJ1730/8, 1) +
  Merge1[[#This Row],[index_defensive_effort]],
  2
)</f>
        <v>0.83</v>
      </c>
    </row>
    <row r="1731" spans="1:37" x14ac:dyDescent="0.25">
      <c r="A1731" t="s">
        <v>493</v>
      </c>
      <c r="B1731" t="s">
        <v>494</v>
      </c>
      <c r="C1731">
        <v>26</v>
      </c>
      <c r="D1731" t="s">
        <v>22</v>
      </c>
      <c r="E1731">
        <v>74</v>
      </c>
      <c r="F1731">
        <v>220</v>
      </c>
      <c r="G1731" t="s">
        <v>180</v>
      </c>
      <c r="H1731">
        <v>2020</v>
      </c>
      <c r="I1731" t="s">
        <v>33</v>
      </c>
      <c r="J1731">
        <v>13</v>
      </c>
      <c r="K1731">
        <v>7</v>
      </c>
      <c r="L1731">
        <v>3</v>
      </c>
      <c r="M1731">
        <v>0</v>
      </c>
      <c r="N1731">
        <v>3</v>
      </c>
      <c r="O1731">
        <v>0</v>
      </c>
      <c r="P1731">
        <v>1</v>
      </c>
      <c r="Q1731">
        <v>0</v>
      </c>
      <c r="R1731">
        <v>0</v>
      </c>
      <c r="S1731">
        <v>91</v>
      </c>
      <c r="T1731">
        <v>91</v>
      </c>
      <c r="U1731" s="5">
        <f>IF(Merge1[[#This Row],[team_defense_snaps]]=0, "", Merge1[[#This Row],[defense_snaps]] / Merge1[[#This Row],[team_defense_snaps]])</f>
        <v>0.98913043478260865</v>
      </c>
      <c r="V1731">
        <v>92</v>
      </c>
      <c r="W1731">
        <v>0</v>
      </c>
      <c r="X1731" s="5" t="s">
        <v>29</v>
      </c>
      <c r="Y1731">
        <v>3</v>
      </c>
      <c r="Z1731">
        <v>0</v>
      </c>
      <c r="AA1731" t="s">
        <v>25</v>
      </c>
      <c r="AB1731" t="s">
        <v>62</v>
      </c>
      <c r="AC1731" t="s">
        <v>27</v>
      </c>
      <c r="AD1731" t="s">
        <v>42</v>
      </c>
      <c r="AE1731" t="s">
        <v>25</v>
      </c>
      <c r="AF17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0.11538461538461539</v>
      </c>
      <c r="AG1731" t="s">
        <v>941</v>
      </c>
      <c r="AH1731">
        <v>84.5</v>
      </c>
      <c r="AI1731" t="s">
        <v>939</v>
      </c>
      <c r="AJ1731">
        <v>2</v>
      </c>
      <c r="AK17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MIN(AJ1731/8, 1) +
  Merge1[[#This Row],[index_defensive_effort]],
  2
)</f>
        <v>0.97</v>
      </c>
    </row>
    <row r="1732" spans="1:37" x14ac:dyDescent="0.25">
      <c r="A1732" t="s">
        <v>493</v>
      </c>
      <c r="B1732" t="s">
        <v>494</v>
      </c>
      <c r="C1732">
        <v>26</v>
      </c>
      <c r="D1732" t="s">
        <v>22</v>
      </c>
      <c r="E1732">
        <v>74</v>
      </c>
      <c r="F1732">
        <v>220</v>
      </c>
      <c r="G1732" t="s">
        <v>180</v>
      </c>
      <c r="H1732">
        <v>2020</v>
      </c>
      <c r="I1732" t="s">
        <v>33</v>
      </c>
      <c r="J1732">
        <v>14</v>
      </c>
      <c r="K1732">
        <v>1</v>
      </c>
      <c r="L1732">
        <v>2</v>
      </c>
      <c r="M1732">
        <v>0</v>
      </c>
      <c r="N1732">
        <v>2</v>
      </c>
      <c r="O1732">
        <v>0</v>
      </c>
      <c r="P1732">
        <v>0</v>
      </c>
      <c r="Q1732">
        <v>0</v>
      </c>
      <c r="R1732">
        <v>0</v>
      </c>
      <c r="S1732">
        <v>22</v>
      </c>
      <c r="T1732">
        <v>16</v>
      </c>
      <c r="U1732" s="5">
        <f>IF(Merge1[[#This Row],[team_defense_snaps]]=0, "", Merge1[[#This Row],[defense_snaps]] / Merge1[[#This Row],[team_defense_snaps]])</f>
        <v>0.23880597014925373</v>
      </c>
      <c r="V1732">
        <v>67</v>
      </c>
      <c r="W1732">
        <v>6</v>
      </c>
      <c r="X1732" s="5" t="s">
        <v>293</v>
      </c>
      <c r="Y1732">
        <v>3</v>
      </c>
      <c r="Z1732">
        <v>0</v>
      </c>
      <c r="AA1732" t="s">
        <v>25</v>
      </c>
      <c r="AB1732" t="s">
        <v>26</v>
      </c>
      <c r="AC1732" t="s">
        <v>27</v>
      </c>
      <c r="AD1732" t="s">
        <v>28</v>
      </c>
      <c r="AE1732" t="s">
        <v>25</v>
      </c>
      <c r="AF17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9.0909090909090912E-2</v>
      </c>
      <c r="AG1732" t="s">
        <v>941</v>
      </c>
      <c r="AH1732">
        <v>77</v>
      </c>
      <c r="AI1732" t="s">
        <v>939</v>
      </c>
      <c r="AJ1732">
        <v>1</v>
      </c>
      <c r="AK17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MIN(AJ1732/8, 1) +
  Merge1[[#This Row],[index_defensive_effort]],
  2
)</f>
        <v>0.82</v>
      </c>
    </row>
    <row r="1733" spans="1:37" x14ac:dyDescent="0.25">
      <c r="A1733" t="s">
        <v>493</v>
      </c>
      <c r="B1733" t="s">
        <v>494</v>
      </c>
      <c r="C1733">
        <v>26</v>
      </c>
      <c r="D1733" t="s">
        <v>22</v>
      </c>
      <c r="E1733">
        <v>74</v>
      </c>
      <c r="F1733">
        <v>220</v>
      </c>
      <c r="G1733" t="s">
        <v>180</v>
      </c>
      <c r="H1733">
        <v>2020</v>
      </c>
      <c r="I1733" t="s">
        <v>33</v>
      </c>
      <c r="J1733">
        <v>14</v>
      </c>
      <c r="K1733">
        <v>1</v>
      </c>
      <c r="L1733">
        <v>2</v>
      </c>
      <c r="M1733">
        <v>0</v>
      </c>
      <c r="N1733">
        <v>2</v>
      </c>
      <c r="O1733">
        <v>0</v>
      </c>
      <c r="P1733">
        <v>0</v>
      </c>
      <c r="Q1733">
        <v>0</v>
      </c>
      <c r="R1733">
        <v>0</v>
      </c>
      <c r="S1733">
        <v>16</v>
      </c>
      <c r="T1733">
        <v>16</v>
      </c>
      <c r="U1733" s="5">
        <f>IF(Merge1[[#This Row],[team_defense_snaps]]=0, "", Merge1[[#This Row],[defense_snaps]] / Merge1[[#This Row],[team_defense_snaps]])</f>
        <v>0.23880597014925373</v>
      </c>
      <c r="V1733">
        <v>67</v>
      </c>
      <c r="W1733">
        <v>0</v>
      </c>
      <c r="X1733" s="5" t="s">
        <v>29</v>
      </c>
      <c r="Y1733">
        <v>3</v>
      </c>
      <c r="Z1733">
        <v>0</v>
      </c>
      <c r="AA1733" t="s">
        <v>25</v>
      </c>
      <c r="AB1733" t="s">
        <v>26</v>
      </c>
      <c r="AC1733" t="s">
        <v>27</v>
      </c>
      <c r="AD1733" t="s">
        <v>42</v>
      </c>
      <c r="AE1733" t="s">
        <v>25</v>
      </c>
      <c r="AF17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1733" t="s">
        <v>941</v>
      </c>
      <c r="AH1733">
        <v>74</v>
      </c>
      <c r="AI1733" t="s">
        <v>939</v>
      </c>
      <c r="AJ1733">
        <v>2</v>
      </c>
      <c r="AK17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MIN(AJ1733/8, 1) +
  Merge1[[#This Row],[index_defensive_effort]],
  2
)</f>
        <v>0.98</v>
      </c>
    </row>
    <row r="1734" spans="1:37" x14ac:dyDescent="0.25">
      <c r="A1734" t="s">
        <v>493</v>
      </c>
      <c r="B1734" t="s">
        <v>494</v>
      </c>
      <c r="C1734">
        <v>26</v>
      </c>
      <c r="D1734" t="s">
        <v>22</v>
      </c>
      <c r="E1734">
        <v>74</v>
      </c>
      <c r="F1734">
        <v>220</v>
      </c>
      <c r="G1734" t="s">
        <v>180</v>
      </c>
      <c r="H1734">
        <v>2020</v>
      </c>
      <c r="I1734" t="s">
        <v>33</v>
      </c>
      <c r="J1734">
        <v>15</v>
      </c>
      <c r="K1734">
        <v>4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2</v>
      </c>
      <c r="R1734">
        <v>0</v>
      </c>
      <c r="S1734">
        <v>40</v>
      </c>
      <c r="T1734">
        <v>35</v>
      </c>
      <c r="U1734" s="5">
        <f>IF(Merge1[[#This Row],[team_defense_snaps]]=0, "", Merge1[[#This Row],[defense_snaps]] / Merge1[[#This Row],[team_defense_snaps]])</f>
        <v>0.52238805970149249</v>
      </c>
      <c r="V1734">
        <v>67</v>
      </c>
      <c r="W1734">
        <v>5</v>
      </c>
      <c r="X1734" s="5" t="s">
        <v>159</v>
      </c>
      <c r="Y1734">
        <v>3</v>
      </c>
      <c r="Z1734">
        <v>0</v>
      </c>
      <c r="AA1734" t="s">
        <v>25</v>
      </c>
      <c r="AB1734" t="s">
        <v>26</v>
      </c>
      <c r="AC1734" t="s">
        <v>27</v>
      </c>
      <c r="AD1734" t="s">
        <v>28</v>
      </c>
      <c r="AE1734" t="s">
        <v>25</v>
      </c>
      <c r="AF17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</v>
      </c>
      <c r="AG1734" t="s">
        <v>941</v>
      </c>
      <c r="AH1734">
        <v>80</v>
      </c>
      <c r="AI1734" t="s">
        <v>939</v>
      </c>
      <c r="AJ1734">
        <v>1</v>
      </c>
      <c r="AK17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MIN(AJ1734/8, 1) +
  Merge1[[#This Row],[index_defensive_effort]],
  2
)</f>
        <v>1.03</v>
      </c>
    </row>
    <row r="1735" spans="1:37" x14ac:dyDescent="0.25">
      <c r="A1735" t="s">
        <v>493</v>
      </c>
      <c r="B1735" t="s">
        <v>494</v>
      </c>
      <c r="C1735">
        <v>26</v>
      </c>
      <c r="D1735" t="s">
        <v>22</v>
      </c>
      <c r="E1735">
        <v>74</v>
      </c>
      <c r="F1735">
        <v>220</v>
      </c>
      <c r="G1735" t="s">
        <v>180</v>
      </c>
      <c r="H1735">
        <v>2020</v>
      </c>
      <c r="I1735" t="s">
        <v>33</v>
      </c>
      <c r="J1735">
        <v>15</v>
      </c>
      <c r="K1735">
        <v>4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2</v>
      </c>
      <c r="R1735">
        <v>0</v>
      </c>
      <c r="S1735">
        <v>35</v>
      </c>
      <c r="T1735">
        <v>35</v>
      </c>
      <c r="U1735" s="5">
        <f>IF(Merge1[[#This Row],[team_defense_snaps]]=0, "", Merge1[[#This Row],[defense_snaps]] / Merge1[[#This Row],[team_defense_snaps]])</f>
        <v>0.52238805970149249</v>
      </c>
      <c r="V1735">
        <v>67</v>
      </c>
      <c r="W1735">
        <v>0</v>
      </c>
      <c r="X1735" s="5" t="s">
        <v>29</v>
      </c>
      <c r="Y1735">
        <v>3</v>
      </c>
      <c r="Z1735">
        <v>0</v>
      </c>
      <c r="AA1735" t="s">
        <v>25</v>
      </c>
      <c r="AB1735" t="s">
        <v>26</v>
      </c>
      <c r="AC1735" t="s">
        <v>27</v>
      </c>
      <c r="AD1735" t="s">
        <v>42</v>
      </c>
      <c r="AE1735" t="s">
        <v>25</v>
      </c>
      <c r="AF17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0.34285714285714286</v>
      </c>
      <c r="AG1735" t="s">
        <v>941</v>
      </c>
      <c r="AH1735">
        <v>78.5</v>
      </c>
      <c r="AI1735" t="s">
        <v>939</v>
      </c>
      <c r="AJ1735">
        <v>2</v>
      </c>
      <c r="AK17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MIN(AJ1735/8, 1) +
  Merge1[[#This Row],[index_defensive_effort]],
  2
)</f>
        <v>1.19</v>
      </c>
    </row>
    <row r="1736" spans="1:37" x14ac:dyDescent="0.25">
      <c r="A1736" t="s">
        <v>493</v>
      </c>
      <c r="B1736" t="s">
        <v>494</v>
      </c>
      <c r="C1736">
        <v>26</v>
      </c>
      <c r="D1736" t="s">
        <v>22</v>
      </c>
      <c r="E1736">
        <v>74</v>
      </c>
      <c r="F1736">
        <v>220</v>
      </c>
      <c r="G1736" t="s">
        <v>180</v>
      </c>
      <c r="H1736">
        <v>2020</v>
      </c>
      <c r="I1736" t="s">
        <v>33</v>
      </c>
      <c r="J1736">
        <v>16</v>
      </c>
      <c r="K1736">
        <v>6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41</v>
      </c>
      <c r="T1736">
        <v>39</v>
      </c>
      <c r="U1736" s="5">
        <f>IF(Merge1[[#This Row],[team_defense_snaps]]=0, "", Merge1[[#This Row],[defense_snaps]] / Merge1[[#This Row],[team_defense_snaps]])</f>
        <v>0.54166666666666663</v>
      </c>
      <c r="V1736">
        <v>72</v>
      </c>
      <c r="W1736">
        <v>2</v>
      </c>
      <c r="X1736" s="5" t="s">
        <v>167</v>
      </c>
      <c r="Y1736">
        <v>3</v>
      </c>
      <c r="Z1736">
        <v>0</v>
      </c>
      <c r="AA1736" t="s">
        <v>25</v>
      </c>
      <c r="AB1736" t="s">
        <v>26</v>
      </c>
      <c r="AC1736" t="s">
        <v>27</v>
      </c>
      <c r="AD1736" t="s">
        <v>28</v>
      </c>
      <c r="AE1736" t="s">
        <v>25</v>
      </c>
      <c r="AF17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0.14634146341463414</v>
      </c>
      <c r="AG1736" t="s">
        <v>941</v>
      </c>
      <c r="AH1736">
        <v>81.5</v>
      </c>
      <c r="AI1736" t="s">
        <v>939</v>
      </c>
      <c r="AJ1736">
        <v>1</v>
      </c>
      <c r="AK17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MIN(AJ1736/8, 1) +
  Merge1[[#This Row],[index_defensive_effort]],
  2
)</f>
        <v>0.87</v>
      </c>
    </row>
    <row r="1737" spans="1:37" x14ac:dyDescent="0.25">
      <c r="A1737" t="s">
        <v>493</v>
      </c>
      <c r="B1737" t="s">
        <v>494</v>
      </c>
      <c r="C1737">
        <v>26</v>
      </c>
      <c r="D1737" t="s">
        <v>22</v>
      </c>
      <c r="E1737">
        <v>74</v>
      </c>
      <c r="F1737">
        <v>220</v>
      </c>
      <c r="G1737" t="s">
        <v>180</v>
      </c>
      <c r="H1737">
        <v>2020</v>
      </c>
      <c r="I1737" t="s">
        <v>33</v>
      </c>
      <c r="J1737">
        <v>16</v>
      </c>
      <c r="K1737">
        <v>6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39</v>
      </c>
      <c r="T1737">
        <v>39</v>
      </c>
      <c r="U1737" s="5">
        <f>IF(Merge1[[#This Row],[team_defense_snaps]]=0, "", Merge1[[#This Row],[defense_snaps]] / Merge1[[#This Row],[team_defense_snaps]])</f>
        <v>0.54166666666666663</v>
      </c>
      <c r="V1737">
        <v>72</v>
      </c>
      <c r="W1737">
        <v>0</v>
      </c>
      <c r="X1737" s="5" t="s">
        <v>29</v>
      </c>
      <c r="Y1737">
        <v>3</v>
      </c>
      <c r="Z1737">
        <v>0</v>
      </c>
      <c r="AA1737" t="s">
        <v>25</v>
      </c>
      <c r="AB1737" t="s">
        <v>26</v>
      </c>
      <c r="AC1737" t="s">
        <v>27</v>
      </c>
      <c r="AD1737" t="s">
        <v>42</v>
      </c>
      <c r="AE1737" t="s">
        <v>25</v>
      </c>
      <c r="AF17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0.15384615384615385</v>
      </c>
      <c r="AG1737" t="s">
        <v>941</v>
      </c>
      <c r="AH1737">
        <v>83</v>
      </c>
      <c r="AI1737" t="s">
        <v>939</v>
      </c>
      <c r="AJ1737">
        <v>2</v>
      </c>
      <c r="AK17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MIN(AJ1737/8, 1) +
  Merge1[[#This Row],[index_defensive_effort]],
  2
)</f>
        <v>1</v>
      </c>
    </row>
    <row r="1738" spans="1:37" x14ac:dyDescent="0.25">
      <c r="A1738" t="s">
        <v>493</v>
      </c>
      <c r="B1738" t="s">
        <v>494</v>
      </c>
      <c r="C1738">
        <v>26</v>
      </c>
      <c r="D1738" t="s">
        <v>22</v>
      </c>
      <c r="E1738">
        <v>74</v>
      </c>
      <c r="F1738">
        <v>220</v>
      </c>
      <c r="G1738" t="s">
        <v>180</v>
      </c>
      <c r="H1738">
        <v>2020</v>
      </c>
      <c r="I1738" t="s">
        <v>33</v>
      </c>
      <c r="J1738">
        <v>17</v>
      </c>
      <c r="K1738">
        <v>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22</v>
      </c>
      <c r="T1738">
        <v>20</v>
      </c>
      <c r="U1738" s="5">
        <f>IF(Merge1[[#This Row],[team_defense_snaps]]=0, "", Merge1[[#This Row],[defense_snaps]] / Merge1[[#This Row],[team_defense_snaps]])</f>
        <v>0.29411764705882354</v>
      </c>
      <c r="V1738">
        <v>68</v>
      </c>
      <c r="W1738">
        <v>2</v>
      </c>
      <c r="X1738" s="5" t="s">
        <v>167</v>
      </c>
      <c r="Y1738">
        <v>3</v>
      </c>
      <c r="Z1738">
        <v>0</v>
      </c>
      <c r="AA1738" t="s">
        <v>25</v>
      </c>
      <c r="AB1738" t="s">
        <v>26</v>
      </c>
      <c r="AC1738" t="s">
        <v>27</v>
      </c>
      <c r="AD1738" t="s">
        <v>28</v>
      </c>
      <c r="AE1738" t="s">
        <v>25</v>
      </c>
      <c r="AF17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G1738" t="s">
        <v>941</v>
      </c>
      <c r="AH1738">
        <v>86</v>
      </c>
      <c r="AI1738" t="s">
        <v>939</v>
      </c>
      <c r="AJ1738">
        <v>1</v>
      </c>
      <c r="AK17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MIN(AJ1738/8, 1) +
  Merge1[[#This Row],[index_defensive_effort]],
  2
)</f>
        <v>0.77</v>
      </c>
    </row>
    <row r="1739" spans="1:37" x14ac:dyDescent="0.25">
      <c r="A1739" t="s">
        <v>493</v>
      </c>
      <c r="B1739" t="s">
        <v>494</v>
      </c>
      <c r="C1739">
        <v>26</v>
      </c>
      <c r="D1739" t="s">
        <v>22</v>
      </c>
      <c r="E1739">
        <v>74</v>
      </c>
      <c r="F1739">
        <v>220</v>
      </c>
      <c r="G1739" t="s">
        <v>180</v>
      </c>
      <c r="H1739">
        <v>2020</v>
      </c>
      <c r="I1739" t="s">
        <v>33</v>
      </c>
      <c r="J1739">
        <v>17</v>
      </c>
      <c r="K1739">
        <v>1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20</v>
      </c>
      <c r="T1739">
        <v>20</v>
      </c>
      <c r="U1739" s="5">
        <f>IF(Merge1[[#This Row],[team_defense_snaps]]=0, "", Merge1[[#This Row],[defense_snaps]] / Merge1[[#This Row],[team_defense_snaps]])</f>
        <v>0.29411764705882354</v>
      </c>
      <c r="V1739">
        <v>68</v>
      </c>
      <c r="W1739">
        <v>0</v>
      </c>
      <c r="X1739" s="5" t="s">
        <v>29</v>
      </c>
      <c r="Y1739">
        <v>3</v>
      </c>
      <c r="Z1739">
        <v>0</v>
      </c>
      <c r="AA1739" t="s">
        <v>25</v>
      </c>
      <c r="AB1739" t="s">
        <v>26</v>
      </c>
      <c r="AC1739" t="s">
        <v>27</v>
      </c>
      <c r="AD1739" t="s">
        <v>42</v>
      </c>
      <c r="AE1739" t="s">
        <v>25</v>
      </c>
      <c r="AF17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1739" t="s">
        <v>941</v>
      </c>
      <c r="AH1739">
        <v>68</v>
      </c>
      <c r="AI1739" t="s">
        <v>938</v>
      </c>
      <c r="AJ1739">
        <v>1</v>
      </c>
      <c r="AK17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MIN(AJ1739/8, 1) +
  Merge1[[#This Row],[index_defensive_effort]],
  2
)</f>
        <v>0.78</v>
      </c>
    </row>
    <row r="1740" spans="1:37" x14ac:dyDescent="0.25">
      <c r="A1740" t="s">
        <v>513</v>
      </c>
      <c r="B1740" t="s">
        <v>514</v>
      </c>
      <c r="C1740">
        <v>33</v>
      </c>
      <c r="D1740" t="s">
        <v>56</v>
      </c>
      <c r="E1740">
        <v>72</v>
      </c>
      <c r="F1740">
        <v>200</v>
      </c>
      <c r="G1740" t="s">
        <v>339</v>
      </c>
      <c r="H1740">
        <v>2020</v>
      </c>
      <c r="I1740" t="s">
        <v>33</v>
      </c>
      <c r="J1740">
        <v>4</v>
      </c>
      <c r="K1740">
        <v>4</v>
      </c>
      <c r="L1740">
        <v>2</v>
      </c>
      <c r="M1740">
        <v>1</v>
      </c>
      <c r="N1740">
        <v>3</v>
      </c>
      <c r="O1740">
        <v>0</v>
      </c>
      <c r="P1740">
        <v>0</v>
      </c>
      <c r="Q1740">
        <v>0</v>
      </c>
      <c r="R1740">
        <v>2</v>
      </c>
      <c r="S1740">
        <v>67</v>
      </c>
      <c r="T1740">
        <v>67</v>
      </c>
      <c r="U1740" s="5">
        <f>IF(Merge1[[#This Row],[team_defense_snaps]]=0, "", Merge1[[#This Row],[defense_snaps]] / Merge1[[#This Row],[team_defense_snaps]])</f>
        <v>0.89333333333333331</v>
      </c>
      <c r="V1740">
        <v>75</v>
      </c>
      <c r="W1740">
        <v>0</v>
      </c>
      <c r="X1740" s="5" t="s">
        <v>29</v>
      </c>
      <c r="Y1740">
        <v>8</v>
      </c>
      <c r="Z1740">
        <v>0</v>
      </c>
      <c r="AA1740" t="s">
        <v>25</v>
      </c>
      <c r="AB1740" t="s">
        <v>62</v>
      </c>
      <c r="AC1740" t="s">
        <v>27</v>
      </c>
      <c r="AD1740" t="s">
        <v>28</v>
      </c>
      <c r="AE1740" t="s">
        <v>25</v>
      </c>
      <c r="AF17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0.1417910447761194</v>
      </c>
      <c r="AG1740" t="s">
        <v>942</v>
      </c>
      <c r="AH1740">
        <v>63.5</v>
      </c>
      <c r="AI1740" t="s">
        <v>939</v>
      </c>
      <c r="AJ1740">
        <v>2</v>
      </c>
      <c r="AK17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MIN(AJ1740/8, 1) +
  Merge1[[#This Row],[index_defensive_effort]],
  2
)</f>
        <v>1.0900000000000001</v>
      </c>
    </row>
    <row r="1741" spans="1:37" x14ac:dyDescent="0.25">
      <c r="A1741" t="s">
        <v>513</v>
      </c>
      <c r="B1741" t="s">
        <v>514</v>
      </c>
      <c r="C1741">
        <v>33</v>
      </c>
      <c r="D1741" t="s">
        <v>56</v>
      </c>
      <c r="E1741">
        <v>72</v>
      </c>
      <c r="F1741">
        <v>200</v>
      </c>
      <c r="G1741" t="s">
        <v>339</v>
      </c>
      <c r="H1741">
        <v>2020</v>
      </c>
      <c r="I1741" t="s">
        <v>33</v>
      </c>
      <c r="J1741">
        <v>5</v>
      </c>
      <c r="K1741">
        <v>3</v>
      </c>
      <c r="L1741">
        <v>5</v>
      </c>
      <c r="M1741">
        <v>5</v>
      </c>
      <c r="N1741">
        <v>10</v>
      </c>
      <c r="O1741">
        <v>0</v>
      </c>
      <c r="P1741">
        <v>0</v>
      </c>
      <c r="Q1741">
        <v>0</v>
      </c>
      <c r="R1741">
        <v>0</v>
      </c>
      <c r="S1741">
        <v>73</v>
      </c>
      <c r="T1741">
        <v>65</v>
      </c>
      <c r="U1741" s="5">
        <f>IF(Merge1[[#This Row],[team_defense_snaps]]=0, "", Merge1[[#This Row],[defense_snaps]] / Merge1[[#This Row],[team_defense_snaps]])</f>
        <v>0.97014925373134331</v>
      </c>
      <c r="V1741">
        <v>67</v>
      </c>
      <c r="W1741">
        <v>8</v>
      </c>
      <c r="X1741" s="5" t="s">
        <v>123</v>
      </c>
      <c r="Y1741">
        <v>8</v>
      </c>
      <c r="Z1741">
        <v>0</v>
      </c>
      <c r="AA1741" t="s">
        <v>25</v>
      </c>
      <c r="AB1741" t="s">
        <v>26</v>
      </c>
      <c r="AC1741" t="s">
        <v>27</v>
      </c>
      <c r="AD1741" t="s">
        <v>42</v>
      </c>
      <c r="AE1741" t="s">
        <v>25</v>
      </c>
      <c r="AF17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0.1095890410958904</v>
      </c>
      <c r="AG1741" t="s">
        <v>942</v>
      </c>
      <c r="AH1741">
        <v>48</v>
      </c>
      <c r="AI1741" t="s">
        <v>939</v>
      </c>
      <c r="AJ1741">
        <v>3</v>
      </c>
      <c r="AK17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MIN(AJ1741/8, 1) +
  Merge1[[#This Row],[index_defensive_effort]],
  2
)</f>
        <v>1.18</v>
      </c>
    </row>
    <row r="1742" spans="1:37" x14ac:dyDescent="0.25">
      <c r="A1742" t="s">
        <v>513</v>
      </c>
      <c r="B1742" t="s">
        <v>514</v>
      </c>
      <c r="C1742">
        <v>33</v>
      </c>
      <c r="D1742" t="s">
        <v>56</v>
      </c>
      <c r="E1742">
        <v>72</v>
      </c>
      <c r="F1742">
        <v>200</v>
      </c>
      <c r="G1742" t="s">
        <v>339</v>
      </c>
      <c r="H1742">
        <v>2020</v>
      </c>
      <c r="I1742" t="s">
        <v>33</v>
      </c>
      <c r="J1742">
        <v>6</v>
      </c>
      <c r="K1742">
        <v>5</v>
      </c>
      <c r="L1742">
        <v>2</v>
      </c>
      <c r="M1742">
        <v>1</v>
      </c>
      <c r="N1742">
        <v>3</v>
      </c>
      <c r="O1742">
        <v>0</v>
      </c>
      <c r="P1742">
        <v>0</v>
      </c>
      <c r="Q1742">
        <v>0</v>
      </c>
      <c r="R1742">
        <v>0</v>
      </c>
      <c r="S1742">
        <v>78</v>
      </c>
      <c r="T1742">
        <v>73</v>
      </c>
      <c r="U1742" s="5">
        <f>IF(Merge1[[#This Row],[team_defense_snaps]]=0, "", Merge1[[#This Row],[defense_snaps]] / Merge1[[#This Row],[team_defense_snaps]])</f>
        <v>0.97333333333333338</v>
      </c>
      <c r="V1742">
        <v>75</v>
      </c>
      <c r="W1742">
        <v>5</v>
      </c>
      <c r="X1742" s="5" t="s">
        <v>58</v>
      </c>
      <c r="Y1742">
        <v>8</v>
      </c>
      <c r="Z1742">
        <v>0</v>
      </c>
      <c r="AA1742" t="s">
        <v>25</v>
      </c>
      <c r="AB1742" t="s">
        <v>26</v>
      </c>
      <c r="AC1742" t="s">
        <v>27</v>
      </c>
      <c r="AD1742" t="s">
        <v>42</v>
      </c>
      <c r="AE1742" t="s">
        <v>25</v>
      </c>
      <c r="AF17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1742" t="s">
        <v>942</v>
      </c>
      <c r="AH1742">
        <v>48</v>
      </c>
      <c r="AI1742" t="s">
        <v>939</v>
      </c>
      <c r="AJ1742">
        <v>1</v>
      </c>
      <c r="AK17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MIN(AJ1742/8, 1) +
  Merge1[[#This Row],[index_defensive_effort]],
  2
)</f>
        <v>0.91</v>
      </c>
    </row>
    <row r="1743" spans="1:37" x14ac:dyDescent="0.25">
      <c r="A1743" t="s">
        <v>513</v>
      </c>
      <c r="B1743" t="s">
        <v>514</v>
      </c>
      <c r="C1743">
        <v>33</v>
      </c>
      <c r="D1743" t="s">
        <v>56</v>
      </c>
      <c r="E1743">
        <v>72</v>
      </c>
      <c r="F1743">
        <v>200</v>
      </c>
      <c r="G1743" t="s">
        <v>339</v>
      </c>
      <c r="H1743">
        <v>2020</v>
      </c>
      <c r="I1743" t="s">
        <v>33</v>
      </c>
      <c r="J1743">
        <v>14</v>
      </c>
      <c r="K1743">
        <v>1</v>
      </c>
      <c r="L1743">
        <v>1</v>
      </c>
      <c r="M1743">
        <v>0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40</v>
      </c>
      <c r="T1743">
        <v>32</v>
      </c>
      <c r="U1743" s="5">
        <f>IF(Merge1[[#This Row],[team_defense_snaps]]=0, "", Merge1[[#This Row],[defense_snaps]] / Merge1[[#This Row],[team_defense_snaps]])</f>
        <v>0.56140350877192979</v>
      </c>
      <c r="V1743">
        <v>57</v>
      </c>
      <c r="W1743">
        <v>8</v>
      </c>
      <c r="X1743" s="5" t="s">
        <v>113</v>
      </c>
      <c r="Y1743">
        <v>8</v>
      </c>
      <c r="Z1743">
        <v>0</v>
      </c>
      <c r="AA1743" t="s">
        <v>25</v>
      </c>
      <c r="AB1743" t="s">
        <v>26</v>
      </c>
      <c r="AC1743" t="s">
        <v>27</v>
      </c>
      <c r="AD1743" t="s">
        <v>28</v>
      </c>
      <c r="AE1743" t="s">
        <v>25</v>
      </c>
      <c r="AF17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3.7499999999999999E-2</v>
      </c>
      <c r="AG1743" t="s">
        <v>942</v>
      </c>
      <c r="AH1743">
        <v>62</v>
      </c>
      <c r="AI1743" t="s">
        <v>939</v>
      </c>
      <c r="AJ1743">
        <v>1</v>
      </c>
      <c r="AK17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MIN(AJ1743/8, 1) +
  Merge1[[#This Row],[index_defensive_effort]],
  2
)</f>
        <v>0.86</v>
      </c>
    </row>
    <row r="1744" spans="1:37" x14ac:dyDescent="0.25">
      <c r="A1744" t="s">
        <v>513</v>
      </c>
      <c r="B1744" t="s">
        <v>514</v>
      </c>
      <c r="C1744">
        <v>33</v>
      </c>
      <c r="D1744" t="s">
        <v>56</v>
      </c>
      <c r="E1744">
        <v>72</v>
      </c>
      <c r="F1744">
        <v>200</v>
      </c>
      <c r="G1744" t="s">
        <v>339</v>
      </c>
      <c r="H1744">
        <v>2020</v>
      </c>
      <c r="I1744" t="s">
        <v>33</v>
      </c>
      <c r="J1744">
        <v>17</v>
      </c>
      <c r="K1744">
        <v>3</v>
      </c>
      <c r="L1744">
        <v>1</v>
      </c>
      <c r="M1744">
        <v>1</v>
      </c>
      <c r="N1744">
        <v>2</v>
      </c>
      <c r="O1744">
        <v>0</v>
      </c>
      <c r="P1744">
        <v>0</v>
      </c>
      <c r="Q1744">
        <v>2</v>
      </c>
      <c r="R1744">
        <v>0</v>
      </c>
      <c r="S1744">
        <v>50</v>
      </c>
      <c r="T1744">
        <v>48</v>
      </c>
      <c r="U1744" s="5">
        <f>IF(Merge1[[#This Row],[team_defense_snaps]]=0, "", Merge1[[#This Row],[defense_snaps]] / Merge1[[#This Row],[team_defense_snaps]])</f>
        <v>0.5714285714285714</v>
      </c>
      <c r="V1744">
        <v>84</v>
      </c>
      <c r="W1744">
        <v>2</v>
      </c>
      <c r="X1744" s="5" t="s">
        <v>114</v>
      </c>
      <c r="Y1744">
        <v>8</v>
      </c>
      <c r="Z1744">
        <v>0</v>
      </c>
      <c r="AA1744" t="s">
        <v>25</v>
      </c>
      <c r="AB1744" t="s">
        <v>26</v>
      </c>
      <c r="AC1744" t="s">
        <v>27</v>
      </c>
      <c r="AD1744" t="s">
        <v>42</v>
      </c>
      <c r="AE1744" t="s">
        <v>25</v>
      </c>
      <c r="AF17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0.24</v>
      </c>
      <c r="AG1744" t="s">
        <v>942</v>
      </c>
      <c r="AH1744">
        <v>48</v>
      </c>
      <c r="AI1744" t="s">
        <v>939</v>
      </c>
      <c r="AJ1744">
        <v>2</v>
      </c>
      <c r="AK17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MIN(AJ1744/8, 1) +
  Merge1[[#This Row],[index_defensive_effort]],
  2
)</f>
        <v>1.19</v>
      </c>
    </row>
    <row r="1745" spans="1:37" x14ac:dyDescent="0.25">
      <c r="A1745" t="s">
        <v>513</v>
      </c>
      <c r="B1745" t="s">
        <v>514</v>
      </c>
      <c r="C1745">
        <v>33</v>
      </c>
      <c r="D1745" t="s">
        <v>56</v>
      </c>
      <c r="E1745">
        <v>72</v>
      </c>
      <c r="F1745">
        <v>200</v>
      </c>
      <c r="G1745" t="s">
        <v>339</v>
      </c>
      <c r="H1745">
        <v>2020</v>
      </c>
      <c r="I1745" t="s">
        <v>24</v>
      </c>
      <c r="J1745">
        <v>18</v>
      </c>
      <c r="K1745">
        <v>0</v>
      </c>
      <c r="L1745">
        <v>2</v>
      </c>
      <c r="M1745">
        <v>2</v>
      </c>
      <c r="N1745">
        <v>4</v>
      </c>
      <c r="O1745">
        <v>0</v>
      </c>
      <c r="P1745">
        <v>0</v>
      </c>
      <c r="Q1745">
        <v>0</v>
      </c>
      <c r="R1745">
        <v>0</v>
      </c>
      <c r="S1745">
        <v>38</v>
      </c>
      <c r="T1745">
        <v>34</v>
      </c>
      <c r="U1745" s="5">
        <f>IF(Merge1[[#This Row],[team_defense_snaps]]=0, "", Merge1[[#This Row],[defense_snaps]] / Merge1[[#This Row],[team_defense_snaps]])</f>
        <v>0.43037974683544306</v>
      </c>
      <c r="V1745">
        <v>79</v>
      </c>
      <c r="W1745">
        <v>4</v>
      </c>
      <c r="X1745" s="5" t="s">
        <v>168</v>
      </c>
      <c r="Y1745">
        <v>8</v>
      </c>
      <c r="Z1745">
        <v>0</v>
      </c>
      <c r="AA1745" t="s">
        <v>25</v>
      </c>
      <c r="AB1745" t="s">
        <v>26</v>
      </c>
      <c r="AC1745" t="s">
        <v>27</v>
      </c>
      <c r="AD1745" t="s">
        <v>28</v>
      </c>
      <c r="AE1745" t="s">
        <v>25</v>
      </c>
      <c r="AF17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5.2631578947368418E-2</v>
      </c>
      <c r="AG1745" t="s">
        <v>942</v>
      </c>
      <c r="AH1745">
        <v>60.5</v>
      </c>
      <c r="AI1745" t="s">
        <v>939</v>
      </c>
      <c r="AJ1745">
        <v>3</v>
      </c>
      <c r="AK17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MIN(AJ1745/8, 1) +
  Merge1[[#This Row],[index_defensive_effort]],
  2
)</f>
        <v>1.33</v>
      </c>
    </row>
    <row r="1746" spans="1:37" x14ac:dyDescent="0.25">
      <c r="A1746" t="s">
        <v>513</v>
      </c>
      <c r="B1746" t="s">
        <v>514</v>
      </c>
      <c r="C1746">
        <v>33</v>
      </c>
      <c r="D1746" t="s">
        <v>56</v>
      </c>
      <c r="E1746">
        <v>72</v>
      </c>
      <c r="F1746">
        <v>200</v>
      </c>
      <c r="G1746" t="s">
        <v>339</v>
      </c>
      <c r="H1746">
        <v>2020</v>
      </c>
      <c r="I1746" t="s">
        <v>24</v>
      </c>
      <c r="J1746">
        <v>19</v>
      </c>
      <c r="K1746">
        <v>2</v>
      </c>
      <c r="L1746">
        <v>1</v>
      </c>
      <c r="M1746">
        <v>0</v>
      </c>
      <c r="N1746">
        <v>1</v>
      </c>
      <c r="O1746">
        <v>0</v>
      </c>
      <c r="P1746">
        <v>0</v>
      </c>
      <c r="Q1746">
        <v>0</v>
      </c>
      <c r="R1746">
        <v>2</v>
      </c>
      <c r="S1746">
        <v>43</v>
      </c>
      <c r="T1746">
        <v>39</v>
      </c>
      <c r="U1746" s="5">
        <f>IF(Merge1[[#This Row],[team_defense_snaps]]=0, "", Merge1[[#This Row],[defense_snaps]] / Merge1[[#This Row],[team_defense_snaps]])</f>
        <v>0.51315789473684215</v>
      </c>
      <c r="V1746">
        <v>76</v>
      </c>
      <c r="W1746">
        <v>4</v>
      </c>
      <c r="X1746" s="5" t="s">
        <v>124</v>
      </c>
      <c r="Y1746">
        <v>8</v>
      </c>
      <c r="Z1746">
        <v>0</v>
      </c>
      <c r="AA1746" t="s">
        <v>25</v>
      </c>
      <c r="AB1746" t="s">
        <v>26</v>
      </c>
      <c r="AC1746" t="s">
        <v>27</v>
      </c>
      <c r="AD1746" t="s">
        <v>28</v>
      </c>
      <c r="AE1746" t="s">
        <v>25</v>
      </c>
      <c r="AF17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0.15116279069767441</v>
      </c>
      <c r="AG1746" t="s">
        <v>942</v>
      </c>
      <c r="AH1746">
        <v>44</v>
      </c>
      <c r="AI1746" t="s">
        <v>939</v>
      </c>
      <c r="AJ1746">
        <v>4</v>
      </c>
      <c r="AK17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MIN(AJ1746/8, 1) +
  Merge1[[#This Row],[index_defensive_effort]],
  2
)</f>
        <v>1.55</v>
      </c>
    </row>
    <row r="1747" spans="1:37" x14ac:dyDescent="0.25">
      <c r="A1747" t="s">
        <v>513</v>
      </c>
      <c r="B1747" t="s">
        <v>514</v>
      </c>
      <c r="C1747">
        <v>33</v>
      </c>
      <c r="D1747" t="s">
        <v>56</v>
      </c>
      <c r="E1747">
        <v>72</v>
      </c>
      <c r="F1747">
        <v>200</v>
      </c>
      <c r="G1747" t="s">
        <v>339</v>
      </c>
      <c r="H1747">
        <v>2020</v>
      </c>
      <c r="I1747" t="s">
        <v>24</v>
      </c>
      <c r="J1747">
        <v>20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35</v>
      </c>
      <c r="T1747">
        <v>30</v>
      </c>
      <c r="U1747" s="5">
        <f>IF(Merge1[[#This Row],[team_defense_snaps]]=0, "", Merge1[[#This Row],[defense_snaps]] / Merge1[[#This Row],[team_defense_snaps]])</f>
        <v>0.46153846153846156</v>
      </c>
      <c r="V1747">
        <v>65</v>
      </c>
      <c r="W1747">
        <v>5</v>
      </c>
      <c r="X1747" s="5" t="s">
        <v>124</v>
      </c>
      <c r="Y1747">
        <v>8</v>
      </c>
      <c r="Z1747">
        <v>0</v>
      </c>
      <c r="AA1747" t="s">
        <v>25</v>
      </c>
      <c r="AB1747" t="s">
        <v>26</v>
      </c>
      <c r="AC1747" t="s">
        <v>27</v>
      </c>
      <c r="AD1747" t="s">
        <v>28</v>
      </c>
      <c r="AE1747" t="s">
        <v>25</v>
      </c>
      <c r="AF17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2.8571428571428571E-2</v>
      </c>
      <c r="AG1747" t="s">
        <v>942</v>
      </c>
      <c r="AH1747">
        <v>48.5</v>
      </c>
      <c r="AI1747" t="s">
        <v>939</v>
      </c>
      <c r="AJ1747">
        <v>1</v>
      </c>
      <c r="AK17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MIN(AJ1747/8, 1) +
  Merge1[[#This Row],[index_defensive_effort]],
  2
)</f>
        <v>1.05</v>
      </c>
    </row>
    <row r="1748" spans="1:37" x14ac:dyDescent="0.25">
      <c r="A1748" t="s">
        <v>499</v>
      </c>
      <c r="B1748" t="s">
        <v>500</v>
      </c>
      <c r="C1748">
        <v>25</v>
      </c>
      <c r="D1748" t="s">
        <v>22</v>
      </c>
      <c r="E1748">
        <v>72</v>
      </c>
      <c r="F1748">
        <v>203</v>
      </c>
      <c r="G1748" t="s">
        <v>130</v>
      </c>
      <c r="H1748">
        <v>2020</v>
      </c>
      <c r="I1748" t="s">
        <v>33</v>
      </c>
      <c r="J1748">
        <v>1</v>
      </c>
      <c r="K1748">
        <v>1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2</v>
      </c>
      <c r="S1748">
        <v>18</v>
      </c>
      <c r="T1748">
        <v>3</v>
      </c>
      <c r="U1748" s="5">
        <f>IF(Merge1[[#This Row],[team_defense_snaps]]=0, "", Merge1[[#This Row],[defense_snaps]] / Merge1[[#This Row],[team_defense_snaps]])</f>
        <v>0.05</v>
      </c>
      <c r="V1748">
        <v>60</v>
      </c>
      <c r="W1748">
        <v>15</v>
      </c>
      <c r="X1748" s="5" t="s">
        <v>256</v>
      </c>
      <c r="Y1748">
        <v>2</v>
      </c>
      <c r="Z1748">
        <v>0</v>
      </c>
      <c r="AA1748" t="s">
        <v>25</v>
      </c>
      <c r="AB1748" t="s">
        <v>26</v>
      </c>
      <c r="AC1748" t="s">
        <v>27</v>
      </c>
      <c r="AD1748" t="s">
        <v>28</v>
      </c>
      <c r="AE1748" t="s">
        <v>25</v>
      </c>
      <c r="AF17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0.27777777777777779</v>
      </c>
      <c r="AG1748" t="s">
        <v>941</v>
      </c>
      <c r="AH1748">
        <v>78</v>
      </c>
      <c r="AI1748" t="s">
        <v>939</v>
      </c>
      <c r="AJ1748">
        <v>1</v>
      </c>
      <c r="AK17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MIN(AJ1748/8, 1) +
  Merge1[[#This Row],[index_defensive_effort]],
  2
)</f>
        <v>0.9</v>
      </c>
    </row>
    <row r="1749" spans="1:37" x14ac:dyDescent="0.25">
      <c r="A1749" t="s">
        <v>499</v>
      </c>
      <c r="B1749" t="s">
        <v>500</v>
      </c>
      <c r="C1749">
        <v>25</v>
      </c>
      <c r="D1749" t="s">
        <v>22</v>
      </c>
      <c r="E1749">
        <v>72</v>
      </c>
      <c r="F1749">
        <v>203</v>
      </c>
      <c r="G1749" t="s">
        <v>130</v>
      </c>
      <c r="H1749">
        <v>2020</v>
      </c>
      <c r="I1749" t="s">
        <v>33</v>
      </c>
      <c r="J1749">
        <v>11</v>
      </c>
      <c r="K1749">
        <v>3</v>
      </c>
      <c r="L1749">
        <v>1</v>
      </c>
      <c r="M1749">
        <v>0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38</v>
      </c>
      <c r="T1749">
        <v>18</v>
      </c>
      <c r="U1749" s="5">
        <f>IF(Merge1[[#This Row],[team_defense_snaps]]=0, "", Merge1[[#This Row],[defense_snaps]] / Merge1[[#This Row],[team_defense_snaps]])</f>
        <v>0.27692307692307694</v>
      </c>
      <c r="V1749">
        <v>65</v>
      </c>
      <c r="W1749">
        <v>20</v>
      </c>
      <c r="X1749" s="5" t="s">
        <v>110</v>
      </c>
      <c r="Y1749">
        <v>2</v>
      </c>
      <c r="Z1749">
        <v>0</v>
      </c>
      <c r="AA1749" t="s">
        <v>25</v>
      </c>
      <c r="AB1749" t="s">
        <v>26</v>
      </c>
      <c r="AC1749" t="s">
        <v>27</v>
      </c>
      <c r="AD1749" t="s">
        <v>28</v>
      </c>
      <c r="AE1749" t="s">
        <v>25</v>
      </c>
      <c r="AF17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9.2105263157894732E-2</v>
      </c>
      <c r="AG1749" t="s">
        <v>941</v>
      </c>
      <c r="AH1749">
        <v>63</v>
      </c>
      <c r="AI1749" t="s">
        <v>939</v>
      </c>
      <c r="AJ1749">
        <v>1</v>
      </c>
      <c r="AK17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MIN(AJ1749/8, 1) +
  Merge1[[#This Row],[index_defensive_effort]],
  2
)</f>
        <v>0.72</v>
      </c>
    </row>
    <row r="1750" spans="1:37" x14ac:dyDescent="0.25">
      <c r="A1750" t="s">
        <v>499</v>
      </c>
      <c r="B1750" t="s">
        <v>500</v>
      </c>
      <c r="C1750">
        <v>25</v>
      </c>
      <c r="D1750" t="s">
        <v>22</v>
      </c>
      <c r="E1750">
        <v>72</v>
      </c>
      <c r="F1750">
        <v>203</v>
      </c>
      <c r="G1750" t="s">
        <v>130</v>
      </c>
      <c r="H1750">
        <v>2020</v>
      </c>
      <c r="I1750" t="s">
        <v>33</v>
      </c>
      <c r="J1750">
        <v>14</v>
      </c>
      <c r="K1750">
        <v>1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45</v>
      </c>
      <c r="T1750">
        <v>31</v>
      </c>
      <c r="U1750" s="5">
        <f>IF(Merge1[[#This Row],[team_defense_snaps]]=0, "", Merge1[[#This Row],[defense_snaps]] / Merge1[[#This Row],[team_defense_snaps]])</f>
        <v>0.43661971830985913</v>
      </c>
      <c r="V1750">
        <v>71</v>
      </c>
      <c r="W1750">
        <v>14</v>
      </c>
      <c r="X1750" s="5" t="s">
        <v>111</v>
      </c>
      <c r="Y1750">
        <v>2</v>
      </c>
      <c r="Z1750">
        <v>0</v>
      </c>
      <c r="AA1750" t="s">
        <v>25</v>
      </c>
      <c r="AB1750" t="s">
        <v>26</v>
      </c>
      <c r="AC1750" t="s">
        <v>27</v>
      </c>
      <c r="AD1750" t="s">
        <v>28</v>
      </c>
      <c r="AE1750" t="s">
        <v>25</v>
      </c>
      <c r="AF17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2.2222222222222223E-2</v>
      </c>
      <c r="AG1750" t="s">
        <v>941</v>
      </c>
      <c r="AH1750">
        <v>58.5</v>
      </c>
      <c r="AI1750" t="s">
        <v>939</v>
      </c>
      <c r="AJ1750">
        <v>2</v>
      </c>
      <c r="AK17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MIN(AJ1750/8, 1) +
  Merge1[[#This Row],[index_defensive_effort]],
  2
)</f>
        <v>0.77</v>
      </c>
    </row>
    <row r="1751" spans="1:37" x14ac:dyDescent="0.25">
      <c r="A1751" t="s">
        <v>499</v>
      </c>
      <c r="B1751" t="s">
        <v>500</v>
      </c>
      <c r="C1751">
        <v>25</v>
      </c>
      <c r="D1751" t="s">
        <v>22</v>
      </c>
      <c r="E1751">
        <v>72</v>
      </c>
      <c r="F1751">
        <v>203</v>
      </c>
      <c r="G1751" t="s">
        <v>130</v>
      </c>
      <c r="H1751">
        <v>2020</v>
      </c>
      <c r="I1751" t="s">
        <v>33</v>
      </c>
      <c r="J1751">
        <v>15</v>
      </c>
      <c r="K1751">
        <v>2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33</v>
      </c>
      <c r="T1751">
        <v>18</v>
      </c>
      <c r="U1751" s="5">
        <f>IF(Merge1[[#This Row],[team_defense_snaps]]=0, "", Merge1[[#This Row],[defense_snaps]] / Merge1[[#This Row],[team_defense_snaps]])</f>
        <v>0.27692307692307694</v>
      </c>
      <c r="V1751">
        <v>65</v>
      </c>
      <c r="W1751">
        <v>15</v>
      </c>
      <c r="X1751" s="5" t="s">
        <v>189</v>
      </c>
      <c r="Y1751">
        <v>2</v>
      </c>
      <c r="Z1751">
        <v>0</v>
      </c>
      <c r="AA1751" t="s">
        <v>25</v>
      </c>
      <c r="AB1751" t="s">
        <v>26</v>
      </c>
      <c r="AC1751" t="s">
        <v>27</v>
      </c>
      <c r="AD1751" t="s">
        <v>28</v>
      </c>
      <c r="AE1751" t="s">
        <v>25</v>
      </c>
      <c r="AF17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6.0606060606060608E-2</v>
      </c>
      <c r="AG1751" t="s">
        <v>941</v>
      </c>
      <c r="AH1751">
        <v>57</v>
      </c>
      <c r="AI1751" t="s">
        <v>939</v>
      </c>
      <c r="AJ1751">
        <v>1</v>
      </c>
      <c r="AK17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MIN(AJ1751/8, 1) +
  Merge1[[#This Row],[index_defensive_effort]],
  2
)</f>
        <v>0.69</v>
      </c>
    </row>
    <row r="1752" spans="1:37" x14ac:dyDescent="0.25">
      <c r="A1752" t="s">
        <v>533</v>
      </c>
      <c r="B1752" t="s">
        <v>534</v>
      </c>
      <c r="C1752">
        <v>21</v>
      </c>
      <c r="D1752" t="s">
        <v>56</v>
      </c>
      <c r="E1752">
        <v>69</v>
      </c>
      <c r="F1752">
        <v>185</v>
      </c>
      <c r="G1752" t="s">
        <v>180</v>
      </c>
      <c r="H1752">
        <v>2020</v>
      </c>
      <c r="I1752" t="s">
        <v>33</v>
      </c>
      <c r="J1752">
        <v>7</v>
      </c>
      <c r="K1752">
        <v>1</v>
      </c>
      <c r="L1752">
        <v>0</v>
      </c>
      <c r="M1752">
        <v>0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2</v>
      </c>
      <c r="T1752">
        <v>2</v>
      </c>
      <c r="U1752" s="5">
        <f>IF(Merge1[[#This Row],[team_defense_snaps]]=0, "", Merge1[[#This Row],[defense_snaps]] / Merge1[[#This Row],[team_defense_snaps]])</f>
        <v>0.02</v>
      </c>
      <c r="V1752">
        <v>100</v>
      </c>
      <c r="W1752">
        <v>0</v>
      </c>
      <c r="X1752" s="5" t="s">
        <v>29</v>
      </c>
      <c r="Y1752">
        <v>0</v>
      </c>
      <c r="Z1752">
        <v>0</v>
      </c>
      <c r="AA1752" t="s">
        <v>25</v>
      </c>
      <c r="AB1752" t="s">
        <v>26</v>
      </c>
      <c r="AC1752" t="s">
        <v>27</v>
      </c>
      <c r="AD1752" t="s">
        <v>28</v>
      </c>
      <c r="AE1752" t="s">
        <v>25</v>
      </c>
      <c r="AF17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1752" t="s">
        <v>941</v>
      </c>
      <c r="AH1752">
        <v>71</v>
      </c>
      <c r="AI1752" t="s">
        <v>939</v>
      </c>
      <c r="AJ1752">
        <v>1</v>
      </c>
      <c r="AK17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MIN(AJ1752/8, 1) +
  Merge1[[#This Row],[index_defensive_effort]],
  2
)</f>
        <v>1.63</v>
      </c>
    </row>
    <row r="1753" spans="1:37" x14ac:dyDescent="0.25">
      <c r="A1753" t="s">
        <v>533</v>
      </c>
      <c r="B1753" t="s">
        <v>534</v>
      </c>
      <c r="C1753">
        <v>21</v>
      </c>
      <c r="D1753" t="s">
        <v>56</v>
      </c>
      <c r="E1753">
        <v>69</v>
      </c>
      <c r="F1753">
        <v>185</v>
      </c>
      <c r="G1753" t="s">
        <v>180</v>
      </c>
      <c r="H1753">
        <v>2020</v>
      </c>
      <c r="I1753" t="s">
        <v>33</v>
      </c>
      <c r="J1753">
        <v>11</v>
      </c>
      <c r="K1753">
        <v>1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4</v>
      </c>
      <c r="T1753">
        <v>4</v>
      </c>
      <c r="U1753" s="5">
        <f>IF(Merge1[[#This Row],[team_defense_snaps]]=0, "", Merge1[[#This Row],[defense_snaps]] / Merge1[[#This Row],[team_defense_snaps]])</f>
        <v>0.05</v>
      </c>
      <c r="V1753">
        <v>80</v>
      </c>
      <c r="W1753">
        <v>0</v>
      </c>
      <c r="X1753" s="5" t="s">
        <v>29</v>
      </c>
      <c r="Y1753">
        <v>0</v>
      </c>
      <c r="Z1753">
        <v>0</v>
      </c>
      <c r="AA1753" t="s">
        <v>25</v>
      </c>
      <c r="AB1753" t="s">
        <v>26</v>
      </c>
      <c r="AC1753" t="s">
        <v>27</v>
      </c>
      <c r="AD1753" t="s">
        <v>28</v>
      </c>
      <c r="AE1753" t="s">
        <v>25</v>
      </c>
      <c r="AF17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</v>
      </c>
      <c r="AG1753" t="s">
        <v>941</v>
      </c>
      <c r="AH1753">
        <v>66.5</v>
      </c>
      <c r="AI1753" t="s">
        <v>939</v>
      </c>
      <c r="AJ1753">
        <v>2</v>
      </c>
      <c r="AK17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MIN(AJ1753/8, 1) +
  Merge1[[#This Row],[index_defensive_effort]],
  2
)</f>
        <v>1</v>
      </c>
    </row>
    <row r="1754" spans="1:37" x14ac:dyDescent="0.25">
      <c r="A1754" t="s">
        <v>533</v>
      </c>
      <c r="B1754" t="s">
        <v>534</v>
      </c>
      <c r="C1754">
        <v>21</v>
      </c>
      <c r="D1754" t="s">
        <v>56</v>
      </c>
      <c r="E1754">
        <v>69</v>
      </c>
      <c r="F1754">
        <v>185</v>
      </c>
      <c r="G1754" t="s">
        <v>180</v>
      </c>
      <c r="H1754">
        <v>2020</v>
      </c>
      <c r="I1754" t="s">
        <v>33</v>
      </c>
      <c r="J1754">
        <v>12</v>
      </c>
      <c r="K1754">
        <v>4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24</v>
      </c>
      <c r="T1754">
        <v>24</v>
      </c>
      <c r="U1754" s="5">
        <f>IF(Merge1[[#This Row],[team_defense_snaps]]=0, "", Merge1[[#This Row],[defense_snaps]] / Merge1[[#This Row],[team_defense_snaps]])</f>
        <v>0.35820895522388058</v>
      </c>
      <c r="V1754">
        <v>67</v>
      </c>
      <c r="W1754">
        <v>0</v>
      </c>
      <c r="X1754" s="5" t="s">
        <v>29</v>
      </c>
      <c r="Y1754">
        <v>0</v>
      </c>
      <c r="Z1754">
        <v>0</v>
      </c>
      <c r="AA1754" t="s">
        <v>25</v>
      </c>
      <c r="AB1754" t="s">
        <v>26</v>
      </c>
      <c r="AC1754" t="s">
        <v>27</v>
      </c>
      <c r="AD1754" t="s">
        <v>28</v>
      </c>
      <c r="AE1754" t="s">
        <v>25</v>
      </c>
      <c r="AF17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AG1754" t="s">
        <v>941</v>
      </c>
      <c r="AH1754">
        <v>68</v>
      </c>
      <c r="AI1754" t="s">
        <v>939</v>
      </c>
      <c r="AJ1754">
        <v>3</v>
      </c>
      <c r="AK17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MIN(AJ1754/8, 1) +
  Merge1[[#This Row],[index_defensive_effort]],
  2
)</f>
        <v>1.04</v>
      </c>
    </row>
    <row r="1755" spans="1:37" x14ac:dyDescent="0.25">
      <c r="A1755" t="s">
        <v>533</v>
      </c>
      <c r="B1755" t="s">
        <v>534</v>
      </c>
      <c r="C1755">
        <v>21</v>
      </c>
      <c r="D1755" t="s">
        <v>56</v>
      </c>
      <c r="E1755">
        <v>69</v>
      </c>
      <c r="F1755">
        <v>185</v>
      </c>
      <c r="G1755" t="s">
        <v>180</v>
      </c>
      <c r="H1755">
        <v>2020</v>
      </c>
      <c r="I1755" t="s">
        <v>33</v>
      </c>
      <c r="J1755">
        <v>13</v>
      </c>
      <c r="K1755">
        <v>2</v>
      </c>
      <c r="L1755">
        <v>1</v>
      </c>
      <c r="M1755">
        <v>0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28</v>
      </c>
      <c r="T1755">
        <v>28</v>
      </c>
      <c r="U1755" s="5">
        <f>IF(Merge1[[#This Row],[team_defense_snaps]]=0, "", Merge1[[#This Row],[defense_snaps]] / Merge1[[#This Row],[team_defense_snaps]])</f>
        <v>0.30434782608695654</v>
      </c>
      <c r="V1755">
        <v>92</v>
      </c>
      <c r="W1755">
        <v>0</v>
      </c>
      <c r="X1755" s="5" t="s">
        <v>29</v>
      </c>
      <c r="Y1755">
        <v>0</v>
      </c>
      <c r="Z1755">
        <v>0</v>
      </c>
      <c r="AA1755" t="s">
        <v>25</v>
      </c>
      <c r="AB1755" t="s">
        <v>26</v>
      </c>
      <c r="AC1755" t="s">
        <v>27</v>
      </c>
      <c r="AD1755" t="s">
        <v>28</v>
      </c>
      <c r="AE1755" t="s">
        <v>25</v>
      </c>
      <c r="AF17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8.9285714285714288E-2</v>
      </c>
      <c r="AG1755" t="s">
        <v>941</v>
      </c>
      <c r="AH1755">
        <v>69.5</v>
      </c>
      <c r="AI1755" t="s">
        <v>939</v>
      </c>
      <c r="AJ1755">
        <v>4</v>
      </c>
      <c r="AK17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MIN(AJ1755/8, 1) +
  Merge1[[#This Row],[index_defensive_effort]],
  2
)</f>
        <v>1.0900000000000001</v>
      </c>
    </row>
    <row r="1756" spans="1:37" x14ac:dyDescent="0.25">
      <c r="A1756" t="s">
        <v>533</v>
      </c>
      <c r="B1756" t="s">
        <v>534</v>
      </c>
      <c r="C1756">
        <v>21</v>
      </c>
      <c r="D1756" t="s">
        <v>56</v>
      </c>
      <c r="E1756">
        <v>69</v>
      </c>
      <c r="F1756">
        <v>185</v>
      </c>
      <c r="G1756" t="s">
        <v>180</v>
      </c>
      <c r="H1756">
        <v>2020</v>
      </c>
      <c r="I1756" t="s">
        <v>33</v>
      </c>
      <c r="J1756">
        <v>14</v>
      </c>
      <c r="K1756">
        <v>2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5</v>
      </c>
      <c r="T1756">
        <v>5</v>
      </c>
      <c r="U1756" s="5">
        <f>IF(Merge1[[#This Row],[team_defense_snaps]]=0, "", Merge1[[#This Row],[defense_snaps]] / Merge1[[#This Row],[team_defense_snaps]])</f>
        <v>7.4626865671641784E-2</v>
      </c>
      <c r="V1756">
        <v>67</v>
      </c>
      <c r="W1756">
        <v>0</v>
      </c>
      <c r="X1756" s="5" t="s">
        <v>29</v>
      </c>
      <c r="Y1756">
        <v>0</v>
      </c>
      <c r="Z1756">
        <v>0</v>
      </c>
      <c r="AA1756" t="s">
        <v>25</v>
      </c>
      <c r="AB1756" t="s">
        <v>26</v>
      </c>
      <c r="AC1756" t="s">
        <v>27</v>
      </c>
      <c r="AD1756" t="s">
        <v>28</v>
      </c>
      <c r="AE1756" t="s">
        <v>25</v>
      </c>
      <c r="AF17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</v>
      </c>
      <c r="AG1756" t="s">
        <v>941</v>
      </c>
      <c r="AH1756">
        <v>77</v>
      </c>
      <c r="AI1756" t="s">
        <v>939</v>
      </c>
      <c r="AJ1756">
        <v>1</v>
      </c>
      <c r="AK17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MIN(AJ1756/8, 1) +
  Merge1[[#This Row],[index_defensive_effort]],
  2
)</f>
        <v>1.03</v>
      </c>
    </row>
    <row r="1757" spans="1:37" x14ac:dyDescent="0.25">
      <c r="A1757" t="s">
        <v>533</v>
      </c>
      <c r="B1757" t="s">
        <v>534</v>
      </c>
      <c r="C1757">
        <v>21</v>
      </c>
      <c r="D1757" t="s">
        <v>56</v>
      </c>
      <c r="E1757">
        <v>69</v>
      </c>
      <c r="F1757">
        <v>185</v>
      </c>
      <c r="G1757" t="s">
        <v>180</v>
      </c>
      <c r="H1757">
        <v>2020</v>
      </c>
      <c r="I1757" t="s">
        <v>33</v>
      </c>
      <c r="J1757">
        <v>17</v>
      </c>
      <c r="K1757">
        <v>1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17</v>
      </c>
      <c r="T1757">
        <v>17</v>
      </c>
      <c r="U1757" s="5">
        <f>IF(Merge1[[#This Row],[team_defense_snaps]]=0, "", Merge1[[#This Row],[defense_snaps]] / Merge1[[#This Row],[team_defense_snaps]])</f>
        <v>0.25</v>
      </c>
      <c r="V1757">
        <v>68</v>
      </c>
      <c r="W1757">
        <v>0</v>
      </c>
      <c r="X1757" s="5" t="s">
        <v>29</v>
      </c>
      <c r="Y1757">
        <v>0</v>
      </c>
      <c r="Z1757">
        <v>0</v>
      </c>
      <c r="AA1757" t="s">
        <v>25</v>
      </c>
      <c r="AB1757" t="s">
        <v>26</v>
      </c>
      <c r="AC1757" t="s">
        <v>27</v>
      </c>
      <c r="AD1757" t="s">
        <v>28</v>
      </c>
      <c r="AE1757" t="s">
        <v>25</v>
      </c>
      <c r="AF17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AG1757" t="s">
        <v>941</v>
      </c>
      <c r="AH1757">
        <v>62</v>
      </c>
      <c r="AI1757" t="s">
        <v>939</v>
      </c>
      <c r="AJ1757">
        <v>1</v>
      </c>
      <c r="AK17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MIN(AJ1757/8, 1) +
  Merge1[[#This Row],[index_defensive_effort]],
  2
)</f>
        <v>0.68</v>
      </c>
    </row>
    <row r="1758" spans="1:37" x14ac:dyDescent="0.25">
      <c r="A1758" t="s">
        <v>503</v>
      </c>
      <c r="B1758" t="s">
        <v>504</v>
      </c>
      <c r="C1758">
        <v>25</v>
      </c>
      <c r="D1758" t="s">
        <v>56</v>
      </c>
      <c r="E1758">
        <v>70</v>
      </c>
      <c r="F1758">
        <v>190</v>
      </c>
      <c r="G1758" t="s">
        <v>78</v>
      </c>
      <c r="H1758">
        <v>2020</v>
      </c>
      <c r="I1758" t="s">
        <v>33</v>
      </c>
      <c r="J1758">
        <v>2</v>
      </c>
      <c r="K1758">
        <v>4</v>
      </c>
      <c r="L1758">
        <v>1</v>
      </c>
      <c r="M1758">
        <v>0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58</v>
      </c>
      <c r="T1758">
        <v>58</v>
      </c>
      <c r="U1758" s="5">
        <f>IF(Merge1[[#This Row],[team_defense_snaps]]=0, "", Merge1[[#This Row],[defense_snaps]] / Merge1[[#This Row],[team_defense_snaps]])</f>
        <v>0.76315789473684215</v>
      </c>
      <c r="V1758">
        <v>76</v>
      </c>
      <c r="W1758">
        <v>0</v>
      </c>
      <c r="X1758" s="5" t="s">
        <v>29</v>
      </c>
      <c r="Y1758">
        <v>3</v>
      </c>
      <c r="Z1758">
        <v>0</v>
      </c>
      <c r="AA1758" t="s">
        <v>25</v>
      </c>
      <c r="AB1758" t="s">
        <v>26</v>
      </c>
      <c r="AC1758" t="s">
        <v>27</v>
      </c>
      <c r="AD1758" t="s">
        <v>42</v>
      </c>
      <c r="AE1758" t="s">
        <v>25</v>
      </c>
      <c r="AF17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7.7586206896551727E-2</v>
      </c>
      <c r="AG1758" t="s">
        <v>942</v>
      </c>
      <c r="AH1758">
        <v>82</v>
      </c>
      <c r="AI1758" t="s">
        <v>939</v>
      </c>
      <c r="AJ1758">
        <v>2</v>
      </c>
      <c r="AK17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MIN(AJ1758/8, 1) +
  Merge1[[#This Row],[index_defensive_effort]],
  2
)</f>
        <v>0.83</v>
      </c>
    </row>
    <row r="1759" spans="1:37" x14ac:dyDescent="0.25">
      <c r="A1759" t="s">
        <v>503</v>
      </c>
      <c r="B1759" t="s">
        <v>504</v>
      </c>
      <c r="C1759">
        <v>25</v>
      </c>
      <c r="D1759" t="s">
        <v>56</v>
      </c>
      <c r="E1759">
        <v>70</v>
      </c>
      <c r="F1759">
        <v>190</v>
      </c>
      <c r="G1759" t="s">
        <v>78</v>
      </c>
      <c r="H1759">
        <v>2020</v>
      </c>
      <c r="I1759" t="s">
        <v>33</v>
      </c>
      <c r="J1759">
        <v>3</v>
      </c>
      <c r="K1759">
        <v>5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75</v>
      </c>
      <c r="T1759">
        <v>75</v>
      </c>
      <c r="U1759" s="5">
        <f>IF(Merge1[[#This Row],[team_defense_snaps]]=0, "", Merge1[[#This Row],[defense_snaps]] / Merge1[[#This Row],[team_defense_snaps]])</f>
        <v>0.98684210526315785</v>
      </c>
      <c r="V1759">
        <v>76</v>
      </c>
      <c r="W1759">
        <v>0</v>
      </c>
      <c r="X1759" s="5" t="s">
        <v>29</v>
      </c>
      <c r="Y1759">
        <v>3</v>
      </c>
      <c r="Z1759">
        <v>0</v>
      </c>
      <c r="AA1759" t="s">
        <v>25</v>
      </c>
      <c r="AB1759" t="s">
        <v>26</v>
      </c>
      <c r="AC1759" t="s">
        <v>27</v>
      </c>
      <c r="AD1759" t="s">
        <v>42</v>
      </c>
      <c r="AE1759" t="s">
        <v>25</v>
      </c>
      <c r="AF17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1759" t="s">
        <v>942</v>
      </c>
      <c r="AH1759">
        <v>76</v>
      </c>
      <c r="AI1759" t="s">
        <v>939</v>
      </c>
      <c r="AJ1759">
        <v>1</v>
      </c>
      <c r="AK17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MIN(AJ1759/8, 1) +
  Merge1[[#This Row],[index_defensive_effort]],
  2
)</f>
        <v>0.69</v>
      </c>
    </row>
    <row r="1760" spans="1:37" x14ac:dyDescent="0.25">
      <c r="A1760" t="s">
        <v>503</v>
      </c>
      <c r="B1760" t="s">
        <v>504</v>
      </c>
      <c r="C1760">
        <v>25</v>
      </c>
      <c r="D1760" t="s">
        <v>56</v>
      </c>
      <c r="E1760">
        <v>70</v>
      </c>
      <c r="F1760">
        <v>190</v>
      </c>
      <c r="G1760" t="s">
        <v>78</v>
      </c>
      <c r="H1760">
        <v>2020</v>
      </c>
      <c r="I1760" t="s">
        <v>33</v>
      </c>
      <c r="J1760">
        <v>5</v>
      </c>
      <c r="K1760">
        <v>5</v>
      </c>
      <c r="L1760">
        <v>1</v>
      </c>
      <c r="M1760">
        <v>1</v>
      </c>
      <c r="N1760">
        <v>2</v>
      </c>
      <c r="O1760">
        <v>0</v>
      </c>
      <c r="P1760">
        <v>0</v>
      </c>
      <c r="Q1760">
        <v>0</v>
      </c>
      <c r="R1760">
        <v>0</v>
      </c>
      <c r="S1760">
        <v>54</v>
      </c>
      <c r="T1760">
        <v>54</v>
      </c>
      <c r="U1760" s="5">
        <f>IF(Merge1[[#This Row],[team_defense_snaps]]=0, "", Merge1[[#This Row],[defense_snaps]] / Merge1[[#This Row],[team_defense_snaps]])</f>
        <v>0.78260869565217395</v>
      </c>
      <c r="V1760">
        <v>69</v>
      </c>
      <c r="W1760">
        <v>0</v>
      </c>
      <c r="X1760" s="5" t="s">
        <v>29</v>
      </c>
      <c r="Y1760">
        <v>3</v>
      </c>
      <c r="Z1760">
        <v>0</v>
      </c>
      <c r="AA1760" t="s">
        <v>25</v>
      </c>
      <c r="AB1760" t="s">
        <v>26</v>
      </c>
      <c r="AC1760" t="s">
        <v>27</v>
      </c>
      <c r="AD1760" t="s">
        <v>28</v>
      </c>
      <c r="AE1760" t="s">
        <v>25</v>
      </c>
      <c r="AF17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0.1111111111111111</v>
      </c>
      <c r="AG1760" t="s">
        <v>942</v>
      </c>
      <c r="AH1760">
        <v>73</v>
      </c>
      <c r="AI1760" t="s">
        <v>939</v>
      </c>
      <c r="AJ1760">
        <v>2</v>
      </c>
      <c r="AK17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MIN(AJ1760/8, 1) +
  Merge1[[#This Row],[index_defensive_effort]],
  2
)</f>
        <v>0.86</v>
      </c>
    </row>
    <row r="1761" spans="1:37" x14ac:dyDescent="0.25">
      <c r="A1761" t="s">
        <v>503</v>
      </c>
      <c r="B1761" t="s">
        <v>504</v>
      </c>
      <c r="C1761">
        <v>25</v>
      </c>
      <c r="D1761" t="s">
        <v>56</v>
      </c>
      <c r="E1761">
        <v>70</v>
      </c>
      <c r="F1761">
        <v>190</v>
      </c>
      <c r="G1761" t="s">
        <v>78</v>
      </c>
      <c r="H1761">
        <v>2020</v>
      </c>
      <c r="I1761" t="s">
        <v>33</v>
      </c>
      <c r="J1761">
        <v>6</v>
      </c>
      <c r="K1761">
        <v>0</v>
      </c>
      <c r="L1761">
        <v>1</v>
      </c>
      <c r="M1761">
        <v>0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56</v>
      </c>
      <c r="T1761">
        <v>56</v>
      </c>
      <c r="U1761" s="5">
        <f>IF(Merge1[[#This Row],[team_defense_snaps]]=0, "", Merge1[[#This Row],[defense_snaps]] / Merge1[[#This Row],[team_defense_snaps]])</f>
        <v>0.90322580645161288</v>
      </c>
      <c r="V1761">
        <v>62</v>
      </c>
      <c r="W1761">
        <v>0</v>
      </c>
      <c r="X1761" s="5" t="s">
        <v>29</v>
      </c>
      <c r="Y1761">
        <v>3</v>
      </c>
      <c r="Z1761">
        <v>0</v>
      </c>
      <c r="AA1761" t="s">
        <v>25</v>
      </c>
      <c r="AB1761" t="s">
        <v>26</v>
      </c>
      <c r="AC1761" t="s">
        <v>27</v>
      </c>
      <c r="AD1761" t="s">
        <v>42</v>
      </c>
      <c r="AE1761" t="s">
        <v>25</v>
      </c>
      <c r="AF17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8.9285714285714281E-3</v>
      </c>
      <c r="AG1761" t="s">
        <v>942</v>
      </c>
      <c r="AH1761">
        <v>68.5</v>
      </c>
      <c r="AI1761" t="s">
        <v>939</v>
      </c>
      <c r="AJ1761">
        <v>3</v>
      </c>
      <c r="AK17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MIN(AJ1761/8, 1) +
  Merge1[[#This Row],[index_defensive_effort]],
  2
)</f>
        <v>0.88</v>
      </c>
    </row>
    <row r="1762" spans="1:37" x14ac:dyDescent="0.25">
      <c r="A1762" t="s">
        <v>503</v>
      </c>
      <c r="B1762" t="s">
        <v>504</v>
      </c>
      <c r="C1762">
        <v>25</v>
      </c>
      <c r="D1762" t="s">
        <v>56</v>
      </c>
      <c r="E1762">
        <v>70</v>
      </c>
      <c r="F1762">
        <v>190</v>
      </c>
      <c r="G1762" t="s">
        <v>78</v>
      </c>
      <c r="H1762">
        <v>2020</v>
      </c>
      <c r="I1762" t="s">
        <v>33</v>
      </c>
      <c r="J1762">
        <v>7</v>
      </c>
      <c r="K1762">
        <v>2</v>
      </c>
      <c r="L1762">
        <v>3</v>
      </c>
      <c r="M1762">
        <v>0</v>
      </c>
      <c r="N1762">
        <v>3</v>
      </c>
      <c r="O1762">
        <v>0</v>
      </c>
      <c r="P1762">
        <v>0</v>
      </c>
      <c r="Q1762">
        <v>0</v>
      </c>
      <c r="R1762">
        <v>0</v>
      </c>
      <c r="S1762">
        <v>48</v>
      </c>
      <c r="T1762">
        <v>48</v>
      </c>
      <c r="U1762" s="5">
        <f>IF(Merge1[[#This Row],[team_defense_snaps]]=0, "", Merge1[[#This Row],[defense_snaps]] / Merge1[[#This Row],[team_defense_snaps]])</f>
        <v>0.69565217391304346</v>
      </c>
      <c r="V1762">
        <v>69</v>
      </c>
      <c r="W1762">
        <v>0</v>
      </c>
      <c r="X1762" s="5" t="s">
        <v>29</v>
      </c>
      <c r="Y1762">
        <v>3</v>
      </c>
      <c r="Z1762">
        <v>0</v>
      </c>
      <c r="AA1762" t="s">
        <v>25</v>
      </c>
      <c r="AB1762" t="s">
        <v>26</v>
      </c>
      <c r="AC1762" t="s">
        <v>27</v>
      </c>
      <c r="AD1762" t="s">
        <v>42</v>
      </c>
      <c r="AE1762" t="s">
        <v>25</v>
      </c>
      <c r="AF17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7.2916666666666671E-2</v>
      </c>
      <c r="AG1762" t="s">
        <v>942</v>
      </c>
      <c r="AH1762">
        <v>83.5</v>
      </c>
      <c r="AI1762" t="s">
        <v>939</v>
      </c>
      <c r="AJ1762">
        <v>4</v>
      </c>
      <c r="AK17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MIN(AJ1762/8, 1) +
  Merge1[[#This Row],[index_defensive_effort]],
  2
)</f>
        <v>1.07</v>
      </c>
    </row>
    <row r="1763" spans="1:37" x14ac:dyDescent="0.25">
      <c r="A1763" t="s">
        <v>503</v>
      </c>
      <c r="B1763" t="s">
        <v>504</v>
      </c>
      <c r="C1763">
        <v>25</v>
      </c>
      <c r="D1763" t="s">
        <v>56</v>
      </c>
      <c r="E1763">
        <v>70</v>
      </c>
      <c r="F1763">
        <v>190</v>
      </c>
      <c r="G1763" t="s">
        <v>78</v>
      </c>
      <c r="H1763">
        <v>2020</v>
      </c>
      <c r="I1763" t="s">
        <v>33</v>
      </c>
      <c r="J1763">
        <v>8</v>
      </c>
      <c r="K1763">
        <v>4</v>
      </c>
      <c r="L1763">
        <v>2</v>
      </c>
      <c r="M1763">
        <v>1</v>
      </c>
      <c r="N1763">
        <v>3</v>
      </c>
      <c r="O1763">
        <v>0</v>
      </c>
      <c r="P1763">
        <v>0</v>
      </c>
      <c r="Q1763">
        <v>0</v>
      </c>
      <c r="R1763">
        <v>1</v>
      </c>
      <c r="S1763">
        <v>63</v>
      </c>
      <c r="T1763">
        <v>63</v>
      </c>
      <c r="U1763" s="5">
        <f>IF(Merge1[[#This Row],[team_defense_snaps]]=0, "", Merge1[[#This Row],[defense_snaps]] / Merge1[[#This Row],[team_defense_snaps]])</f>
        <v>0.984375</v>
      </c>
      <c r="V1763">
        <v>64</v>
      </c>
      <c r="W1763">
        <v>0</v>
      </c>
      <c r="X1763" s="5" t="s">
        <v>29</v>
      </c>
      <c r="Y1763">
        <v>3</v>
      </c>
      <c r="Z1763">
        <v>0</v>
      </c>
      <c r="AA1763" t="s">
        <v>25</v>
      </c>
      <c r="AB1763" t="s">
        <v>26</v>
      </c>
      <c r="AC1763" t="s">
        <v>27</v>
      </c>
      <c r="AD1763" t="s">
        <v>42</v>
      </c>
      <c r="AE1763" t="s">
        <v>25</v>
      </c>
      <c r="AF17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0.11904761904761904</v>
      </c>
      <c r="AG1763" t="s">
        <v>942</v>
      </c>
      <c r="AH1763">
        <v>74.5</v>
      </c>
      <c r="AI1763" t="s">
        <v>939</v>
      </c>
      <c r="AJ1763">
        <v>5</v>
      </c>
      <c r="AK17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MIN(AJ1763/8, 1) +
  Merge1[[#This Row],[index_defensive_effort]],
  2
)</f>
        <v>1.24</v>
      </c>
    </row>
    <row r="1764" spans="1:37" x14ac:dyDescent="0.25">
      <c r="A1764" t="s">
        <v>503</v>
      </c>
      <c r="B1764" t="s">
        <v>504</v>
      </c>
      <c r="C1764">
        <v>25</v>
      </c>
      <c r="D1764" t="s">
        <v>56</v>
      </c>
      <c r="E1764">
        <v>70</v>
      </c>
      <c r="F1764">
        <v>190</v>
      </c>
      <c r="G1764" t="s">
        <v>78</v>
      </c>
      <c r="H1764">
        <v>2020</v>
      </c>
      <c r="I1764" t="s">
        <v>33</v>
      </c>
      <c r="J1764">
        <v>9</v>
      </c>
      <c r="K1764">
        <v>1</v>
      </c>
      <c r="L1764">
        <v>1</v>
      </c>
      <c r="M1764">
        <v>0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66</v>
      </c>
      <c r="T1764">
        <v>66</v>
      </c>
      <c r="U1764" s="5">
        <f>IF(Merge1[[#This Row],[team_defense_snaps]]=0, "", Merge1[[#This Row],[defense_snaps]] / Merge1[[#This Row],[team_defense_snaps]])</f>
        <v>0.95652173913043481</v>
      </c>
      <c r="V1764">
        <v>69</v>
      </c>
      <c r="W1764">
        <v>0</v>
      </c>
      <c r="X1764" s="5" t="s">
        <v>29</v>
      </c>
      <c r="Y1764">
        <v>3</v>
      </c>
      <c r="Z1764">
        <v>0</v>
      </c>
      <c r="AA1764" t="s">
        <v>25</v>
      </c>
      <c r="AB1764" t="s">
        <v>26</v>
      </c>
      <c r="AC1764" t="s">
        <v>27</v>
      </c>
      <c r="AD1764" t="s">
        <v>42</v>
      </c>
      <c r="AE1764" t="s">
        <v>25</v>
      </c>
      <c r="AF17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2.2727272727272728E-2</v>
      </c>
      <c r="AG1764" t="s">
        <v>942</v>
      </c>
      <c r="AH1764">
        <v>64</v>
      </c>
      <c r="AI1764" t="s">
        <v>939</v>
      </c>
      <c r="AJ1764">
        <v>1</v>
      </c>
      <c r="AK17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MIN(AJ1764/8, 1) +
  Merge1[[#This Row],[index_defensive_effort]],
  2
)</f>
        <v>0.65</v>
      </c>
    </row>
    <row r="1765" spans="1:37" x14ac:dyDescent="0.25">
      <c r="A1765" t="s">
        <v>503</v>
      </c>
      <c r="B1765" t="s">
        <v>504</v>
      </c>
      <c r="C1765">
        <v>25</v>
      </c>
      <c r="D1765" t="s">
        <v>56</v>
      </c>
      <c r="E1765">
        <v>70</v>
      </c>
      <c r="F1765">
        <v>190</v>
      </c>
      <c r="G1765" t="s">
        <v>78</v>
      </c>
      <c r="H1765">
        <v>2020</v>
      </c>
      <c r="I1765" t="s">
        <v>33</v>
      </c>
      <c r="J1765">
        <v>11</v>
      </c>
      <c r="K1765">
        <v>0</v>
      </c>
      <c r="L1765">
        <v>3</v>
      </c>
      <c r="M1765">
        <v>0</v>
      </c>
      <c r="N1765">
        <v>3</v>
      </c>
      <c r="O1765">
        <v>0</v>
      </c>
      <c r="P1765">
        <v>1</v>
      </c>
      <c r="Q1765">
        <v>0</v>
      </c>
      <c r="R1765">
        <v>0</v>
      </c>
      <c r="S1765">
        <v>27</v>
      </c>
      <c r="T1765">
        <v>27</v>
      </c>
      <c r="U1765" s="5">
        <f>IF(Merge1[[#This Row],[team_defense_snaps]]=0, "", Merge1[[#This Row],[defense_snaps]] / Merge1[[#This Row],[team_defense_snaps]])</f>
        <v>0.40909090909090912</v>
      </c>
      <c r="V1765">
        <v>66</v>
      </c>
      <c r="W1765">
        <v>0</v>
      </c>
      <c r="X1765" s="5" t="s">
        <v>29</v>
      </c>
      <c r="Y1765">
        <v>3</v>
      </c>
      <c r="Z1765">
        <v>0</v>
      </c>
      <c r="AA1765" t="s">
        <v>25</v>
      </c>
      <c r="AB1765" t="s">
        <v>26</v>
      </c>
      <c r="AC1765" t="s">
        <v>27</v>
      </c>
      <c r="AD1765" t="s">
        <v>42</v>
      </c>
      <c r="AE1765" t="s">
        <v>25</v>
      </c>
      <c r="AF17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0.12962962962962962</v>
      </c>
      <c r="AG1765" t="s">
        <v>942</v>
      </c>
      <c r="AH1765">
        <v>67</v>
      </c>
      <c r="AI1765" t="s">
        <v>939</v>
      </c>
      <c r="AJ1765">
        <v>2</v>
      </c>
      <c r="AK17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MIN(AJ1765/8, 1) +
  Merge1[[#This Row],[index_defensive_effort]],
  2
)</f>
        <v>0.88</v>
      </c>
    </row>
    <row r="1766" spans="1:37" x14ac:dyDescent="0.25">
      <c r="A1766" t="s">
        <v>503</v>
      </c>
      <c r="B1766" t="s">
        <v>504</v>
      </c>
      <c r="C1766">
        <v>25</v>
      </c>
      <c r="D1766" t="s">
        <v>56</v>
      </c>
      <c r="E1766">
        <v>70</v>
      </c>
      <c r="F1766">
        <v>190</v>
      </c>
      <c r="G1766" t="s">
        <v>78</v>
      </c>
      <c r="H1766">
        <v>2020</v>
      </c>
      <c r="I1766" t="s">
        <v>33</v>
      </c>
      <c r="J1766">
        <v>12</v>
      </c>
      <c r="K1766">
        <v>1</v>
      </c>
      <c r="L1766">
        <v>2</v>
      </c>
      <c r="M1766">
        <v>0</v>
      </c>
      <c r="N1766">
        <v>2</v>
      </c>
      <c r="O1766">
        <v>0</v>
      </c>
      <c r="P1766">
        <v>0</v>
      </c>
      <c r="Q1766">
        <v>0</v>
      </c>
      <c r="R1766">
        <v>0</v>
      </c>
      <c r="S1766">
        <v>62</v>
      </c>
      <c r="T1766">
        <v>62</v>
      </c>
      <c r="U1766" s="5">
        <f>IF(Merge1[[#This Row],[team_defense_snaps]]=0, "", Merge1[[#This Row],[defense_snaps]] / Merge1[[#This Row],[team_defense_snaps]])</f>
        <v>0.89855072463768115</v>
      </c>
      <c r="V1766">
        <v>69</v>
      </c>
      <c r="W1766">
        <v>0</v>
      </c>
      <c r="X1766" s="5" t="s">
        <v>29</v>
      </c>
      <c r="Y1766">
        <v>3</v>
      </c>
      <c r="Z1766">
        <v>0</v>
      </c>
      <c r="AA1766" t="s">
        <v>25</v>
      </c>
      <c r="AB1766" t="s">
        <v>26</v>
      </c>
      <c r="AC1766" t="s">
        <v>27</v>
      </c>
      <c r="AD1766" t="s">
        <v>42</v>
      </c>
      <c r="AE1766" t="s">
        <v>25</v>
      </c>
      <c r="AF17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3.2258064516129031E-2</v>
      </c>
      <c r="AG1766" t="s">
        <v>942</v>
      </c>
      <c r="AH1766">
        <v>62.5</v>
      </c>
      <c r="AI1766" t="s">
        <v>939</v>
      </c>
      <c r="AJ1766">
        <v>3</v>
      </c>
      <c r="AK17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MIN(AJ1766/8, 1) +
  Merge1[[#This Row],[index_defensive_effort]],
  2
)</f>
        <v>0.91</v>
      </c>
    </row>
    <row r="1767" spans="1:37" x14ac:dyDescent="0.25">
      <c r="A1767" t="s">
        <v>503</v>
      </c>
      <c r="B1767" t="s">
        <v>504</v>
      </c>
      <c r="C1767">
        <v>25</v>
      </c>
      <c r="D1767" t="s">
        <v>56</v>
      </c>
      <c r="E1767">
        <v>70</v>
      </c>
      <c r="F1767">
        <v>190</v>
      </c>
      <c r="G1767" t="s">
        <v>78</v>
      </c>
      <c r="H1767">
        <v>2020</v>
      </c>
      <c r="I1767" t="s">
        <v>33</v>
      </c>
      <c r="J1767">
        <v>13</v>
      </c>
      <c r="K1767">
        <v>6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41</v>
      </c>
      <c r="T1767">
        <v>41</v>
      </c>
      <c r="U1767" s="5">
        <f>IF(Merge1[[#This Row],[team_defense_snaps]]=0, "", Merge1[[#This Row],[defense_snaps]] / Merge1[[#This Row],[team_defense_snaps]])</f>
        <v>0.74545454545454548</v>
      </c>
      <c r="V1767">
        <v>55</v>
      </c>
      <c r="W1767">
        <v>0</v>
      </c>
      <c r="X1767" s="5" t="s">
        <v>29</v>
      </c>
      <c r="Y1767">
        <v>3</v>
      </c>
      <c r="Z1767">
        <v>0</v>
      </c>
      <c r="AA1767" t="s">
        <v>25</v>
      </c>
      <c r="AB1767" t="s">
        <v>26</v>
      </c>
      <c r="AC1767" t="s">
        <v>27</v>
      </c>
      <c r="AD1767" t="s">
        <v>42</v>
      </c>
      <c r="AE1767" t="s">
        <v>25</v>
      </c>
      <c r="AF17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0.14634146341463414</v>
      </c>
      <c r="AG1767" t="s">
        <v>942</v>
      </c>
      <c r="AH1767">
        <v>61</v>
      </c>
      <c r="AI1767" t="s">
        <v>939</v>
      </c>
      <c r="AJ1767">
        <v>4</v>
      </c>
      <c r="AK17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MIN(AJ1767/8, 1) +
  Merge1[[#This Row],[index_defensive_effort]],
  2
)</f>
        <v>1.1499999999999999</v>
      </c>
    </row>
    <row r="1768" spans="1:37" x14ac:dyDescent="0.25">
      <c r="A1768" t="s">
        <v>503</v>
      </c>
      <c r="B1768" t="s">
        <v>504</v>
      </c>
      <c r="C1768">
        <v>25</v>
      </c>
      <c r="D1768" t="s">
        <v>56</v>
      </c>
      <c r="E1768">
        <v>70</v>
      </c>
      <c r="F1768">
        <v>190</v>
      </c>
      <c r="G1768" t="s">
        <v>78</v>
      </c>
      <c r="H1768">
        <v>2020</v>
      </c>
      <c r="I1768" t="s">
        <v>33</v>
      </c>
      <c r="J1768">
        <v>14</v>
      </c>
      <c r="K1768">
        <v>2</v>
      </c>
      <c r="L1768">
        <v>4</v>
      </c>
      <c r="M1768">
        <v>0</v>
      </c>
      <c r="N1768">
        <v>4</v>
      </c>
      <c r="O1768">
        <v>0</v>
      </c>
      <c r="P1768">
        <v>0</v>
      </c>
      <c r="Q1768">
        <v>0</v>
      </c>
      <c r="R1768">
        <v>0</v>
      </c>
      <c r="S1768">
        <v>68</v>
      </c>
      <c r="T1768">
        <v>68</v>
      </c>
      <c r="U1768" s="5">
        <f>IF(Merge1[[#This Row],[team_defense_snaps]]=0, "", Merge1[[#This Row],[defense_snaps]] / Merge1[[#This Row],[team_defense_snaps]])</f>
        <v>0.91891891891891897</v>
      </c>
      <c r="V1768">
        <v>74</v>
      </c>
      <c r="W1768">
        <v>0</v>
      </c>
      <c r="X1768" s="5" t="s">
        <v>29</v>
      </c>
      <c r="Y1768">
        <v>3</v>
      </c>
      <c r="Z1768">
        <v>0</v>
      </c>
      <c r="AA1768" t="s">
        <v>25</v>
      </c>
      <c r="AB1768" t="s">
        <v>26</v>
      </c>
      <c r="AC1768" t="s">
        <v>27</v>
      </c>
      <c r="AD1768" t="s">
        <v>28</v>
      </c>
      <c r="AE1768" t="s">
        <v>25</v>
      </c>
      <c r="AF17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AG1768" t="s">
        <v>942</v>
      </c>
      <c r="AH1768">
        <v>77.5</v>
      </c>
      <c r="AI1768" t="s">
        <v>939</v>
      </c>
      <c r="AJ1768">
        <v>5</v>
      </c>
      <c r="AK17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MIN(AJ1768/8, 1) +
  Merge1[[#This Row],[index_defensive_effort]],
  2
)</f>
        <v>1.18</v>
      </c>
    </row>
    <row r="1769" spans="1:37" x14ac:dyDescent="0.25">
      <c r="A1769" t="s">
        <v>503</v>
      </c>
      <c r="B1769" t="s">
        <v>504</v>
      </c>
      <c r="C1769">
        <v>25</v>
      </c>
      <c r="D1769" t="s">
        <v>56</v>
      </c>
      <c r="E1769">
        <v>70</v>
      </c>
      <c r="F1769">
        <v>190</v>
      </c>
      <c r="G1769" t="s">
        <v>78</v>
      </c>
      <c r="H1769">
        <v>2020</v>
      </c>
      <c r="I1769" t="s">
        <v>33</v>
      </c>
      <c r="J1769">
        <v>15</v>
      </c>
      <c r="K1769">
        <v>9</v>
      </c>
      <c r="L1769">
        <v>1</v>
      </c>
      <c r="M1769">
        <v>0</v>
      </c>
      <c r="N1769">
        <v>1</v>
      </c>
      <c r="O1769">
        <v>4</v>
      </c>
      <c r="P1769">
        <v>4</v>
      </c>
      <c r="Q1769">
        <v>0</v>
      </c>
      <c r="R1769">
        <v>0</v>
      </c>
      <c r="S1769">
        <v>65</v>
      </c>
      <c r="T1769">
        <v>65</v>
      </c>
      <c r="U1769" s="5">
        <f>IF(Merge1[[#This Row],[team_defense_snaps]]=0, "", Merge1[[#This Row],[defense_snaps]] / Merge1[[#This Row],[team_defense_snaps]])</f>
        <v>0.77380952380952384</v>
      </c>
      <c r="V1769">
        <v>84</v>
      </c>
      <c r="W1769">
        <v>0</v>
      </c>
      <c r="X1769" s="5" t="s">
        <v>29</v>
      </c>
      <c r="Y1769">
        <v>3</v>
      </c>
      <c r="Z1769">
        <v>0</v>
      </c>
      <c r="AA1769" t="s">
        <v>25</v>
      </c>
      <c r="AB1769" t="s">
        <v>26</v>
      </c>
      <c r="AC1769" t="s">
        <v>27</v>
      </c>
      <c r="AD1769" t="s">
        <v>42</v>
      </c>
      <c r="AE1769" t="s">
        <v>25</v>
      </c>
      <c r="AF17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0.45384615384615384</v>
      </c>
      <c r="AG1769" t="s">
        <v>942</v>
      </c>
      <c r="AH1769">
        <v>79</v>
      </c>
      <c r="AI1769" t="s">
        <v>939</v>
      </c>
      <c r="AJ1769">
        <v>6</v>
      </c>
      <c r="AK17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MIN(AJ1769/8, 1) +
  Merge1[[#This Row],[index_defensive_effort]],
  2
)</f>
        <v>1.7</v>
      </c>
    </row>
    <row r="1770" spans="1:37" x14ac:dyDescent="0.25">
      <c r="A1770" t="s">
        <v>503</v>
      </c>
      <c r="B1770" t="s">
        <v>504</v>
      </c>
      <c r="C1770">
        <v>25</v>
      </c>
      <c r="D1770" t="s">
        <v>56</v>
      </c>
      <c r="E1770">
        <v>70</v>
      </c>
      <c r="F1770">
        <v>190</v>
      </c>
      <c r="G1770" t="s">
        <v>78</v>
      </c>
      <c r="H1770">
        <v>2020</v>
      </c>
      <c r="I1770" t="s">
        <v>33</v>
      </c>
      <c r="J1770">
        <v>16</v>
      </c>
      <c r="K1770">
        <v>7</v>
      </c>
      <c r="L1770">
        <v>1</v>
      </c>
      <c r="M1770">
        <v>0</v>
      </c>
      <c r="N1770">
        <v>1</v>
      </c>
      <c r="O1770">
        <v>3</v>
      </c>
      <c r="P1770">
        <v>0</v>
      </c>
      <c r="Q1770">
        <v>0</v>
      </c>
      <c r="R1770">
        <v>0</v>
      </c>
      <c r="S1770">
        <v>73</v>
      </c>
      <c r="T1770">
        <v>73</v>
      </c>
      <c r="U1770" s="5">
        <f>IF(Merge1[[#This Row],[team_defense_snaps]]=0, "", Merge1[[#This Row],[defense_snaps]] / Merge1[[#This Row],[team_defense_snaps]])</f>
        <v>1</v>
      </c>
      <c r="V1770">
        <v>73</v>
      </c>
      <c r="W1770">
        <v>0</v>
      </c>
      <c r="X1770" s="5" t="s">
        <v>29</v>
      </c>
      <c r="Y1770">
        <v>3</v>
      </c>
      <c r="Z1770">
        <v>0</v>
      </c>
      <c r="AA1770" t="s">
        <v>25</v>
      </c>
      <c r="AB1770" t="s">
        <v>26</v>
      </c>
      <c r="AC1770" t="s">
        <v>27</v>
      </c>
      <c r="AD1770" t="s">
        <v>42</v>
      </c>
      <c r="AE1770" t="s">
        <v>25</v>
      </c>
      <c r="AF17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0.22602739726027396</v>
      </c>
      <c r="AG1770" t="s">
        <v>942</v>
      </c>
      <c r="AH1770">
        <v>70</v>
      </c>
      <c r="AI1770" t="s">
        <v>939</v>
      </c>
      <c r="AJ1770">
        <v>7</v>
      </c>
      <c r="AK17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MIN(AJ1770/8, 1) +
  Merge1[[#This Row],[index_defensive_effort]],
  2
)</f>
        <v>1.6</v>
      </c>
    </row>
    <row r="1771" spans="1:37" x14ac:dyDescent="0.25">
      <c r="A1771" t="s">
        <v>503</v>
      </c>
      <c r="B1771" t="s">
        <v>504</v>
      </c>
      <c r="C1771">
        <v>25</v>
      </c>
      <c r="D1771" t="s">
        <v>56</v>
      </c>
      <c r="E1771">
        <v>70</v>
      </c>
      <c r="F1771">
        <v>190</v>
      </c>
      <c r="G1771" t="s">
        <v>78</v>
      </c>
      <c r="H1771">
        <v>2020</v>
      </c>
      <c r="I1771" t="s">
        <v>33</v>
      </c>
      <c r="J1771">
        <v>17</v>
      </c>
      <c r="K1771">
        <v>2</v>
      </c>
      <c r="L1771">
        <v>1</v>
      </c>
      <c r="M1771">
        <v>1</v>
      </c>
      <c r="N1771">
        <v>2</v>
      </c>
      <c r="O1771">
        <v>0</v>
      </c>
      <c r="P1771">
        <v>0</v>
      </c>
      <c r="Q1771">
        <v>0</v>
      </c>
      <c r="R1771">
        <v>0</v>
      </c>
      <c r="S1771">
        <v>39</v>
      </c>
      <c r="T1771">
        <v>39</v>
      </c>
      <c r="U1771" s="5">
        <f>IF(Merge1[[#This Row],[team_defense_snaps]]=0, "", Merge1[[#This Row],[defense_snaps]] / Merge1[[#This Row],[team_defense_snaps]])</f>
        <v>0.66101694915254239</v>
      </c>
      <c r="V1771">
        <v>59</v>
      </c>
      <c r="W1771">
        <v>0</v>
      </c>
      <c r="X1771" s="5" t="s">
        <v>29</v>
      </c>
      <c r="Y1771">
        <v>3</v>
      </c>
      <c r="Z1771">
        <v>0</v>
      </c>
      <c r="AA1771" t="s">
        <v>25</v>
      </c>
      <c r="AB1771" t="s">
        <v>26</v>
      </c>
      <c r="AC1771" t="s">
        <v>27</v>
      </c>
      <c r="AD1771" t="s">
        <v>42</v>
      </c>
      <c r="AE1771" t="s">
        <v>25</v>
      </c>
      <c r="AF17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7.6923076923076927E-2</v>
      </c>
      <c r="AG1771" t="s">
        <v>942</v>
      </c>
      <c r="AH1771">
        <v>65.5</v>
      </c>
      <c r="AI1771" t="s">
        <v>939</v>
      </c>
      <c r="AJ1771">
        <v>1</v>
      </c>
      <c r="AK17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MIN(AJ1771/8, 1) +
  Merge1[[#This Row],[index_defensive_effort]],
  2
)</f>
        <v>0.7</v>
      </c>
    </row>
    <row r="1772" spans="1:37" x14ac:dyDescent="0.25">
      <c r="A1772" t="s">
        <v>547</v>
      </c>
      <c r="B1772" t="s">
        <v>548</v>
      </c>
      <c r="C1772">
        <v>25</v>
      </c>
      <c r="D1772" t="s">
        <v>22</v>
      </c>
      <c r="E1772">
        <v>72</v>
      </c>
      <c r="F1772">
        <v>205</v>
      </c>
      <c r="G1772" t="s">
        <v>86</v>
      </c>
      <c r="H1772">
        <v>2020</v>
      </c>
      <c r="I1772" t="s">
        <v>33</v>
      </c>
      <c r="J1772">
        <v>1</v>
      </c>
      <c r="K1772">
        <v>1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38</v>
      </c>
      <c r="T1772">
        <v>38</v>
      </c>
      <c r="U1772" s="5">
        <f>IF(Merge1[[#This Row],[team_defense_snaps]]=0, "", Merge1[[#This Row],[defense_snaps]] / Merge1[[#This Row],[team_defense_snaps]])</f>
        <v>0.64406779661016944</v>
      </c>
      <c r="V1772">
        <v>59</v>
      </c>
      <c r="W1772">
        <v>0</v>
      </c>
      <c r="X1772" s="5" t="s">
        <v>29</v>
      </c>
      <c r="Y1772">
        <v>1</v>
      </c>
      <c r="Z1772">
        <v>0</v>
      </c>
      <c r="AA1772" t="s">
        <v>25</v>
      </c>
      <c r="AB1772" t="s">
        <v>26</v>
      </c>
      <c r="AC1772" t="s">
        <v>27</v>
      </c>
      <c r="AD1772" t="s">
        <v>42</v>
      </c>
      <c r="AE1772" t="s">
        <v>25</v>
      </c>
      <c r="AF17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2.6315789473684209E-2</v>
      </c>
      <c r="AG1772" t="s">
        <v>941</v>
      </c>
      <c r="AH1772">
        <v>74</v>
      </c>
      <c r="AI1772" t="s">
        <v>939</v>
      </c>
      <c r="AJ1772">
        <v>2</v>
      </c>
      <c r="AK17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MIN(AJ1772/8, 1) +
  Merge1[[#This Row],[index_defensive_effort]],
  2
)</f>
        <v>0.78</v>
      </c>
    </row>
    <row r="1773" spans="1:37" x14ac:dyDescent="0.25">
      <c r="A1773" t="s">
        <v>547</v>
      </c>
      <c r="B1773" t="s">
        <v>548</v>
      </c>
      <c r="C1773">
        <v>25</v>
      </c>
      <c r="D1773" t="s">
        <v>22</v>
      </c>
      <c r="E1773">
        <v>72</v>
      </c>
      <c r="F1773">
        <v>205</v>
      </c>
      <c r="G1773" t="s">
        <v>86</v>
      </c>
      <c r="H1773">
        <v>2020</v>
      </c>
      <c r="I1773" t="s">
        <v>33</v>
      </c>
      <c r="J1773">
        <v>2</v>
      </c>
      <c r="K1773">
        <v>1</v>
      </c>
      <c r="L1773">
        <v>3</v>
      </c>
      <c r="M1773">
        <v>1</v>
      </c>
      <c r="N1773">
        <v>4</v>
      </c>
      <c r="O1773">
        <v>0</v>
      </c>
      <c r="P1773">
        <v>0</v>
      </c>
      <c r="Q1773">
        <v>0</v>
      </c>
      <c r="R1773">
        <v>0</v>
      </c>
      <c r="S1773">
        <v>82</v>
      </c>
      <c r="T1773">
        <v>82</v>
      </c>
      <c r="U1773" s="5">
        <f>IF(Merge1[[#This Row],[team_defense_snaps]]=0, "", Merge1[[#This Row],[defense_snaps]] / Merge1[[#This Row],[team_defense_snaps]])</f>
        <v>0.97619047619047616</v>
      </c>
      <c r="V1773">
        <v>84</v>
      </c>
      <c r="W1773">
        <v>0</v>
      </c>
      <c r="X1773" s="5" t="s">
        <v>29</v>
      </c>
      <c r="Y1773">
        <v>1</v>
      </c>
      <c r="Z1773">
        <v>0</v>
      </c>
      <c r="AA1773" t="s">
        <v>25</v>
      </c>
      <c r="AB1773" t="s">
        <v>26</v>
      </c>
      <c r="AC1773" t="s">
        <v>27</v>
      </c>
      <c r="AD1773" t="s">
        <v>42</v>
      </c>
      <c r="AE1773" t="s">
        <v>25</v>
      </c>
      <c r="AF17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3.6585365853658534E-2</v>
      </c>
      <c r="AG1773" t="s">
        <v>941</v>
      </c>
      <c r="AH1773">
        <v>77</v>
      </c>
      <c r="AI1773" t="s">
        <v>939</v>
      </c>
      <c r="AJ1773">
        <v>3</v>
      </c>
      <c r="AK17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MIN(AJ1773/8, 1) +
  Merge1[[#This Row],[index_defensive_effort]],
  2
)</f>
        <v>0.91</v>
      </c>
    </row>
    <row r="1774" spans="1:37" x14ac:dyDescent="0.25">
      <c r="A1774" t="s">
        <v>547</v>
      </c>
      <c r="B1774" t="s">
        <v>548</v>
      </c>
      <c r="C1774">
        <v>25</v>
      </c>
      <c r="D1774" t="s">
        <v>22</v>
      </c>
      <c r="E1774">
        <v>72</v>
      </c>
      <c r="F1774">
        <v>205</v>
      </c>
      <c r="G1774" t="s">
        <v>86</v>
      </c>
      <c r="H1774">
        <v>2020</v>
      </c>
      <c r="I1774" t="s">
        <v>33</v>
      </c>
      <c r="J1774">
        <v>3</v>
      </c>
      <c r="K1774">
        <v>5</v>
      </c>
      <c r="L1774">
        <v>1</v>
      </c>
      <c r="M1774">
        <v>0</v>
      </c>
      <c r="N1774">
        <v>1</v>
      </c>
      <c r="O1774">
        <v>0</v>
      </c>
      <c r="P1774">
        <v>1</v>
      </c>
      <c r="Q1774">
        <v>0</v>
      </c>
      <c r="R1774">
        <v>0</v>
      </c>
      <c r="S1774">
        <v>56</v>
      </c>
      <c r="T1774">
        <v>56</v>
      </c>
      <c r="U1774" s="5">
        <f>IF(Merge1[[#This Row],[team_defense_snaps]]=0, "", Merge1[[#This Row],[defense_snaps]] / Merge1[[#This Row],[team_defense_snaps]])</f>
        <v>1</v>
      </c>
      <c r="V1774">
        <v>56</v>
      </c>
      <c r="W1774">
        <v>0</v>
      </c>
      <c r="X1774" s="5" t="s">
        <v>29</v>
      </c>
      <c r="Y1774">
        <v>1</v>
      </c>
      <c r="Z1774">
        <v>0</v>
      </c>
      <c r="AA1774" t="s">
        <v>25</v>
      </c>
      <c r="AB1774" t="s">
        <v>26</v>
      </c>
      <c r="AC1774" t="s">
        <v>27</v>
      </c>
      <c r="AD1774" t="s">
        <v>42</v>
      </c>
      <c r="AE1774" t="s">
        <v>25</v>
      </c>
      <c r="AF17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0.13392857142857142</v>
      </c>
      <c r="AG1774" t="s">
        <v>941</v>
      </c>
      <c r="AH1774">
        <v>65</v>
      </c>
      <c r="AI1774" t="s">
        <v>939</v>
      </c>
      <c r="AJ1774">
        <v>4</v>
      </c>
      <c r="AK17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MIN(AJ1774/8, 1) +
  Merge1[[#This Row],[index_defensive_effort]],
  2
)</f>
        <v>1.1299999999999999</v>
      </c>
    </row>
    <row r="1775" spans="1:37" x14ac:dyDescent="0.25">
      <c r="A1775" t="s">
        <v>547</v>
      </c>
      <c r="B1775" t="s">
        <v>548</v>
      </c>
      <c r="C1775">
        <v>25</v>
      </c>
      <c r="D1775" t="s">
        <v>22</v>
      </c>
      <c r="E1775">
        <v>72</v>
      </c>
      <c r="F1775">
        <v>205</v>
      </c>
      <c r="G1775" t="s">
        <v>86</v>
      </c>
      <c r="H1775">
        <v>2020</v>
      </c>
      <c r="I1775" t="s">
        <v>33</v>
      </c>
      <c r="J1775">
        <v>4</v>
      </c>
      <c r="K1775">
        <v>8</v>
      </c>
      <c r="L1775">
        <v>0</v>
      </c>
      <c r="M1775">
        <v>0</v>
      </c>
      <c r="N1775">
        <v>0</v>
      </c>
      <c r="O1775">
        <v>0</v>
      </c>
      <c r="P1775">
        <v>1</v>
      </c>
      <c r="Q1775">
        <v>2</v>
      </c>
      <c r="R1775">
        <v>0</v>
      </c>
      <c r="S1775">
        <v>73</v>
      </c>
      <c r="T1775">
        <v>73</v>
      </c>
      <c r="U1775" s="5">
        <f>IF(Merge1[[#This Row],[team_defense_snaps]]=0, "", Merge1[[#This Row],[defense_snaps]] / Merge1[[#This Row],[team_defense_snaps]])</f>
        <v>0.96052631578947367</v>
      </c>
      <c r="V1775">
        <v>76</v>
      </c>
      <c r="W1775">
        <v>0</v>
      </c>
      <c r="X1775" s="5" t="s">
        <v>29</v>
      </c>
      <c r="Y1775">
        <v>1</v>
      </c>
      <c r="Z1775">
        <v>0</v>
      </c>
      <c r="AA1775" t="s">
        <v>25</v>
      </c>
      <c r="AB1775" t="s">
        <v>26</v>
      </c>
      <c r="AC1775" t="s">
        <v>27</v>
      </c>
      <c r="AD1775" t="s">
        <v>42</v>
      </c>
      <c r="AE1775" t="s">
        <v>25</v>
      </c>
      <c r="AF17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0.24657534246575341</v>
      </c>
      <c r="AG1775" t="s">
        <v>941</v>
      </c>
      <c r="AH1775">
        <v>75.5</v>
      </c>
      <c r="AI1775" t="s">
        <v>939</v>
      </c>
      <c r="AJ1775">
        <v>5</v>
      </c>
      <c r="AK17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MIN(AJ1775/8, 1) +
  Merge1[[#This Row],[index_defensive_effort]],
  2
)</f>
        <v>1.37</v>
      </c>
    </row>
    <row r="1776" spans="1:37" x14ac:dyDescent="0.25">
      <c r="A1776" t="s">
        <v>547</v>
      </c>
      <c r="B1776" t="s">
        <v>548</v>
      </c>
      <c r="C1776">
        <v>25</v>
      </c>
      <c r="D1776" t="s">
        <v>22</v>
      </c>
      <c r="E1776">
        <v>72</v>
      </c>
      <c r="F1776">
        <v>205</v>
      </c>
      <c r="G1776" t="s">
        <v>86</v>
      </c>
      <c r="H1776">
        <v>2020</v>
      </c>
      <c r="I1776" t="s">
        <v>33</v>
      </c>
      <c r="J1776">
        <v>5</v>
      </c>
      <c r="K1776">
        <v>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69</v>
      </c>
      <c r="T1776">
        <v>69</v>
      </c>
      <c r="U1776" s="5">
        <f>IF(Merge1[[#This Row],[team_defense_snaps]]=0, "", Merge1[[#This Row],[defense_snaps]] / Merge1[[#This Row],[team_defense_snaps]])</f>
        <v>0.98571428571428577</v>
      </c>
      <c r="V1776">
        <v>70</v>
      </c>
      <c r="W1776">
        <v>0</v>
      </c>
      <c r="X1776" s="5" t="s">
        <v>29</v>
      </c>
      <c r="Y1776">
        <v>1</v>
      </c>
      <c r="Z1776">
        <v>0</v>
      </c>
      <c r="AA1776" t="s">
        <v>25</v>
      </c>
      <c r="AB1776" t="s">
        <v>26</v>
      </c>
      <c r="AC1776" t="s">
        <v>27</v>
      </c>
      <c r="AD1776" t="s">
        <v>42</v>
      </c>
      <c r="AE1776" t="s">
        <v>25</v>
      </c>
      <c r="AF17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1.4492753623188406E-2</v>
      </c>
      <c r="AG1776" t="s">
        <v>941</v>
      </c>
      <c r="AH1776">
        <v>59</v>
      </c>
      <c r="AI1776" t="s">
        <v>939</v>
      </c>
      <c r="AJ1776">
        <v>6</v>
      </c>
      <c r="AK17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MIN(AJ1776/8, 1) +
  Merge1[[#This Row],[index_defensive_effort]],
  2
)</f>
        <v>1.26</v>
      </c>
    </row>
    <row r="1777" spans="1:37" x14ac:dyDescent="0.25">
      <c r="A1777" t="s">
        <v>547</v>
      </c>
      <c r="B1777" t="s">
        <v>548</v>
      </c>
      <c r="C1777">
        <v>25</v>
      </c>
      <c r="D1777" t="s">
        <v>22</v>
      </c>
      <c r="E1777">
        <v>72</v>
      </c>
      <c r="F1777">
        <v>205</v>
      </c>
      <c r="G1777" t="s">
        <v>86</v>
      </c>
      <c r="H1777">
        <v>2020</v>
      </c>
      <c r="I1777" t="s">
        <v>33</v>
      </c>
      <c r="J1777">
        <v>6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53</v>
      </c>
      <c r="T1777">
        <v>53</v>
      </c>
      <c r="U1777" s="5">
        <f>IF(Merge1[[#This Row],[team_defense_snaps]]=0, "", Merge1[[#This Row],[defense_snaps]] / Merge1[[#This Row],[team_defense_snaps]])</f>
        <v>1</v>
      </c>
      <c r="V1777">
        <v>53</v>
      </c>
      <c r="W1777">
        <v>0</v>
      </c>
      <c r="X1777" s="5" t="s">
        <v>29</v>
      </c>
      <c r="Y1777">
        <v>1</v>
      </c>
      <c r="Z1777">
        <v>0</v>
      </c>
      <c r="AA1777" t="s">
        <v>25</v>
      </c>
      <c r="AB1777" t="s">
        <v>26</v>
      </c>
      <c r="AC1777" t="s">
        <v>27</v>
      </c>
      <c r="AD1777" t="s">
        <v>42</v>
      </c>
      <c r="AE1777" t="s">
        <v>25</v>
      </c>
      <c r="AF17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3.7735849056603772E-2</v>
      </c>
      <c r="AG1777" t="s">
        <v>941</v>
      </c>
      <c r="AH1777">
        <v>71</v>
      </c>
      <c r="AI1777" t="s">
        <v>939</v>
      </c>
      <c r="AJ1777">
        <v>7</v>
      </c>
      <c r="AK17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MIN(AJ1777/8, 1) +
  Merge1[[#This Row],[index_defensive_effort]],
  2
)</f>
        <v>1.41</v>
      </c>
    </row>
    <row r="1778" spans="1:37" x14ac:dyDescent="0.25">
      <c r="A1778" t="s">
        <v>547</v>
      </c>
      <c r="B1778" t="s">
        <v>548</v>
      </c>
      <c r="C1778">
        <v>25</v>
      </c>
      <c r="D1778" t="s">
        <v>22</v>
      </c>
      <c r="E1778">
        <v>72</v>
      </c>
      <c r="F1778">
        <v>205</v>
      </c>
      <c r="G1778" t="s">
        <v>86</v>
      </c>
      <c r="H1778">
        <v>2020</v>
      </c>
      <c r="I1778" t="s">
        <v>33</v>
      </c>
      <c r="J1778">
        <v>7</v>
      </c>
      <c r="K1778">
        <v>1</v>
      </c>
      <c r="L1778">
        <v>1</v>
      </c>
      <c r="M1778">
        <v>0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52</v>
      </c>
      <c r="T1778">
        <v>52</v>
      </c>
      <c r="U1778" s="5">
        <f>IF(Merge1[[#This Row],[team_defense_snaps]]=0, "", Merge1[[#This Row],[defense_snaps]] / Merge1[[#This Row],[team_defense_snaps]])</f>
        <v>0.65</v>
      </c>
      <c r="V1778">
        <v>80</v>
      </c>
      <c r="W1778">
        <v>0</v>
      </c>
      <c r="X1778" s="5" t="s">
        <v>29</v>
      </c>
      <c r="Y1778">
        <v>1</v>
      </c>
      <c r="Z1778">
        <v>0</v>
      </c>
      <c r="AA1778" t="s">
        <v>25</v>
      </c>
      <c r="AB1778" t="s">
        <v>26</v>
      </c>
      <c r="AC1778" t="s">
        <v>27</v>
      </c>
      <c r="AD1778" t="s">
        <v>28</v>
      </c>
      <c r="AE1778" t="s">
        <v>25</v>
      </c>
      <c r="AF17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2.8846153846153848E-2</v>
      </c>
      <c r="AG1778" t="s">
        <v>941</v>
      </c>
      <c r="AH1778">
        <v>60.5</v>
      </c>
      <c r="AI1778" t="s">
        <v>939</v>
      </c>
      <c r="AJ1778">
        <v>8</v>
      </c>
      <c r="AK17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MIN(AJ1778/8, 1) +
  Merge1[[#This Row],[index_defensive_effort]],
  2
)</f>
        <v>1.53</v>
      </c>
    </row>
    <row r="1779" spans="1:37" x14ac:dyDescent="0.25">
      <c r="A1779" t="s">
        <v>547</v>
      </c>
      <c r="B1779" t="s">
        <v>548</v>
      </c>
      <c r="C1779">
        <v>25</v>
      </c>
      <c r="D1779" t="s">
        <v>22</v>
      </c>
      <c r="E1779">
        <v>72</v>
      </c>
      <c r="F1779">
        <v>205</v>
      </c>
      <c r="G1779" t="s">
        <v>86</v>
      </c>
      <c r="H1779">
        <v>2020</v>
      </c>
      <c r="I1779" t="s">
        <v>33</v>
      </c>
      <c r="J1779">
        <v>8</v>
      </c>
      <c r="K1779">
        <v>1</v>
      </c>
      <c r="L1779">
        <v>1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48</v>
      </c>
      <c r="T1779">
        <v>48</v>
      </c>
      <c r="U1779" s="5">
        <f>IF(Merge1[[#This Row],[team_defense_snaps]]=0, "", Merge1[[#This Row],[defense_snaps]] / Merge1[[#This Row],[team_defense_snaps]])</f>
        <v>0.8</v>
      </c>
      <c r="V1779">
        <v>60</v>
      </c>
      <c r="W1779">
        <v>0</v>
      </c>
      <c r="X1779" s="5" t="s">
        <v>29</v>
      </c>
      <c r="Y1779">
        <v>1</v>
      </c>
      <c r="Z1779">
        <v>0</v>
      </c>
      <c r="AA1779" t="s">
        <v>25</v>
      </c>
      <c r="AB1779" t="s">
        <v>26</v>
      </c>
      <c r="AC1779" t="s">
        <v>27</v>
      </c>
      <c r="AD1779" t="s">
        <v>28</v>
      </c>
      <c r="AE1779" t="s">
        <v>25</v>
      </c>
      <c r="AF17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3.125E-2</v>
      </c>
      <c r="AG1779" t="s">
        <v>941</v>
      </c>
      <c r="AH1779">
        <v>60</v>
      </c>
      <c r="AI1779" t="s">
        <v>939</v>
      </c>
      <c r="AJ1779">
        <v>9</v>
      </c>
      <c r="AK17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MIN(AJ1779/8, 1) +
  Merge1[[#This Row],[index_defensive_effort]],
  2
)</f>
        <v>1.53</v>
      </c>
    </row>
    <row r="1780" spans="1:37" x14ac:dyDescent="0.25">
      <c r="A1780" t="s">
        <v>547</v>
      </c>
      <c r="B1780" t="s">
        <v>548</v>
      </c>
      <c r="C1780">
        <v>25</v>
      </c>
      <c r="D1780" t="s">
        <v>22</v>
      </c>
      <c r="E1780">
        <v>72</v>
      </c>
      <c r="F1780">
        <v>205</v>
      </c>
      <c r="G1780" t="s">
        <v>86</v>
      </c>
      <c r="H1780">
        <v>2020</v>
      </c>
      <c r="I1780" t="s">
        <v>33</v>
      </c>
      <c r="J1780">
        <v>9</v>
      </c>
      <c r="K1780">
        <v>1</v>
      </c>
      <c r="L1780">
        <v>1</v>
      </c>
      <c r="M1780">
        <v>0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67</v>
      </c>
      <c r="T1780">
        <v>67</v>
      </c>
      <c r="U1780" s="5">
        <f>IF(Merge1[[#This Row],[team_defense_snaps]]=0, "", Merge1[[#This Row],[defense_snaps]] / Merge1[[#This Row],[team_defense_snaps]])</f>
        <v>0.80722891566265065</v>
      </c>
      <c r="V1780">
        <v>83</v>
      </c>
      <c r="W1780">
        <v>0</v>
      </c>
      <c r="X1780" s="5" t="s">
        <v>29</v>
      </c>
      <c r="Y1780">
        <v>1</v>
      </c>
      <c r="Z1780">
        <v>0</v>
      </c>
      <c r="AA1780" t="s">
        <v>25</v>
      </c>
      <c r="AB1780" t="s">
        <v>26</v>
      </c>
      <c r="AC1780" t="s">
        <v>27</v>
      </c>
      <c r="AD1780" t="s">
        <v>42</v>
      </c>
      <c r="AE1780" t="s">
        <v>25</v>
      </c>
      <c r="AF17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2.2388059701492536E-2</v>
      </c>
      <c r="AG1780" t="s">
        <v>941</v>
      </c>
      <c r="AH1780">
        <v>68</v>
      </c>
      <c r="AI1780" t="s">
        <v>939</v>
      </c>
      <c r="AJ1780">
        <v>1</v>
      </c>
      <c r="AK17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MIN(AJ1780/8, 1) +
  Merge1[[#This Row],[index_defensive_effort]],
  2
)</f>
        <v>0.65</v>
      </c>
    </row>
    <row r="1781" spans="1:37" x14ac:dyDescent="0.25">
      <c r="A1781" t="s">
        <v>547</v>
      </c>
      <c r="B1781" t="s">
        <v>548</v>
      </c>
      <c r="C1781">
        <v>25</v>
      </c>
      <c r="D1781" t="s">
        <v>22</v>
      </c>
      <c r="E1781">
        <v>72</v>
      </c>
      <c r="F1781">
        <v>205</v>
      </c>
      <c r="G1781" t="s">
        <v>86</v>
      </c>
      <c r="H1781">
        <v>2020</v>
      </c>
      <c r="I1781" t="s">
        <v>33</v>
      </c>
      <c r="J1781">
        <v>11</v>
      </c>
      <c r="K1781">
        <v>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15</v>
      </c>
      <c r="T1781">
        <v>11</v>
      </c>
      <c r="U1781" s="5">
        <f>IF(Merge1[[#This Row],[team_defense_snaps]]=0, "", Merge1[[#This Row],[defense_snaps]] / Merge1[[#This Row],[team_defense_snaps]])</f>
        <v>0.1864406779661017</v>
      </c>
      <c r="V1781">
        <v>59</v>
      </c>
      <c r="W1781">
        <v>4</v>
      </c>
      <c r="X1781" s="5" t="s">
        <v>168</v>
      </c>
      <c r="Y1781">
        <v>1</v>
      </c>
      <c r="Z1781">
        <v>0</v>
      </c>
      <c r="AA1781" t="s">
        <v>25</v>
      </c>
      <c r="AB1781" t="s">
        <v>26</v>
      </c>
      <c r="AC1781" t="s">
        <v>27</v>
      </c>
      <c r="AD1781" t="s">
        <v>28</v>
      </c>
      <c r="AE1781" t="s">
        <v>25</v>
      </c>
      <c r="AF17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1781" t="s">
        <v>941</v>
      </c>
      <c r="AH1781">
        <v>60</v>
      </c>
      <c r="AI1781" t="s">
        <v>939</v>
      </c>
      <c r="AJ1781">
        <v>2</v>
      </c>
      <c r="AK17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MIN(AJ1781/8, 1) +
  Merge1[[#This Row],[index_defensive_effort]],
  2
)</f>
        <v>0.82</v>
      </c>
    </row>
    <row r="1782" spans="1:37" x14ac:dyDescent="0.25">
      <c r="A1782" t="s">
        <v>547</v>
      </c>
      <c r="B1782" t="s">
        <v>548</v>
      </c>
      <c r="C1782">
        <v>25</v>
      </c>
      <c r="D1782" t="s">
        <v>22</v>
      </c>
      <c r="E1782">
        <v>72</v>
      </c>
      <c r="F1782">
        <v>205</v>
      </c>
      <c r="G1782" t="s">
        <v>86</v>
      </c>
      <c r="H1782">
        <v>2020</v>
      </c>
      <c r="I1782" t="s">
        <v>33</v>
      </c>
      <c r="J1782">
        <v>12</v>
      </c>
      <c r="K1782">
        <v>3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56</v>
      </c>
      <c r="T1782">
        <v>41</v>
      </c>
      <c r="U1782" s="5">
        <f>IF(Merge1[[#This Row],[team_defense_snaps]]=0, "", Merge1[[#This Row],[defense_snaps]] / Merge1[[#This Row],[team_defense_snaps]])</f>
        <v>0.69491525423728817</v>
      </c>
      <c r="V1782">
        <v>59</v>
      </c>
      <c r="W1782">
        <v>15</v>
      </c>
      <c r="X1782" s="5" t="s">
        <v>52</v>
      </c>
      <c r="Y1782">
        <v>1</v>
      </c>
      <c r="Z1782">
        <v>0</v>
      </c>
      <c r="AA1782" t="s">
        <v>25</v>
      </c>
      <c r="AB1782" t="s">
        <v>26</v>
      </c>
      <c r="AC1782" t="s">
        <v>27</v>
      </c>
      <c r="AD1782" t="s">
        <v>28</v>
      </c>
      <c r="AE1782" t="s">
        <v>25</v>
      </c>
      <c r="AF17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5.3571428571428568E-2</v>
      </c>
      <c r="AG1782" t="s">
        <v>941</v>
      </c>
      <c r="AH1782">
        <v>56</v>
      </c>
      <c r="AI1782" t="s">
        <v>939</v>
      </c>
      <c r="AJ1782">
        <v>3</v>
      </c>
      <c r="AK17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MIN(AJ1782/8, 1) +
  Merge1[[#This Row],[index_defensive_effort]],
  2
)</f>
        <v>0.93</v>
      </c>
    </row>
    <row r="1783" spans="1:37" x14ac:dyDescent="0.25">
      <c r="A1783" t="s">
        <v>547</v>
      </c>
      <c r="B1783" t="s">
        <v>548</v>
      </c>
      <c r="C1783">
        <v>25</v>
      </c>
      <c r="D1783" t="s">
        <v>22</v>
      </c>
      <c r="E1783">
        <v>72</v>
      </c>
      <c r="F1783">
        <v>205</v>
      </c>
      <c r="G1783" t="s">
        <v>86</v>
      </c>
      <c r="H1783">
        <v>2020</v>
      </c>
      <c r="I1783" t="s">
        <v>33</v>
      </c>
      <c r="J1783">
        <v>13</v>
      </c>
      <c r="K1783">
        <v>4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33</v>
      </c>
      <c r="T1783">
        <v>20</v>
      </c>
      <c r="U1783" s="5">
        <f>IF(Merge1[[#This Row],[team_defense_snaps]]=0, "", Merge1[[#This Row],[defense_snaps]] / Merge1[[#This Row],[team_defense_snaps]])</f>
        <v>0.29850746268656714</v>
      </c>
      <c r="V1783">
        <v>67</v>
      </c>
      <c r="W1783">
        <v>13</v>
      </c>
      <c r="X1783" s="5" t="s">
        <v>52</v>
      </c>
      <c r="Y1783">
        <v>1</v>
      </c>
      <c r="Z1783">
        <v>0</v>
      </c>
      <c r="AA1783" t="s">
        <v>25</v>
      </c>
      <c r="AB1783" t="s">
        <v>26</v>
      </c>
      <c r="AC1783" t="s">
        <v>27</v>
      </c>
      <c r="AD1783" t="s">
        <v>28</v>
      </c>
      <c r="AE1783" t="s">
        <v>25</v>
      </c>
      <c r="AF17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0.12121212121212122</v>
      </c>
      <c r="AG1783" t="s">
        <v>941</v>
      </c>
      <c r="AH1783">
        <v>60</v>
      </c>
      <c r="AI1783" t="s">
        <v>939</v>
      </c>
      <c r="AJ1783">
        <v>4</v>
      </c>
      <c r="AK17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MIN(AJ1783/8, 1) +
  Merge1[[#This Row],[index_defensive_effort]],
  2
)</f>
        <v>1.1200000000000001</v>
      </c>
    </row>
    <row r="1784" spans="1:37" x14ac:dyDescent="0.25">
      <c r="A1784" t="s">
        <v>547</v>
      </c>
      <c r="B1784" t="s">
        <v>548</v>
      </c>
      <c r="C1784">
        <v>25</v>
      </c>
      <c r="D1784" t="s">
        <v>22</v>
      </c>
      <c r="E1784">
        <v>72</v>
      </c>
      <c r="F1784">
        <v>205</v>
      </c>
      <c r="G1784" t="s">
        <v>86</v>
      </c>
      <c r="H1784">
        <v>2020</v>
      </c>
      <c r="I1784" t="s">
        <v>33</v>
      </c>
      <c r="J1784">
        <v>14</v>
      </c>
      <c r="K1784">
        <v>3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49</v>
      </c>
      <c r="T1784">
        <v>39</v>
      </c>
      <c r="U1784" s="5">
        <f>IF(Merge1[[#This Row],[team_defense_snaps]]=0, "", Merge1[[#This Row],[defense_snaps]] / Merge1[[#This Row],[team_defense_snaps]])</f>
        <v>0.46987951807228917</v>
      </c>
      <c r="V1784">
        <v>83</v>
      </c>
      <c r="W1784">
        <v>10</v>
      </c>
      <c r="X1784" s="5" t="s">
        <v>138</v>
      </c>
      <c r="Y1784">
        <v>1</v>
      </c>
      <c r="Z1784">
        <v>0</v>
      </c>
      <c r="AA1784" t="s">
        <v>25</v>
      </c>
      <c r="AB1784" t="s">
        <v>26</v>
      </c>
      <c r="AC1784" t="s">
        <v>27</v>
      </c>
      <c r="AD1784" t="s">
        <v>28</v>
      </c>
      <c r="AE1784" t="s">
        <v>25</v>
      </c>
      <c r="AF17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6.1224489795918366E-2</v>
      </c>
      <c r="AG1784" t="s">
        <v>941</v>
      </c>
      <c r="AH1784">
        <v>80</v>
      </c>
      <c r="AI1784" t="s">
        <v>939</v>
      </c>
      <c r="AJ1784">
        <v>5</v>
      </c>
      <c r="AK17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MIN(AJ1784/8, 1) +
  Merge1[[#This Row],[index_defensive_effort]],
  2
)</f>
        <v>1.19</v>
      </c>
    </row>
    <row r="1785" spans="1:37" x14ac:dyDescent="0.25">
      <c r="A1785" t="s">
        <v>547</v>
      </c>
      <c r="B1785" t="s">
        <v>548</v>
      </c>
      <c r="C1785">
        <v>25</v>
      </c>
      <c r="D1785" t="s">
        <v>22</v>
      </c>
      <c r="E1785">
        <v>72</v>
      </c>
      <c r="F1785">
        <v>205</v>
      </c>
      <c r="G1785" t="s">
        <v>86</v>
      </c>
      <c r="H1785">
        <v>2020</v>
      </c>
      <c r="I1785" t="s">
        <v>33</v>
      </c>
      <c r="J1785">
        <v>15</v>
      </c>
      <c r="K1785">
        <v>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33</v>
      </c>
      <c r="T1785">
        <v>22</v>
      </c>
      <c r="U1785" s="5">
        <f>IF(Merge1[[#This Row],[team_defense_snaps]]=0, "", Merge1[[#This Row],[defense_snaps]] / Merge1[[#This Row],[team_defense_snaps]])</f>
        <v>0.36666666666666664</v>
      </c>
      <c r="V1785">
        <v>60</v>
      </c>
      <c r="W1785">
        <v>11</v>
      </c>
      <c r="X1785" s="5" t="s">
        <v>108</v>
      </c>
      <c r="Y1785">
        <v>1</v>
      </c>
      <c r="Z1785">
        <v>0</v>
      </c>
      <c r="AA1785" t="s">
        <v>25</v>
      </c>
      <c r="AB1785" t="s">
        <v>26</v>
      </c>
      <c r="AC1785" t="s">
        <v>27</v>
      </c>
      <c r="AD1785" t="s">
        <v>28</v>
      </c>
      <c r="AE1785" t="s">
        <v>25</v>
      </c>
      <c r="AF17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3.0303030303030304E-2</v>
      </c>
      <c r="AG1785" t="s">
        <v>941</v>
      </c>
      <c r="AH1785">
        <v>72.5</v>
      </c>
      <c r="AI1785" t="s">
        <v>939</v>
      </c>
      <c r="AJ1785">
        <v>1</v>
      </c>
      <c r="AK17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MIN(AJ1785/8, 1) +
  Merge1[[#This Row],[index_defensive_effort]],
  2
)</f>
        <v>0.66</v>
      </c>
    </row>
    <row r="1786" spans="1:37" x14ac:dyDescent="0.25">
      <c r="A1786" t="s">
        <v>547</v>
      </c>
      <c r="B1786" t="s">
        <v>548</v>
      </c>
      <c r="C1786">
        <v>25</v>
      </c>
      <c r="D1786" t="s">
        <v>22</v>
      </c>
      <c r="E1786">
        <v>72</v>
      </c>
      <c r="F1786">
        <v>205</v>
      </c>
      <c r="G1786" t="s">
        <v>86</v>
      </c>
      <c r="H1786">
        <v>2020</v>
      </c>
      <c r="I1786" t="s">
        <v>33</v>
      </c>
      <c r="J1786">
        <v>17</v>
      </c>
      <c r="K1786">
        <v>4</v>
      </c>
      <c r="L1786">
        <v>1</v>
      </c>
      <c r="M1786">
        <v>0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85</v>
      </c>
      <c r="T1786">
        <v>72</v>
      </c>
      <c r="U1786" s="5">
        <f>IF(Merge1[[#This Row],[team_defense_snaps]]=0, "", Merge1[[#This Row],[defense_snaps]] / Merge1[[#This Row],[team_defense_snaps]])</f>
        <v>1</v>
      </c>
      <c r="V1786">
        <v>72</v>
      </c>
      <c r="W1786">
        <v>13</v>
      </c>
      <c r="X1786" s="5" t="s">
        <v>102</v>
      </c>
      <c r="Y1786">
        <v>1</v>
      </c>
      <c r="Z1786">
        <v>0</v>
      </c>
      <c r="AA1786" t="s">
        <v>25</v>
      </c>
      <c r="AB1786" t="s">
        <v>26</v>
      </c>
      <c r="AC1786" t="s">
        <v>27</v>
      </c>
      <c r="AD1786" t="s">
        <v>42</v>
      </c>
      <c r="AE1786" t="s">
        <v>25</v>
      </c>
      <c r="AF17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5.2941176470588235E-2</v>
      </c>
      <c r="AG1786" t="s">
        <v>941</v>
      </c>
      <c r="AH1786">
        <v>69.5</v>
      </c>
      <c r="AI1786" t="s">
        <v>939</v>
      </c>
      <c r="AJ1786">
        <v>1</v>
      </c>
      <c r="AK17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MIN(AJ1786/8, 1) +
  Merge1[[#This Row],[index_defensive_effort]],
  2
)</f>
        <v>0.68</v>
      </c>
    </row>
    <row r="1787" spans="1:37" x14ac:dyDescent="0.25">
      <c r="A1787" t="s">
        <v>547</v>
      </c>
      <c r="B1787" t="s">
        <v>548</v>
      </c>
      <c r="C1787">
        <v>25</v>
      </c>
      <c r="D1787" t="s">
        <v>22</v>
      </c>
      <c r="E1787">
        <v>72</v>
      </c>
      <c r="F1787">
        <v>205</v>
      </c>
      <c r="G1787" t="s">
        <v>86</v>
      </c>
      <c r="H1787">
        <v>2020</v>
      </c>
      <c r="I1787" t="s">
        <v>24</v>
      </c>
      <c r="J1787">
        <v>19</v>
      </c>
      <c r="K1787">
        <v>0</v>
      </c>
      <c r="L1787">
        <v>1</v>
      </c>
      <c r="M1787">
        <v>0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31</v>
      </c>
      <c r="T1787">
        <v>21</v>
      </c>
      <c r="U1787" s="5">
        <f>IF(Merge1[[#This Row],[team_defense_snaps]]=0, "", Merge1[[#This Row],[defense_snaps]] / Merge1[[#This Row],[team_defense_snaps]])</f>
        <v>0.328125</v>
      </c>
      <c r="V1787">
        <v>64</v>
      </c>
      <c r="W1787">
        <v>10</v>
      </c>
      <c r="X1787" s="5" t="s">
        <v>200</v>
      </c>
      <c r="Y1787">
        <v>1</v>
      </c>
      <c r="Z1787">
        <v>0</v>
      </c>
      <c r="AA1787" t="s">
        <v>25</v>
      </c>
      <c r="AB1787" t="s">
        <v>26</v>
      </c>
      <c r="AC1787" t="s">
        <v>27</v>
      </c>
      <c r="AD1787" t="s">
        <v>28</v>
      </c>
      <c r="AE1787" t="s">
        <v>25</v>
      </c>
      <c r="AF17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1.6129032258064516E-2</v>
      </c>
      <c r="AG1787" t="s">
        <v>941</v>
      </c>
      <c r="AH1787">
        <v>63.5</v>
      </c>
      <c r="AI1787" t="s">
        <v>939</v>
      </c>
      <c r="AJ1787">
        <v>2</v>
      </c>
      <c r="AK17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MIN(AJ1787/8, 1) +
  Merge1[[#This Row],[index_defensive_effort]],
  2
)</f>
        <v>0.97</v>
      </c>
    </row>
    <row r="1788" spans="1:37" x14ac:dyDescent="0.25">
      <c r="A1788" t="s">
        <v>547</v>
      </c>
      <c r="B1788" t="s">
        <v>548</v>
      </c>
      <c r="C1788">
        <v>25</v>
      </c>
      <c r="D1788" t="s">
        <v>22</v>
      </c>
      <c r="E1788">
        <v>72</v>
      </c>
      <c r="F1788">
        <v>205</v>
      </c>
      <c r="G1788" t="s">
        <v>86</v>
      </c>
      <c r="H1788">
        <v>2020</v>
      </c>
      <c r="I1788" t="s">
        <v>24</v>
      </c>
      <c r="J1788">
        <v>20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67</v>
      </c>
      <c r="T1788">
        <v>55</v>
      </c>
      <c r="U1788" s="5">
        <f>IF(Merge1[[#This Row],[team_defense_snaps]]=0, "", Merge1[[#This Row],[defense_snaps]] / Merge1[[#This Row],[team_defense_snaps]])</f>
        <v>0.76388888888888884</v>
      </c>
      <c r="V1788">
        <v>72</v>
      </c>
      <c r="W1788">
        <v>12</v>
      </c>
      <c r="X1788" s="5" t="s">
        <v>210</v>
      </c>
      <c r="Y1788">
        <v>1</v>
      </c>
      <c r="Z1788">
        <v>0</v>
      </c>
      <c r="AA1788" t="s">
        <v>25</v>
      </c>
      <c r="AB1788" t="s">
        <v>26</v>
      </c>
      <c r="AC1788" t="s">
        <v>27</v>
      </c>
      <c r="AD1788" t="s">
        <v>28</v>
      </c>
      <c r="AE1788" t="s">
        <v>25</v>
      </c>
      <c r="AF17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1788" t="s">
        <v>941</v>
      </c>
      <c r="AH1788">
        <v>62</v>
      </c>
      <c r="AI1788" t="s">
        <v>939</v>
      </c>
      <c r="AJ1788">
        <v>3</v>
      </c>
      <c r="AK17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MIN(AJ1788/8, 1) +
  Merge1[[#This Row],[index_defensive_effort]],
  2
)</f>
        <v>1.08</v>
      </c>
    </row>
    <row r="1789" spans="1:37" x14ac:dyDescent="0.25">
      <c r="A1789" t="s">
        <v>547</v>
      </c>
      <c r="B1789" t="s">
        <v>548</v>
      </c>
      <c r="C1789">
        <v>25</v>
      </c>
      <c r="D1789" t="s">
        <v>22</v>
      </c>
      <c r="E1789">
        <v>72</v>
      </c>
      <c r="F1789">
        <v>205</v>
      </c>
      <c r="G1789" t="s">
        <v>86</v>
      </c>
      <c r="H1789">
        <v>2020</v>
      </c>
      <c r="I1789" t="s">
        <v>24</v>
      </c>
      <c r="J1789">
        <v>21</v>
      </c>
      <c r="K1789">
        <v>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10</v>
      </c>
      <c r="T1789">
        <v>0</v>
      </c>
      <c r="U1789" s="5" t="str">
        <f>IF(Merge1[[#This Row],[team_defense_snaps]]=0, "", Merge1[[#This Row],[defense_snaps]] / Merge1[[#This Row],[team_defense_snaps]])</f>
        <v/>
      </c>
      <c r="V1789">
        <v>0</v>
      </c>
      <c r="W1789">
        <v>10</v>
      </c>
      <c r="X1789" s="5" t="s">
        <v>60</v>
      </c>
      <c r="Y1789">
        <v>1</v>
      </c>
      <c r="Z1789">
        <v>0</v>
      </c>
      <c r="AA1789" t="s">
        <v>25</v>
      </c>
      <c r="AB1789" t="s">
        <v>26</v>
      </c>
      <c r="AC1789" t="s">
        <v>27</v>
      </c>
      <c r="AD1789" t="s">
        <v>28</v>
      </c>
      <c r="AE1789" t="s">
        <v>25</v>
      </c>
      <c r="AF17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1789" t="s">
        <v>941</v>
      </c>
      <c r="AH1789">
        <v>78.5</v>
      </c>
      <c r="AI1789" t="s">
        <v>938</v>
      </c>
      <c r="AJ1789">
        <v>1</v>
      </c>
      <c r="AK17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MIN(AJ1789/8, 1) +
  Merge1[[#This Row],[index_defensive_effort]],
  2
)</f>
        <v>0.93</v>
      </c>
    </row>
    <row r="1790" spans="1:37" x14ac:dyDescent="0.25">
      <c r="A1790" t="s">
        <v>453</v>
      </c>
      <c r="B1790" t="s">
        <v>454</v>
      </c>
      <c r="C1790">
        <v>22</v>
      </c>
      <c r="D1790" t="s">
        <v>22</v>
      </c>
      <c r="E1790">
        <v>72</v>
      </c>
      <c r="F1790">
        <v>202</v>
      </c>
      <c r="G1790" t="s">
        <v>424</v>
      </c>
      <c r="H1790">
        <v>2020</v>
      </c>
      <c r="I1790" t="s">
        <v>33</v>
      </c>
      <c r="J1790">
        <v>2</v>
      </c>
      <c r="K1790">
        <v>3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1</v>
      </c>
      <c r="R1790">
        <v>0</v>
      </c>
      <c r="S1790">
        <v>37</v>
      </c>
      <c r="T1790">
        <v>34</v>
      </c>
      <c r="U1790" s="5">
        <f>IF(Merge1[[#This Row],[team_defense_snaps]]=0, "", Merge1[[#This Row],[defense_snaps]] / Merge1[[#This Row],[team_defense_snaps]])</f>
        <v>0.61818181818181817</v>
      </c>
      <c r="V1790">
        <v>55</v>
      </c>
      <c r="W1790">
        <v>3</v>
      </c>
      <c r="X1790" s="5" t="s">
        <v>251</v>
      </c>
      <c r="Y1790">
        <v>0</v>
      </c>
      <c r="Z1790">
        <v>0</v>
      </c>
      <c r="AA1790" t="s">
        <v>25</v>
      </c>
      <c r="AB1790" t="s">
        <v>36</v>
      </c>
      <c r="AC1790" t="s">
        <v>247</v>
      </c>
      <c r="AD1790" t="s">
        <v>28</v>
      </c>
      <c r="AE1790" t="s">
        <v>25</v>
      </c>
      <c r="AF17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0.1891891891891892</v>
      </c>
      <c r="AG1790" t="s">
        <v>942</v>
      </c>
      <c r="AH1790">
        <v>67.5</v>
      </c>
      <c r="AI1790" t="s">
        <v>939</v>
      </c>
      <c r="AJ1790">
        <v>2</v>
      </c>
      <c r="AK17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MIN(AJ1790/8, 1) +
  Merge1[[#This Row],[index_defensive_effort]],
  2
)</f>
        <v>0.94</v>
      </c>
    </row>
    <row r="1791" spans="1:37" x14ac:dyDescent="0.25">
      <c r="A1791" t="s">
        <v>453</v>
      </c>
      <c r="B1791" t="s">
        <v>454</v>
      </c>
      <c r="C1791">
        <v>22</v>
      </c>
      <c r="D1791" t="s">
        <v>22</v>
      </c>
      <c r="E1791">
        <v>72</v>
      </c>
      <c r="F1791">
        <v>202</v>
      </c>
      <c r="G1791" t="s">
        <v>424</v>
      </c>
      <c r="H1791">
        <v>2020</v>
      </c>
      <c r="I1791" t="s">
        <v>33</v>
      </c>
      <c r="J1791">
        <v>3</v>
      </c>
      <c r="K1791">
        <v>1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44</v>
      </c>
      <c r="T1791">
        <v>41</v>
      </c>
      <c r="U1791" s="5">
        <f>IF(Merge1[[#This Row],[team_defense_snaps]]=0, "", Merge1[[#This Row],[defense_snaps]] / Merge1[[#This Row],[team_defense_snaps]])</f>
        <v>0.63076923076923075</v>
      </c>
      <c r="V1791">
        <v>65</v>
      </c>
      <c r="W1791">
        <v>3</v>
      </c>
      <c r="X1791" s="5" t="s">
        <v>35</v>
      </c>
      <c r="Y1791">
        <v>0</v>
      </c>
      <c r="Z1791">
        <v>0</v>
      </c>
      <c r="AA1791" t="s">
        <v>25</v>
      </c>
      <c r="AB1791" t="s">
        <v>26</v>
      </c>
      <c r="AC1791" t="s">
        <v>27</v>
      </c>
      <c r="AD1791" t="s">
        <v>42</v>
      </c>
      <c r="AE1791" t="s">
        <v>25</v>
      </c>
      <c r="AF17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2.2727272727272728E-2</v>
      </c>
      <c r="AG1791" t="s">
        <v>942</v>
      </c>
      <c r="AH1791">
        <v>52.5</v>
      </c>
      <c r="AI1791" t="s">
        <v>939</v>
      </c>
      <c r="AJ1791">
        <v>3</v>
      </c>
      <c r="AK17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MIN(AJ1791/8, 1) +
  Merge1[[#This Row],[index_defensive_effort]],
  2
)</f>
        <v>0.9</v>
      </c>
    </row>
    <row r="1792" spans="1:37" x14ac:dyDescent="0.25">
      <c r="A1792" t="s">
        <v>453</v>
      </c>
      <c r="B1792" t="s">
        <v>454</v>
      </c>
      <c r="C1792">
        <v>22</v>
      </c>
      <c r="D1792" t="s">
        <v>22</v>
      </c>
      <c r="E1792">
        <v>72</v>
      </c>
      <c r="F1792">
        <v>202</v>
      </c>
      <c r="G1792" t="s">
        <v>424</v>
      </c>
      <c r="H1792">
        <v>2020</v>
      </c>
      <c r="I1792" t="s">
        <v>33</v>
      </c>
      <c r="J1792">
        <v>4</v>
      </c>
      <c r="K1792">
        <v>3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2</v>
      </c>
      <c r="R1792">
        <v>0</v>
      </c>
      <c r="S1792">
        <v>62</v>
      </c>
      <c r="T1792">
        <v>62</v>
      </c>
      <c r="U1792" s="5">
        <f>IF(Merge1[[#This Row],[team_defense_snaps]]=0, "", Merge1[[#This Row],[defense_snaps]] / Merge1[[#This Row],[team_defense_snaps]])</f>
        <v>0.96875</v>
      </c>
      <c r="V1792">
        <v>64</v>
      </c>
      <c r="W1792">
        <v>0</v>
      </c>
      <c r="X1792" s="5" t="s">
        <v>29</v>
      </c>
      <c r="Y1792">
        <v>0</v>
      </c>
      <c r="Z1792">
        <v>0</v>
      </c>
      <c r="AA1792" t="s">
        <v>25</v>
      </c>
      <c r="AB1792" t="s">
        <v>26</v>
      </c>
      <c r="AC1792" t="s">
        <v>27</v>
      </c>
      <c r="AD1792" t="s">
        <v>42</v>
      </c>
      <c r="AE1792" t="s">
        <v>25</v>
      </c>
      <c r="AF17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0.17741935483870969</v>
      </c>
      <c r="AG1792" t="s">
        <v>942</v>
      </c>
      <c r="AH1792">
        <v>61.5</v>
      </c>
      <c r="AI1792" t="s">
        <v>939</v>
      </c>
      <c r="AJ1792">
        <v>4</v>
      </c>
      <c r="AK17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MIN(AJ1792/8, 1) +
  Merge1[[#This Row],[index_defensive_effort]],
  2
)</f>
        <v>1.18</v>
      </c>
    </row>
    <row r="1793" spans="1:37" x14ac:dyDescent="0.25">
      <c r="A1793" t="s">
        <v>453</v>
      </c>
      <c r="B1793" t="s">
        <v>454</v>
      </c>
      <c r="C1793">
        <v>22</v>
      </c>
      <c r="D1793" t="s">
        <v>22</v>
      </c>
      <c r="E1793">
        <v>72</v>
      </c>
      <c r="F1793">
        <v>202</v>
      </c>
      <c r="G1793" t="s">
        <v>424</v>
      </c>
      <c r="H1793">
        <v>2020</v>
      </c>
      <c r="I1793" t="s">
        <v>33</v>
      </c>
      <c r="J1793">
        <v>5</v>
      </c>
      <c r="K1793">
        <v>3</v>
      </c>
      <c r="L1793">
        <v>1</v>
      </c>
      <c r="M1793">
        <v>1</v>
      </c>
      <c r="N1793">
        <v>2</v>
      </c>
      <c r="O1793">
        <v>0</v>
      </c>
      <c r="P1793">
        <v>0</v>
      </c>
      <c r="Q1793">
        <v>0</v>
      </c>
      <c r="R1793">
        <v>0</v>
      </c>
      <c r="S1793">
        <v>67</v>
      </c>
      <c r="T1793">
        <v>64</v>
      </c>
      <c r="U1793" s="5">
        <f>IF(Merge1[[#This Row],[team_defense_snaps]]=0, "", Merge1[[#This Row],[defense_snaps]] / Merge1[[#This Row],[team_defense_snaps]])</f>
        <v>0.85333333333333339</v>
      </c>
      <c r="V1793">
        <v>75</v>
      </c>
      <c r="W1793">
        <v>3</v>
      </c>
      <c r="X1793" s="5" t="s">
        <v>35</v>
      </c>
      <c r="Y1793">
        <v>0</v>
      </c>
      <c r="Z1793">
        <v>0</v>
      </c>
      <c r="AA1793" t="s">
        <v>25</v>
      </c>
      <c r="AB1793" t="s">
        <v>26</v>
      </c>
      <c r="AC1793" t="s">
        <v>27</v>
      </c>
      <c r="AD1793" t="s">
        <v>42</v>
      </c>
      <c r="AE1793" t="s">
        <v>25</v>
      </c>
      <c r="AF17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5.9701492537313432E-2</v>
      </c>
      <c r="AG1793" t="s">
        <v>942</v>
      </c>
      <c r="AH1793">
        <v>64.5</v>
      </c>
      <c r="AI1793" t="s">
        <v>939</v>
      </c>
      <c r="AJ1793">
        <v>5</v>
      </c>
      <c r="AK17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MIN(AJ1793/8, 1) +
  Merge1[[#This Row],[index_defensive_effort]],
  2
)</f>
        <v>1.18</v>
      </c>
    </row>
    <row r="1794" spans="1:37" x14ac:dyDescent="0.25">
      <c r="A1794" t="s">
        <v>453</v>
      </c>
      <c r="B1794" t="s">
        <v>454</v>
      </c>
      <c r="C1794">
        <v>22</v>
      </c>
      <c r="D1794" t="s">
        <v>22</v>
      </c>
      <c r="E1794">
        <v>72</v>
      </c>
      <c r="F1794">
        <v>202</v>
      </c>
      <c r="G1794" t="s">
        <v>424</v>
      </c>
      <c r="H1794">
        <v>2020</v>
      </c>
      <c r="I1794" t="s">
        <v>33</v>
      </c>
      <c r="J1794">
        <v>6</v>
      </c>
      <c r="K1794">
        <v>4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2</v>
      </c>
      <c r="R1794">
        <v>0</v>
      </c>
      <c r="S1794">
        <v>73</v>
      </c>
      <c r="T1794">
        <v>73</v>
      </c>
      <c r="U1794" s="5">
        <f>IF(Merge1[[#This Row],[team_defense_snaps]]=0, "", Merge1[[#This Row],[defense_snaps]] / Merge1[[#This Row],[team_defense_snaps]])</f>
        <v>0.91249999999999998</v>
      </c>
      <c r="V1794">
        <v>80</v>
      </c>
      <c r="W1794">
        <v>0</v>
      </c>
      <c r="X1794" s="5" t="s">
        <v>29</v>
      </c>
      <c r="Y1794">
        <v>0</v>
      </c>
      <c r="Z1794">
        <v>0</v>
      </c>
      <c r="AA1794" t="s">
        <v>25</v>
      </c>
      <c r="AB1794" t="s">
        <v>26</v>
      </c>
      <c r="AC1794" t="s">
        <v>27</v>
      </c>
      <c r="AD1794" t="s">
        <v>42</v>
      </c>
      <c r="AE1794" t="s">
        <v>25</v>
      </c>
      <c r="AF17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0.16438356164383561</v>
      </c>
      <c r="AG1794" t="s">
        <v>942</v>
      </c>
      <c r="AH1794">
        <v>51</v>
      </c>
      <c r="AI1794" t="s">
        <v>939</v>
      </c>
      <c r="AJ1794">
        <v>1</v>
      </c>
      <c r="AK17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MIN(AJ1794/8, 1) +
  Merge1[[#This Row],[index_defensive_effort]],
  2
)</f>
        <v>0.79</v>
      </c>
    </row>
    <row r="1795" spans="1:37" x14ac:dyDescent="0.25">
      <c r="A1795" t="s">
        <v>453</v>
      </c>
      <c r="B1795" t="s">
        <v>454</v>
      </c>
      <c r="C1795">
        <v>22</v>
      </c>
      <c r="D1795" t="s">
        <v>22</v>
      </c>
      <c r="E1795">
        <v>72</v>
      </c>
      <c r="F1795">
        <v>202</v>
      </c>
      <c r="G1795" t="s">
        <v>424</v>
      </c>
      <c r="H1795">
        <v>2020</v>
      </c>
      <c r="I1795" t="s">
        <v>33</v>
      </c>
      <c r="J1795">
        <v>8</v>
      </c>
      <c r="K1795">
        <v>3</v>
      </c>
      <c r="L1795">
        <v>1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62</v>
      </c>
      <c r="T1795">
        <v>61</v>
      </c>
      <c r="U1795" s="5">
        <f>IF(Merge1[[#This Row],[team_defense_snaps]]=0, "", Merge1[[#This Row],[defense_snaps]] / Merge1[[#This Row],[team_defense_snaps]])</f>
        <v>0.9838709677419355</v>
      </c>
      <c r="V1795">
        <v>62</v>
      </c>
      <c r="W1795">
        <v>1</v>
      </c>
      <c r="X1795" s="5" t="s">
        <v>303</v>
      </c>
      <c r="Y1795">
        <v>0</v>
      </c>
      <c r="Z1795">
        <v>0</v>
      </c>
      <c r="AA1795" t="s">
        <v>25</v>
      </c>
      <c r="AB1795" t="s">
        <v>26</v>
      </c>
      <c r="AC1795" t="s">
        <v>27</v>
      </c>
      <c r="AD1795" t="s">
        <v>42</v>
      </c>
      <c r="AE1795" t="s">
        <v>25</v>
      </c>
      <c r="AF17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5.6451612903225805E-2</v>
      </c>
      <c r="AG1795" t="s">
        <v>942</v>
      </c>
      <c r="AH1795">
        <v>52</v>
      </c>
      <c r="AI1795" t="s">
        <v>939</v>
      </c>
      <c r="AJ1795">
        <v>2</v>
      </c>
      <c r="AK17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MIN(AJ1795/8, 1) +
  Merge1[[#This Row],[index_defensive_effort]],
  2
)</f>
        <v>0.81</v>
      </c>
    </row>
    <row r="1796" spans="1:37" x14ac:dyDescent="0.25">
      <c r="A1796" t="s">
        <v>453</v>
      </c>
      <c r="B1796" t="s">
        <v>454</v>
      </c>
      <c r="C1796">
        <v>22</v>
      </c>
      <c r="D1796" t="s">
        <v>22</v>
      </c>
      <c r="E1796">
        <v>72</v>
      </c>
      <c r="F1796">
        <v>202</v>
      </c>
      <c r="G1796" t="s">
        <v>424</v>
      </c>
      <c r="H1796">
        <v>2020</v>
      </c>
      <c r="I1796" t="s">
        <v>33</v>
      </c>
      <c r="J1796">
        <v>9</v>
      </c>
      <c r="K1796">
        <v>4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70</v>
      </c>
      <c r="T1796">
        <v>64</v>
      </c>
      <c r="U1796" s="5">
        <f>IF(Merge1[[#This Row],[team_defense_snaps]]=0, "", Merge1[[#This Row],[defense_snaps]] / Merge1[[#This Row],[team_defense_snaps]])</f>
        <v>0.95522388059701491</v>
      </c>
      <c r="V1796">
        <v>67</v>
      </c>
      <c r="W1796">
        <v>6</v>
      </c>
      <c r="X1796" s="5" t="s">
        <v>135</v>
      </c>
      <c r="Y1796">
        <v>0</v>
      </c>
      <c r="Z1796">
        <v>0</v>
      </c>
      <c r="AA1796" t="s">
        <v>25</v>
      </c>
      <c r="AB1796" t="s">
        <v>26</v>
      </c>
      <c r="AC1796" t="s">
        <v>27</v>
      </c>
      <c r="AD1796" t="s">
        <v>42</v>
      </c>
      <c r="AE1796" t="s">
        <v>25</v>
      </c>
      <c r="AF17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5.7142857142857141E-2</v>
      </c>
      <c r="AG1796" t="s">
        <v>942</v>
      </c>
      <c r="AH1796">
        <v>54</v>
      </c>
      <c r="AI1796" t="s">
        <v>939</v>
      </c>
      <c r="AJ1796">
        <v>3</v>
      </c>
      <c r="AK17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MIN(AJ1796/8, 1) +
  Merge1[[#This Row],[index_defensive_effort]],
  2
)</f>
        <v>0.93</v>
      </c>
    </row>
    <row r="1797" spans="1:37" x14ac:dyDescent="0.25">
      <c r="A1797" t="s">
        <v>453</v>
      </c>
      <c r="B1797" t="s">
        <v>454</v>
      </c>
      <c r="C1797">
        <v>22</v>
      </c>
      <c r="D1797" t="s">
        <v>22</v>
      </c>
      <c r="E1797">
        <v>72</v>
      </c>
      <c r="F1797">
        <v>202</v>
      </c>
      <c r="G1797" t="s">
        <v>424</v>
      </c>
      <c r="H1797">
        <v>2020</v>
      </c>
      <c r="I1797" t="s">
        <v>33</v>
      </c>
      <c r="J1797">
        <v>10</v>
      </c>
      <c r="K1797">
        <v>4</v>
      </c>
      <c r="L1797">
        <v>1</v>
      </c>
      <c r="M1797">
        <v>0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60</v>
      </c>
      <c r="T1797">
        <v>60</v>
      </c>
      <c r="U1797" s="5">
        <f>IF(Merge1[[#This Row],[team_defense_snaps]]=0, "", Merge1[[#This Row],[defense_snaps]] / Merge1[[#This Row],[team_defense_snaps]])</f>
        <v>0.89552238805970152</v>
      </c>
      <c r="V1797">
        <v>67</v>
      </c>
      <c r="W1797">
        <v>0</v>
      </c>
      <c r="X1797" s="5" t="s">
        <v>29</v>
      </c>
      <c r="Y1797">
        <v>0</v>
      </c>
      <c r="Z1797">
        <v>0</v>
      </c>
      <c r="AA1797" t="s">
        <v>25</v>
      </c>
      <c r="AB1797" t="s">
        <v>26</v>
      </c>
      <c r="AC1797" t="s">
        <v>27</v>
      </c>
      <c r="AD1797" t="s">
        <v>42</v>
      </c>
      <c r="AE1797" t="s">
        <v>25</v>
      </c>
      <c r="AF17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7.4999999999999997E-2</v>
      </c>
      <c r="AG1797" t="s">
        <v>942</v>
      </c>
      <c r="AH1797">
        <v>55.5</v>
      </c>
      <c r="AI1797" t="s">
        <v>939</v>
      </c>
      <c r="AJ1797">
        <v>4</v>
      </c>
      <c r="AK17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MIN(AJ1797/8, 1) +
  Merge1[[#This Row],[index_defensive_effort]],
  2
)</f>
        <v>1.08</v>
      </c>
    </row>
    <row r="1798" spans="1:37" x14ac:dyDescent="0.25">
      <c r="A1798" t="s">
        <v>453</v>
      </c>
      <c r="B1798" t="s">
        <v>454</v>
      </c>
      <c r="C1798">
        <v>22</v>
      </c>
      <c r="D1798" t="s">
        <v>22</v>
      </c>
      <c r="E1798">
        <v>72</v>
      </c>
      <c r="F1798">
        <v>202</v>
      </c>
      <c r="G1798" t="s">
        <v>424</v>
      </c>
      <c r="H1798">
        <v>2020</v>
      </c>
      <c r="I1798" t="s">
        <v>33</v>
      </c>
      <c r="J1798">
        <v>11</v>
      </c>
      <c r="K1798">
        <v>4</v>
      </c>
      <c r="L1798">
        <v>1</v>
      </c>
      <c r="M1798">
        <v>1</v>
      </c>
      <c r="N1798">
        <v>2</v>
      </c>
      <c r="O1798">
        <v>0</v>
      </c>
      <c r="P1798">
        <v>0</v>
      </c>
      <c r="Q1798">
        <v>0</v>
      </c>
      <c r="R1798">
        <v>2</v>
      </c>
      <c r="S1798">
        <v>65</v>
      </c>
      <c r="T1798">
        <v>60</v>
      </c>
      <c r="U1798" s="5">
        <f>IF(Merge1[[#This Row],[team_defense_snaps]]=0, "", Merge1[[#This Row],[defense_snaps]] / Merge1[[#This Row],[team_defense_snaps]])</f>
        <v>1</v>
      </c>
      <c r="V1798">
        <v>60</v>
      </c>
      <c r="W1798">
        <v>5</v>
      </c>
      <c r="X1798" s="5" t="s">
        <v>159</v>
      </c>
      <c r="Y1798">
        <v>0</v>
      </c>
      <c r="Z1798">
        <v>0</v>
      </c>
      <c r="AA1798" t="s">
        <v>25</v>
      </c>
      <c r="AB1798" t="s">
        <v>26</v>
      </c>
      <c r="AC1798" t="s">
        <v>27</v>
      </c>
      <c r="AD1798" t="s">
        <v>42</v>
      </c>
      <c r="AE1798" t="s">
        <v>25</v>
      </c>
      <c r="AF17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0.13846153846153847</v>
      </c>
      <c r="AG1798" t="s">
        <v>942</v>
      </c>
      <c r="AH1798">
        <v>66</v>
      </c>
      <c r="AI1798" t="s">
        <v>939</v>
      </c>
      <c r="AJ1798">
        <v>5</v>
      </c>
      <c r="AK17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MIN(AJ1798/8, 1) +
  Merge1[[#This Row],[index_defensive_effort]],
  2
)</f>
        <v>1.26</v>
      </c>
    </row>
    <row r="1799" spans="1:37" x14ac:dyDescent="0.25">
      <c r="A1799" t="s">
        <v>453</v>
      </c>
      <c r="B1799" t="s">
        <v>454</v>
      </c>
      <c r="C1799">
        <v>22</v>
      </c>
      <c r="D1799" t="s">
        <v>22</v>
      </c>
      <c r="E1799">
        <v>72</v>
      </c>
      <c r="F1799">
        <v>202</v>
      </c>
      <c r="G1799" t="s">
        <v>424</v>
      </c>
      <c r="H1799">
        <v>2020</v>
      </c>
      <c r="I1799" t="s">
        <v>33</v>
      </c>
      <c r="J1799">
        <v>12</v>
      </c>
      <c r="K1799">
        <v>1</v>
      </c>
      <c r="L1799">
        <v>1</v>
      </c>
      <c r="M1799">
        <v>0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81</v>
      </c>
      <c r="T1799">
        <v>72</v>
      </c>
      <c r="U1799" s="5">
        <f>IF(Merge1[[#This Row],[team_defense_snaps]]=0, "", Merge1[[#This Row],[defense_snaps]] / Merge1[[#This Row],[team_defense_snaps]])</f>
        <v>1</v>
      </c>
      <c r="V1799">
        <v>72</v>
      </c>
      <c r="W1799">
        <v>9</v>
      </c>
      <c r="X1799" s="5" t="s">
        <v>113</v>
      </c>
      <c r="Y1799">
        <v>0</v>
      </c>
      <c r="Z1799">
        <v>0</v>
      </c>
      <c r="AA1799" t="s">
        <v>25</v>
      </c>
      <c r="AB1799" t="s">
        <v>26</v>
      </c>
      <c r="AC1799" t="s">
        <v>27</v>
      </c>
      <c r="AD1799" t="s">
        <v>42</v>
      </c>
      <c r="AE1799" t="s">
        <v>25</v>
      </c>
      <c r="AF17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1.8518518518518517E-2</v>
      </c>
      <c r="AG1799" t="s">
        <v>942</v>
      </c>
      <c r="AH1799">
        <v>70.5</v>
      </c>
      <c r="AI1799" t="s">
        <v>939</v>
      </c>
      <c r="AJ1799">
        <v>6</v>
      </c>
      <c r="AK17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MIN(AJ1799/8, 1) +
  Merge1[[#This Row],[index_defensive_effort]],
  2
)</f>
        <v>1.27</v>
      </c>
    </row>
    <row r="1800" spans="1:37" x14ac:dyDescent="0.25">
      <c r="A1800" t="s">
        <v>453</v>
      </c>
      <c r="B1800" t="s">
        <v>454</v>
      </c>
      <c r="C1800">
        <v>22</v>
      </c>
      <c r="D1800" t="s">
        <v>22</v>
      </c>
      <c r="E1800">
        <v>72</v>
      </c>
      <c r="F1800">
        <v>202</v>
      </c>
      <c r="G1800" t="s">
        <v>424</v>
      </c>
      <c r="H1800">
        <v>2020</v>
      </c>
      <c r="I1800" t="s">
        <v>33</v>
      </c>
      <c r="J1800">
        <v>13</v>
      </c>
      <c r="K1800">
        <v>3</v>
      </c>
      <c r="L1800">
        <v>1</v>
      </c>
      <c r="M1800">
        <v>0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64</v>
      </c>
      <c r="T1800">
        <v>64</v>
      </c>
      <c r="U1800" s="5">
        <f>IF(Merge1[[#This Row],[team_defense_snaps]]=0, "", Merge1[[#This Row],[defense_snaps]] / Merge1[[#This Row],[team_defense_snaps]])</f>
        <v>1</v>
      </c>
      <c r="V1800">
        <v>64</v>
      </c>
      <c r="W1800">
        <v>0</v>
      </c>
      <c r="X1800" s="5" t="s">
        <v>29</v>
      </c>
      <c r="Y1800">
        <v>0</v>
      </c>
      <c r="Z1800">
        <v>0</v>
      </c>
      <c r="AA1800" t="s">
        <v>25</v>
      </c>
      <c r="AB1800" t="s">
        <v>26</v>
      </c>
      <c r="AC1800" t="s">
        <v>27</v>
      </c>
      <c r="AD1800" t="s">
        <v>42</v>
      </c>
      <c r="AE1800" t="s">
        <v>25</v>
      </c>
      <c r="AF18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5.46875E-2</v>
      </c>
      <c r="AG1800" t="s">
        <v>942</v>
      </c>
      <c r="AH1800">
        <v>60</v>
      </c>
      <c r="AI1800" t="s">
        <v>939</v>
      </c>
      <c r="AJ1800">
        <v>7</v>
      </c>
      <c r="AK18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MIN(AJ1800/8, 1) +
  Merge1[[#This Row],[index_defensive_effort]],
  2
)</f>
        <v>1.43</v>
      </c>
    </row>
    <row r="1801" spans="1:37" x14ac:dyDescent="0.25">
      <c r="A1801" t="s">
        <v>453</v>
      </c>
      <c r="B1801" t="s">
        <v>454</v>
      </c>
      <c r="C1801">
        <v>22</v>
      </c>
      <c r="D1801" t="s">
        <v>22</v>
      </c>
      <c r="E1801">
        <v>72</v>
      </c>
      <c r="F1801">
        <v>202</v>
      </c>
      <c r="G1801" t="s">
        <v>424</v>
      </c>
      <c r="H1801">
        <v>2020</v>
      </c>
      <c r="I1801" t="s">
        <v>33</v>
      </c>
      <c r="J1801">
        <v>14</v>
      </c>
      <c r="K1801">
        <v>1</v>
      </c>
      <c r="L1801">
        <v>1</v>
      </c>
      <c r="M1801">
        <v>0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59</v>
      </c>
      <c r="T1801">
        <v>59</v>
      </c>
      <c r="U1801" s="5">
        <f>IF(Merge1[[#This Row],[team_defense_snaps]]=0, "", Merge1[[#This Row],[defense_snaps]] / Merge1[[#This Row],[team_defense_snaps]])</f>
        <v>0.85507246376811596</v>
      </c>
      <c r="V1801">
        <v>69</v>
      </c>
      <c r="W1801">
        <v>0</v>
      </c>
      <c r="X1801" s="5" t="s">
        <v>29</v>
      </c>
      <c r="Y1801">
        <v>0</v>
      </c>
      <c r="Z1801">
        <v>0</v>
      </c>
      <c r="AA1801" t="s">
        <v>25</v>
      </c>
      <c r="AB1801" t="s">
        <v>26</v>
      </c>
      <c r="AC1801" t="s">
        <v>27</v>
      </c>
      <c r="AD1801" t="s">
        <v>42</v>
      </c>
      <c r="AE1801" t="s">
        <v>25</v>
      </c>
      <c r="AF18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2.5423728813559324E-2</v>
      </c>
      <c r="AG1801" t="s">
        <v>942</v>
      </c>
      <c r="AH1801">
        <v>58.5</v>
      </c>
      <c r="AI1801" t="s">
        <v>939</v>
      </c>
      <c r="AJ1801">
        <v>8</v>
      </c>
      <c r="AK18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MIN(AJ1801/8, 1) +
  Merge1[[#This Row],[index_defensive_effort]],
  2
)</f>
        <v>1.53</v>
      </c>
    </row>
    <row r="1802" spans="1:37" x14ac:dyDescent="0.25">
      <c r="A1802" t="s">
        <v>453</v>
      </c>
      <c r="B1802" t="s">
        <v>454</v>
      </c>
      <c r="C1802">
        <v>22</v>
      </c>
      <c r="D1802" t="s">
        <v>22</v>
      </c>
      <c r="E1802">
        <v>72</v>
      </c>
      <c r="F1802">
        <v>202</v>
      </c>
      <c r="G1802" t="s">
        <v>424</v>
      </c>
      <c r="H1802">
        <v>2020</v>
      </c>
      <c r="I1802" t="s">
        <v>33</v>
      </c>
      <c r="J1802">
        <v>15</v>
      </c>
      <c r="K1802">
        <v>0</v>
      </c>
      <c r="L1802">
        <v>1</v>
      </c>
      <c r="M1802">
        <v>1</v>
      </c>
      <c r="N1802">
        <v>2</v>
      </c>
      <c r="O1802">
        <v>0</v>
      </c>
      <c r="P1802">
        <v>0</v>
      </c>
      <c r="Q1802">
        <v>0</v>
      </c>
      <c r="R1802">
        <v>0</v>
      </c>
      <c r="S1802">
        <v>69</v>
      </c>
      <c r="T1802">
        <v>69</v>
      </c>
      <c r="U1802" s="5">
        <f>IF(Merge1[[#This Row],[team_defense_snaps]]=0, "", Merge1[[#This Row],[defense_snaps]] / Merge1[[#This Row],[team_defense_snaps]])</f>
        <v>1</v>
      </c>
      <c r="V1802">
        <v>69</v>
      </c>
      <c r="W1802">
        <v>0</v>
      </c>
      <c r="X1802" s="5" t="s">
        <v>29</v>
      </c>
      <c r="Y1802">
        <v>0</v>
      </c>
      <c r="Z1802">
        <v>0</v>
      </c>
      <c r="AA1802" t="s">
        <v>25</v>
      </c>
      <c r="AB1802" t="s">
        <v>26</v>
      </c>
      <c r="AC1802" t="s">
        <v>27</v>
      </c>
      <c r="AD1802" t="s">
        <v>42</v>
      </c>
      <c r="AE1802" t="s">
        <v>25</v>
      </c>
      <c r="AF18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1.4492753623188406E-2</v>
      </c>
      <c r="AG1802" t="s">
        <v>942</v>
      </c>
      <c r="AH1802">
        <v>49.5</v>
      </c>
      <c r="AI1802" t="s">
        <v>939</v>
      </c>
      <c r="AJ1802">
        <v>9</v>
      </c>
      <c r="AK18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MIN(AJ1802/8, 1) +
  Merge1[[#This Row],[index_defensive_effort]],
  2
)</f>
        <v>1.51</v>
      </c>
    </row>
    <row r="1803" spans="1:37" x14ac:dyDescent="0.25">
      <c r="A1803" t="s">
        <v>453</v>
      </c>
      <c r="B1803" t="s">
        <v>454</v>
      </c>
      <c r="C1803">
        <v>22</v>
      </c>
      <c r="D1803" t="s">
        <v>22</v>
      </c>
      <c r="E1803">
        <v>72</v>
      </c>
      <c r="F1803">
        <v>202</v>
      </c>
      <c r="G1803" t="s">
        <v>424</v>
      </c>
      <c r="H1803">
        <v>2020</v>
      </c>
      <c r="I1803" t="s">
        <v>33</v>
      </c>
      <c r="J1803">
        <v>16</v>
      </c>
      <c r="K1803">
        <v>0</v>
      </c>
      <c r="L1803">
        <v>2</v>
      </c>
      <c r="M1803">
        <v>2</v>
      </c>
      <c r="N1803">
        <v>4</v>
      </c>
      <c r="O1803">
        <v>0</v>
      </c>
      <c r="P1803">
        <v>0</v>
      </c>
      <c r="Q1803">
        <v>0</v>
      </c>
      <c r="R1803">
        <v>0</v>
      </c>
      <c r="S1803">
        <v>68</v>
      </c>
      <c r="T1803">
        <v>68</v>
      </c>
      <c r="U1803" s="5">
        <f>IF(Merge1[[#This Row],[team_defense_snaps]]=0, "", Merge1[[#This Row],[defense_snaps]] / Merge1[[#This Row],[team_defense_snaps]])</f>
        <v>1</v>
      </c>
      <c r="V1803">
        <v>68</v>
      </c>
      <c r="W1803">
        <v>0</v>
      </c>
      <c r="X1803" s="5" t="s">
        <v>29</v>
      </c>
      <c r="Y1803">
        <v>0</v>
      </c>
      <c r="Z1803">
        <v>0</v>
      </c>
      <c r="AA1803" t="s">
        <v>25</v>
      </c>
      <c r="AB1803" t="s">
        <v>26</v>
      </c>
      <c r="AC1803" t="s">
        <v>27</v>
      </c>
      <c r="AD1803" t="s">
        <v>42</v>
      </c>
      <c r="AE1803" t="s">
        <v>25</v>
      </c>
      <c r="AF18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2.9411764705882353E-2</v>
      </c>
      <c r="AG1803" t="s">
        <v>942</v>
      </c>
      <c r="AH1803">
        <v>69</v>
      </c>
      <c r="AI1803" t="s">
        <v>939</v>
      </c>
      <c r="AJ1803">
        <v>10</v>
      </c>
      <c r="AK18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MIN(AJ1803/8, 1) +
  Merge1[[#This Row],[index_defensive_effort]],
  2
)</f>
        <v>1.53</v>
      </c>
    </row>
    <row r="1804" spans="1:37" x14ac:dyDescent="0.25">
      <c r="A1804" t="s">
        <v>453</v>
      </c>
      <c r="B1804" t="s">
        <v>454</v>
      </c>
      <c r="C1804">
        <v>22</v>
      </c>
      <c r="D1804" t="s">
        <v>22</v>
      </c>
      <c r="E1804">
        <v>72</v>
      </c>
      <c r="F1804">
        <v>202</v>
      </c>
      <c r="G1804" t="s">
        <v>424</v>
      </c>
      <c r="H1804">
        <v>2020</v>
      </c>
      <c r="I1804" t="s">
        <v>33</v>
      </c>
      <c r="J1804">
        <v>17</v>
      </c>
      <c r="K1804">
        <v>5</v>
      </c>
      <c r="L1804">
        <v>1</v>
      </c>
      <c r="M1804">
        <v>1</v>
      </c>
      <c r="N1804">
        <v>2</v>
      </c>
      <c r="O1804">
        <v>0</v>
      </c>
      <c r="P1804">
        <v>0</v>
      </c>
      <c r="Q1804">
        <v>0</v>
      </c>
      <c r="R1804">
        <v>0</v>
      </c>
      <c r="S1804">
        <v>69</v>
      </c>
      <c r="T1804">
        <v>65</v>
      </c>
      <c r="U1804" s="5">
        <f>IF(Merge1[[#This Row],[team_defense_snaps]]=0, "", Merge1[[#This Row],[defense_snaps]] / Merge1[[#This Row],[team_defense_snaps]])</f>
        <v>1</v>
      </c>
      <c r="V1804">
        <v>65</v>
      </c>
      <c r="W1804">
        <v>4</v>
      </c>
      <c r="X1804" s="5" t="s">
        <v>212</v>
      </c>
      <c r="Y1804">
        <v>0</v>
      </c>
      <c r="Z1804">
        <v>0</v>
      </c>
      <c r="AA1804" t="s">
        <v>25</v>
      </c>
      <c r="AB1804" t="s">
        <v>26</v>
      </c>
      <c r="AC1804" t="s">
        <v>27</v>
      </c>
      <c r="AD1804" t="s">
        <v>42</v>
      </c>
      <c r="AE1804" t="s">
        <v>25</v>
      </c>
      <c r="AF18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8.6956521739130432E-2</v>
      </c>
      <c r="AG1804" t="s">
        <v>942</v>
      </c>
      <c r="AH1804">
        <v>48</v>
      </c>
      <c r="AI1804" t="s">
        <v>939</v>
      </c>
      <c r="AJ1804">
        <v>11</v>
      </c>
      <c r="AK18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MIN(AJ1804/8, 1) +
  Merge1[[#This Row],[index_defensive_effort]],
  2
)</f>
        <v>1.59</v>
      </c>
    </row>
    <row r="1805" spans="1:37" x14ac:dyDescent="0.25">
      <c r="A1805" t="s">
        <v>453</v>
      </c>
      <c r="B1805" t="s">
        <v>454</v>
      </c>
      <c r="C1805">
        <v>22</v>
      </c>
      <c r="D1805" t="s">
        <v>22</v>
      </c>
      <c r="E1805">
        <v>72</v>
      </c>
      <c r="F1805">
        <v>202</v>
      </c>
      <c r="G1805" t="s">
        <v>424</v>
      </c>
      <c r="H1805">
        <v>2020</v>
      </c>
      <c r="I1805" t="s">
        <v>24</v>
      </c>
      <c r="J1805">
        <v>18</v>
      </c>
      <c r="K1805">
        <v>5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59</v>
      </c>
      <c r="T1805">
        <v>59</v>
      </c>
      <c r="U1805" s="5">
        <f>IF(Merge1[[#This Row],[team_defense_snaps]]=0, "", Merge1[[#This Row],[defense_snaps]] / Merge1[[#This Row],[team_defense_snaps]])</f>
        <v>0.95161290322580649</v>
      </c>
      <c r="V1805">
        <v>62</v>
      </c>
      <c r="W1805">
        <v>0</v>
      </c>
      <c r="X1805" s="5" t="s">
        <v>29</v>
      </c>
      <c r="Y1805">
        <v>0</v>
      </c>
      <c r="Z1805">
        <v>0</v>
      </c>
      <c r="AA1805" t="s">
        <v>25</v>
      </c>
      <c r="AB1805" t="s">
        <v>26</v>
      </c>
      <c r="AC1805" t="s">
        <v>27</v>
      </c>
      <c r="AD1805" t="s">
        <v>42</v>
      </c>
      <c r="AE1805" t="s">
        <v>25</v>
      </c>
      <c r="AF18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8.4745762711864403E-2</v>
      </c>
      <c r="AG1805" t="s">
        <v>942</v>
      </c>
      <c r="AH1805">
        <v>57</v>
      </c>
      <c r="AI1805" t="s">
        <v>939</v>
      </c>
      <c r="AJ1805">
        <v>1</v>
      </c>
      <c r="AK18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MIN(AJ1805/8, 1) +
  Merge1[[#This Row],[index_defensive_effort]],
  2
)</f>
        <v>0.91</v>
      </c>
    </row>
    <row r="1806" spans="1:37" x14ac:dyDescent="0.25">
      <c r="A1806" t="s">
        <v>505</v>
      </c>
      <c r="B1806" t="s">
        <v>506</v>
      </c>
      <c r="C1806">
        <v>22</v>
      </c>
      <c r="D1806" t="s">
        <v>22</v>
      </c>
      <c r="E1806">
        <v>71</v>
      </c>
      <c r="F1806">
        <v>195</v>
      </c>
      <c r="G1806" t="s">
        <v>94</v>
      </c>
      <c r="H1806">
        <v>2020</v>
      </c>
      <c r="I1806" t="s">
        <v>33</v>
      </c>
      <c r="J1806">
        <v>1</v>
      </c>
      <c r="K1806">
        <v>3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74</v>
      </c>
      <c r="T1806">
        <v>64</v>
      </c>
      <c r="U1806" s="5">
        <f>IF(Merge1[[#This Row],[team_defense_snaps]]=0, "", Merge1[[#This Row],[defense_snaps]] / Merge1[[#This Row],[team_defense_snaps]])</f>
        <v>1</v>
      </c>
      <c r="V1806">
        <v>64</v>
      </c>
      <c r="W1806">
        <v>10</v>
      </c>
      <c r="X1806" s="5" t="s">
        <v>158</v>
      </c>
      <c r="Y1806">
        <v>1</v>
      </c>
      <c r="Z1806">
        <v>0</v>
      </c>
      <c r="AA1806" t="s">
        <v>25</v>
      </c>
      <c r="AB1806" t="s">
        <v>26</v>
      </c>
      <c r="AC1806" t="s">
        <v>27</v>
      </c>
      <c r="AD1806" t="s">
        <v>42</v>
      </c>
      <c r="AE1806" t="s">
        <v>25</v>
      </c>
      <c r="AF18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4.0540540540540543E-2</v>
      </c>
      <c r="AG1806" t="s">
        <v>942</v>
      </c>
      <c r="AH1806">
        <v>58.5</v>
      </c>
      <c r="AI1806" t="s">
        <v>939</v>
      </c>
      <c r="AJ1806">
        <v>2</v>
      </c>
      <c r="AK18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MIN(AJ1806/8, 1) +
  Merge1[[#This Row],[index_defensive_effort]],
  2
)</f>
        <v>0.79</v>
      </c>
    </row>
    <row r="1807" spans="1:37" x14ac:dyDescent="0.25">
      <c r="A1807" t="s">
        <v>505</v>
      </c>
      <c r="B1807" t="s">
        <v>506</v>
      </c>
      <c r="C1807">
        <v>22</v>
      </c>
      <c r="D1807" t="s">
        <v>22</v>
      </c>
      <c r="E1807">
        <v>71</v>
      </c>
      <c r="F1807">
        <v>195</v>
      </c>
      <c r="G1807" t="s">
        <v>94</v>
      </c>
      <c r="H1807">
        <v>2020</v>
      </c>
      <c r="I1807" t="s">
        <v>33</v>
      </c>
      <c r="J1807">
        <v>2</v>
      </c>
      <c r="K1807">
        <v>6</v>
      </c>
      <c r="L1807">
        <v>2</v>
      </c>
      <c r="M1807">
        <v>2</v>
      </c>
      <c r="N1807">
        <v>4</v>
      </c>
      <c r="O1807">
        <v>0</v>
      </c>
      <c r="P1807">
        <v>0</v>
      </c>
      <c r="Q1807">
        <v>2</v>
      </c>
      <c r="R1807">
        <v>0</v>
      </c>
      <c r="S1807">
        <v>75</v>
      </c>
      <c r="T1807">
        <v>64</v>
      </c>
      <c r="U1807" s="5">
        <f>IF(Merge1[[#This Row],[team_defense_snaps]]=0, "", Merge1[[#This Row],[defense_snaps]] / Merge1[[#This Row],[team_defense_snaps]])</f>
        <v>0.96969696969696972</v>
      </c>
      <c r="V1807">
        <v>66</v>
      </c>
      <c r="W1807">
        <v>11</v>
      </c>
      <c r="X1807" s="5" t="s">
        <v>275</v>
      </c>
      <c r="Y1807">
        <v>1</v>
      </c>
      <c r="Z1807">
        <v>0</v>
      </c>
      <c r="AA1807" t="s">
        <v>25</v>
      </c>
      <c r="AB1807" t="s">
        <v>26</v>
      </c>
      <c r="AC1807" t="s">
        <v>27</v>
      </c>
      <c r="AD1807" t="s">
        <v>42</v>
      </c>
      <c r="AE1807" t="s">
        <v>25</v>
      </c>
      <c r="AF18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0.21333333333333335</v>
      </c>
      <c r="AG1807" t="s">
        <v>942</v>
      </c>
      <c r="AH1807">
        <v>70.5</v>
      </c>
      <c r="AI1807" t="s">
        <v>939</v>
      </c>
      <c r="AJ1807">
        <v>3</v>
      </c>
      <c r="AK18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MIN(AJ1807/8, 1) +
  Merge1[[#This Row],[index_defensive_effort]],
  2
)</f>
        <v>1.0900000000000001</v>
      </c>
    </row>
    <row r="1808" spans="1:37" x14ac:dyDescent="0.25">
      <c r="A1808" t="s">
        <v>505</v>
      </c>
      <c r="B1808" t="s">
        <v>506</v>
      </c>
      <c r="C1808">
        <v>22</v>
      </c>
      <c r="D1808" t="s">
        <v>22</v>
      </c>
      <c r="E1808">
        <v>71</v>
      </c>
      <c r="F1808">
        <v>195</v>
      </c>
      <c r="G1808" t="s">
        <v>94</v>
      </c>
      <c r="H1808">
        <v>2020</v>
      </c>
      <c r="I1808" t="s">
        <v>33</v>
      </c>
      <c r="J1808">
        <v>3</v>
      </c>
      <c r="K1808">
        <v>9</v>
      </c>
      <c r="L1808">
        <v>3</v>
      </c>
      <c r="M1808">
        <v>2</v>
      </c>
      <c r="N1808">
        <v>5</v>
      </c>
      <c r="O1808">
        <v>0</v>
      </c>
      <c r="P1808">
        <v>3</v>
      </c>
      <c r="Q1808">
        <v>0</v>
      </c>
      <c r="R1808">
        <v>0</v>
      </c>
      <c r="S1808">
        <v>83</v>
      </c>
      <c r="T1808">
        <v>70</v>
      </c>
      <c r="U1808" s="5">
        <f>IF(Merge1[[#This Row],[team_defense_snaps]]=0, "", Merge1[[#This Row],[defense_snaps]] / Merge1[[#This Row],[team_defense_snaps]])</f>
        <v>0.85365853658536583</v>
      </c>
      <c r="V1808">
        <v>82</v>
      </c>
      <c r="W1808">
        <v>13</v>
      </c>
      <c r="X1808" s="5" t="s">
        <v>52</v>
      </c>
      <c r="Y1808">
        <v>1</v>
      </c>
      <c r="Z1808">
        <v>0</v>
      </c>
      <c r="AA1808" t="s">
        <v>25</v>
      </c>
      <c r="AB1808" t="s">
        <v>26</v>
      </c>
      <c r="AC1808" t="s">
        <v>27</v>
      </c>
      <c r="AD1808" t="s">
        <v>28</v>
      </c>
      <c r="AE1808" t="s">
        <v>25</v>
      </c>
      <c r="AF18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0.21084337349397592</v>
      </c>
      <c r="AG1808" t="s">
        <v>942</v>
      </c>
      <c r="AH1808">
        <v>69</v>
      </c>
      <c r="AI1808" t="s">
        <v>939</v>
      </c>
      <c r="AJ1808">
        <v>1</v>
      </c>
      <c r="AK18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MIN(AJ1808/8, 1) +
  Merge1[[#This Row],[index_defensive_effort]],
  2
)</f>
        <v>0.84</v>
      </c>
    </row>
    <row r="1809" spans="1:37" x14ac:dyDescent="0.25">
      <c r="A1809" t="s">
        <v>505</v>
      </c>
      <c r="B1809" t="s">
        <v>506</v>
      </c>
      <c r="C1809">
        <v>22</v>
      </c>
      <c r="D1809" t="s">
        <v>22</v>
      </c>
      <c r="E1809">
        <v>71</v>
      </c>
      <c r="F1809">
        <v>195</v>
      </c>
      <c r="G1809" t="s">
        <v>94</v>
      </c>
      <c r="H1809">
        <v>2020</v>
      </c>
      <c r="I1809" t="s">
        <v>33</v>
      </c>
      <c r="J1809">
        <v>6</v>
      </c>
      <c r="K1809">
        <v>2</v>
      </c>
      <c r="L1809">
        <v>1</v>
      </c>
      <c r="M1809">
        <v>0</v>
      </c>
      <c r="N1809">
        <v>1</v>
      </c>
      <c r="O1809">
        <v>0</v>
      </c>
      <c r="P1809">
        <v>1</v>
      </c>
      <c r="Q1809">
        <v>0</v>
      </c>
      <c r="R1809">
        <v>0</v>
      </c>
      <c r="S1809">
        <v>74</v>
      </c>
      <c r="T1809">
        <v>63</v>
      </c>
      <c r="U1809" s="5">
        <f>IF(Merge1[[#This Row],[team_defense_snaps]]=0, "", Merge1[[#This Row],[defense_snaps]] / Merge1[[#This Row],[team_defense_snaps]])</f>
        <v>0.86301369863013699</v>
      </c>
      <c r="V1809">
        <v>73</v>
      </c>
      <c r="W1809">
        <v>11</v>
      </c>
      <c r="X1809" s="5" t="s">
        <v>275</v>
      </c>
      <c r="Y1809">
        <v>1</v>
      </c>
      <c r="Z1809">
        <v>0</v>
      </c>
      <c r="AA1809" t="s">
        <v>25</v>
      </c>
      <c r="AB1809" t="s">
        <v>26</v>
      </c>
      <c r="AC1809" t="s">
        <v>27</v>
      </c>
      <c r="AD1809" t="s">
        <v>28</v>
      </c>
      <c r="AE1809" t="s">
        <v>25</v>
      </c>
      <c r="AF18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6.0810810810810814E-2</v>
      </c>
      <c r="AG1809" t="s">
        <v>942</v>
      </c>
      <c r="AH1809">
        <v>52.5</v>
      </c>
      <c r="AI1809" t="s">
        <v>939</v>
      </c>
      <c r="AJ1809">
        <v>2</v>
      </c>
      <c r="AK18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MIN(AJ1809/8, 1) +
  Merge1[[#This Row],[index_defensive_effort]],
  2
)</f>
        <v>0.81</v>
      </c>
    </row>
    <row r="1810" spans="1:37" x14ac:dyDescent="0.25">
      <c r="A1810" t="s">
        <v>505</v>
      </c>
      <c r="B1810" t="s">
        <v>506</v>
      </c>
      <c r="C1810">
        <v>22</v>
      </c>
      <c r="D1810" t="s">
        <v>22</v>
      </c>
      <c r="E1810">
        <v>71</v>
      </c>
      <c r="F1810">
        <v>195</v>
      </c>
      <c r="G1810" t="s">
        <v>94</v>
      </c>
      <c r="H1810">
        <v>2020</v>
      </c>
      <c r="I1810" t="s">
        <v>33</v>
      </c>
      <c r="J1810">
        <v>7</v>
      </c>
      <c r="K1810">
        <v>4</v>
      </c>
      <c r="L1810">
        <v>3</v>
      </c>
      <c r="M1810">
        <v>0</v>
      </c>
      <c r="N1810">
        <v>3</v>
      </c>
      <c r="O1810">
        <v>0</v>
      </c>
      <c r="P1810">
        <v>0</v>
      </c>
      <c r="Q1810">
        <v>0</v>
      </c>
      <c r="R1810">
        <v>0</v>
      </c>
      <c r="S1810">
        <v>88</v>
      </c>
      <c r="T1810">
        <v>75</v>
      </c>
      <c r="U1810" s="5">
        <f>IF(Merge1[[#This Row],[team_defense_snaps]]=0, "", Merge1[[#This Row],[defense_snaps]] / Merge1[[#This Row],[team_defense_snaps]])</f>
        <v>0.91463414634146345</v>
      </c>
      <c r="V1810">
        <v>82</v>
      </c>
      <c r="W1810">
        <v>13</v>
      </c>
      <c r="X1810" s="5" t="s">
        <v>275</v>
      </c>
      <c r="Y1810">
        <v>1</v>
      </c>
      <c r="Z1810">
        <v>0</v>
      </c>
      <c r="AA1810" t="s">
        <v>25</v>
      </c>
      <c r="AB1810" t="s">
        <v>26</v>
      </c>
      <c r="AC1810" t="s">
        <v>27</v>
      </c>
      <c r="AD1810" t="s">
        <v>42</v>
      </c>
      <c r="AE1810" t="s">
        <v>25</v>
      </c>
      <c r="AF18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1810" t="s">
        <v>942</v>
      </c>
      <c r="AH1810">
        <v>64.5</v>
      </c>
      <c r="AI1810" t="s">
        <v>939</v>
      </c>
      <c r="AJ1810">
        <v>3</v>
      </c>
      <c r="AK18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MIN(AJ1810/8, 1) +
  Merge1[[#This Row],[index_defensive_effort]],
  2
)</f>
        <v>0.94</v>
      </c>
    </row>
    <row r="1811" spans="1:37" x14ac:dyDescent="0.25">
      <c r="A1811" t="s">
        <v>505</v>
      </c>
      <c r="B1811" t="s">
        <v>506</v>
      </c>
      <c r="C1811">
        <v>22</v>
      </c>
      <c r="D1811" t="s">
        <v>22</v>
      </c>
      <c r="E1811">
        <v>71</v>
      </c>
      <c r="F1811">
        <v>195</v>
      </c>
      <c r="G1811" t="s">
        <v>94</v>
      </c>
      <c r="H1811">
        <v>2020</v>
      </c>
      <c r="I1811" t="s">
        <v>33</v>
      </c>
      <c r="J1811">
        <v>8</v>
      </c>
      <c r="K1811">
        <v>1</v>
      </c>
      <c r="L1811">
        <v>1</v>
      </c>
      <c r="M1811">
        <v>0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47</v>
      </c>
      <c r="T1811">
        <v>35</v>
      </c>
      <c r="U1811" s="5">
        <f>IF(Merge1[[#This Row],[team_defense_snaps]]=0, "", Merge1[[#This Row],[defense_snaps]] / Merge1[[#This Row],[team_defense_snaps]])</f>
        <v>0.5</v>
      </c>
      <c r="V1811">
        <v>70</v>
      </c>
      <c r="W1811">
        <v>12</v>
      </c>
      <c r="X1811" s="5" t="s">
        <v>243</v>
      </c>
      <c r="Y1811">
        <v>1</v>
      </c>
      <c r="Z1811">
        <v>0</v>
      </c>
      <c r="AA1811" t="s">
        <v>25</v>
      </c>
      <c r="AB1811" t="s">
        <v>26</v>
      </c>
      <c r="AC1811" t="s">
        <v>27</v>
      </c>
      <c r="AD1811" t="s">
        <v>42</v>
      </c>
      <c r="AE1811" t="s">
        <v>25</v>
      </c>
      <c r="AF18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3.1914893617021274E-2</v>
      </c>
      <c r="AG1811" t="s">
        <v>942</v>
      </c>
      <c r="AH1811">
        <v>63</v>
      </c>
      <c r="AI1811" t="s">
        <v>939</v>
      </c>
      <c r="AJ1811">
        <v>4</v>
      </c>
      <c r="AK18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MIN(AJ1811/8, 1) +
  Merge1[[#This Row],[index_defensive_effort]],
  2
)</f>
        <v>1.03</v>
      </c>
    </row>
    <row r="1812" spans="1:37" x14ac:dyDescent="0.25">
      <c r="A1812" t="s">
        <v>505</v>
      </c>
      <c r="B1812" t="s">
        <v>506</v>
      </c>
      <c r="C1812">
        <v>22</v>
      </c>
      <c r="D1812" t="s">
        <v>22</v>
      </c>
      <c r="E1812">
        <v>71</v>
      </c>
      <c r="F1812">
        <v>195</v>
      </c>
      <c r="G1812" t="s">
        <v>94</v>
      </c>
      <c r="H1812">
        <v>2020</v>
      </c>
      <c r="I1812" t="s">
        <v>33</v>
      </c>
      <c r="J1812">
        <v>9</v>
      </c>
      <c r="K1812">
        <v>1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35</v>
      </c>
      <c r="T1812">
        <v>23</v>
      </c>
      <c r="U1812" s="5">
        <f>IF(Merge1[[#This Row],[team_defense_snaps]]=0, "", Merge1[[#This Row],[defense_snaps]] / Merge1[[#This Row],[team_defense_snaps]])</f>
        <v>0.42592592592592593</v>
      </c>
      <c r="V1812">
        <v>54</v>
      </c>
      <c r="W1812">
        <v>12</v>
      </c>
      <c r="X1812" s="5" t="s">
        <v>260</v>
      </c>
      <c r="Y1812">
        <v>1</v>
      </c>
      <c r="Z1812">
        <v>0</v>
      </c>
      <c r="AA1812" t="s">
        <v>25</v>
      </c>
      <c r="AB1812" t="s">
        <v>26</v>
      </c>
      <c r="AC1812" t="s">
        <v>27</v>
      </c>
      <c r="AD1812" t="s">
        <v>28</v>
      </c>
      <c r="AE1812" t="s">
        <v>25</v>
      </c>
      <c r="AF18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2.8571428571428571E-2</v>
      </c>
      <c r="AG1812" t="s">
        <v>942</v>
      </c>
      <c r="AH1812">
        <v>55.5</v>
      </c>
      <c r="AI1812" t="s">
        <v>939</v>
      </c>
      <c r="AJ1812">
        <v>5</v>
      </c>
      <c r="AK18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MIN(AJ1812/8, 1) +
  Merge1[[#This Row],[index_defensive_effort]],
  2
)</f>
        <v>1.1499999999999999</v>
      </c>
    </row>
    <row r="1813" spans="1:37" x14ac:dyDescent="0.25">
      <c r="A1813" t="s">
        <v>505</v>
      </c>
      <c r="B1813" t="s">
        <v>506</v>
      </c>
      <c r="C1813">
        <v>22</v>
      </c>
      <c r="D1813" t="s">
        <v>22</v>
      </c>
      <c r="E1813">
        <v>71</v>
      </c>
      <c r="F1813">
        <v>195</v>
      </c>
      <c r="G1813" t="s">
        <v>94</v>
      </c>
      <c r="H1813">
        <v>2020</v>
      </c>
      <c r="I1813" t="s">
        <v>33</v>
      </c>
      <c r="J1813">
        <v>10</v>
      </c>
      <c r="K1813">
        <v>3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45</v>
      </c>
      <c r="T1813">
        <v>33</v>
      </c>
      <c r="U1813" s="5">
        <f>IF(Merge1[[#This Row],[team_defense_snaps]]=0, "", Merge1[[#This Row],[defense_snaps]] / Merge1[[#This Row],[team_defense_snaps]])</f>
        <v>0.4925373134328358</v>
      </c>
      <c r="V1813">
        <v>67</v>
      </c>
      <c r="W1813">
        <v>12</v>
      </c>
      <c r="X1813" s="5" t="s">
        <v>200</v>
      </c>
      <c r="Y1813">
        <v>1</v>
      </c>
      <c r="Z1813">
        <v>0</v>
      </c>
      <c r="AA1813" t="s">
        <v>25</v>
      </c>
      <c r="AB1813" t="s">
        <v>26</v>
      </c>
      <c r="AC1813" t="s">
        <v>27</v>
      </c>
      <c r="AD1813" t="s">
        <v>28</v>
      </c>
      <c r="AE1813" t="s">
        <v>25</v>
      </c>
      <c r="AF18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1813" t="s">
        <v>942</v>
      </c>
      <c r="AH1813">
        <v>48</v>
      </c>
      <c r="AI1813" t="s">
        <v>939</v>
      </c>
      <c r="AJ1813">
        <v>1</v>
      </c>
      <c r="AK18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MIN(AJ1813/8, 1) +
  Merge1[[#This Row],[index_defensive_effort]],
  2
)</f>
        <v>0.69</v>
      </c>
    </row>
    <row r="1814" spans="1:37" x14ac:dyDescent="0.25">
      <c r="A1814" t="s">
        <v>505</v>
      </c>
      <c r="B1814" t="s">
        <v>506</v>
      </c>
      <c r="C1814">
        <v>22</v>
      </c>
      <c r="D1814" t="s">
        <v>22</v>
      </c>
      <c r="E1814">
        <v>71</v>
      </c>
      <c r="F1814">
        <v>195</v>
      </c>
      <c r="G1814" t="s">
        <v>94</v>
      </c>
      <c r="H1814">
        <v>2020</v>
      </c>
      <c r="I1814" t="s">
        <v>33</v>
      </c>
      <c r="J1814">
        <v>12</v>
      </c>
      <c r="K1814">
        <v>2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56</v>
      </c>
      <c r="T1814">
        <v>34</v>
      </c>
      <c r="U1814" s="5">
        <f>IF(Merge1[[#This Row],[team_defense_snaps]]=0, "", Merge1[[#This Row],[defense_snaps]] / Merge1[[#This Row],[team_defense_snaps]])</f>
        <v>0.69387755102040816</v>
      </c>
      <c r="V1814">
        <v>49</v>
      </c>
      <c r="W1814">
        <v>22</v>
      </c>
      <c r="X1814" s="5" t="s">
        <v>95</v>
      </c>
      <c r="Y1814">
        <v>1</v>
      </c>
      <c r="Z1814">
        <v>0</v>
      </c>
      <c r="AA1814" t="s">
        <v>25</v>
      </c>
      <c r="AB1814" t="s">
        <v>26</v>
      </c>
      <c r="AC1814" t="s">
        <v>27</v>
      </c>
      <c r="AD1814" t="s">
        <v>28</v>
      </c>
      <c r="AE1814" t="s">
        <v>25</v>
      </c>
      <c r="AF18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3.5714285714285712E-2</v>
      </c>
      <c r="AG1814" t="s">
        <v>942</v>
      </c>
      <c r="AH1814">
        <v>60</v>
      </c>
      <c r="AI1814" t="s">
        <v>939</v>
      </c>
      <c r="AJ1814">
        <v>1</v>
      </c>
      <c r="AK18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MIN(AJ1814/8, 1) +
  Merge1[[#This Row],[index_defensive_effort]],
  2
)</f>
        <v>0.66</v>
      </c>
    </row>
    <row r="1815" spans="1:37" x14ac:dyDescent="0.25">
      <c r="A1815" t="s">
        <v>505</v>
      </c>
      <c r="B1815" t="s">
        <v>506</v>
      </c>
      <c r="C1815">
        <v>22</v>
      </c>
      <c r="D1815" t="s">
        <v>22</v>
      </c>
      <c r="E1815">
        <v>71</v>
      </c>
      <c r="F1815">
        <v>195</v>
      </c>
      <c r="G1815" t="s">
        <v>94</v>
      </c>
      <c r="H1815">
        <v>2020</v>
      </c>
      <c r="I1815" t="s">
        <v>33</v>
      </c>
      <c r="J1815">
        <v>14</v>
      </c>
      <c r="K1815">
        <v>6</v>
      </c>
      <c r="L1815">
        <v>3</v>
      </c>
      <c r="M1815">
        <v>0</v>
      </c>
      <c r="N1815">
        <v>3</v>
      </c>
      <c r="O1815">
        <v>0</v>
      </c>
      <c r="P1815">
        <v>0</v>
      </c>
      <c r="Q1815">
        <v>0</v>
      </c>
      <c r="R1815">
        <v>0</v>
      </c>
      <c r="S1815">
        <v>57</v>
      </c>
      <c r="T1815">
        <v>45</v>
      </c>
      <c r="U1815" s="5">
        <f>IF(Merge1[[#This Row],[team_defense_snaps]]=0, "", Merge1[[#This Row],[defense_snaps]] / Merge1[[#This Row],[team_defense_snaps]])</f>
        <v>0.569620253164557</v>
      </c>
      <c r="V1815">
        <v>79</v>
      </c>
      <c r="W1815">
        <v>12</v>
      </c>
      <c r="X1815" s="5" t="s">
        <v>75</v>
      </c>
      <c r="Y1815">
        <v>1</v>
      </c>
      <c r="Z1815">
        <v>0</v>
      </c>
      <c r="AA1815" t="s">
        <v>25</v>
      </c>
      <c r="AB1815" t="s">
        <v>26</v>
      </c>
      <c r="AC1815" t="s">
        <v>27</v>
      </c>
      <c r="AD1815" t="s">
        <v>28</v>
      </c>
      <c r="AE1815" t="s">
        <v>25</v>
      </c>
      <c r="AF18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0.13157894736842105</v>
      </c>
      <c r="AG1815" t="s">
        <v>942</v>
      </c>
      <c r="AH1815">
        <v>51</v>
      </c>
      <c r="AI1815" t="s">
        <v>939</v>
      </c>
      <c r="AJ1815">
        <v>2</v>
      </c>
      <c r="AK18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MIN(AJ1815/8, 1) +
  Merge1[[#This Row],[index_defensive_effort]],
  2
)</f>
        <v>0.88</v>
      </c>
    </row>
    <row r="1816" spans="1:37" x14ac:dyDescent="0.25">
      <c r="A1816" t="s">
        <v>505</v>
      </c>
      <c r="B1816" t="s">
        <v>506</v>
      </c>
      <c r="C1816">
        <v>22</v>
      </c>
      <c r="D1816" t="s">
        <v>22</v>
      </c>
      <c r="E1816">
        <v>71</v>
      </c>
      <c r="F1816">
        <v>195</v>
      </c>
      <c r="G1816" t="s">
        <v>94</v>
      </c>
      <c r="H1816">
        <v>2020</v>
      </c>
      <c r="I1816" t="s">
        <v>33</v>
      </c>
      <c r="J1816">
        <v>15</v>
      </c>
      <c r="K1816">
        <v>3</v>
      </c>
      <c r="L1816">
        <v>3</v>
      </c>
      <c r="M1816">
        <v>1</v>
      </c>
      <c r="N1816">
        <v>4</v>
      </c>
      <c r="O1816">
        <v>0</v>
      </c>
      <c r="P1816">
        <v>0</v>
      </c>
      <c r="Q1816">
        <v>0</v>
      </c>
      <c r="R1816">
        <v>0</v>
      </c>
      <c r="S1816">
        <v>69</v>
      </c>
      <c r="T1816">
        <v>61</v>
      </c>
      <c r="U1816" s="5">
        <f>IF(Merge1[[#This Row],[team_defense_snaps]]=0, "", Merge1[[#This Row],[defense_snaps]] / Merge1[[#This Row],[team_defense_snaps]])</f>
        <v>0.953125</v>
      </c>
      <c r="V1816">
        <v>64</v>
      </c>
      <c r="W1816">
        <v>8</v>
      </c>
      <c r="X1816" s="5" t="s">
        <v>243</v>
      </c>
      <c r="Y1816">
        <v>1</v>
      </c>
      <c r="Z1816">
        <v>0</v>
      </c>
      <c r="AA1816" t="s">
        <v>25</v>
      </c>
      <c r="AB1816" t="s">
        <v>26</v>
      </c>
      <c r="AC1816" t="s">
        <v>27</v>
      </c>
      <c r="AD1816" t="s">
        <v>42</v>
      </c>
      <c r="AE1816" t="s">
        <v>25</v>
      </c>
      <c r="AF18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7.2463768115942032E-2</v>
      </c>
      <c r="AG1816" t="s">
        <v>942</v>
      </c>
      <c r="AH1816">
        <v>72</v>
      </c>
      <c r="AI1816" t="s">
        <v>939</v>
      </c>
      <c r="AJ1816">
        <v>3</v>
      </c>
      <c r="AK18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MIN(AJ1816/8, 1) +
  Merge1[[#This Row],[index_defensive_effort]],
  2
)</f>
        <v>0.95</v>
      </c>
    </row>
    <row r="1817" spans="1:37" x14ac:dyDescent="0.25">
      <c r="A1817" t="s">
        <v>505</v>
      </c>
      <c r="B1817" t="s">
        <v>506</v>
      </c>
      <c r="C1817">
        <v>22</v>
      </c>
      <c r="D1817" t="s">
        <v>22</v>
      </c>
      <c r="E1817">
        <v>71</v>
      </c>
      <c r="F1817">
        <v>195</v>
      </c>
      <c r="G1817" t="s">
        <v>94</v>
      </c>
      <c r="H1817">
        <v>2020</v>
      </c>
      <c r="I1817" t="s">
        <v>33</v>
      </c>
      <c r="J1817">
        <v>16</v>
      </c>
      <c r="K1817">
        <v>1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22</v>
      </c>
      <c r="T1817">
        <v>11</v>
      </c>
      <c r="U1817" s="5">
        <f>IF(Merge1[[#This Row],[team_defense_snaps]]=0, "", Merge1[[#This Row],[defense_snaps]] / Merge1[[#This Row],[team_defense_snaps]])</f>
        <v>0.15942028985507245</v>
      </c>
      <c r="V1817">
        <v>69</v>
      </c>
      <c r="W1817">
        <v>11</v>
      </c>
      <c r="X1817" s="5" t="s">
        <v>200</v>
      </c>
      <c r="Y1817">
        <v>1</v>
      </c>
      <c r="Z1817">
        <v>0</v>
      </c>
      <c r="AA1817" t="s">
        <v>25</v>
      </c>
      <c r="AB1817" t="s">
        <v>26</v>
      </c>
      <c r="AC1817" t="s">
        <v>27</v>
      </c>
      <c r="AD1817" t="s">
        <v>28</v>
      </c>
      <c r="AE1817" t="s">
        <v>25</v>
      </c>
      <c r="AF18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G1817" t="s">
        <v>942</v>
      </c>
      <c r="AH1817">
        <v>61.5</v>
      </c>
      <c r="AI1817" t="s">
        <v>939</v>
      </c>
      <c r="AJ1817">
        <v>4</v>
      </c>
      <c r="AK18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MIN(AJ1817/8, 1) +
  Merge1[[#This Row],[index_defensive_effort]],
  2
)</f>
        <v>1.05</v>
      </c>
    </row>
    <row r="1818" spans="1:37" x14ac:dyDescent="0.25">
      <c r="A1818" t="s">
        <v>505</v>
      </c>
      <c r="B1818" t="s">
        <v>506</v>
      </c>
      <c r="C1818">
        <v>22</v>
      </c>
      <c r="D1818" t="s">
        <v>22</v>
      </c>
      <c r="E1818">
        <v>71</v>
      </c>
      <c r="F1818">
        <v>195</v>
      </c>
      <c r="G1818" t="s">
        <v>94</v>
      </c>
      <c r="H1818">
        <v>2020</v>
      </c>
      <c r="I1818" t="s">
        <v>33</v>
      </c>
      <c r="J1818">
        <v>17</v>
      </c>
      <c r="K1818">
        <v>5</v>
      </c>
      <c r="L1818">
        <v>2</v>
      </c>
      <c r="M1818">
        <v>0</v>
      </c>
      <c r="N1818">
        <v>2</v>
      </c>
      <c r="O1818">
        <v>0</v>
      </c>
      <c r="P1818">
        <v>0</v>
      </c>
      <c r="Q1818">
        <v>0</v>
      </c>
      <c r="R1818">
        <v>0</v>
      </c>
      <c r="S1818">
        <v>98</v>
      </c>
      <c r="T1818">
        <v>82</v>
      </c>
      <c r="U1818" s="5">
        <f>IF(Merge1[[#This Row],[team_defense_snaps]]=0, "", Merge1[[#This Row],[defense_snaps]] / Merge1[[#This Row],[team_defense_snaps]])</f>
        <v>0.98795180722891562</v>
      </c>
      <c r="V1818">
        <v>83</v>
      </c>
      <c r="W1818">
        <v>16</v>
      </c>
      <c r="X1818" s="5" t="s">
        <v>53</v>
      </c>
      <c r="Y1818">
        <v>1</v>
      </c>
      <c r="Z1818">
        <v>0</v>
      </c>
      <c r="AA1818" t="s">
        <v>25</v>
      </c>
      <c r="AB1818" t="s">
        <v>26</v>
      </c>
      <c r="AC1818" t="s">
        <v>27</v>
      </c>
      <c r="AD1818" t="s">
        <v>42</v>
      </c>
      <c r="AE1818" t="s">
        <v>25</v>
      </c>
      <c r="AF18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6.1224489795918366E-2</v>
      </c>
      <c r="AG1818" t="s">
        <v>942</v>
      </c>
      <c r="AH1818">
        <v>49.5</v>
      </c>
      <c r="AI1818" t="s">
        <v>939</v>
      </c>
      <c r="AJ1818">
        <v>1</v>
      </c>
      <c r="AK18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MIN(AJ1818/8, 1) +
  Merge1[[#This Row],[index_defensive_effort]],
  2
)</f>
        <v>0.69</v>
      </c>
    </row>
    <row r="1819" spans="1:37" x14ac:dyDescent="0.25">
      <c r="A1819" t="s">
        <v>461</v>
      </c>
      <c r="B1819" t="s">
        <v>462</v>
      </c>
      <c r="C1819">
        <v>27</v>
      </c>
      <c r="D1819" t="s">
        <v>56</v>
      </c>
      <c r="E1819">
        <v>71</v>
      </c>
      <c r="F1819">
        <v>190</v>
      </c>
      <c r="G1819" t="s">
        <v>162</v>
      </c>
      <c r="H1819">
        <v>2020</v>
      </c>
      <c r="I1819" t="s">
        <v>33</v>
      </c>
      <c r="J1819">
        <v>1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23</v>
      </c>
      <c r="T1819">
        <v>19</v>
      </c>
      <c r="U1819" s="5">
        <f>IF(Merge1[[#This Row],[team_defense_snaps]]=0, "", Merge1[[#This Row],[defense_snaps]] / Merge1[[#This Row],[team_defense_snaps]])</f>
        <v>0.2878787878787879</v>
      </c>
      <c r="V1819">
        <v>66</v>
      </c>
      <c r="W1819">
        <v>4</v>
      </c>
      <c r="X1819" s="5" t="s">
        <v>251</v>
      </c>
      <c r="Y1819">
        <v>5</v>
      </c>
      <c r="Z1819">
        <v>0</v>
      </c>
      <c r="AA1819" t="s">
        <v>25</v>
      </c>
      <c r="AB1819" t="s">
        <v>26</v>
      </c>
      <c r="AC1819" t="s">
        <v>27</v>
      </c>
      <c r="AD1819" t="s">
        <v>42</v>
      </c>
      <c r="AE1819" t="s">
        <v>25</v>
      </c>
      <c r="AF18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1819" t="s">
        <v>942</v>
      </c>
      <c r="AH1819">
        <v>59.5</v>
      </c>
      <c r="AI1819" t="s">
        <v>938</v>
      </c>
      <c r="AJ1819">
        <v>1</v>
      </c>
      <c r="AK18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MIN(AJ1819/8, 1) +
  Merge1[[#This Row],[index_defensive_effort]],
  2
)</f>
        <v>0.63</v>
      </c>
    </row>
    <row r="1820" spans="1:37" x14ac:dyDescent="0.25">
      <c r="A1820" t="s">
        <v>461</v>
      </c>
      <c r="B1820" t="s">
        <v>462</v>
      </c>
      <c r="C1820">
        <v>27</v>
      </c>
      <c r="D1820" t="s">
        <v>56</v>
      </c>
      <c r="E1820">
        <v>71</v>
      </c>
      <c r="F1820">
        <v>190</v>
      </c>
      <c r="G1820" t="s">
        <v>162</v>
      </c>
      <c r="H1820">
        <v>2020</v>
      </c>
      <c r="I1820" t="s">
        <v>33</v>
      </c>
      <c r="J1820">
        <v>8</v>
      </c>
      <c r="K1820">
        <v>3</v>
      </c>
      <c r="L1820">
        <v>2</v>
      </c>
      <c r="M1820">
        <v>0</v>
      </c>
      <c r="N1820">
        <v>2</v>
      </c>
      <c r="O1820">
        <v>0</v>
      </c>
      <c r="P1820">
        <v>0</v>
      </c>
      <c r="Q1820">
        <v>0</v>
      </c>
      <c r="R1820">
        <v>0</v>
      </c>
      <c r="S1820">
        <v>39</v>
      </c>
      <c r="T1820">
        <v>39</v>
      </c>
      <c r="U1820" s="5">
        <f>IF(Merge1[[#This Row],[team_defense_snaps]]=0, "", Merge1[[#This Row],[defense_snaps]] / Merge1[[#This Row],[team_defense_snaps]])</f>
        <v>0.50649350649350644</v>
      </c>
      <c r="V1820">
        <v>77</v>
      </c>
      <c r="W1820">
        <v>0</v>
      </c>
      <c r="X1820" s="5" t="s">
        <v>29</v>
      </c>
      <c r="Y1820">
        <v>5</v>
      </c>
      <c r="Z1820">
        <v>0</v>
      </c>
      <c r="AA1820" t="s">
        <v>25</v>
      </c>
      <c r="AB1820" t="s">
        <v>62</v>
      </c>
      <c r="AC1820" t="s">
        <v>27</v>
      </c>
      <c r="AD1820" t="s">
        <v>28</v>
      </c>
      <c r="AE1820" t="s">
        <v>25</v>
      </c>
      <c r="AF18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0.10256410256410256</v>
      </c>
      <c r="AG1820" t="s">
        <v>942</v>
      </c>
      <c r="AH1820">
        <v>53.5</v>
      </c>
      <c r="AI1820" t="s">
        <v>939</v>
      </c>
      <c r="AJ1820">
        <v>2</v>
      </c>
      <c r="AK18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MIN(AJ1820/8, 1) +
  Merge1[[#This Row],[index_defensive_effort]],
  2
)</f>
        <v>0.85</v>
      </c>
    </row>
    <row r="1821" spans="1:37" x14ac:dyDescent="0.25">
      <c r="A1821" t="s">
        <v>461</v>
      </c>
      <c r="B1821" t="s">
        <v>462</v>
      </c>
      <c r="C1821">
        <v>27</v>
      </c>
      <c r="D1821" t="s">
        <v>56</v>
      </c>
      <c r="E1821">
        <v>71</v>
      </c>
      <c r="F1821">
        <v>190</v>
      </c>
      <c r="G1821" t="s">
        <v>162</v>
      </c>
      <c r="H1821">
        <v>2020</v>
      </c>
      <c r="I1821" t="s">
        <v>33</v>
      </c>
      <c r="J1821">
        <v>9</v>
      </c>
      <c r="K1821">
        <v>0</v>
      </c>
      <c r="L1821">
        <v>1</v>
      </c>
      <c r="M1821">
        <v>0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26</v>
      </c>
      <c r="T1821">
        <v>17</v>
      </c>
      <c r="U1821" s="5">
        <f>IF(Merge1[[#This Row],[team_defense_snaps]]=0, "", Merge1[[#This Row],[defense_snaps]] / Merge1[[#This Row],[team_defense_snaps]])</f>
        <v>0.28813559322033899</v>
      </c>
      <c r="V1821">
        <v>59</v>
      </c>
      <c r="W1821">
        <v>9</v>
      </c>
      <c r="X1821" s="5" t="s">
        <v>108</v>
      </c>
      <c r="Y1821">
        <v>5</v>
      </c>
      <c r="Z1821">
        <v>0</v>
      </c>
      <c r="AA1821" t="s">
        <v>25</v>
      </c>
      <c r="AB1821" t="s">
        <v>26</v>
      </c>
      <c r="AC1821" t="s">
        <v>27</v>
      </c>
      <c r="AD1821" t="s">
        <v>28</v>
      </c>
      <c r="AE1821" t="s">
        <v>25</v>
      </c>
      <c r="AF18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1.9230769230769232E-2</v>
      </c>
      <c r="AG1821" t="s">
        <v>942</v>
      </c>
      <c r="AH1821">
        <v>56.5</v>
      </c>
      <c r="AI1821" t="s">
        <v>939</v>
      </c>
      <c r="AJ1821">
        <v>3</v>
      </c>
      <c r="AK18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MIN(AJ1821/8, 1) +
  Merge1[[#This Row],[index_defensive_effort]],
  2
)</f>
        <v>0.89</v>
      </c>
    </row>
    <row r="1822" spans="1:37" x14ac:dyDescent="0.25">
      <c r="A1822" t="s">
        <v>461</v>
      </c>
      <c r="B1822" t="s">
        <v>462</v>
      </c>
      <c r="C1822">
        <v>27</v>
      </c>
      <c r="D1822" t="s">
        <v>56</v>
      </c>
      <c r="E1822">
        <v>71</v>
      </c>
      <c r="F1822">
        <v>190</v>
      </c>
      <c r="G1822" t="s">
        <v>162</v>
      </c>
      <c r="H1822">
        <v>2020</v>
      </c>
      <c r="I1822" t="s">
        <v>33</v>
      </c>
      <c r="J1822">
        <v>10</v>
      </c>
      <c r="K1822">
        <v>9</v>
      </c>
      <c r="L1822">
        <v>2</v>
      </c>
      <c r="M1822">
        <v>0</v>
      </c>
      <c r="N1822">
        <v>2</v>
      </c>
      <c r="O1822">
        <v>0</v>
      </c>
      <c r="P1822">
        <v>0</v>
      </c>
      <c r="Q1822">
        <v>0</v>
      </c>
      <c r="R1822">
        <v>0</v>
      </c>
      <c r="S1822">
        <v>82</v>
      </c>
      <c r="T1822">
        <v>80</v>
      </c>
      <c r="U1822" s="5">
        <f>IF(Merge1[[#This Row],[team_defense_snaps]]=0, "", Merge1[[#This Row],[defense_snaps]] / Merge1[[#This Row],[team_defense_snaps]])</f>
        <v>0.898876404494382</v>
      </c>
      <c r="V1822">
        <v>89</v>
      </c>
      <c r="W1822">
        <v>2</v>
      </c>
      <c r="X1822" s="5" t="s">
        <v>208</v>
      </c>
      <c r="Y1822">
        <v>5</v>
      </c>
      <c r="Z1822">
        <v>0</v>
      </c>
      <c r="AA1822" t="s">
        <v>25</v>
      </c>
      <c r="AB1822" t="s">
        <v>26</v>
      </c>
      <c r="AC1822" t="s">
        <v>27</v>
      </c>
      <c r="AD1822" t="s">
        <v>42</v>
      </c>
      <c r="AE1822" t="s">
        <v>25</v>
      </c>
      <c r="AF18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0.12195121951219512</v>
      </c>
      <c r="AG1822" t="s">
        <v>942</v>
      </c>
      <c r="AH1822">
        <v>52</v>
      </c>
      <c r="AI1822" t="s">
        <v>939</v>
      </c>
      <c r="AJ1822">
        <v>4</v>
      </c>
      <c r="AK18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MIN(AJ1822/8, 1) +
  Merge1[[#This Row],[index_defensive_effort]],
  2
)</f>
        <v>1.1200000000000001</v>
      </c>
    </row>
    <row r="1823" spans="1:37" x14ac:dyDescent="0.25">
      <c r="A1823" t="s">
        <v>461</v>
      </c>
      <c r="B1823" t="s">
        <v>462</v>
      </c>
      <c r="C1823">
        <v>27</v>
      </c>
      <c r="D1823" t="s">
        <v>56</v>
      </c>
      <c r="E1823">
        <v>71</v>
      </c>
      <c r="F1823">
        <v>190</v>
      </c>
      <c r="G1823" t="s">
        <v>162</v>
      </c>
      <c r="H1823">
        <v>2020</v>
      </c>
      <c r="I1823" t="s">
        <v>33</v>
      </c>
      <c r="J1823">
        <v>11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44</v>
      </c>
      <c r="T1823">
        <v>35</v>
      </c>
      <c r="U1823" s="5">
        <f>IF(Merge1[[#This Row],[team_defense_snaps]]=0, "", Merge1[[#This Row],[defense_snaps]] / Merge1[[#This Row],[team_defense_snaps]])</f>
        <v>0.49295774647887325</v>
      </c>
      <c r="V1823">
        <v>71</v>
      </c>
      <c r="W1823">
        <v>9</v>
      </c>
      <c r="X1823" s="5" t="s">
        <v>210</v>
      </c>
      <c r="Y1823">
        <v>5</v>
      </c>
      <c r="Z1823">
        <v>0</v>
      </c>
      <c r="AA1823" t="s">
        <v>25</v>
      </c>
      <c r="AB1823" t="s">
        <v>26</v>
      </c>
      <c r="AC1823" t="s">
        <v>27</v>
      </c>
      <c r="AD1823" t="s">
        <v>28</v>
      </c>
      <c r="AE1823" t="s">
        <v>25</v>
      </c>
      <c r="AF18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2.2727272727272728E-2</v>
      </c>
      <c r="AG1823" t="s">
        <v>942</v>
      </c>
      <c r="AH1823">
        <v>70</v>
      </c>
      <c r="AI1823" t="s">
        <v>939</v>
      </c>
      <c r="AJ1823">
        <v>5</v>
      </c>
      <c r="AK18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MIN(AJ1823/8, 1) +
  Merge1[[#This Row],[index_defensive_effort]],
  2
)</f>
        <v>1.1499999999999999</v>
      </c>
    </row>
    <row r="1824" spans="1:37" x14ac:dyDescent="0.25">
      <c r="A1824" t="s">
        <v>461</v>
      </c>
      <c r="B1824" t="s">
        <v>462</v>
      </c>
      <c r="C1824">
        <v>27</v>
      </c>
      <c r="D1824" t="s">
        <v>56</v>
      </c>
      <c r="E1824">
        <v>71</v>
      </c>
      <c r="F1824">
        <v>190</v>
      </c>
      <c r="G1824" t="s">
        <v>162</v>
      </c>
      <c r="H1824">
        <v>2020</v>
      </c>
      <c r="I1824" t="s">
        <v>33</v>
      </c>
      <c r="J1824">
        <v>12</v>
      </c>
      <c r="K1824">
        <v>3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52</v>
      </c>
      <c r="T1824">
        <v>41</v>
      </c>
      <c r="U1824" s="5">
        <f>IF(Merge1[[#This Row],[team_defense_snaps]]=0, "", Merge1[[#This Row],[defense_snaps]] / Merge1[[#This Row],[team_defense_snaps]])</f>
        <v>0.7068965517241379</v>
      </c>
      <c r="V1824">
        <v>58</v>
      </c>
      <c r="W1824">
        <v>11</v>
      </c>
      <c r="X1824" s="5" t="s">
        <v>158</v>
      </c>
      <c r="Y1824">
        <v>5</v>
      </c>
      <c r="Z1824">
        <v>0</v>
      </c>
      <c r="AA1824" t="s">
        <v>25</v>
      </c>
      <c r="AB1824" t="s">
        <v>26</v>
      </c>
      <c r="AC1824" t="s">
        <v>27</v>
      </c>
      <c r="AD1824" t="s">
        <v>28</v>
      </c>
      <c r="AE1824" t="s">
        <v>25</v>
      </c>
      <c r="AF18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5.7692307692307696E-2</v>
      </c>
      <c r="AG1824" t="s">
        <v>942</v>
      </c>
      <c r="AH1824">
        <v>55</v>
      </c>
      <c r="AI1824" t="s">
        <v>939</v>
      </c>
      <c r="AJ1824">
        <v>6</v>
      </c>
      <c r="AK18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MIN(AJ1824/8, 1) +
  Merge1[[#This Row],[index_defensive_effort]],
  2
)</f>
        <v>1.31</v>
      </c>
    </row>
    <row r="1825" spans="1:37" x14ac:dyDescent="0.25">
      <c r="A1825" t="s">
        <v>461</v>
      </c>
      <c r="B1825" t="s">
        <v>462</v>
      </c>
      <c r="C1825">
        <v>27</v>
      </c>
      <c r="D1825" t="s">
        <v>56</v>
      </c>
      <c r="E1825">
        <v>71</v>
      </c>
      <c r="F1825">
        <v>190</v>
      </c>
      <c r="G1825" t="s">
        <v>162</v>
      </c>
      <c r="H1825">
        <v>2020</v>
      </c>
      <c r="I1825" t="s">
        <v>33</v>
      </c>
      <c r="J1825">
        <v>13</v>
      </c>
      <c r="K1825">
        <v>5</v>
      </c>
      <c r="L1825">
        <v>1</v>
      </c>
      <c r="M1825">
        <v>0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55</v>
      </c>
      <c r="T1825">
        <v>52</v>
      </c>
      <c r="U1825" s="5">
        <f>IF(Merge1[[#This Row],[team_defense_snaps]]=0, "", Merge1[[#This Row],[defense_snaps]] / Merge1[[#This Row],[team_defense_snaps]])</f>
        <v>0.73239436619718312</v>
      </c>
      <c r="V1825">
        <v>71</v>
      </c>
      <c r="W1825">
        <v>3</v>
      </c>
      <c r="X1825" s="5" t="s">
        <v>38</v>
      </c>
      <c r="Y1825">
        <v>5</v>
      </c>
      <c r="Z1825">
        <v>0</v>
      </c>
      <c r="AA1825" t="s">
        <v>25</v>
      </c>
      <c r="AB1825" t="s">
        <v>26</v>
      </c>
      <c r="AC1825" t="s">
        <v>27</v>
      </c>
      <c r="AD1825" t="s">
        <v>42</v>
      </c>
      <c r="AE1825" t="s">
        <v>25</v>
      </c>
      <c r="AF18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1825" t="s">
        <v>942</v>
      </c>
      <c r="AH1825">
        <v>58</v>
      </c>
      <c r="AI1825" t="s">
        <v>939</v>
      </c>
      <c r="AJ1825">
        <v>7</v>
      </c>
      <c r="AK18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MIN(AJ1825/8, 1) +
  Merge1[[#This Row],[index_defensive_effort]],
  2
)</f>
        <v>1.48</v>
      </c>
    </row>
    <row r="1826" spans="1:37" x14ac:dyDescent="0.25">
      <c r="A1826" t="s">
        <v>461</v>
      </c>
      <c r="B1826" t="s">
        <v>462</v>
      </c>
      <c r="C1826">
        <v>27</v>
      </c>
      <c r="D1826" t="s">
        <v>56</v>
      </c>
      <c r="E1826">
        <v>71</v>
      </c>
      <c r="F1826">
        <v>190</v>
      </c>
      <c r="G1826" t="s">
        <v>162</v>
      </c>
      <c r="H1826">
        <v>2020</v>
      </c>
      <c r="I1826" t="s">
        <v>33</v>
      </c>
      <c r="J1826">
        <v>14</v>
      </c>
      <c r="K1826">
        <v>3</v>
      </c>
      <c r="L1826">
        <v>1</v>
      </c>
      <c r="M1826">
        <v>1</v>
      </c>
      <c r="N1826">
        <v>2</v>
      </c>
      <c r="O1826">
        <v>0</v>
      </c>
      <c r="P1826">
        <v>0</v>
      </c>
      <c r="Q1826">
        <v>0</v>
      </c>
      <c r="R1826">
        <v>0</v>
      </c>
      <c r="S1826">
        <v>61</v>
      </c>
      <c r="T1826">
        <v>58</v>
      </c>
      <c r="U1826" s="5">
        <f>IF(Merge1[[#This Row],[team_defense_snaps]]=0, "", Merge1[[#This Row],[defense_snaps]] / Merge1[[#This Row],[team_defense_snaps]])</f>
        <v>0.86567164179104472</v>
      </c>
      <c r="V1826">
        <v>67</v>
      </c>
      <c r="W1826">
        <v>3</v>
      </c>
      <c r="X1826" s="5" t="s">
        <v>251</v>
      </c>
      <c r="Y1826">
        <v>5</v>
      </c>
      <c r="Z1826">
        <v>0</v>
      </c>
      <c r="AA1826" t="s">
        <v>25</v>
      </c>
      <c r="AB1826" t="s">
        <v>26</v>
      </c>
      <c r="AC1826" t="s">
        <v>27</v>
      </c>
      <c r="AD1826" t="s">
        <v>42</v>
      </c>
      <c r="AE1826" t="s">
        <v>25</v>
      </c>
      <c r="AF18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6.5573770491803282E-2</v>
      </c>
      <c r="AG1826" t="s">
        <v>942</v>
      </c>
      <c r="AH1826">
        <v>50.5</v>
      </c>
      <c r="AI1826" t="s">
        <v>939</v>
      </c>
      <c r="AJ1826">
        <v>1</v>
      </c>
      <c r="AK18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MIN(AJ1826/8, 1) +
  Merge1[[#This Row],[index_defensive_effort]],
  2
)</f>
        <v>0.69</v>
      </c>
    </row>
    <row r="1827" spans="1:37" x14ac:dyDescent="0.25">
      <c r="A1827" t="s">
        <v>461</v>
      </c>
      <c r="B1827" t="s">
        <v>462</v>
      </c>
      <c r="C1827">
        <v>27</v>
      </c>
      <c r="D1827" t="s">
        <v>56</v>
      </c>
      <c r="E1827">
        <v>71</v>
      </c>
      <c r="F1827">
        <v>190</v>
      </c>
      <c r="G1827" t="s">
        <v>162</v>
      </c>
      <c r="H1827">
        <v>2020</v>
      </c>
      <c r="I1827" t="s">
        <v>33</v>
      </c>
      <c r="J1827">
        <v>17</v>
      </c>
      <c r="K1827">
        <v>1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31</v>
      </c>
      <c r="T1827">
        <v>28</v>
      </c>
      <c r="U1827" s="5">
        <f>IF(Merge1[[#This Row],[team_defense_snaps]]=0, "", Merge1[[#This Row],[defense_snaps]] / Merge1[[#This Row],[team_defense_snaps]])</f>
        <v>0.35</v>
      </c>
      <c r="V1827">
        <v>80</v>
      </c>
      <c r="W1827">
        <v>3</v>
      </c>
      <c r="X1827" s="5" t="s">
        <v>38</v>
      </c>
      <c r="Y1827">
        <v>5</v>
      </c>
      <c r="Z1827">
        <v>0</v>
      </c>
      <c r="AA1827" t="s">
        <v>25</v>
      </c>
      <c r="AB1827" t="s">
        <v>26</v>
      </c>
      <c r="AC1827" t="s">
        <v>27</v>
      </c>
      <c r="AD1827" t="s">
        <v>28</v>
      </c>
      <c r="AE1827" t="s">
        <v>25</v>
      </c>
      <c r="AF18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3.2258064516129031E-2</v>
      </c>
      <c r="AG1827" t="s">
        <v>942</v>
      </c>
      <c r="AH1827">
        <v>46</v>
      </c>
      <c r="AI1827" t="s">
        <v>939</v>
      </c>
      <c r="AJ1827">
        <v>1</v>
      </c>
      <c r="AK18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MIN(AJ1827/8, 1) +
  Merge1[[#This Row],[index_defensive_effort]],
  2
)</f>
        <v>0.66</v>
      </c>
    </row>
    <row r="1828" spans="1:37" x14ac:dyDescent="0.25">
      <c r="A1828" t="s">
        <v>501</v>
      </c>
      <c r="B1828" t="s">
        <v>502</v>
      </c>
      <c r="C1828">
        <v>22</v>
      </c>
      <c r="D1828" t="s">
        <v>56</v>
      </c>
      <c r="E1828">
        <v>74</v>
      </c>
      <c r="F1828">
        <v>192</v>
      </c>
      <c r="G1828" t="s">
        <v>74</v>
      </c>
      <c r="H1828">
        <v>2020</v>
      </c>
      <c r="I1828" t="s">
        <v>33</v>
      </c>
      <c r="J1828">
        <v>7</v>
      </c>
      <c r="K1828">
        <v>0</v>
      </c>
      <c r="L1828">
        <v>1</v>
      </c>
      <c r="M1828">
        <v>1</v>
      </c>
      <c r="N1828">
        <v>2</v>
      </c>
      <c r="O1828">
        <v>0</v>
      </c>
      <c r="P1828">
        <v>0</v>
      </c>
      <c r="Q1828">
        <v>0</v>
      </c>
      <c r="R1828">
        <v>0</v>
      </c>
      <c r="S1828">
        <v>26</v>
      </c>
      <c r="T1828">
        <v>12</v>
      </c>
      <c r="U1828" s="5">
        <f>IF(Merge1[[#This Row],[team_defense_snaps]]=0, "", Merge1[[#This Row],[defense_snaps]] / Merge1[[#This Row],[team_defense_snaps]])</f>
        <v>0.21052631578947367</v>
      </c>
      <c r="V1828">
        <v>57</v>
      </c>
      <c r="W1828">
        <v>14</v>
      </c>
      <c r="X1828" s="5" t="s">
        <v>275</v>
      </c>
      <c r="Y1828">
        <v>1</v>
      </c>
      <c r="Z1828">
        <v>0</v>
      </c>
      <c r="AA1828" t="s">
        <v>25</v>
      </c>
      <c r="AB1828" t="s">
        <v>26</v>
      </c>
      <c r="AC1828" t="s">
        <v>27</v>
      </c>
      <c r="AD1828" t="s">
        <v>28</v>
      </c>
      <c r="AE1828" t="s">
        <v>25</v>
      </c>
      <c r="AF18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3.8461538461538464E-2</v>
      </c>
      <c r="AG1828" t="s">
        <v>941</v>
      </c>
      <c r="AH1828">
        <v>62</v>
      </c>
      <c r="AI1828" t="s">
        <v>939</v>
      </c>
      <c r="AJ1828">
        <v>2</v>
      </c>
      <c r="AK18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MIN(AJ1828/8, 1) +
  Merge1[[#This Row],[index_defensive_effort]],
  2
)</f>
        <v>0.69</v>
      </c>
    </row>
    <row r="1829" spans="1:37" x14ac:dyDescent="0.25">
      <c r="A1829" t="s">
        <v>501</v>
      </c>
      <c r="B1829" t="s">
        <v>502</v>
      </c>
      <c r="C1829">
        <v>22</v>
      </c>
      <c r="D1829" t="s">
        <v>56</v>
      </c>
      <c r="E1829">
        <v>74</v>
      </c>
      <c r="F1829">
        <v>192</v>
      </c>
      <c r="G1829" t="s">
        <v>74</v>
      </c>
      <c r="H1829">
        <v>2020</v>
      </c>
      <c r="I1829" t="s">
        <v>33</v>
      </c>
      <c r="J1829">
        <v>8</v>
      </c>
      <c r="K1829">
        <v>2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25</v>
      </c>
      <c r="T1829">
        <v>11</v>
      </c>
      <c r="U1829" s="5">
        <f>IF(Merge1[[#This Row],[team_defense_snaps]]=0, "", Merge1[[#This Row],[defense_snaps]] / Merge1[[#This Row],[team_defense_snaps]])</f>
        <v>0.12941176470588237</v>
      </c>
      <c r="V1829">
        <v>85</v>
      </c>
      <c r="W1829">
        <v>14</v>
      </c>
      <c r="X1829" s="5" t="s">
        <v>52</v>
      </c>
      <c r="Y1829">
        <v>1</v>
      </c>
      <c r="Z1829">
        <v>0</v>
      </c>
      <c r="AA1829" t="s">
        <v>25</v>
      </c>
      <c r="AB1829" t="s">
        <v>26</v>
      </c>
      <c r="AC1829" t="s">
        <v>27</v>
      </c>
      <c r="AD1829" t="s">
        <v>28</v>
      </c>
      <c r="AE1829" t="s">
        <v>25</v>
      </c>
      <c r="AF18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0.08</v>
      </c>
      <c r="AG1829" t="s">
        <v>941</v>
      </c>
      <c r="AH1829">
        <v>53</v>
      </c>
      <c r="AI1829" t="s">
        <v>939</v>
      </c>
      <c r="AJ1829">
        <v>3</v>
      </c>
      <c r="AK18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MIN(AJ1829/8, 1) +
  Merge1[[#This Row],[index_defensive_effort]],
  2
)</f>
        <v>0.86</v>
      </c>
    </row>
    <row r="1830" spans="1:37" x14ac:dyDescent="0.25">
      <c r="A1830" t="s">
        <v>501</v>
      </c>
      <c r="B1830" t="s">
        <v>502</v>
      </c>
      <c r="C1830">
        <v>22</v>
      </c>
      <c r="D1830" t="s">
        <v>56</v>
      </c>
      <c r="E1830">
        <v>74</v>
      </c>
      <c r="F1830">
        <v>192</v>
      </c>
      <c r="G1830" t="s">
        <v>74</v>
      </c>
      <c r="H1830">
        <v>2020</v>
      </c>
      <c r="I1830" t="s">
        <v>33</v>
      </c>
      <c r="J1830">
        <v>9</v>
      </c>
      <c r="K1830">
        <v>1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23</v>
      </c>
      <c r="T1830">
        <v>13</v>
      </c>
      <c r="U1830" s="5">
        <f>IF(Merge1[[#This Row],[team_defense_snaps]]=0, "", Merge1[[#This Row],[defense_snaps]] / Merge1[[#This Row],[team_defense_snaps]])</f>
        <v>0.18055555555555555</v>
      </c>
      <c r="V1830">
        <v>72</v>
      </c>
      <c r="W1830">
        <v>10</v>
      </c>
      <c r="X1830" s="5" t="s">
        <v>158</v>
      </c>
      <c r="Y1830">
        <v>1</v>
      </c>
      <c r="Z1830">
        <v>0</v>
      </c>
      <c r="AA1830" t="s">
        <v>25</v>
      </c>
      <c r="AB1830" t="s">
        <v>26</v>
      </c>
      <c r="AC1830" t="s">
        <v>27</v>
      </c>
      <c r="AD1830" t="s">
        <v>28</v>
      </c>
      <c r="AE1830" t="s">
        <v>25</v>
      </c>
      <c r="AF18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4.3478260869565216E-2</v>
      </c>
      <c r="AG1830" t="s">
        <v>941</v>
      </c>
      <c r="AH1830">
        <v>60.5</v>
      </c>
      <c r="AI1830" t="s">
        <v>939</v>
      </c>
      <c r="AJ1830">
        <v>1</v>
      </c>
      <c r="AK18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MIN(AJ1830/8, 1) +
  Merge1[[#This Row],[index_defensive_effort]],
  2
)</f>
        <v>0.56999999999999995</v>
      </c>
    </row>
    <row r="1831" spans="1:37" x14ac:dyDescent="0.25">
      <c r="A1831" t="s">
        <v>501</v>
      </c>
      <c r="B1831" t="s">
        <v>502</v>
      </c>
      <c r="C1831">
        <v>22</v>
      </c>
      <c r="D1831" t="s">
        <v>56</v>
      </c>
      <c r="E1831">
        <v>74</v>
      </c>
      <c r="F1831">
        <v>192</v>
      </c>
      <c r="G1831" t="s">
        <v>74</v>
      </c>
      <c r="H1831">
        <v>2020</v>
      </c>
      <c r="I1831" t="s">
        <v>33</v>
      </c>
      <c r="J1831">
        <v>13</v>
      </c>
      <c r="K1831">
        <v>4</v>
      </c>
      <c r="L1831">
        <v>1</v>
      </c>
      <c r="M1831">
        <v>1</v>
      </c>
      <c r="N1831">
        <v>2</v>
      </c>
      <c r="O1831">
        <v>0</v>
      </c>
      <c r="P1831">
        <v>0</v>
      </c>
      <c r="Q1831">
        <v>0</v>
      </c>
      <c r="R1831">
        <v>0</v>
      </c>
      <c r="S1831">
        <v>49</v>
      </c>
      <c r="T1831">
        <v>28</v>
      </c>
      <c r="U1831" s="5">
        <f>IF(Merge1[[#This Row],[team_defense_snaps]]=0, "", Merge1[[#This Row],[defense_snaps]] / Merge1[[#This Row],[team_defense_snaps]])</f>
        <v>0.3888888888888889</v>
      </c>
      <c r="V1831">
        <v>72</v>
      </c>
      <c r="W1831">
        <v>21</v>
      </c>
      <c r="X1831" s="5" t="s">
        <v>82</v>
      </c>
      <c r="Y1831">
        <v>1</v>
      </c>
      <c r="Z1831">
        <v>0</v>
      </c>
      <c r="AA1831" t="s">
        <v>25</v>
      </c>
      <c r="AB1831" t="s">
        <v>26</v>
      </c>
      <c r="AC1831" t="s">
        <v>27</v>
      </c>
      <c r="AD1831" t="s">
        <v>28</v>
      </c>
      <c r="AE1831" t="s">
        <v>25</v>
      </c>
      <c r="AF18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0.10204081632653061</v>
      </c>
      <c r="AG1831" t="s">
        <v>941</v>
      </c>
      <c r="AH1831">
        <v>59</v>
      </c>
      <c r="AI1831" t="s">
        <v>939</v>
      </c>
      <c r="AJ1831">
        <v>2</v>
      </c>
      <c r="AK18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MIN(AJ1831/8, 1) +
  Merge1[[#This Row],[index_defensive_effort]],
  2
)</f>
        <v>0.75</v>
      </c>
    </row>
    <row r="1832" spans="1:37" x14ac:dyDescent="0.25">
      <c r="A1832" t="s">
        <v>501</v>
      </c>
      <c r="B1832" t="s">
        <v>502</v>
      </c>
      <c r="C1832">
        <v>22</v>
      </c>
      <c r="D1832" t="s">
        <v>56</v>
      </c>
      <c r="E1832">
        <v>74</v>
      </c>
      <c r="F1832">
        <v>192</v>
      </c>
      <c r="G1832" t="s">
        <v>74</v>
      </c>
      <c r="H1832">
        <v>2020</v>
      </c>
      <c r="I1832" t="s">
        <v>33</v>
      </c>
      <c r="J1832">
        <v>14</v>
      </c>
      <c r="K1832">
        <v>0</v>
      </c>
      <c r="L1832">
        <v>1</v>
      </c>
      <c r="M1832">
        <v>0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27</v>
      </c>
      <c r="T1832">
        <v>11</v>
      </c>
      <c r="U1832" s="5">
        <f>IF(Merge1[[#This Row],[team_defense_snaps]]=0, "", Merge1[[#This Row],[defense_snaps]] / Merge1[[#This Row],[team_defense_snaps]])</f>
        <v>0.14666666666666667</v>
      </c>
      <c r="V1832">
        <v>75</v>
      </c>
      <c r="W1832">
        <v>16</v>
      </c>
      <c r="X1832" s="5" t="s">
        <v>232</v>
      </c>
      <c r="Y1832">
        <v>1</v>
      </c>
      <c r="Z1832">
        <v>0</v>
      </c>
      <c r="AA1832" t="s">
        <v>25</v>
      </c>
      <c r="AB1832" t="s">
        <v>26</v>
      </c>
      <c r="AC1832" t="s">
        <v>27</v>
      </c>
      <c r="AD1832" t="s">
        <v>28</v>
      </c>
      <c r="AE1832" t="s">
        <v>25</v>
      </c>
      <c r="AF18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1.8518518518518517E-2</v>
      </c>
      <c r="AG1832" t="s">
        <v>941</v>
      </c>
      <c r="AH1832">
        <v>51.5</v>
      </c>
      <c r="AI1832" t="s">
        <v>939</v>
      </c>
      <c r="AJ1832">
        <v>1</v>
      </c>
      <c r="AK18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MIN(AJ1832/8, 1) +
  Merge1[[#This Row],[index_defensive_effort]],
  2
)</f>
        <v>0.54</v>
      </c>
    </row>
    <row r="1833" spans="1:37" x14ac:dyDescent="0.25">
      <c r="A1833" t="s">
        <v>529</v>
      </c>
      <c r="B1833" t="s">
        <v>530</v>
      </c>
      <c r="C1833">
        <v>23</v>
      </c>
      <c r="D1833" t="s">
        <v>22</v>
      </c>
      <c r="E1833">
        <v>73</v>
      </c>
      <c r="F1833">
        <v>205</v>
      </c>
      <c r="G1833" t="s">
        <v>157</v>
      </c>
      <c r="H1833">
        <v>2020</v>
      </c>
      <c r="I1833" t="s">
        <v>33</v>
      </c>
      <c r="J1833">
        <v>1</v>
      </c>
      <c r="K1833">
        <v>5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73</v>
      </c>
      <c r="T1833">
        <v>69</v>
      </c>
      <c r="U1833" s="5">
        <f>IF(Merge1[[#This Row],[team_defense_snaps]]=0, "", Merge1[[#This Row],[defense_snaps]] / Merge1[[#This Row],[team_defense_snaps]])</f>
        <v>0.98571428571428577</v>
      </c>
      <c r="V1833">
        <v>70</v>
      </c>
      <c r="W1833">
        <v>4</v>
      </c>
      <c r="X1833" s="5" t="s">
        <v>159</v>
      </c>
      <c r="Y1833">
        <v>2</v>
      </c>
      <c r="Z1833">
        <v>0</v>
      </c>
      <c r="AA1833" t="s">
        <v>25</v>
      </c>
      <c r="AB1833" t="s">
        <v>26</v>
      </c>
      <c r="AC1833" t="s">
        <v>27</v>
      </c>
      <c r="AD1833" t="s">
        <v>28</v>
      </c>
      <c r="AE1833" t="s">
        <v>25</v>
      </c>
      <c r="AF18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6.8493150684931503E-2</v>
      </c>
      <c r="AG1833" t="s">
        <v>942</v>
      </c>
      <c r="AH1833">
        <v>80.5</v>
      </c>
      <c r="AI1833" t="s">
        <v>939</v>
      </c>
      <c r="AJ1833">
        <v>1</v>
      </c>
      <c r="AK18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MIN(AJ1833/8, 1) +
  Merge1[[#This Row],[index_defensive_effort]],
  2
)</f>
        <v>0.69</v>
      </c>
    </row>
    <row r="1834" spans="1:37" x14ac:dyDescent="0.25">
      <c r="A1834" t="s">
        <v>529</v>
      </c>
      <c r="B1834" t="s">
        <v>530</v>
      </c>
      <c r="C1834">
        <v>23</v>
      </c>
      <c r="D1834" t="s">
        <v>22</v>
      </c>
      <c r="E1834">
        <v>73</v>
      </c>
      <c r="F1834">
        <v>205</v>
      </c>
      <c r="G1834" t="s">
        <v>157</v>
      </c>
      <c r="H1834">
        <v>2020</v>
      </c>
      <c r="I1834" t="s">
        <v>33</v>
      </c>
      <c r="J1834">
        <v>1</v>
      </c>
      <c r="K1834">
        <v>5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73</v>
      </c>
      <c r="T1834">
        <v>69</v>
      </c>
      <c r="U1834" s="5">
        <f>IF(Merge1[[#This Row],[team_defense_snaps]]=0, "", Merge1[[#This Row],[defense_snaps]] / Merge1[[#This Row],[team_defense_snaps]])</f>
        <v>0.98571428571428577</v>
      </c>
      <c r="V1834">
        <v>70</v>
      </c>
      <c r="W1834">
        <v>4</v>
      </c>
      <c r="X1834" s="5" t="s">
        <v>159</v>
      </c>
      <c r="Y1834">
        <v>2</v>
      </c>
      <c r="Z1834">
        <v>0</v>
      </c>
      <c r="AA1834" t="s">
        <v>25</v>
      </c>
      <c r="AB1834" t="s">
        <v>26</v>
      </c>
      <c r="AC1834" t="s">
        <v>27</v>
      </c>
      <c r="AD1834" t="s">
        <v>28</v>
      </c>
      <c r="AE1834" t="s">
        <v>25</v>
      </c>
      <c r="AF18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6.8493150684931503E-2</v>
      </c>
      <c r="AG1834" t="s">
        <v>942</v>
      </c>
      <c r="AH1834">
        <v>82</v>
      </c>
      <c r="AI1834" t="s">
        <v>939</v>
      </c>
      <c r="AJ1834">
        <v>2</v>
      </c>
      <c r="AK18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MIN(AJ1834/8, 1) +
  Merge1[[#This Row],[index_defensive_effort]],
  2
)</f>
        <v>0.82</v>
      </c>
    </row>
    <row r="1835" spans="1:37" x14ac:dyDescent="0.25">
      <c r="A1835" t="s">
        <v>529</v>
      </c>
      <c r="B1835" t="s">
        <v>530</v>
      </c>
      <c r="C1835">
        <v>23</v>
      </c>
      <c r="D1835" t="s">
        <v>22</v>
      </c>
      <c r="E1835">
        <v>73</v>
      </c>
      <c r="F1835">
        <v>205</v>
      </c>
      <c r="G1835" t="s">
        <v>157</v>
      </c>
      <c r="H1835">
        <v>2020</v>
      </c>
      <c r="I1835" t="s">
        <v>33</v>
      </c>
      <c r="J1835">
        <v>2</v>
      </c>
      <c r="K1835">
        <v>9</v>
      </c>
      <c r="L1835">
        <v>2</v>
      </c>
      <c r="M1835">
        <v>0</v>
      </c>
      <c r="N1835">
        <v>2</v>
      </c>
      <c r="O1835">
        <v>0</v>
      </c>
      <c r="P1835">
        <v>0</v>
      </c>
      <c r="Q1835">
        <v>0</v>
      </c>
      <c r="R1835">
        <v>0</v>
      </c>
      <c r="S1835">
        <v>70</v>
      </c>
      <c r="T1835">
        <v>64</v>
      </c>
      <c r="U1835" s="5">
        <f>IF(Merge1[[#This Row],[team_defense_snaps]]=0, "", Merge1[[#This Row],[defense_snaps]] / Merge1[[#This Row],[team_defense_snaps]])</f>
        <v>0.98461538461538467</v>
      </c>
      <c r="V1835">
        <v>65</v>
      </c>
      <c r="W1835">
        <v>6</v>
      </c>
      <c r="X1835" s="5" t="s">
        <v>293</v>
      </c>
      <c r="Y1835">
        <v>2</v>
      </c>
      <c r="Z1835">
        <v>0</v>
      </c>
      <c r="AA1835" t="s">
        <v>25</v>
      </c>
      <c r="AB1835" t="s">
        <v>26</v>
      </c>
      <c r="AC1835" t="s">
        <v>27</v>
      </c>
      <c r="AD1835" t="s">
        <v>28</v>
      </c>
      <c r="AE1835" t="s">
        <v>25</v>
      </c>
      <c r="AF18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0.14285714285714285</v>
      </c>
      <c r="AG1835" t="s">
        <v>942</v>
      </c>
      <c r="AH1835">
        <v>85</v>
      </c>
      <c r="AI1835" t="s">
        <v>939</v>
      </c>
      <c r="AJ1835">
        <v>1</v>
      </c>
      <c r="AK18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MIN(AJ1835/8, 1) +
  Merge1[[#This Row],[index_defensive_effort]],
  2
)</f>
        <v>0.77</v>
      </c>
    </row>
    <row r="1836" spans="1:37" x14ac:dyDescent="0.25">
      <c r="A1836" t="s">
        <v>529</v>
      </c>
      <c r="B1836" t="s">
        <v>530</v>
      </c>
      <c r="C1836">
        <v>23</v>
      </c>
      <c r="D1836" t="s">
        <v>22</v>
      </c>
      <c r="E1836">
        <v>73</v>
      </c>
      <c r="F1836">
        <v>205</v>
      </c>
      <c r="G1836" t="s">
        <v>157</v>
      </c>
      <c r="H1836">
        <v>2020</v>
      </c>
      <c r="I1836" t="s">
        <v>33</v>
      </c>
      <c r="J1836">
        <v>2</v>
      </c>
      <c r="K1836">
        <v>9</v>
      </c>
      <c r="L1836">
        <v>2</v>
      </c>
      <c r="M1836">
        <v>0</v>
      </c>
      <c r="N1836">
        <v>2</v>
      </c>
      <c r="O1836">
        <v>0</v>
      </c>
      <c r="P1836">
        <v>0</v>
      </c>
      <c r="Q1836">
        <v>0</v>
      </c>
      <c r="R1836">
        <v>0</v>
      </c>
      <c r="S1836">
        <v>70</v>
      </c>
      <c r="T1836">
        <v>64</v>
      </c>
      <c r="U1836" s="5">
        <f>IF(Merge1[[#This Row],[team_defense_snaps]]=0, "", Merge1[[#This Row],[defense_snaps]] / Merge1[[#This Row],[team_defense_snaps]])</f>
        <v>0.98461538461538467</v>
      </c>
      <c r="V1836">
        <v>65</v>
      </c>
      <c r="W1836">
        <v>6</v>
      </c>
      <c r="X1836" s="5" t="s">
        <v>293</v>
      </c>
      <c r="Y1836">
        <v>2</v>
      </c>
      <c r="Z1836">
        <v>0</v>
      </c>
      <c r="AA1836" t="s">
        <v>25</v>
      </c>
      <c r="AB1836" t="s">
        <v>26</v>
      </c>
      <c r="AC1836" t="s">
        <v>27</v>
      </c>
      <c r="AD1836" t="s">
        <v>28</v>
      </c>
      <c r="AE1836" t="s">
        <v>25</v>
      </c>
      <c r="AF18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0.14285714285714285</v>
      </c>
      <c r="AG1836" t="s">
        <v>942</v>
      </c>
      <c r="AH1836">
        <v>86.5</v>
      </c>
      <c r="AI1836" t="s">
        <v>939</v>
      </c>
      <c r="AJ1836">
        <v>2</v>
      </c>
      <c r="AK18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MIN(AJ1836/8, 1) +
  Merge1[[#This Row],[index_defensive_effort]],
  2
)</f>
        <v>0.89</v>
      </c>
    </row>
    <row r="1837" spans="1:37" x14ac:dyDescent="0.25">
      <c r="A1837" t="s">
        <v>529</v>
      </c>
      <c r="B1837" t="s">
        <v>530</v>
      </c>
      <c r="C1837">
        <v>23</v>
      </c>
      <c r="D1837" t="s">
        <v>22</v>
      </c>
      <c r="E1837">
        <v>73</v>
      </c>
      <c r="F1837">
        <v>205</v>
      </c>
      <c r="G1837" t="s">
        <v>157</v>
      </c>
      <c r="H1837">
        <v>2020</v>
      </c>
      <c r="I1837" t="s">
        <v>33</v>
      </c>
      <c r="J1837">
        <v>3</v>
      </c>
      <c r="K1837">
        <v>3</v>
      </c>
      <c r="L1837">
        <v>3</v>
      </c>
      <c r="M1837">
        <v>1</v>
      </c>
      <c r="N1837">
        <v>4</v>
      </c>
      <c r="O1837">
        <v>0</v>
      </c>
      <c r="P1837">
        <v>0</v>
      </c>
      <c r="Q1837">
        <v>0</v>
      </c>
      <c r="R1837">
        <v>0</v>
      </c>
      <c r="S1837">
        <v>88</v>
      </c>
      <c r="T1837">
        <v>80</v>
      </c>
      <c r="U1837" s="5">
        <f>IF(Merge1[[#This Row],[team_defense_snaps]]=0, "", Merge1[[#This Row],[defense_snaps]] / Merge1[[#This Row],[team_defense_snaps]])</f>
        <v>0.98765432098765427</v>
      </c>
      <c r="V1837">
        <v>81</v>
      </c>
      <c r="W1837">
        <v>8</v>
      </c>
      <c r="X1837" s="5" t="s">
        <v>138</v>
      </c>
      <c r="Y1837">
        <v>2</v>
      </c>
      <c r="Z1837">
        <v>0</v>
      </c>
      <c r="AA1837" t="s">
        <v>25</v>
      </c>
      <c r="AB1837" t="s">
        <v>26</v>
      </c>
      <c r="AC1837" t="s">
        <v>27</v>
      </c>
      <c r="AD1837" t="s">
        <v>28</v>
      </c>
      <c r="AE1837" t="s">
        <v>25</v>
      </c>
      <c r="AF18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5.6818181818181816E-2</v>
      </c>
      <c r="AG1837" t="s">
        <v>942</v>
      </c>
      <c r="AH1837">
        <v>79</v>
      </c>
      <c r="AI1837" t="s">
        <v>939</v>
      </c>
      <c r="AJ1837">
        <v>1</v>
      </c>
      <c r="AK18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MIN(AJ1837/8, 1) +
  Merge1[[#This Row],[index_defensive_effort]],
  2
)</f>
        <v>0.68</v>
      </c>
    </row>
    <row r="1838" spans="1:37" x14ac:dyDescent="0.25">
      <c r="A1838" t="s">
        <v>529</v>
      </c>
      <c r="B1838" t="s">
        <v>530</v>
      </c>
      <c r="C1838">
        <v>23</v>
      </c>
      <c r="D1838" t="s">
        <v>22</v>
      </c>
      <c r="E1838">
        <v>73</v>
      </c>
      <c r="F1838">
        <v>205</v>
      </c>
      <c r="G1838" t="s">
        <v>157</v>
      </c>
      <c r="H1838">
        <v>2020</v>
      </c>
      <c r="I1838" t="s">
        <v>33</v>
      </c>
      <c r="J1838">
        <v>3</v>
      </c>
      <c r="K1838">
        <v>3</v>
      </c>
      <c r="L1838">
        <v>3</v>
      </c>
      <c r="M1838">
        <v>1</v>
      </c>
      <c r="N1838">
        <v>4</v>
      </c>
      <c r="O1838">
        <v>0</v>
      </c>
      <c r="P1838">
        <v>0</v>
      </c>
      <c r="Q1838">
        <v>0</v>
      </c>
      <c r="R1838">
        <v>0</v>
      </c>
      <c r="S1838">
        <v>88</v>
      </c>
      <c r="T1838">
        <v>80</v>
      </c>
      <c r="U1838" s="5">
        <f>IF(Merge1[[#This Row],[team_defense_snaps]]=0, "", Merge1[[#This Row],[defense_snaps]] / Merge1[[#This Row],[team_defense_snaps]])</f>
        <v>0.98765432098765427</v>
      </c>
      <c r="V1838">
        <v>81</v>
      </c>
      <c r="W1838">
        <v>8</v>
      </c>
      <c r="X1838" s="5" t="s">
        <v>138</v>
      </c>
      <c r="Y1838">
        <v>2</v>
      </c>
      <c r="Z1838">
        <v>0</v>
      </c>
      <c r="AA1838" t="s">
        <v>25</v>
      </c>
      <c r="AB1838" t="s">
        <v>26</v>
      </c>
      <c r="AC1838" t="s">
        <v>27</v>
      </c>
      <c r="AD1838" t="s">
        <v>28</v>
      </c>
      <c r="AE1838" t="s">
        <v>25</v>
      </c>
      <c r="AF18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5.6818181818181816E-2</v>
      </c>
      <c r="AG1838" t="s">
        <v>942</v>
      </c>
      <c r="AH1838">
        <v>85</v>
      </c>
      <c r="AI1838" t="s">
        <v>939</v>
      </c>
      <c r="AJ1838">
        <v>2</v>
      </c>
      <c r="AK18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MIN(AJ1838/8, 1) +
  Merge1[[#This Row],[index_defensive_effort]],
  2
)</f>
        <v>0.81</v>
      </c>
    </row>
    <row r="1839" spans="1:37" x14ac:dyDescent="0.25">
      <c r="A1839" t="s">
        <v>529</v>
      </c>
      <c r="B1839" t="s">
        <v>530</v>
      </c>
      <c r="C1839">
        <v>23</v>
      </c>
      <c r="D1839" t="s">
        <v>22</v>
      </c>
      <c r="E1839">
        <v>73</v>
      </c>
      <c r="F1839">
        <v>205</v>
      </c>
      <c r="G1839" t="s">
        <v>157</v>
      </c>
      <c r="H1839">
        <v>2020</v>
      </c>
      <c r="I1839" t="s">
        <v>33</v>
      </c>
      <c r="J1839">
        <v>4</v>
      </c>
      <c r="K1839">
        <v>2</v>
      </c>
      <c r="L1839">
        <v>3</v>
      </c>
      <c r="M1839">
        <v>2</v>
      </c>
      <c r="N1839">
        <v>5</v>
      </c>
      <c r="O1839">
        <v>0</v>
      </c>
      <c r="P1839">
        <v>0</v>
      </c>
      <c r="Q1839">
        <v>0</v>
      </c>
      <c r="R1839">
        <v>0</v>
      </c>
      <c r="S1839">
        <v>80</v>
      </c>
      <c r="T1839">
        <v>66</v>
      </c>
      <c r="U1839" s="5">
        <f>IF(Merge1[[#This Row],[team_defense_snaps]]=0, "", Merge1[[#This Row],[defense_snaps]] / Merge1[[#This Row],[team_defense_snaps]])</f>
        <v>0.9850746268656716</v>
      </c>
      <c r="V1839">
        <v>67</v>
      </c>
      <c r="W1839">
        <v>14</v>
      </c>
      <c r="X1839" s="5" t="s">
        <v>238</v>
      </c>
      <c r="Y1839">
        <v>2</v>
      </c>
      <c r="Z1839">
        <v>0</v>
      </c>
      <c r="AA1839" t="s">
        <v>25</v>
      </c>
      <c r="AB1839" t="s">
        <v>26</v>
      </c>
      <c r="AC1839" t="s">
        <v>27</v>
      </c>
      <c r="AD1839" t="s">
        <v>28</v>
      </c>
      <c r="AE1839" t="s">
        <v>25</v>
      </c>
      <c r="AF18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5.6250000000000001E-2</v>
      </c>
      <c r="AG1839" t="s">
        <v>942</v>
      </c>
      <c r="AH1839">
        <v>73</v>
      </c>
      <c r="AI1839" t="s">
        <v>939</v>
      </c>
      <c r="AJ1839">
        <v>1</v>
      </c>
      <c r="AK18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MIN(AJ1839/8, 1) +
  Merge1[[#This Row],[index_defensive_effort]],
  2
)</f>
        <v>0.68</v>
      </c>
    </row>
    <row r="1840" spans="1:37" x14ac:dyDescent="0.25">
      <c r="A1840" t="s">
        <v>529</v>
      </c>
      <c r="B1840" t="s">
        <v>530</v>
      </c>
      <c r="C1840">
        <v>23</v>
      </c>
      <c r="D1840" t="s">
        <v>22</v>
      </c>
      <c r="E1840">
        <v>73</v>
      </c>
      <c r="F1840">
        <v>205</v>
      </c>
      <c r="G1840" t="s">
        <v>157</v>
      </c>
      <c r="H1840">
        <v>2020</v>
      </c>
      <c r="I1840" t="s">
        <v>33</v>
      </c>
      <c r="J1840">
        <v>4</v>
      </c>
      <c r="K1840">
        <v>2</v>
      </c>
      <c r="L1840">
        <v>3</v>
      </c>
      <c r="M1840">
        <v>2</v>
      </c>
      <c r="N1840">
        <v>5</v>
      </c>
      <c r="O1840">
        <v>0</v>
      </c>
      <c r="P1840">
        <v>0</v>
      </c>
      <c r="Q1840">
        <v>0</v>
      </c>
      <c r="R1840">
        <v>0</v>
      </c>
      <c r="S1840">
        <v>80</v>
      </c>
      <c r="T1840">
        <v>66</v>
      </c>
      <c r="U1840" s="5">
        <f>IF(Merge1[[#This Row],[team_defense_snaps]]=0, "", Merge1[[#This Row],[defense_snaps]] / Merge1[[#This Row],[team_defense_snaps]])</f>
        <v>0.9850746268656716</v>
      </c>
      <c r="V1840">
        <v>67</v>
      </c>
      <c r="W1840">
        <v>14</v>
      </c>
      <c r="X1840" s="5" t="s">
        <v>238</v>
      </c>
      <c r="Y1840">
        <v>2</v>
      </c>
      <c r="Z1840">
        <v>0</v>
      </c>
      <c r="AA1840" t="s">
        <v>25</v>
      </c>
      <c r="AB1840" t="s">
        <v>26</v>
      </c>
      <c r="AC1840" t="s">
        <v>27</v>
      </c>
      <c r="AD1840" t="s">
        <v>28</v>
      </c>
      <c r="AE1840" t="s">
        <v>25</v>
      </c>
      <c r="AF18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5.6250000000000001E-2</v>
      </c>
      <c r="AG1840" t="s">
        <v>942</v>
      </c>
      <c r="AH1840">
        <v>83.5</v>
      </c>
      <c r="AI1840" t="s">
        <v>939</v>
      </c>
      <c r="AJ1840">
        <v>2</v>
      </c>
      <c r="AK18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MIN(AJ1840/8, 1) +
  Merge1[[#This Row],[index_defensive_effort]],
  2
)</f>
        <v>0.81</v>
      </c>
    </row>
    <row r="1841" spans="1:37" x14ac:dyDescent="0.25">
      <c r="A1841" t="s">
        <v>529</v>
      </c>
      <c r="B1841" t="s">
        <v>530</v>
      </c>
      <c r="C1841">
        <v>23</v>
      </c>
      <c r="D1841" t="s">
        <v>22</v>
      </c>
      <c r="E1841">
        <v>73</v>
      </c>
      <c r="F1841">
        <v>205</v>
      </c>
      <c r="G1841" t="s">
        <v>157</v>
      </c>
      <c r="H1841">
        <v>2020</v>
      </c>
      <c r="I1841" t="s">
        <v>33</v>
      </c>
      <c r="J1841">
        <v>5</v>
      </c>
      <c r="K1841">
        <v>5</v>
      </c>
      <c r="L1841">
        <v>2</v>
      </c>
      <c r="M1841">
        <v>1</v>
      </c>
      <c r="N1841">
        <v>3</v>
      </c>
      <c r="O1841">
        <v>0</v>
      </c>
      <c r="P1841">
        <v>0</v>
      </c>
      <c r="Q1841">
        <v>0</v>
      </c>
      <c r="R1841">
        <v>0</v>
      </c>
      <c r="S1841">
        <v>83</v>
      </c>
      <c r="T1841">
        <v>75</v>
      </c>
      <c r="U1841" s="5">
        <f>IF(Merge1[[#This Row],[team_defense_snaps]]=0, "", Merge1[[#This Row],[defense_snaps]] / Merge1[[#This Row],[team_defense_snaps]])</f>
        <v>0.98684210526315785</v>
      </c>
      <c r="V1841">
        <v>76</v>
      </c>
      <c r="W1841">
        <v>8</v>
      </c>
      <c r="X1841" s="5" t="s">
        <v>123</v>
      </c>
      <c r="Y1841">
        <v>2</v>
      </c>
      <c r="Z1841">
        <v>0</v>
      </c>
      <c r="AA1841" t="s">
        <v>25</v>
      </c>
      <c r="AB1841" t="s">
        <v>26</v>
      </c>
      <c r="AC1841" t="s">
        <v>27</v>
      </c>
      <c r="AD1841" t="s">
        <v>28</v>
      </c>
      <c r="AE1841" t="s">
        <v>25</v>
      </c>
      <c r="AF18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7.8313253012048195E-2</v>
      </c>
      <c r="AG1841" t="s">
        <v>942</v>
      </c>
      <c r="AH1841">
        <v>73</v>
      </c>
      <c r="AI1841" t="s">
        <v>939</v>
      </c>
      <c r="AJ1841">
        <v>1</v>
      </c>
      <c r="AK18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MIN(AJ1841/8, 1) +
  Merge1[[#This Row],[index_defensive_effort]],
  2
)</f>
        <v>0.7</v>
      </c>
    </row>
    <row r="1842" spans="1:37" x14ac:dyDescent="0.25">
      <c r="A1842" t="s">
        <v>529</v>
      </c>
      <c r="B1842" t="s">
        <v>530</v>
      </c>
      <c r="C1842">
        <v>23</v>
      </c>
      <c r="D1842" t="s">
        <v>22</v>
      </c>
      <c r="E1842">
        <v>73</v>
      </c>
      <c r="F1842">
        <v>205</v>
      </c>
      <c r="G1842" t="s">
        <v>157</v>
      </c>
      <c r="H1842">
        <v>2020</v>
      </c>
      <c r="I1842" t="s">
        <v>33</v>
      </c>
      <c r="J1842">
        <v>5</v>
      </c>
      <c r="K1842">
        <v>5</v>
      </c>
      <c r="L1842">
        <v>2</v>
      </c>
      <c r="M1842">
        <v>1</v>
      </c>
      <c r="N1842">
        <v>3</v>
      </c>
      <c r="O1842">
        <v>0</v>
      </c>
      <c r="P1842">
        <v>0</v>
      </c>
      <c r="Q1842">
        <v>0</v>
      </c>
      <c r="R1842">
        <v>0</v>
      </c>
      <c r="S1842">
        <v>83</v>
      </c>
      <c r="T1842">
        <v>75</v>
      </c>
      <c r="U1842" s="5">
        <f>IF(Merge1[[#This Row],[team_defense_snaps]]=0, "", Merge1[[#This Row],[defense_snaps]] / Merge1[[#This Row],[team_defense_snaps]])</f>
        <v>0.98684210526315785</v>
      </c>
      <c r="V1842">
        <v>76</v>
      </c>
      <c r="W1842">
        <v>8</v>
      </c>
      <c r="X1842" s="5" t="s">
        <v>123</v>
      </c>
      <c r="Y1842">
        <v>2</v>
      </c>
      <c r="Z1842">
        <v>0</v>
      </c>
      <c r="AA1842" t="s">
        <v>25</v>
      </c>
      <c r="AB1842" t="s">
        <v>26</v>
      </c>
      <c r="AC1842" t="s">
        <v>27</v>
      </c>
      <c r="AD1842" t="s">
        <v>28</v>
      </c>
      <c r="AE1842" t="s">
        <v>25</v>
      </c>
      <c r="AF18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7.8313253012048195E-2</v>
      </c>
      <c r="AG1842" t="s">
        <v>942</v>
      </c>
      <c r="AH1842">
        <v>88</v>
      </c>
      <c r="AI1842" t="s">
        <v>939</v>
      </c>
      <c r="AJ1842">
        <v>2</v>
      </c>
      <c r="AK18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MIN(AJ1842/8, 1) +
  Merge1[[#This Row],[index_defensive_effort]],
  2
)</f>
        <v>0.83</v>
      </c>
    </row>
    <row r="1843" spans="1:37" x14ac:dyDescent="0.25">
      <c r="A1843" t="s">
        <v>529</v>
      </c>
      <c r="B1843" t="s">
        <v>530</v>
      </c>
      <c r="C1843">
        <v>23</v>
      </c>
      <c r="D1843" t="s">
        <v>22</v>
      </c>
      <c r="E1843">
        <v>73</v>
      </c>
      <c r="F1843">
        <v>205</v>
      </c>
      <c r="G1843" t="s">
        <v>157</v>
      </c>
      <c r="H1843">
        <v>2020</v>
      </c>
      <c r="I1843" t="s">
        <v>33</v>
      </c>
      <c r="J1843">
        <v>6</v>
      </c>
      <c r="K1843">
        <v>4</v>
      </c>
      <c r="L1843">
        <v>3</v>
      </c>
      <c r="M1843">
        <v>3</v>
      </c>
      <c r="N1843">
        <v>6</v>
      </c>
      <c r="O1843">
        <v>0</v>
      </c>
      <c r="P1843">
        <v>0</v>
      </c>
      <c r="Q1843">
        <v>0</v>
      </c>
      <c r="R1843">
        <v>0</v>
      </c>
      <c r="S1843">
        <v>87</v>
      </c>
      <c r="T1843">
        <v>75</v>
      </c>
      <c r="U1843" s="5">
        <f>IF(Merge1[[#This Row],[team_defense_snaps]]=0, "", Merge1[[#This Row],[defense_snaps]] / Merge1[[#This Row],[team_defense_snaps]])</f>
        <v>1</v>
      </c>
      <c r="V1843">
        <v>75</v>
      </c>
      <c r="W1843">
        <v>12</v>
      </c>
      <c r="X1843" s="5" t="s">
        <v>210</v>
      </c>
      <c r="Y1843">
        <v>2</v>
      </c>
      <c r="Z1843">
        <v>0</v>
      </c>
      <c r="AA1843" t="s">
        <v>25</v>
      </c>
      <c r="AB1843" t="s">
        <v>26</v>
      </c>
      <c r="AC1843" t="s">
        <v>27</v>
      </c>
      <c r="AD1843" t="s">
        <v>28</v>
      </c>
      <c r="AE1843" t="s">
        <v>25</v>
      </c>
      <c r="AF18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8.0459770114942528E-2</v>
      </c>
      <c r="AG1843" t="s">
        <v>942</v>
      </c>
      <c r="AH1843">
        <v>76</v>
      </c>
      <c r="AI1843" t="s">
        <v>939</v>
      </c>
      <c r="AJ1843">
        <v>1</v>
      </c>
      <c r="AK18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MIN(AJ1843/8, 1) +
  Merge1[[#This Row],[index_defensive_effort]],
  2
)</f>
        <v>0.71</v>
      </c>
    </row>
    <row r="1844" spans="1:37" x14ac:dyDescent="0.25">
      <c r="A1844" t="s">
        <v>529</v>
      </c>
      <c r="B1844" t="s">
        <v>530</v>
      </c>
      <c r="C1844">
        <v>23</v>
      </c>
      <c r="D1844" t="s">
        <v>22</v>
      </c>
      <c r="E1844">
        <v>73</v>
      </c>
      <c r="F1844">
        <v>205</v>
      </c>
      <c r="G1844" t="s">
        <v>157</v>
      </c>
      <c r="H1844">
        <v>2020</v>
      </c>
      <c r="I1844" t="s">
        <v>33</v>
      </c>
      <c r="J1844">
        <v>6</v>
      </c>
      <c r="K1844">
        <v>4</v>
      </c>
      <c r="L1844">
        <v>3</v>
      </c>
      <c r="M1844">
        <v>3</v>
      </c>
      <c r="N1844">
        <v>6</v>
      </c>
      <c r="O1844">
        <v>0</v>
      </c>
      <c r="P1844">
        <v>0</v>
      </c>
      <c r="Q1844">
        <v>0</v>
      </c>
      <c r="R1844">
        <v>0</v>
      </c>
      <c r="S1844">
        <v>87</v>
      </c>
      <c r="T1844">
        <v>75</v>
      </c>
      <c r="U1844" s="5">
        <f>IF(Merge1[[#This Row],[team_defense_snaps]]=0, "", Merge1[[#This Row],[defense_snaps]] / Merge1[[#This Row],[team_defense_snaps]])</f>
        <v>1</v>
      </c>
      <c r="V1844">
        <v>75</v>
      </c>
      <c r="W1844">
        <v>12</v>
      </c>
      <c r="X1844" s="5" t="s">
        <v>210</v>
      </c>
      <c r="Y1844">
        <v>2</v>
      </c>
      <c r="Z1844">
        <v>0</v>
      </c>
      <c r="AA1844" t="s">
        <v>25</v>
      </c>
      <c r="AB1844" t="s">
        <v>26</v>
      </c>
      <c r="AC1844" t="s">
        <v>27</v>
      </c>
      <c r="AD1844" t="s">
        <v>28</v>
      </c>
      <c r="AE1844" t="s">
        <v>25</v>
      </c>
      <c r="AF18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8.0459770114942528E-2</v>
      </c>
      <c r="AG1844" t="s">
        <v>942</v>
      </c>
      <c r="AH1844">
        <v>88</v>
      </c>
      <c r="AI1844" t="s">
        <v>939</v>
      </c>
      <c r="AJ1844">
        <v>2</v>
      </c>
      <c r="AK18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MIN(AJ1844/8, 1) +
  Merge1[[#This Row],[index_defensive_effort]],
  2
)</f>
        <v>0.83</v>
      </c>
    </row>
    <row r="1845" spans="1:37" x14ac:dyDescent="0.25">
      <c r="A1845" t="s">
        <v>529</v>
      </c>
      <c r="B1845" t="s">
        <v>530</v>
      </c>
      <c r="C1845">
        <v>23</v>
      </c>
      <c r="D1845" t="s">
        <v>22</v>
      </c>
      <c r="E1845">
        <v>73</v>
      </c>
      <c r="F1845">
        <v>205</v>
      </c>
      <c r="G1845" t="s">
        <v>157</v>
      </c>
      <c r="H1845">
        <v>2020</v>
      </c>
      <c r="I1845" t="s">
        <v>33</v>
      </c>
      <c r="J1845">
        <v>7</v>
      </c>
      <c r="K1845">
        <v>2</v>
      </c>
      <c r="L1845">
        <v>2</v>
      </c>
      <c r="M1845">
        <v>0</v>
      </c>
      <c r="N1845">
        <v>2</v>
      </c>
      <c r="O1845">
        <v>0</v>
      </c>
      <c r="P1845">
        <v>0</v>
      </c>
      <c r="Q1845">
        <v>0</v>
      </c>
      <c r="R1845">
        <v>0</v>
      </c>
      <c r="S1845">
        <v>62</v>
      </c>
      <c r="T1845">
        <v>62</v>
      </c>
      <c r="U1845" s="5">
        <f>IF(Merge1[[#This Row],[team_defense_snaps]]=0, "", Merge1[[#This Row],[defense_snaps]] / Merge1[[#This Row],[team_defense_snaps]])</f>
        <v>1</v>
      </c>
      <c r="V1845">
        <v>62</v>
      </c>
      <c r="W1845">
        <v>0</v>
      </c>
      <c r="X1845" s="5" t="s">
        <v>29</v>
      </c>
      <c r="Y1845">
        <v>2</v>
      </c>
      <c r="Z1845">
        <v>0</v>
      </c>
      <c r="AA1845" t="s">
        <v>25</v>
      </c>
      <c r="AB1845" t="s">
        <v>26</v>
      </c>
      <c r="AC1845" t="s">
        <v>27</v>
      </c>
      <c r="AD1845" t="s">
        <v>28</v>
      </c>
      <c r="AE1845" t="s">
        <v>25</v>
      </c>
      <c r="AF18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4.8387096774193547E-2</v>
      </c>
      <c r="AG1845" t="s">
        <v>942</v>
      </c>
      <c r="AH1845">
        <v>71.5</v>
      </c>
      <c r="AI1845" t="s">
        <v>939</v>
      </c>
      <c r="AJ1845">
        <v>1</v>
      </c>
      <c r="AK18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MIN(AJ1845/8, 1) +
  Merge1[[#This Row],[index_defensive_effort]],
  2
)</f>
        <v>0.67</v>
      </c>
    </row>
    <row r="1846" spans="1:37" x14ac:dyDescent="0.25">
      <c r="A1846" t="s">
        <v>529</v>
      </c>
      <c r="B1846" t="s">
        <v>530</v>
      </c>
      <c r="C1846">
        <v>23</v>
      </c>
      <c r="D1846" t="s">
        <v>22</v>
      </c>
      <c r="E1846">
        <v>73</v>
      </c>
      <c r="F1846">
        <v>205</v>
      </c>
      <c r="G1846" t="s">
        <v>157</v>
      </c>
      <c r="H1846">
        <v>2020</v>
      </c>
      <c r="I1846" t="s">
        <v>33</v>
      </c>
      <c r="J1846">
        <v>7</v>
      </c>
      <c r="K1846">
        <v>2</v>
      </c>
      <c r="L1846">
        <v>2</v>
      </c>
      <c r="M1846">
        <v>0</v>
      </c>
      <c r="N1846">
        <v>2</v>
      </c>
      <c r="O1846">
        <v>0</v>
      </c>
      <c r="P1846">
        <v>0</v>
      </c>
      <c r="Q1846">
        <v>0</v>
      </c>
      <c r="R1846">
        <v>0</v>
      </c>
      <c r="S1846">
        <v>62</v>
      </c>
      <c r="T1846">
        <v>62</v>
      </c>
      <c r="U1846" s="5">
        <f>IF(Merge1[[#This Row],[team_defense_snaps]]=0, "", Merge1[[#This Row],[defense_snaps]] / Merge1[[#This Row],[team_defense_snaps]])</f>
        <v>1</v>
      </c>
      <c r="V1846">
        <v>62</v>
      </c>
      <c r="W1846">
        <v>0</v>
      </c>
      <c r="X1846" s="5" t="s">
        <v>29</v>
      </c>
      <c r="Y1846">
        <v>2</v>
      </c>
      <c r="Z1846">
        <v>0</v>
      </c>
      <c r="AA1846" t="s">
        <v>25</v>
      </c>
      <c r="AB1846" t="s">
        <v>26</v>
      </c>
      <c r="AC1846" t="s">
        <v>27</v>
      </c>
      <c r="AD1846" t="s">
        <v>28</v>
      </c>
      <c r="AE1846" t="s">
        <v>25</v>
      </c>
      <c r="AF18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4.8387096774193547E-2</v>
      </c>
      <c r="AG1846" t="s">
        <v>942</v>
      </c>
      <c r="AH1846">
        <v>80.5</v>
      </c>
      <c r="AI1846" t="s">
        <v>939</v>
      </c>
      <c r="AJ1846">
        <v>1</v>
      </c>
      <c r="AK18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MIN(AJ1846/8, 1) +
  Merge1[[#This Row],[index_defensive_effort]],
  2
)</f>
        <v>0.67</v>
      </c>
    </row>
    <row r="1847" spans="1:37" x14ac:dyDescent="0.25">
      <c r="A1847" t="s">
        <v>529</v>
      </c>
      <c r="B1847" t="s">
        <v>530</v>
      </c>
      <c r="C1847">
        <v>23</v>
      </c>
      <c r="D1847" t="s">
        <v>22</v>
      </c>
      <c r="E1847">
        <v>73</v>
      </c>
      <c r="F1847">
        <v>205</v>
      </c>
      <c r="G1847" t="s">
        <v>157</v>
      </c>
      <c r="H1847">
        <v>2020</v>
      </c>
      <c r="I1847" t="s">
        <v>33</v>
      </c>
      <c r="J1847">
        <v>9</v>
      </c>
      <c r="K1847">
        <v>5</v>
      </c>
      <c r="L1847">
        <v>1</v>
      </c>
      <c r="M1847">
        <v>0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80</v>
      </c>
      <c r="T1847">
        <v>69</v>
      </c>
      <c r="U1847" s="5">
        <f>IF(Merge1[[#This Row],[team_defense_snaps]]=0, "", Merge1[[#This Row],[defense_snaps]] / Merge1[[#This Row],[team_defense_snaps]])</f>
        <v>0.98571428571428577</v>
      </c>
      <c r="V1847">
        <v>70</v>
      </c>
      <c r="W1847">
        <v>11</v>
      </c>
      <c r="X1847" s="5" t="s">
        <v>60</v>
      </c>
      <c r="Y1847">
        <v>2</v>
      </c>
      <c r="Z1847">
        <v>0</v>
      </c>
      <c r="AA1847" t="s">
        <v>25</v>
      </c>
      <c r="AB1847" t="s">
        <v>26</v>
      </c>
      <c r="AC1847" t="s">
        <v>27</v>
      </c>
      <c r="AD1847" t="s">
        <v>28</v>
      </c>
      <c r="AE1847" t="s">
        <v>25</v>
      </c>
      <c r="AF18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6.8750000000000006E-2</v>
      </c>
      <c r="AG1847" t="s">
        <v>942</v>
      </c>
      <c r="AH1847">
        <v>79</v>
      </c>
      <c r="AI1847" t="s">
        <v>939</v>
      </c>
      <c r="AJ1847">
        <v>1</v>
      </c>
      <c r="AK18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MIN(AJ1847/8, 1) +
  Merge1[[#This Row],[index_defensive_effort]],
  2
)</f>
        <v>0.69</v>
      </c>
    </row>
    <row r="1848" spans="1:37" x14ac:dyDescent="0.25">
      <c r="A1848" t="s">
        <v>529</v>
      </c>
      <c r="B1848" t="s">
        <v>530</v>
      </c>
      <c r="C1848">
        <v>23</v>
      </c>
      <c r="D1848" t="s">
        <v>22</v>
      </c>
      <c r="E1848">
        <v>73</v>
      </c>
      <c r="F1848">
        <v>205</v>
      </c>
      <c r="G1848" t="s">
        <v>157</v>
      </c>
      <c r="H1848">
        <v>2020</v>
      </c>
      <c r="I1848" t="s">
        <v>33</v>
      </c>
      <c r="J1848">
        <v>9</v>
      </c>
      <c r="K1848">
        <v>5</v>
      </c>
      <c r="L1848">
        <v>1</v>
      </c>
      <c r="M1848">
        <v>0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80</v>
      </c>
      <c r="T1848">
        <v>69</v>
      </c>
      <c r="U1848" s="5">
        <f>IF(Merge1[[#This Row],[team_defense_snaps]]=0, "", Merge1[[#This Row],[defense_snaps]] / Merge1[[#This Row],[team_defense_snaps]])</f>
        <v>0.98571428571428577</v>
      </c>
      <c r="V1848">
        <v>70</v>
      </c>
      <c r="W1848">
        <v>11</v>
      </c>
      <c r="X1848" s="5" t="s">
        <v>60</v>
      </c>
      <c r="Y1848">
        <v>2</v>
      </c>
      <c r="Z1848">
        <v>0</v>
      </c>
      <c r="AA1848" t="s">
        <v>25</v>
      </c>
      <c r="AB1848" t="s">
        <v>26</v>
      </c>
      <c r="AC1848" t="s">
        <v>27</v>
      </c>
      <c r="AD1848" t="s">
        <v>28</v>
      </c>
      <c r="AE1848" t="s">
        <v>25</v>
      </c>
      <c r="AF18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6.8750000000000006E-2</v>
      </c>
      <c r="AG1848" t="s">
        <v>942</v>
      </c>
      <c r="AH1848">
        <v>86.5</v>
      </c>
      <c r="AI1848" t="s">
        <v>939</v>
      </c>
      <c r="AJ1848">
        <v>2</v>
      </c>
      <c r="AK18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MIN(AJ1848/8, 1) +
  Merge1[[#This Row],[index_defensive_effort]],
  2
)</f>
        <v>0.82</v>
      </c>
    </row>
    <row r="1849" spans="1:37" x14ac:dyDescent="0.25">
      <c r="A1849" t="s">
        <v>529</v>
      </c>
      <c r="B1849" t="s">
        <v>530</v>
      </c>
      <c r="C1849">
        <v>23</v>
      </c>
      <c r="D1849" t="s">
        <v>22</v>
      </c>
      <c r="E1849">
        <v>73</v>
      </c>
      <c r="F1849">
        <v>205</v>
      </c>
      <c r="G1849" t="s">
        <v>157</v>
      </c>
      <c r="H1849">
        <v>2020</v>
      </c>
      <c r="I1849" t="s">
        <v>33</v>
      </c>
      <c r="J1849">
        <v>10</v>
      </c>
      <c r="K1849">
        <v>2</v>
      </c>
      <c r="L1849">
        <v>2</v>
      </c>
      <c r="M1849">
        <v>0</v>
      </c>
      <c r="N1849">
        <v>2</v>
      </c>
      <c r="O1849">
        <v>0</v>
      </c>
      <c r="P1849">
        <v>0</v>
      </c>
      <c r="Q1849">
        <v>0</v>
      </c>
      <c r="R1849">
        <v>0</v>
      </c>
      <c r="S1849">
        <v>66</v>
      </c>
      <c r="T1849">
        <v>64</v>
      </c>
      <c r="U1849" s="5">
        <f>IF(Merge1[[#This Row],[team_defense_snaps]]=0, "", Merge1[[#This Row],[defense_snaps]] / Merge1[[#This Row],[team_defense_snaps]])</f>
        <v>0.98461538461538467</v>
      </c>
      <c r="V1849">
        <v>65</v>
      </c>
      <c r="W1849">
        <v>2</v>
      </c>
      <c r="X1849" s="5" t="s">
        <v>251</v>
      </c>
      <c r="Y1849">
        <v>2</v>
      </c>
      <c r="Z1849">
        <v>0</v>
      </c>
      <c r="AA1849" t="s">
        <v>25</v>
      </c>
      <c r="AB1849" t="s">
        <v>26</v>
      </c>
      <c r="AC1849" t="s">
        <v>27</v>
      </c>
      <c r="AD1849" t="s">
        <v>28</v>
      </c>
      <c r="AE1849" t="s">
        <v>25</v>
      </c>
      <c r="AF18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G1849" t="s">
        <v>942</v>
      </c>
      <c r="AH1849">
        <v>82</v>
      </c>
      <c r="AI1849" t="s">
        <v>939</v>
      </c>
      <c r="AJ1849">
        <v>1</v>
      </c>
      <c r="AK18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MIN(AJ1849/8, 1) +
  Merge1[[#This Row],[index_defensive_effort]],
  2
)</f>
        <v>0.67</v>
      </c>
    </row>
    <row r="1850" spans="1:37" x14ac:dyDescent="0.25">
      <c r="A1850" t="s">
        <v>529</v>
      </c>
      <c r="B1850" t="s">
        <v>530</v>
      </c>
      <c r="C1850">
        <v>23</v>
      </c>
      <c r="D1850" t="s">
        <v>22</v>
      </c>
      <c r="E1850">
        <v>73</v>
      </c>
      <c r="F1850">
        <v>205</v>
      </c>
      <c r="G1850" t="s">
        <v>157</v>
      </c>
      <c r="H1850">
        <v>2020</v>
      </c>
      <c r="I1850" t="s">
        <v>33</v>
      </c>
      <c r="J1850">
        <v>10</v>
      </c>
      <c r="K1850">
        <v>2</v>
      </c>
      <c r="L1850">
        <v>2</v>
      </c>
      <c r="M1850">
        <v>0</v>
      </c>
      <c r="N1850">
        <v>2</v>
      </c>
      <c r="O1850">
        <v>0</v>
      </c>
      <c r="P1850">
        <v>0</v>
      </c>
      <c r="Q1850">
        <v>0</v>
      </c>
      <c r="R1850">
        <v>0</v>
      </c>
      <c r="S1850">
        <v>66</v>
      </c>
      <c r="T1850">
        <v>64</v>
      </c>
      <c r="U1850" s="5">
        <f>IF(Merge1[[#This Row],[team_defense_snaps]]=0, "", Merge1[[#This Row],[defense_snaps]] / Merge1[[#This Row],[team_defense_snaps]])</f>
        <v>0.98461538461538467</v>
      </c>
      <c r="V1850">
        <v>65</v>
      </c>
      <c r="W1850">
        <v>2</v>
      </c>
      <c r="X1850" s="5" t="s">
        <v>251</v>
      </c>
      <c r="Y1850">
        <v>2</v>
      </c>
      <c r="Z1850">
        <v>0</v>
      </c>
      <c r="AA1850" t="s">
        <v>25</v>
      </c>
      <c r="AB1850" t="s">
        <v>26</v>
      </c>
      <c r="AC1850" t="s">
        <v>27</v>
      </c>
      <c r="AD1850" t="s">
        <v>28</v>
      </c>
      <c r="AE1850" t="s">
        <v>25</v>
      </c>
      <c r="AF18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G1850" t="s">
        <v>942</v>
      </c>
      <c r="AH1850">
        <v>83.5</v>
      </c>
      <c r="AI1850" t="s">
        <v>939</v>
      </c>
      <c r="AJ1850">
        <v>2</v>
      </c>
      <c r="AK18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MIN(AJ1850/8, 1) +
  Merge1[[#This Row],[index_defensive_effort]],
  2
)</f>
        <v>0.8</v>
      </c>
    </row>
    <row r="1851" spans="1:37" x14ac:dyDescent="0.25">
      <c r="A1851" t="s">
        <v>529</v>
      </c>
      <c r="B1851" t="s">
        <v>530</v>
      </c>
      <c r="C1851">
        <v>23</v>
      </c>
      <c r="D1851" t="s">
        <v>22</v>
      </c>
      <c r="E1851">
        <v>73</v>
      </c>
      <c r="F1851">
        <v>205</v>
      </c>
      <c r="G1851" t="s">
        <v>157</v>
      </c>
      <c r="H1851">
        <v>2020</v>
      </c>
      <c r="I1851" t="s">
        <v>33</v>
      </c>
      <c r="J1851">
        <v>11</v>
      </c>
      <c r="K1851">
        <v>11</v>
      </c>
      <c r="L1851">
        <v>3</v>
      </c>
      <c r="M1851">
        <v>2</v>
      </c>
      <c r="N1851">
        <v>5</v>
      </c>
      <c r="O1851">
        <v>4</v>
      </c>
      <c r="P1851">
        <v>5</v>
      </c>
      <c r="Q1851">
        <v>0</v>
      </c>
      <c r="R1851">
        <v>0</v>
      </c>
      <c r="S1851">
        <v>78</v>
      </c>
      <c r="T1851">
        <v>69</v>
      </c>
      <c r="U1851" s="5">
        <f>IF(Merge1[[#This Row],[team_defense_snaps]]=0, "", Merge1[[#This Row],[defense_snaps]] / Merge1[[#This Row],[team_defense_snaps]])</f>
        <v>0.92</v>
      </c>
      <c r="V1851">
        <v>75</v>
      </c>
      <c r="W1851">
        <v>9</v>
      </c>
      <c r="X1851" s="5" t="s">
        <v>123</v>
      </c>
      <c r="Y1851">
        <v>2</v>
      </c>
      <c r="Z1851">
        <v>0</v>
      </c>
      <c r="AA1851" t="s">
        <v>25</v>
      </c>
      <c r="AB1851" t="s">
        <v>26</v>
      </c>
      <c r="AC1851" t="s">
        <v>27</v>
      </c>
      <c r="AD1851" t="s">
        <v>28</v>
      </c>
      <c r="AE1851" t="s">
        <v>25</v>
      </c>
      <c r="AF18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0.45512820512820512</v>
      </c>
      <c r="AG1851" t="s">
        <v>942</v>
      </c>
      <c r="AH1851">
        <v>71.5</v>
      </c>
      <c r="AI1851" t="s">
        <v>939</v>
      </c>
      <c r="AJ1851">
        <v>1</v>
      </c>
      <c r="AK18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MIN(AJ1851/8, 1) +
  Merge1[[#This Row],[index_defensive_effort]],
  2
)</f>
        <v>1.08</v>
      </c>
    </row>
    <row r="1852" spans="1:37" x14ac:dyDescent="0.25">
      <c r="A1852" t="s">
        <v>529</v>
      </c>
      <c r="B1852" t="s">
        <v>530</v>
      </c>
      <c r="C1852">
        <v>23</v>
      </c>
      <c r="D1852" t="s">
        <v>22</v>
      </c>
      <c r="E1852">
        <v>73</v>
      </c>
      <c r="F1852">
        <v>205</v>
      </c>
      <c r="G1852" t="s">
        <v>157</v>
      </c>
      <c r="H1852">
        <v>2020</v>
      </c>
      <c r="I1852" t="s">
        <v>33</v>
      </c>
      <c r="J1852">
        <v>11</v>
      </c>
      <c r="K1852">
        <v>11</v>
      </c>
      <c r="L1852">
        <v>3</v>
      </c>
      <c r="M1852">
        <v>2</v>
      </c>
      <c r="N1852">
        <v>5</v>
      </c>
      <c r="O1852">
        <v>4</v>
      </c>
      <c r="P1852">
        <v>5</v>
      </c>
      <c r="Q1852">
        <v>0</v>
      </c>
      <c r="R1852">
        <v>0</v>
      </c>
      <c r="S1852">
        <v>78</v>
      </c>
      <c r="T1852">
        <v>69</v>
      </c>
      <c r="U1852" s="5">
        <f>IF(Merge1[[#This Row],[team_defense_snaps]]=0, "", Merge1[[#This Row],[defense_snaps]] / Merge1[[#This Row],[team_defense_snaps]])</f>
        <v>0.92</v>
      </c>
      <c r="V1852">
        <v>75</v>
      </c>
      <c r="W1852">
        <v>9</v>
      </c>
      <c r="X1852" s="5" t="s">
        <v>123</v>
      </c>
      <c r="Y1852">
        <v>2</v>
      </c>
      <c r="Z1852">
        <v>0</v>
      </c>
      <c r="AA1852" t="s">
        <v>25</v>
      </c>
      <c r="AB1852" t="s">
        <v>26</v>
      </c>
      <c r="AC1852" t="s">
        <v>27</v>
      </c>
      <c r="AD1852" t="s">
        <v>28</v>
      </c>
      <c r="AE1852" t="s">
        <v>25</v>
      </c>
      <c r="AF18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0.45512820512820512</v>
      </c>
      <c r="AG1852" t="s">
        <v>942</v>
      </c>
      <c r="AH1852">
        <v>70</v>
      </c>
      <c r="AI1852" t="s">
        <v>939</v>
      </c>
      <c r="AJ1852">
        <v>2</v>
      </c>
      <c r="AK18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MIN(AJ1852/8, 1) +
  Merge1[[#This Row],[index_defensive_effort]],
  2
)</f>
        <v>1.21</v>
      </c>
    </row>
    <row r="1853" spans="1:37" x14ac:dyDescent="0.25">
      <c r="A1853" t="s">
        <v>529</v>
      </c>
      <c r="B1853" t="s">
        <v>530</v>
      </c>
      <c r="C1853">
        <v>23</v>
      </c>
      <c r="D1853" t="s">
        <v>22</v>
      </c>
      <c r="E1853">
        <v>73</v>
      </c>
      <c r="F1853">
        <v>205</v>
      </c>
      <c r="G1853" t="s">
        <v>157</v>
      </c>
      <c r="H1853">
        <v>2020</v>
      </c>
      <c r="I1853" t="s">
        <v>33</v>
      </c>
      <c r="J1853">
        <v>12</v>
      </c>
      <c r="K1853">
        <v>9</v>
      </c>
      <c r="L1853">
        <v>3</v>
      </c>
      <c r="M1853">
        <v>0</v>
      </c>
      <c r="N1853">
        <v>3</v>
      </c>
      <c r="O1853">
        <v>4</v>
      </c>
      <c r="P1853">
        <v>5</v>
      </c>
      <c r="Q1853">
        <v>0</v>
      </c>
      <c r="R1853">
        <v>0</v>
      </c>
      <c r="S1853">
        <v>85</v>
      </c>
      <c r="T1853">
        <v>77</v>
      </c>
      <c r="U1853" s="5">
        <f>IF(Merge1[[#This Row],[team_defense_snaps]]=0, "", Merge1[[#This Row],[defense_snaps]] / Merge1[[#This Row],[team_defense_snaps]])</f>
        <v>0.93902439024390238</v>
      </c>
      <c r="V1853">
        <v>82</v>
      </c>
      <c r="W1853">
        <v>8</v>
      </c>
      <c r="X1853" s="5" t="s">
        <v>261</v>
      </c>
      <c r="Y1853">
        <v>2</v>
      </c>
      <c r="Z1853">
        <v>0</v>
      </c>
      <c r="AA1853" t="s">
        <v>25</v>
      </c>
      <c r="AB1853" t="s">
        <v>26</v>
      </c>
      <c r="AC1853" t="s">
        <v>27</v>
      </c>
      <c r="AD1853" t="s">
        <v>28</v>
      </c>
      <c r="AE1853" t="s">
        <v>25</v>
      </c>
      <c r="AF18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0.38235294117647056</v>
      </c>
      <c r="AG1853" t="s">
        <v>942</v>
      </c>
      <c r="AH1853">
        <v>76</v>
      </c>
      <c r="AI1853" t="s">
        <v>939</v>
      </c>
      <c r="AJ1853">
        <v>1</v>
      </c>
      <c r="AK18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MIN(AJ1853/8, 1) +
  Merge1[[#This Row],[index_defensive_effort]],
  2
)</f>
        <v>1.01</v>
      </c>
    </row>
    <row r="1854" spans="1:37" x14ac:dyDescent="0.25">
      <c r="A1854" t="s">
        <v>529</v>
      </c>
      <c r="B1854" t="s">
        <v>530</v>
      </c>
      <c r="C1854">
        <v>23</v>
      </c>
      <c r="D1854" t="s">
        <v>22</v>
      </c>
      <c r="E1854">
        <v>73</v>
      </c>
      <c r="F1854">
        <v>205</v>
      </c>
      <c r="G1854" t="s">
        <v>157</v>
      </c>
      <c r="H1854">
        <v>2020</v>
      </c>
      <c r="I1854" t="s">
        <v>33</v>
      </c>
      <c r="J1854">
        <v>12</v>
      </c>
      <c r="K1854">
        <v>9</v>
      </c>
      <c r="L1854">
        <v>3</v>
      </c>
      <c r="M1854">
        <v>0</v>
      </c>
      <c r="N1854">
        <v>3</v>
      </c>
      <c r="O1854">
        <v>4</v>
      </c>
      <c r="P1854">
        <v>5</v>
      </c>
      <c r="Q1854">
        <v>0</v>
      </c>
      <c r="R1854">
        <v>0</v>
      </c>
      <c r="S1854">
        <v>85</v>
      </c>
      <c r="T1854">
        <v>77</v>
      </c>
      <c r="U1854" s="5">
        <f>IF(Merge1[[#This Row],[team_defense_snaps]]=0, "", Merge1[[#This Row],[defense_snaps]] / Merge1[[#This Row],[team_defense_snaps]])</f>
        <v>0.93902439024390238</v>
      </c>
      <c r="V1854">
        <v>82</v>
      </c>
      <c r="W1854">
        <v>8</v>
      </c>
      <c r="X1854" s="5" t="s">
        <v>261</v>
      </c>
      <c r="Y1854">
        <v>2</v>
      </c>
      <c r="Z1854">
        <v>0</v>
      </c>
      <c r="AA1854" t="s">
        <v>25</v>
      </c>
      <c r="AB1854" t="s">
        <v>26</v>
      </c>
      <c r="AC1854" t="s">
        <v>27</v>
      </c>
      <c r="AD1854" t="s">
        <v>28</v>
      </c>
      <c r="AE1854" t="s">
        <v>25</v>
      </c>
      <c r="AF18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0.38235294117647056</v>
      </c>
      <c r="AG1854" t="s">
        <v>942</v>
      </c>
      <c r="AH1854">
        <v>68.5</v>
      </c>
      <c r="AI1854" t="s">
        <v>939</v>
      </c>
      <c r="AJ1854">
        <v>2</v>
      </c>
      <c r="AK18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MIN(AJ1854/8, 1) +
  Merge1[[#This Row],[index_defensive_effort]],
  2
)</f>
        <v>1.1299999999999999</v>
      </c>
    </row>
    <row r="1855" spans="1:37" x14ac:dyDescent="0.25">
      <c r="A1855" t="s">
        <v>529</v>
      </c>
      <c r="B1855" t="s">
        <v>530</v>
      </c>
      <c r="C1855">
        <v>23</v>
      </c>
      <c r="D1855" t="s">
        <v>22</v>
      </c>
      <c r="E1855">
        <v>73</v>
      </c>
      <c r="F1855">
        <v>205</v>
      </c>
      <c r="G1855" t="s">
        <v>157</v>
      </c>
      <c r="H1855">
        <v>2020</v>
      </c>
      <c r="I1855" t="s">
        <v>33</v>
      </c>
      <c r="J1855">
        <v>13</v>
      </c>
      <c r="K1855">
        <v>5</v>
      </c>
      <c r="L1855">
        <v>3</v>
      </c>
      <c r="M1855">
        <v>2</v>
      </c>
      <c r="N1855">
        <v>5</v>
      </c>
      <c r="O1855">
        <v>0</v>
      </c>
      <c r="P1855">
        <v>1</v>
      </c>
      <c r="Q1855">
        <v>0</v>
      </c>
      <c r="R1855">
        <v>0</v>
      </c>
      <c r="S1855">
        <v>80</v>
      </c>
      <c r="T1855">
        <v>69</v>
      </c>
      <c r="U1855" s="5">
        <f>IF(Merge1[[#This Row],[team_defense_snaps]]=0, "", Merge1[[#This Row],[defense_snaps]] / Merge1[[#This Row],[team_defense_snaps]])</f>
        <v>1</v>
      </c>
      <c r="V1855">
        <v>69</v>
      </c>
      <c r="W1855">
        <v>11</v>
      </c>
      <c r="X1855" s="5" t="s">
        <v>57</v>
      </c>
      <c r="Y1855">
        <v>2</v>
      </c>
      <c r="Z1855">
        <v>0</v>
      </c>
      <c r="AA1855" t="s">
        <v>25</v>
      </c>
      <c r="AB1855" t="s">
        <v>26</v>
      </c>
      <c r="AC1855" t="s">
        <v>27</v>
      </c>
      <c r="AD1855" t="s">
        <v>28</v>
      </c>
      <c r="AE1855" t="s">
        <v>25</v>
      </c>
      <c r="AF18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0.11874999999999999</v>
      </c>
      <c r="AG1855" t="s">
        <v>942</v>
      </c>
      <c r="AH1855">
        <v>74.5</v>
      </c>
      <c r="AI1855" t="s">
        <v>939</v>
      </c>
      <c r="AJ1855">
        <v>1</v>
      </c>
      <c r="AK18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MIN(AJ1855/8, 1) +
  Merge1[[#This Row],[index_defensive_effort]],
  2
)</f>
        <v>0.74</v>
      </c>
    </row>
    <row r="1856" spans="1:37" x14ac:dyDescent="0.25">
      <c r="A1856" t="s">
        <v>529</v>
      </c>
      <c r="B1856" t="s">
        <v>530</v>
      </c>
      <c r="C1856">
        <v>23</v>
      </c>
      <c r="D1856" t="s">
        <v>22</v>
      </c>
      <c r="E1856">
        <v>73</v>
      </c>
      <c r="F1856">
        <v>205</v>
      </c>
      <c r="G1856" t="s">
        <v>157</v>
      </c>
      <c r="H1856">
        <v>2020</v>
      </c>
      <c r="I1856" t="s">
        <v>33</v>
      </c>
      <c r="J1856">
        <v>13</v>
      </c>
      <c r="K1856">
        <v>5</v>
      </c>
      <c r="L1856">
        <v>3</v>
      </c>
      <c r="M1856">
        <v>2</v>
      </c>
      <c r="N1856">
        <v>5</v>
      </c>
      <c r="O1856">
        <v>0</v>
      </c>
      <c r="P1856">
        <v>1</v>
      </c>
      <c r="Q1856">
        <v>0</v>
      </c>
      <c r="R1856">
        <v>0</v>
      </c>
      <c r="S1856">
        <v>80</v>
      </c>
      <c r="T1856">
        <v>69</v>
      </c>
      <c r="U1856" s="5">
        <f>IF(Merge1[[#This Row],[team_defense_snaps]]=0, "", Merge1[[#This Row],[defense_snaps]] / Merge1[[#This Row],[team_defense_snaps]])</f>
        <v>1</v>
      </c>
      <c r="V1856">
        <v>69</v>
      </c>
      <c r="W1856">
        <v>11</v>
      </c>
      <c r="X1856" s="5" t="s">
        <v>57</v>
      </c>
      <c r="Y1856">
        <v>2</v>
      </c>
      <c r="Z1856">
        <v>0</v>
      </c>
      <c r="AA1856" t="s">
        <v>25</v>
      </c>
      <c r="AB1856" t="s">
        <v>26</v>
      </c>
      <c r="AC1856" t="s">
        <v>27</v>
      </c>
      <c r="AD1856" t="s">
        <v>28</v>
      </c>
      <c r="AE1856" t="s">
        <v>25</v>
      </c>
      <c r="AF18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0.11874999999999999</v>
      </c>
      <c r="AG1856" t="s">
        <v>942</v>
      </c>
      <c r="AH1856">
        <v>68.5</v>
      </c>
      <c r="AI1856" t="s">
        <v>939</v>
      </c>
      <c r="AJ1856">
        <v>2</v>
      </c>
      <c r="AK18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MIN(AJ1856/8, 1) +
  Merge1[[#This Row],[index_defensive_effort]],
  2
)</f>
        <v>0.87</v>
      </c>
    </row>
    <row r="1857" spans="1:37" x14ac:dyDescent="0.25">
      <c r="A1857" t="s">
        <v>529</v>
      </c>
      <c r="B1857" t="s">
        <v>530</v>
      </c>
      <c r="C1857">
        <v>23</v>
      </c>
      <c r="D1857" t="s">
        <v>22</v>
      </c>
      <c r="E1857">
        <v>73</v>
      </c>
      <c r="F1857">
        <v>205</v>
      </c>
      <c r="G1857" t="s">
        <v>157</v>
      </c>
      <c r="H1857">
        <v>2020</v>
      </c>
      <c r="I1857" t="s">
        <v>33</v>
      </c>
      <c r="J1857">
        <v>14</v>
      </c>
      <c r="K1857">
        <v>1</v>
      </c>
      <c r="L1857">
        <v>2</v>
      </c>
      <c r="M1857">
        <v>0</v>
      </c>
      <c r="N1857">
        <v>2</v>
      </c>
      <c r="O1857">
        <v>0</v>
      </c>
      <c r="P1857">
        <v>1</v>
      </c>
      <c r="Q1857">
        <v>0</v>
      </c>
      <c r="R1857">
        <v>0</v>
      </c>
      <c r="S1857">
        <v>49</v>
      </c>
      <c r="T1857">
        <v>49</v>
      </c>
      <c r="U1857" s="5">
        <f>IF(Merge1[[#This Row],[team_defense_snaps]]=0, "", Merge1[[#This Row],[defense_snaps]] / Merge1[[#This Row],[team_defense_snaps]])</f>
        <v>0.81666666666666665</v>
      </c>
      <c r="V1857">
        <v>60</v>
      </c>
      <c r="W1857">
        <v>0</v>
      </c>
      <c r="X1857" s="5" t="s">
        <v>29</v>
      </c>
      <c r="Y1857">
        <v>2</v>
      </c>
      <c r="Z1857">
        <v>0</v>
      </c>
      <c r="AA1857" t="s">
        <v>25</v>
      </c>
      <c r="AB1857" t="s">
        <v>26</v>
      </c>
      <c r="AC1857" t="s">
        <v>27</v>
      </c>
      <c r="AD1857" t="s">
        <v>28</v>
      </c>
      <c r="AE1857" t="s">
        <v>25</v>
      </c>
      <c r="AF18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8.1632653061224483E-2</v>
      </c>
      <c r="AG1857" t="s">
        <v>942</v>
      </c>
      <c r="AH1857">
        <v>74.5</v>
      </c>
      <c r="AI1857" t="s">
        <v>940</v>
      </c>
      <c r="AJ1857">
        <v>1</v>
      </c>
      <c r="AK18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MIN(AJ1857/8, 1) +
  Merge1[[#This Row],[index_defensive_effort]],
  2
)</f>
        <v>0.71</v>
      </c>
    </row>
    <row r="1858" spans="1:37" x14ac:dyDescent="0.25">
      <c r="A1858" t="s">
        <v>529</v>
      </c>
      <c r="B1858" t="s">
        <v>530</v>
      </c>
      <c r="C1858">
        <v>23</v>
      </c>
      <c r="D1858" t="s">
        <v>22</v>
      </c>
      <c r="E1858">
        <v>73</v>
      </c>
      <c r="F1858">
        <v>205</v>
      </c>
      <c r="G1858" t="s">
        <v>157</v>
      </c>
      <c r="H1858">
        <v>2020</v>
      </c>
      <c r="I1858" t="s">
        <v>33</v>
      </c>
      <c r="J1858">
        <v>14</v>
      </c>
      <c r="K1858">
        <v>1</v>
      </c>
      <c r="L1858">
        <v>2</v>
      </c>
      <c r="M1858">
        <v>0</v>
      </c>
      <c r="N1858">
        <v>2</v>
      </c>
      <c r="O1858">
        <v>0</v>
      </c>
      <c r="P1858">
        <v>1</v>
      </c>
      <c r="Q1858">
        <v>0</v>
      </c>
      <c r="R1858">
        <v>0</v>
      </c>
      <c r="S1858">
        <v>49</v>
      </c>
      <c r="T1858">
        <v>49</v>
      </c>
      <c r="U1858" s="5">
        <f>IF(Merge1[[#This Row],[team_defense_snaps]]=0, "", Merge1[[#This Row],[defense_snaps]] / Merge1[[#This Row],[team_defense_snaps]])</f>
        <v>0.81666666666666665</v>
      </c>
      <c r="V1858">
        <v>60</v>
      </c>
      <c r="W1858">
        <v>0</v>
      </c>
      <c r="X1858" s="5" t="s">
        <v>29</v>
      </c>
      <c r="Y1858">
        <v>2</v>
      </c>
      <c r="Z1858">
        <v>0</v>
      </c>
      <c r="AA1858" t="s">
        <v>207</v>
      </c>
      <c r="AB1858" t="s">
        <v>36</v>
      </c>
      <c r="AC1858" t="s">
        <v>96</v>
      </c>
      <c r="AD1858" t="s">
        <v>28</v>
      </c>
      <c r="AE1858" t="s">
        <v>25</v>
      </c>
      <c r="AF18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8.1632653061224483E-2</v>
      </c>
      <c r="AG1858" t="s">
        <v>942</v>
      </c>
      <c r="AH1858">
        <v>70</v>
      </c>
      <c r="AI1858" t="s">
        <v>939</v>
      </c>
      <c r="AJ1858">
        <v>1</v>
      </c>
      <c r="AK18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MIN(AJ1858/8, 1) +
  Merge1[[#This Row],[index_defensive_effort]],
  2
)</f>
        <v>0.71</v>
      </c>
    </row>
    <row r="1859" spans="1:37" x14ac:dyDescent="0.25">
      <c r="A1859" t="s">
        <v>535</v>
      </c>
      <c r="B1859" t="s">
        <v>536</v>
      </c>
      <c r="C1859">
        <v>27</v>
      </c>
      <c r="D1859" t="s">
        <v>22</v>
      </c>
      <c r="E1859">
        <v>74</v>
      </c>
      <c r="F1859">
        <v>215</v>
      </c>
      <c r="G1859" t="s">
        <v>67</v>
      </c>
      <c r="H1859">
        <v>2020</v>
      </c>
      <c r="I1859" t="s">
        <v>33</v>
      </c>
      <c r="J1859">
        <v>1</v>
      </c>
      <c r="K1859">
        <v>4</v>
      </c>
      <c r="L1859">
        <v>2</v>
      </c>
      <c r="M1859">
        <v>0</v>
      </c>
      <c r="N1859">
        <v>2</v>
      </c>
      <c r="O1859">
        <v>0</v>
      </c>
      <c r="P1859">
        <v>2</v>
      </c>
      <c r="Q1859">
        <v>0</v>
      </c>
      <c r="R1859">
        <v>0</v>
      </c>
      <c r="S1859">
        <v>88</v>
      </c>
      <c r="T1859">
        <v>81</v>
      </c>
      <c r="U1859" s="5">
        <f>IF(Merge1[[#This Row],[team_defense_snaps]]=0, "", Merge1[[#This Row],[defense_snaps]] / Merge1[[#This Row],[team_defense_snaps]])</f>
        <v>1</v>
      </c>
      <c r="V1859">
        <v>81</v>
      </c>
      <c r="W1859">
        <v>7</v>
      </c>
      <c r="X1859" s="5" t="s">
        <v>113</v>
      </c>
      <c r="Y1859">
        <v>4</v>
      </c>
      <c r="Z1859">
        <v>0</v>
      </c>
      <c r="AA1859" t="s">
        <v>25</v>
      </c>
      <c r="AB1859" t="s">
        <v>26</v>
      </c>
      <c r="AC1859" t="s">
        <v>27</v>
      </c>
      <c r="AD1859" t="s">
        <v>42</v>
      </c>
      <c r="AE1859" t="s">
        <v>25</v>
      </c>
      <c r="AF18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0.10227272727272728</v>
      </c>
      <c r="AG1859" t="s">
        <v>941</v>
      </c>
      <c r="AH1859">
        <v>57</v>
      </c>
      <c r="AI1859" t="s">
        <v>939</v>
      </c>
      <c r="AJ1859">
        <v>2</v>
      </c>
      <c r="AK18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MIN(AJ1859/8, 1) +
  Merge1[[#This Row],[index_defensive_effort]],
  2
)</f>
        <v>0.95</v>
      </c>
    </row>
    <row r="1860" spans="1:37" x14ac:dyDescent="0.25">
      <c r="A1860" t="s">
        <v>535</v>
      </c>
      <c r="B1860" t="s">
        <v>536</v>
      </c>
      <c r="C1860">
        <v>27</v>
      </c>
      <c r="D1860" t="s">
        <v>22</v>
      </c>
      <c r="E1860">
        <v>74</v>
      </c>
      <c r="F1860">
        <v>215</v>
      </c>
      <c r="G1860" t="s">
        <v>67</v>
      </c>
      <c r="H1860">
        <v>2020</v>
      </c>
      <c r="I1860" t="s">
        <v>33</v>
      </c>
      <c r="J1860">
        <v>2</v>
      </c>
      <c r="K1860">
        <v>9</v>
      </c>
      <c r="L1860">
        <v>2</v>
      </c>
      <c r="M1860">
        <v>1</v>
      </c>
      <c r="N1860">
        <v>3</v>
      </c>
      <c r="O1860">
        <v>0</v>
      </c>
      <c r="P1860">
        <v>0</v>
      </c>
      <c r="Q1860">
        <v>2</v>
      </c>
      <c r="R1860">
        <v>0</v>
      </c>
      <c r="S1860">
        <v>71</v>
      </c>
      <c r="T1860">
        <v>65</v>
      </c>
      <c r="U1860" s="5">
        <f>IF(Merge1[[#This Row],[team_defense_snaps]]=0, "", Merge1[[#This Row],[defense_snaps]] / Merge1[[#This Row],[team_defense_snaps]])</f>
        <v>1</v>
      </c>
      <c r="V1860">
        <v>65</v>
      </c>
      <c r="W1860">
        <v>6</v>
      </c>
      <c r="X1860" s="5" t="s">
        <v>293</v>
      </c>
      <c r="Y1860">
        <v>4</v>
      </c>
      <c r="Z1860">
        <v>0</v>
      </c>
      <c r="AA1860" t="s">
        <v>25</v>
      </c>
      <c r="AB1860" t="s">
        <v>26</v>
      </c>
      <c r="AC1860" t="s">
        <v>27</v>
      </c>
      <c r="AD1860" t="s">
        <v>42</v>
      </c>
      <c r="AE1860" t="s">
        <v>25</v>
      </c>
      <c r="AF18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0.26056338028169013</v>
      </c>
      <c r="AG1860" t="s">
        <v>941</v>
      </c>
      <c r="AH1860">
        <v>64.5</v>
      </c>
      <c r="AI1860" t="s">
        <v>939</v>
      </c>
      <c r="AJ1860">
        <v>3</v>
      </c>
      <c r="AK18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MIN(AJ1860/8, 1) +
  Merge1[[#This Row],[index_defensive_effort]],
  2
)</f>
        <v>1.24</v>
      </c>
    </row>
    <row r="1861" spans="1:37" x14ac:dyDescent="0.25">
      <c r="A1861" t="s">
        <v>535</v>
      </c>
      <c r="B1861" t="s">
        <v>536</v>
      </c>
      <c r="C1861">
        <v>27</v>
      </c>
      <c r="D1861" t="s">
        <v>22</v>
      </c>
      <c r="E1861">
        <v>74</v>
      </c>
      <c r="F1861">
        <v>215</v>
      </c>
      <c r="G1861" t="s">
        <v>67</v>
      </c>
      <c r="H1861">
        <v>2020</v>
      </c>
      <c r="I1861" t="s">
        <v>33</v>
      </c>
      <c r="J1861">
        <v>3</v>
      </c>
      <c r="K1861">
        <v>7</v>
      </c>
      <c r="L1861">
        <v>1</v>
      </c>
      <c r="M1861">
        <v>0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73</v>
      </c>
      <c r="T1861">
        <v>68</v>
      </c>
      <c r="U1861" s="5">
        <f>IF(Merge1[[#This Row],[team_defense_snaps]]=0, "", Merge1[[#This Row],[defense_snaps]] / Merge1[[#This Row],[team_defense_snaps]])</f>
        <v>1</v>
      </c>
      <c r="V1861">
        <v>68</v>
      </c>
      <c r="W1861">
        <v>5</v>
      </c>
      <c r="X1861" s="5" t="s">
        <v>181</v>
      </c>
      <c r="Y1861">
        <v>4</v>
      </c>
      <c r="Z1861">
        <v>0</v>
      </c>
      <c r="AA1861" t="s">
        <v>25</v>
      </c>
      <c r="AB1861" t="s">
        <v>26</v>
      </c>
      <c r="AC1861" t="s">
        <v>27</v>
      </c>
      <c r="AD1861" t="s">
        <v>42</v>
      </c>
      <c r="AE1861" t="s">
        <v>25</v>
      </c>
      <c r="AF18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0.10273972602739725</v>
      </c>
      <c r="AG1861" t="s">
        <v>941</v>
      </c>
      <c r="AH1861">
        <v>69</v>
      </c>
      <c r="AI1861" t="s">
        <v>939</v>
      </c>
      <c r="AJ1861">
        <v>4</v>
      </c>
      <c r="AK18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MIN(AJ1861/8, 1) +
  Merge1[[#This Row],[index_defensive_effort]],
  2
)</f>
        <v>1.2</v>
      </c>
    </row>
    <row r="1862" spans="1:37" x14ac:dyDescent="0.25">
      <c r="A1862" t="s">
        <v>535</v>
      </c>
      <c r="B1862" t="s">
        <v>536</v>
      </c>
      <c r="C1862">
        <v>27</v>
      </c>
      <c r="D1862" t="s">
        <v>22</v>
      </c>
      <c r="E1862">
        <v>74</v>
      </c>
      <c r="F1862">
        <v>215</v>
      </c>
      <c r="G1862" t="s">
        <v>67</v>
      </c>
      <c r="H1862">
        <v>2020</v>
      </c>
      <c r="I1862" t="s">
        <v>33</v>
      </c>
      <c r="J1862">
        <v>4</v>
      </c>
      <c r="K1862">
        <v>5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84</v>
      </c>
      <c r="T1862">
        <v>77</v>
      </c>
      <c r="U1862" s="5">
        <f>IF(Merge1[[#This Row],[team_defense_snaps]]=0, "", Merge1[[#This Row],[defense_snaps]] / Merge1[[#This Row],[team_defense_snaps]])</f>
        <v>1</v>
      </c>
      <c r="V1862">
        <v>77</v>
      </c>
      <c r="W1862">
        <v>7</v>
      </c>
      <c r="X1862" s="5" t="s">
        <v>293</v>
      </c>
      <c r="Y1862">
        <v>4</v>
      </c>
      <c r="Z1862">
        <v>0</v>
      </c>
      <c r="AA1862" t="s">
        <v>25</v>
      </c>
      <c r="AB1862" t="s">
        <v>26</v>
      </c>
      <c r="AC1862" t="s">
        <v>27</v>
      </c>
      <c r="AD1862" t="s">
        <v>42</v>
      </c>
      <c r="AE1862" t="s">
        <v>25</v>
      </c>
      <c r="AF18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5.9523809523809521E-2</v>
      </c>
      <c r="AG1862" t="s">
        <v>941</v>
      </c>
      <c r="AH1862">
        <v>55.5</v>
      </c>
      <c r="AI1862" t="s">
        <v>939</v>
      </c>
      <c r="AJ1862">
        <v>1</v>
      </c>
      <c r="AK18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MIN(AJ1862/8, 1) +
  Merge1[[#This Row],[index_defensive_effort]],
  2
)</f>
        <v>0.78</v>
      </c>
    </row>
    <row r="1863" spans="1:37" x14ac:dyDescent="0.25">
      <c r="A1863" t="s">
        <v>535</v>
      </c>
      <c r="B1863" t="s">
        <v>536</v>
      </c>
      <c r="C1863">
        <v>27</v>
      </c>
      <c r="D1863" t="s">
        <v>22</v>
      </c>
      <c r="E1863">
        <v>74</v>
      </c>
      <c r="F1863">
        <v>215</v>
      </c>
      <c r="G1863" t="s">
        <v>67</v>
      </c>
      <c r="H1863">
        <v>2020</v>
      </c>
      <c r="I1863" t="s">
        <v>33</v>
      </c>
      <c r="J1863">
        <v>6</v>
      </c>
      <c r="K1863">
        <v>7</v>
      </c>
      <c r="L1863">
        <v>1</v>
      </c>
      <c r="M1863">
        <v>1</v>
      </c>
      <c r="N1863">
        <v>2</v>
      </c>
      <c r="O1863">
        <v>0</v>
      </c>
      <c r="P1863">
        <v>0</v>
      </c>
      <c r="Q1863">
        <v>0</v>
      </c>
      <c r="R1863">
        <v>0</v>
      </c>
      <c r="S1863">
        <v>60</v>
      </c>
      <c r="T1863">
        <v>57</v>
      </c>
      <c r="U1863" s="5">
        <f>IF(Merge1[[#This Row],[team_defense_snaps]]=0, "", Merge1[[#This Row],[defense_snaps]] / Merge1[[#This Row],[team_defense_snaps]])</f>
        <v>1</v>
      </c>
      <c r="V1863">
        <v>57</v>
      </c>
      <c r="W1863">
        <v>3</v>
      </c>
      <c r="X1863" s="5" t="s">
        <v>251</v>
      </c>
      <c r="Y1863">
        <v>4</v>
      </c>
      <c r="Z1863">
        <v>0</v>
      </c>
      <c r="AA1863" t="s">
        <v>25</v>
      </c>
      <c r="AB1863" t="s">
        <v>26</v>
      </c>
      <c r="AC1863" t="s">
        <v>27</v>
      </c>
      <c r="AD1863" t="s">
        <v>42</v>
      </c>
      <c r="AE1863" t="s">
        <v>25</v>
      </c>
      <c r="AF18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0.13333333333333333</v>
      </c>
      <c r="AG1863" t="s">
        <v>941</v>
      </c>
      <c r="AH1863">
        <v>73.5</v>
      </c>
      <c r="AI1863" t="s">
        <v>939</v>
      </c>
      <c r="AJ1863">
        <v>2</v>
      </c>
      <c r="AK18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MIN(AJ1863/8, 1) +
  Merge1[[#This Row],[index_defensive_effort]],
  2
)</f>
        <v>0.98</v>
      </c>
    </row>
    <row r="1864" spans="1:37" x14ac:dyDescent="0.25">
      <c r="A1864" t="s">
        <v>535</v>
      </c>
      <c r="B1864" t="s">
        <v>536</v>
      </c>
      <c r="C1864">
        <v>27</v>
      </c>
      <c r="D1864" t="s">
        <v>22</v>
      </c>
      <c r="E1864">
        <v>74</v>
      </c>
      <c r="F1864">
        <v>215</v>
      </c>
      <c r="G1864" t="s">
        <v>67</v>
      </c>
      <c r="H1864">
        <v>2020</v>
      </c>
      <c r="I1864" t="s">
        <v>33</v>
      </c>
      <c r="J1864">
        <v>7</v>
      </c>
      <c r="K1864">
        <v>3</v>
      </c>
      <c r="L1864">
        <v>1</v>
      </c>
      <c r="M1864">
        <v>0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59</v>
      </c>
      <c r="T1864">
        <v>51</v>
      </c>
      <c r="U1864" s="5">
        <f>IF(Merge1[[#This Row],[team_defense_snaps]]=0, "", Merge1[[#This Row],[defense_snaps]] / Merge1[[#This Row],[team_defense_snaps]])</f>
        <v>1</v>
      </c>
      <c r="V1864">
        <v>51</v>
      </c>
      <c r="W1864">
        <v>8</v>
      </c>
      <c r="X1864" s="5" t="s">
        <v>136</v>
      </c>
      <c r="Y1864">
        <v>4</v>
      </c>
      <c r="Z1864">
        <v>0</v>
      </c>
      <c r="AA1864" t="s">
        <v>25</v>
      </c>
      <c r="AB1864" t="s">
        <v>26</v>
      </c>
      <c r="AC1864" t="s">
        <v>27</v>
      </c>
      <c r="AD1864" t="s">
        <v>42</v>
      </c>
      <c r="AE1864" t="s">
        <v>25</v>
      </c>
      <c r="AF18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5.9322033898305086E-2</v>
      </c>
      <c r="AG1864" t="s">
        <v>941</v>
      </c>
      <c r="AH1864">
        <v>54</v>
      </c>
      <c r="AI1864" t="s">
        <v>939</v>
      </c>
      <c r="AJ1864">
        <v>3</v>
      </c>
      <c r="AK18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MIN(AJ1864/8, 1) +
  Merge1[[#This Row],[index_defensive_effort]],
  2
)</f>
        <v>1.03</v>
      </c>
    </row>
    <row r="1865" spans="1:37" x14ac:dyDescent="0.25">
      <c r="A1865" t="s">
        <v>535</v>
      </c>
      <c r="B1865" t="s">
        <v>536</v>
      </c>
      <c r="C1865">
        <v>27</v>
      </c>
      <c r="D1865" t="s">
        <v>22</v>
      </c>
      <c r="E1865">
        <v>74</v>
      </c>
      <c r="F1865">
        <v>215</v>
      </c>
      <c r="G1865" t="s">
        <v>67</v>
      </c>
      <c r="H1865">
        <v>2020</v>
      </c>
      <c r="I1865" t="s">
        <v>33</v>
      </c>
      <c r="J1865">
        <v>8</v>
      </c>
      <c r="K1865">
        <v>6</v>
      </c>
      <c r="L1865">
        <v>1</v>
      </c>
      <c r="M1865">
        <v>0</v>
      </c>
      <c r="N1865">
        <v>1</v>
      </c>
      <c r="O1865">
        <v>0</v>
      </c>
      <c r="P1865">
        <v>0</v>
      </c>
      <c r="Q1865">
        <v>2</v>
      </c>
      <c r="R1865">
        <v>0</v>
      </c>
      <c r="S1865">
        <v>93</v>
      </c>
      <c r="T1865">
        <v>87</v>
      </c>
      <c r="U1865" s="5">
        <f>IF(Merge1[[#This Row],[team_defense_snaps]]=0, "", Merge1[[#This Row],[defense_snaps]] / Merge1[[#This Row],[team_defense_snaps]])</f>
        <v>0.97752808988764039</v>
      </c>
      <c r="V1865">
        <v>89</v>
      </c>
      <c r="W1865">
        <v>6</v>
      </c>
      <c r="X1865" s="5" t="s">
        <v>59</v>
      </c>
      <c r="Y1865">
        <v>4</v>
      </c>
      <c r="Z1865">
        <v>0</v>
      </c>
      <c r="AA1865" t="s">
        <v>25</v>
      </c>
      <c r="AB1865" t="s">
        <v>26</v>
      </c>
      <c r="AC1865" t="s">
        <v>27</v>
      </c>
      <c r="AD1865" t="s">
        <v>42</v>
      </c>
      <c r="AE1865" t="s">
        <v>25</v>
      </c>
      <c r="AF18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0.15591397849462366</v>
      </c>
      <c r="AG1865" t="s">
        <v>941</v>
      </c>
      <c r="AH1865">
        <v>66</v>
      </c>
      <c r="AI1865" t="s">
        <v>939</v>
      </c>
      <c r="AJ1865">
        <v>4</v>
      </c>
      <c r="AK18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MIN(AJ1865/8, 1) +
  Merge1[[#This Row],[index_defensive_effort]],
  2
)</f>
        <v>1.26</v>
      </c>
    </row>
    <row r="1866" spans="1:37" x14ac:dyDescent="0.25">
      <c r="A1866" t="s">
        <v>535</v>
      </c>
      <c r="B1866" t="s">
        <v>536</v>
      </c>
      <c r="C1866">
        <v>27</v>
      </c>
      <c r="D1866" t="s">
        <v>22</v>
      </c>
      <c r="E1866">
        <v>74</v>
      </c>
      <c r="F1866">
        <v>215</v>
      </c>
      <c r="G1866" t="s">
        <v>67</v>
      </c>
      <c r="H1866">
        <v>2020</v>
      </c>
      <c r="I1866" t="s">
        <v>33</v>
      </c>
      <c r="J1866">
        <v>9</v>
      </c>
      <c r="K1866">
        <v>6</v>
      </c>
      <c r="L1866">
        <v>1</v>
      </c>
      <c r="M1866">
        <v>0</v>
      </c>
      <c r="N1866">
        <v>1</v>
      </c>
      <c r="O1866">
        <v>0</v>
      </c>
      <c r="P1866">
        <v>3</v>
      </c>
      <c r="Q1866">
        <v>2</v>
      </c>
      <c r="R1866">
        <v>0</v>
      </c>
      <c r="S1866">
        <v>77</v>
      </c>
      <c r="T1866">
        <v>71</v>
      </c>
      <c r="U1866" s="5">
        <f>IF(Merge1[[#This Row],[team_defense_snaps]]=0, "", Merge1[[#This Row],[defense_snaps]] / Merge1[[#This Row],[team_defense_snaps]])</f>
        <v>1</v>
      </c>
      <c r="V1866">
        <v>71</v>
      </c>
      <c r="W1866">
        <v>6</v>
      </c>
      <c r="X1866" s="5" t="s">
        <v>181</v>
      </c>
      <c r="Y1866">
        <v>4</v>
      </c>
      <c r="Z1866">
        <v>0</v>
      </c>
      <c r="AA1866" t="s">
        <v>25</v>
      </c>
      <c r="AB1866" t="s">
        <v>26</v>
      </c>
      <c r="AC1866" t="s">
        <v>27</v>
      </c>
      <c r="AD1866" t="s">
        <v>42</v>
      </c>
      <c r="AE1866" t="s">
        <v>25</v>
      </c>
      <c r="AF18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0.26623376623376621</v>
      </c>
      <c r="AG1866" t="s">
        <v>941</v>
      </c>
      <c r="AH1866">
        <v>58.5</v>
      </c>
      <c r="AI1866" t="s">
        <v>939</v>
      </c>
      <c r="AJ1866">
        <v>5</v>
      </c>
      <c r="AK18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MIN(AJ1866/8, 1) +
  Merge1[[#This Row],[index_defensive_effort]],
  2
)</f>
        <v>1.49</v>
      </c>
    </row>
    <row r="1867" spans="1:37" x14ac:dyDescent="0.25">
      <c r="A1867" t="s">
        <v>535</v>
      </c>
      <c r="B1867" t="s">
        <v>536</v>
      </c>
      <c r="C1867">
        <v>27</v>
      </c>
      <c r="D1867" t="s">
        <v>22</v>
      </c>
      <c r="E1867">
        <v>74</v>
      </c>
      <c r="F1867">
        <v>215</v>
      </c>
      <c r="G1867" t="s">
        <v>67</v>
      </c>
      <c r="H1867">
        <v>2020</v>
      </c>
      <c r="I1867" t="s">
        <v>33</v>
      </c>
      <c r="J1867">
        <v>10</v>
      </c>
      <c r="K1867">
        <v>5</v>
      </c>
      <c r="L1867">
        <v>4</v>
      </c>
      <c r="M1867">
        <v>0</v>
      </c>
      <c r="N1867">
        <v>4</v>
      </c>
      <c r="O1867">
        <v>0</v>
      </c>
      <c r="P1867">
        <v>0</v>
      </c>
      <c r="Q1867">
        <v>0</v>
      </c>
      <c r="R1867">
        <v>0</v>
      </c>
      <c r="S1867">
        <v>79</v>
      </c>
      <c r="T1867">
        <v>72</v>
      </c>
      <c r="U1867" s="5">
        <f>IF(Merge1[[#This Row],[team_defense_snaps]]=0, "", Merge1[[#This Row],[defense_snaps]] / Merge1[[#This Row],[team_defense_snaps]])</f>
        <v>1</v>
      </c>
      <c r="V1867">
        <v>72</v>
      </c>
      <c r="W1867">
        <v>7</v>
      </c>
      <c r="X1867" s="5" t="s">
        <v>133</v>
      </c>
      <c r="Y1867">
        <v>4</v>
      </c>
      <c r="Z1867">
        <v>0</v>
      </c>
      <c r="AA1867" t="s">
        <v>25</v>
      </c>
      <c r="AB1867" t="s">
        <v>26</v>
      </c>
      <c r="AC1867" t="s">
        <v>27</v>
      </c>
      <c r="AD1867" t="s">
        <v>42</v>
      </c>
      <c r="AE1867" t="s">
        <v>25</v>
      </c>
      <c r="AF18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8.8607594936708861E-2</v>
      </c>
      <c r="AG1867" t="s">
        <v>941</v>
      </c>
      <c r="AH1867">
        <v>63</v>
      </c>
      <c r="AI1867" t="s">
        <v>939</v>
      </c>
      <c r="AJ1867">
        <v>6</v>
      </c>
      <c r="AK18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MIN(AJ1867/8, 1) +
  Merge1[[#This Row],[index_defensive_effort]],
  2
)</f>
        <v>1.44</v>
      </c>
    </row>
    <row r="1868" spans="1:37" x14ac:dyDescent="0.25">
      <c r="A1868" t="s">
        <v>535</v>
      </c>
      <c r="B1868" t="s">
        <v>536</v>
      </c>
      <c r="C1868">
        <v>27</v>
      </c>
      <c r="D1868" t="s">
        <v>22</v>
      </c>
      <c r="E1868">
        <v>74</v>
      </c>
      <c r="F1868">
        <v>215</v>
      </c>
      <c r="G1868" t="s">
        <v>67</v>
      </c>
      <c r="H1868">
        <v>2020</v>
      </c>
      <c r="I1868" t="s">
        <v>33</v>
      </c>
      <c r="J1868">
        <v>11</v>
      </c>
      <c r="K1868">
        <v>6</v>
      </c>
      <c r="L1868">
        <v>1</v>
      </c>
      <c r="M1868">
        <v>0</v>
      </c>
      <c r="N1868">
        <v>1</v>
      </c>
      <c r="O1868">
        <v>0</v>
      </c>
      <c r="P1868">
        <v>0</v>
      </c>
      <c r="Q1868">
        <v>2</v>
      </c>
      <c r="R1868">
        <v>0</v>
      </c>
      <c r="S1868">
        <v>68</v>
      </c>
      <c r="T1868">
        <v>65</v>
      </c>
      <c r="U1868" s="5">
        <f>IF(Merge1[[#This Row],[team_defense_snaps]]=0, "", Merge1[[#This Row],[defense_snaps]] / Merge1[[#This Row],[team_defense_snaps]])</f>
        <v>1</v>
      </c>
      <c r="V1868">
        <v>65</v>
      </c>
      <c r="W1868">
        <v>3</v>
      </c>
      <c r="X1868" s="5" t="s">
        <v>251</v>
      </c>
      <c r="Y1868">
        <v>4</v>
      </c>
      <c r="Z1868">
        <v>0</v>
      </c>
      <c r="AA1868" t="s">
        <v>25</v>
      </c>
      <c r="AB1868" t="s">
        <v>26</v>
      </c>
      <c r="AC1868" t="s">
        <v>27</v>
      </c>
      <c r="AD1868" t="s">
        <v>42</v>
      </c>
      <c r="AE1868" t="s">
        <v>25</v>
      </c>
      <c r="AF18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0.21323529411764705</v>
      </c>
      <c r="AG1868" t="s">
        <v>941</v>
      </c>
      <c r="AH1868">
        <v>60</v>
      </c>
      <c r="AI1868" t="s">
        <v>939</v>
      </c>
      <c r="AJ1868">
        <v>7</v>
      </c>
      <c r="AK18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MIN(AJ1868/8, 1) +
  Merge1[[#This Row],[index_defensive_effort]],
  2
)</f>
        <v>1.69</v>
      </c>
    </row>
    <row r="1869" spans="1:37" x14ac:dyDescent="0.25">
      <c r="A1869" t="s">
        <v>535</v>
      </c>
      <c r="B1869" t="s">
        <v>536</v>
      </c>
      <c r="C1869">
        <v>27</v>
      </c>
      <c r="D1869" t="s">
        <v>22</v>
      </c>
      <c r="E1869">
        <v>74</v>
      </c>
      <c r="F1869">
        <v>215</v>
      </c>
      <c r="G1869" t="s">
        <v>67</v>
      </c>
      <c r="H1869">
        <v>2020</v>
      </c>
      <c r="I1869" t="s">
        <v>33</v>
      </c>
      <c r="J1869">
        <v>12</v>
      </c>
      <c r="K1869">
        <v>2</v>
      </c>
      <c r="L1869">
        <v>1</v>
      </c>
      <c r="M1869">
        <v>0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70</v>
      </c>
      <c r="T1869">
        <v>64</v>
      </c>
      <c r="U1869" s="5">
        <f>IF(Merge1[[#This Row],[team_defense_snaps]]=0, "", Merge1[[#This Row],[defense_snaps]] / Merge1[[#This Row],[team_defense_snaps]])</f>
        <v>1</v>
      </c>
      <c r="V1869">
        <v>64</v>
      </c>
      <c r="W1869">
        <v>6</v>
      </c>
      <c r="X1869" s="5" t="s">
        <v>139</v>
      </c>
      <c r="Y1869">
        <v>4</v>
      </c>
      <c r="Z1869">
        <v>0</v>
      </c>
      <c r="AA1869" t="s">
        <v>25</v>
      </c>
      <c r="AB1869" t="s">
        <v>26</v>
      </c>
      <c r="AC1869" t="s">
        <v>27</v>
      </c>
      <c r="AD1869" t="s">
        <v>42</v>
      </c>
      <c r="AE1869" t="s">
        <v>25</v>
      </c>
      <c r="AF18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3.5714285714285712E-2</v>
      </c>
      <c r="AG1869" t="s">
        <v>941</v>
      </c>
      <c r="AH1869">
        <v>70.5</v>
      </c>
      <c r="AI1869" t="s">
        <v>939</v>
      </c>
      <c r="AJ1869">
        <v>8</v>
      </c>
      <c r="AK18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MIN(AJ1869/8, 1) +
  Merge1[[#This Row],[index_defensive_effort]],
  2
)</f>
        <v>1.64</v>
      </c>
    </row>
    <row r="1870" spans="1:37" x14ac:dyDescent="0.25">
      <c r="A1870" t="s">
        <v>535</v>
      </c>
      <c r="B1870" t="s">
        <v>536</v>
      </c>
      <c r="C1870">
        <v>27</v>
      </c>
      <c r="D1870" t="s">
        <v>22</v>
      </c>
      <c r="E1870">
        <v>74</v>
      </c>
      <c r="F1870">
        <v>215</v>
      </c>
      <c r="G1870" t="s">
        <v>67</v>
      </c>
      <c r="H1870">
        <v>2020</v>
      </c>
      <c r="I1870" t="s">
        <v>33</v>
      </c>
      <c r="J1870">
        <v>13</v>
      </c>
      <c r="K1870">
        <v>6</v>
      </c>
      <c r="L1870">
        <v>3</v>
      </c>
      <c r="M1870">
        <v>0</v>
      </c>
      <c r="N1870">
        <v>3</v>
      </c>
      <c r="O1870">
        <v>0</v>
      </c>
      <c r="P1870">
        <v>0</v>
      </c>
      <c r="Q1870">
        <v>0</v>
      </c>
      <c r="R1870">
        <v>0</v>
      </c>
      <c r="S1870">
        <v>70</v>
      </c>
      <c r="T1870">
        <v>64</v>
      </c>
      <c r="U1870" s="5">
        <f>IF(Merge1[[#This Row],[team_defense_snaps]]=0, "", Merge1[[#This Row],[defense_snaps]] / Merge1[[#This Row],[team_defense_snaps]])</f>
        <v>0.98461538461538467</v>
      </c>
      <c r="V1870">
        <v>65</v>
      </c>
      <c r="W1870">
        <v>6</v>
      </c>
      <c r="X1870" s="5" t="s">
        <v>133</v>
      </c>
      <c r="Y1870">
        <v>4</v>
      </c>
      <c r="Z1870">
        <v>0</v>
      </c>
      <c r="AA1870" t="s">
        <v>25</v>
      </c>
      <c r="AB1870" t="s">
        <v>26</v>
      </c>
      <c r="AC1870" t="s">
        <v>27</v>
      </c>
      <c r="AD1870" t="s">
        <v>42</v>
      </c>
      <c r="AE1870" t="s">
        <v>25</v>
      </c>
      <c r="AF18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0.10714285714285714</v>
      </c>
      <c r="AG1870" t="s">
        <v>941</v>
      </c>
      <c r="AH1870">
        <v>76.5</v>
      </c>
      <c r="AI1870" t="s">
        <v>939</v>
      </c>
      <c r="AJ1870">
        <v>9</v>
      </c>
      <c r="AK18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MIN(AJ1870/8, 1) +
  Merge1[[#This Row],[index_defensive_effort]],
  2
)</f>
        <v>1.71</v>
      </c>
    </row>
    <row r="1871" spans="1:37" x14ac:dyDescent="0.25">
      <c r="A1871" t="s">
        <v>535</v>
      </c>
      <c r="B1871" t="s">
        <v>536</v>
      </c>
      <c r="C1871">
        <v>27</v>
      </c>
      <c r="D1871" t="s">
        <v>22</v>
      </c>
      <c r="E1871">
        <v>74</v>
      </c>
      <c r="F1871">
        <v>215</v>
      </c>
      <c r="G1871" t="s">
        <v>67</v>
      </c>
      <c r="H1871">
        <v>2020</v>
      </c>
      <c r="I1871" t="s">
        <v>33</v>
      </c>
      <c r="J1871">
        <v>14</v>
      </c>
      <c r="K1871">
        <v>7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73</v>
      </c>
      <c r="T1871">
        <v>67</v>
      </c>
      <c r="U1871" s="5">
        <f>IF(Merge1[[#This Row],[team_defense_snaps]]=0, "", Merge1[[#This Row],[defense_snaps]] / Merge1[[#This Row],[team_defense_snaps]])</f>
        <v>0.95714285714285718</v>
      </c>
      <c r="V1871">
        <v>70</v>
      </c>
      <c r="W1871">
        <v>6</v>
      </c>
      <c r="X1871" s="5" t="s">
        <v>58</v>
      </c>
      <c r="Y1871">
        <v>4</v>
      </c>
      <c r="Z1871">
        <v>0</v>
      </c>
      <c r="AA1871" t="s">
        <v>25</v>
      </c>
      <c r="AB1871" t="s">
        <v>26</v>
      </c>
      <c r="AC1871" t="s">
        <v>27</v>
      </c>
      <c r="AD1871" t="s">
        <v>42</v>
      </c>
      <c r="AE1871" t="s">
        <v>25</v>
      </c>
      <c r="AF18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9.5890410958904104E-2</v>
      </c>
      <c r="AG1871" t="s">
        <v>941</v>
      </c>
      <c r="AH1871">
        <v>78</v>
      </c>
      <c r="AI1871" t="s">
        <v>939</v>
      </c>
      <c r="AJ1871">
        <v>10</v>
      </c>
      <c r="AK18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MIN(AJ1871/8, 1) +
  Merge1[[#This Row],[index_defensive_effort]],
  2
)</f>
        <v>1.7</v>
      </c>
    </row>
    <row r="1872" spans="1:37" x14ac:dyDescent="0.25">
      <c r="A1872" t="s">
        <v>535</v>
      </c>
      <c r="B1872" t="s">
        <v>536</v>
      </c>
      <c r="C1872">
        <v>27</v>
      </c>
      <c r="D1872" t="s">
        <v>22</v>
      </c>
      <c r="E1872">
        <v>74</v>
      </c>
      <c r="F1872">
        <v>215</v>
      </c>
      <c r="G1872" t="s">
        <v>67</v>
      </c>
      <c r="H1872">
        <v>2020</v>
      </c>
      <c r="I1872" t="s">
        <v>33</v>
      </c>
      <c r="J1872">
        <v>15</v>
      </c>
      <c r="K1872">
        <v>5</v>
      </c>
      <c r="L1872">
        <v>1</v>
      </c>
      <c r="M1872">
        <v>0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81</v>
      </c>
      <c r="T1872">
        <v>73</v>
      </c>
      <c r="U1872" s="5">
        <f>IF(Merge1[[#This Row],[team_defense_snaps]]=0, "", Merge1[[#This Row],[defense_snaps]] / Merge1[[#This Row],[team_defense_snaps]])</f>
        <v>1</v>
      </c>
      <c r="V1872">
        <v>73</v>
      </c>
      <c r="W1872">
        <v>8</v>
      </c>
      <c r="X1872" s="5" t="s">
        <v>135</v>
      </c>
      <c r="Y1872">
        <v>4</v>
      </c>
      <c r="Z1872">
        <v>0</v>
      </c>
      <c r="AA1872" t="s">
        <v>25</v>
      </c>
      <c r="AB1872" t="s">
        <v>26</v>
      </c>
      <c r="AC1872" t="s">
        <v>27</v>
      </c>
      <c r="AD1872" t="s">
        <v>42</v>
      </c>
      <c r="AE1872" t="s">
        <v>25</v>
      </c>
      <c r="AF18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6.7901234567901231E-2</v>
      </c>
      <c r="AG1872" t="s">
        <v>941</v>
      </c>
      <c r="AH1872">
        <v>75</v>
      </c>
      <c r="AI1872" t="s">
        <v>939</v>
      </c>
      <c r="AJ1872">
        <v>11</v>
      </c>
      <c r="AK18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MIN(AJ1872/8, 1) +
  Merge1[[#This Row],[index_defensive_effort]],
  2
)</f>
        <v>1.67</v>
      </c>
    </row>
    <row r="1873" spans="1:37" x14ac:dyDescent="0.25">
      <c r="A1873" t="s">
        <v>535</v>
      </c>
      <c r="B1873" t="s">
        <v>536</v>
      </c>
      <c r="C1873">
        <v>27</v>
      </c>
      <c r="D1873" t="s">
        <v>22</v>
      </c>
      <c r="E1873">
        <v>74</v>
      </c>
      <c r="F1873">
        <v>215</v>
      </c>
      <c r="G1873" t="s">
        <v>67</v>
      </c>
      <c r="H1873">
        <v>2020</v>
      </c>
      <c r="I1873" t="s">
        <v>33</v>
      </c>
      <c r="J1873">
        <v>16</v>
      </c>
      <c r="K1873">
        <v>4</v>
      </c>
      <c r="L1873">
        <v>1</v>
      </c>
      <c r="M1873">
        <v>1</v>
      </c>
      <c r="N1873">
        <v>2</v>
      </c>
      <c r="O1873">
        <v>0</v>
      </c>
      <c r="P1873">
        <v>0</v>
      </c>
      <c r="Q1873">
        <v>0</v>
      </c>
      <c r="R1873">
        <v>0</v>
      </c>
      <c r="S1873">
        <v>62</v>
      </c>
      <c r="T1873">
        <v>57</v>
      </c>
      <c r="U1873" s="5">
        <f>IF(Merge1[[#This Row],[team_defense_snaps]]=0, "", Merge1[[#This Row],[defense_snaps]] / Merge1[[#This Row],[team_defense_snaps]])</f>
        <v>0.98275862068965514</v>
      </c>
      <c r="V1873">
        <v>58</v>
      </c>
      <c r="W1873">
        <v>5</v>
      </c>
      <c r="X1873" s="5" t="s">
        <v>124</v>
      </c>
      <c r="Y1873">
        <v>4</v>
      </c>
      <c r="Z1873">
        <v>0</v>
      </c>
      <c r="AA1873" t="s">
        <v>25</v>
      </c>
      <c r="AB1873" t="s">
        <v>26</v>
      </c>
      <c r="AC1873" t="s">
        <v>27</v>
      </c>
      <c r="AD1873" t="s">
        <v>42</v>
      </c>
      <c r="AE1873" t="s">
        <v>25</v>
      </c>
      <c r="AF18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8.0645161290322578E-2</v>
      </c>
      <c r="AG1873" t="s">
        <v>941</v>
      </c>
      <c r="AH1873">
        <v>61.5</v>
      </c>
      <c r="AI1873" t="s">
        <v>939</v>
      </c>
      <c r="AJ1873">
        <v>12</v>
      </c>
      <c r="AK18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MIN(AJ1873/8, 1) +
  Merge1[[#This Row],[index_defensive_effort]],
  2
)</f>
        <v>1.68</v>
      </c>
    </row>
    <row r="1874" spans="1:37" x14ac:dyDescent="0.25">
      <c r="A1874" t="s">
        <v>535</v>
      </c>
      <c r="B1874" t="s">
        <v>536</v>
      </c>
      <c r="C1874">
        <v>27</v>
      </c>
      <c r="D1874" t="s">
        <v>22</v>
      </c>
      <c r="E1874">
        <v>74</v>
      </c>
      <c r="F1874">
        <v>215</v>
      </c>
      <c r="G1874" t="s">
        <v>67</v>
      </c>
      <c r="H1874">
        <v>2020</v>
      </c>
      <c r="I1874" t="s">
        <v>33</v>
      </c>
      <c r="J1874">
        <v>17</v>
      </c>
      <c r="K1874">
        <v>4</v>
      </c>
      <c r="L1874">
        <v>1</v>
      </c>
      <c r="M1874">
        <v>0</v>
      </c>
      <c r="N1874">
        <v>1</v>
      </c>
      <c r="O1874">
        <v>0</v>
      </c>
      <c r="P1874">
        <v>0</v>
      </c>
      <c r="Q1874">
        <v>2</v>
      </c>
      <c r="R1874">
        <v>0</v>
      </c>
      <c r="S1874">
        <v>73</v>
      </c>
      <c r="T1874">
        <v>69</v>
      </c>
      <c r="U1874" s="5">
        <f>IF(Merge1[[#This Row],[team_defense_snaps]]=0, "", Merge1[[#This Row],[defense_snaps]] / Merge1[[#This Row],[team_defense_snaps]])</f>
        <v>0.971830985915493</v>
      </c>
      <c r="V1874">
        <v>71</v>
      </c>
      <c r="W1874">
        <v>4</v>
      </c>
      <c r="X1874" s="5" t="s">
        <v>251</v>
      </c>
      <c r="Y1874">
        <v>4</v>
      </c>
      <c r="Z1874">
        <v>0</v>
      </c>
      <c r="AA1874" t="s">
        <v>25</v>
      </c>
      <c r="AB1874" t="s">
        <v>26</v>
      </c>
      <c r="AC1874" t="s">
        <v>27</v>
      </c>
      <c r="AD1874" t="s">
        <v>42</v>
      </c>
      <c r="AE1874" t="s">
        <v>25</v>
      </c>
      <c r="AF18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0.17123287671232876</v>
      </c>
      <c r="AG1874" t="s">
        <v>941</v>
      </c>
      <c r="AH1874">
        <v>67.5</v>
      </c>
      <c r="AI1874" t="s">
        <v>939</v>
      </c>
      <c r="AJ1874">
        <v>1</v>
      </c>
      <c r="AK18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MIN(AJ1874/8, 1) +
  Merge1[[#This Row],[index_defensive_effort]],
  2
)</f>
        <v>0.9</v>
      </c>
    </row>
    <row r="1875" spans="1:37" x14ac:dyDescent="0.25">
      <c r="A1875" t="s">
        <v>457</v>
      </c>
      <c r="B1875" t="s">
        <v>458</v>
      </c>
      <c r="C1875">
        <v>27</v>
      </c>
      <c r="D1875" t="s">
        <v>22</v>
      </c>
      <c r="E1875">
        <v>72</v>
      </c>
      <c r="F1875">
        <v>212</v>
      </c>
      <c r="G1875" t="s">
        <v>259</v>
      </c>
      <c r="H1875">
        <v>2020</v>
      </c>
      <c r="I1875" t="s">
        <v>33</v>
      </c>
      <c r="J1875">
        <v>1</v>
      </c>
      <c r="K1875">
        <v>1</v>
      </c>
      <c r="L1875">
        <v>1</v>
      </c>
      <c r="M1875">
        <v>0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75</v>
      </c>
      <c r="T1875">
        <v>63</v>
      </c>
      <c r="U1875" s="5">
        <f>IF(Merge1[[#This Row],[team_defense_snaps]]=0, "", Merge1[[#This Row],[defense_snaps]] / Merge1[[#This Row],[team_defense_snaps]])</f>
        <v>1</v>
      </c>
      <c r="V1875">
        <v>63</v>
      </c>
      <c r="W1875">
        <v>12</v>
      </c>
      <c r="X1875" s="5" t="s">
        <v>210</v>
      </c>
      <c r="Y1875">
        <v>4</v>
      </c>
      <c r="Z1875">
        <v>0</v>
      </c>
      <c r="AA1875" t="s">
        <v>25</v>
      </c>
      <c r="AB1875" t="s">
        <v>26</v>
      </c>
      <c r="AC1875" t="s">
        <v>27</v>
      </c>
      <c r="AD1875" t="s">
        <v>42</v>
      </c>
      <c r="AE1875" t="s">
        <v>25</v>
      </c>
      <c r="AF18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0.02</v>
      </c>
      <c r="AG1875" t="s">
        <v>942</v>
      </c>
      <c r="AH1875">
        <v>73.5</v>
      </c>
      <c r="AI1875" t="s">
        <v>939</v>
      </c>
      <c r="AJ1875">
        <v>2</v>
      </c>
      <c r="AK18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MIN(AJ1875/8, 1) +
  Merge1[[#This Row],[index_defensive_effort]],
  2
)</f>
        <v>0.87</v>
      </c>
    </row>
    <row r="1876" spans="1:37" x14ac:dyDescent="0.25">
      <c r="A1876" t="s">
        <v>457</v>
      </c>
      <c r="B1876" t="s">
        <v>458</v>
      </c>
      <c r="C1876">
        <v>27</v>
      </c>
      <c r="D1876" t="s">
        <v>22</v>
      </c>
      <c r="E1876">
        <v>72</v>
      </c>
      <c r="F1876">
        <v>212</v>
      </c>
      <c r="G1876" t="s">
        <v>259</v>
      </c>
      <c r="H1876">
        <v>2020</v>
      </c>
      <c r="I1876" t="s">
        <v>33</v>
      </c>
      <c r="J1876">
        <v>2</v>
      </c>
      <c r="K1876">
        <v>1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69</v>
      </c>
      <c r="T1876">
        <v>61</v>
      </c>
      <c r="U1876" s="5">
        <f>IF(Merge1[[#This Row],[team_defense_snaps]]=0, "", Merge1[[#This Row],[defense_snaps]] / Merge1[[#This Row],[team_defense_snaps]])</f>
        <v>1</v>
      </c>
      <c r="V1876">
        <v>61</v>
      </c>
      <c r="W1876">
        <v>8</v>
      </c>
      <c r="X1876" s="5" t="s">
        <v>108</v>
      </c>
      <c r="Y1876">
        <v>4</v>
      </c>
      <c r="Z1876">
        <v>0</v>
      </c>
      <c r="AA1876" t="s">
        <v>25</v>
      </c>
      <c r="AB1876" t="s">
        <v>26</v>
      </c>
      <c r="AC1876" t="s">
        <v>27</v>
      </c>
      <c r="AD1876" t="s">
        <v>42</v>
      </c>
      <c r="AE1876" t="s">
        <v>25</v>
      </c>
      <c r="AF18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1.4492753623188406E-2</v>
      </c>
      <c r="AG1876" t="s">
        <v>942</v>
      </c>
      <c r="AH1876">
        <v>69</v>
      </c>
      <c r="AI1876" t="s">
        <v>939</v>
      </c>
      <c r="AJ1876">
        <v>3</v>
      </c>
      <c r="AK18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MIN(AJ1876/8, 1) +
  Merge1[[#This Row],[index_defensive_effort]],
  2
)</f>
        <v>0.99</v>
      </c>
    </row>
    <row r="1877" spans="1:37" x14ac:dyDescent="0.25">
      <c r="A1877" t="s">
        <v>457</v>
      </c>
      <c r="B1877" t="s">
        <v>458</v>
      </c>
      <c r="C1877">
        <v>27</v>
      </c>
      <c r="D1877" t="s">
        <v>22</v>
      </c>
      <c r="E1877">
        <v>72</v>
      </c>
      <c r="F1877">
        <v>212</v>
      </c>
      <c r="G1877" t="s">
        <v>259</v>
      </c>
      <c r="H1877">
        <v>2020</v>
      </c>
      <c r="I1877" t="s">
        <v>33</v>
      </c>
      <c r="J1877">
        <v>3</v>
      </c>
      <c r="K1877">
        <v>7</v>
      </c>
      <c r="L1877">
        <v>2</v>
      </c>
      <c r="M1877">
        <v>1</v>
      </c>
      <c r="N1877">
        <v>3</v>
      </c>
      <c r="O1877">
        <v>0</v>
      </c>
      <c r="P1877">
        <v>1</v>
      </c>
      <c r="Q1877">
        <v>0</v>
      </c>
      <c r="R1877">
        <v>0</v>
      </c>
      <c r="S1877">
        <v>87</v>
      </c>
      <c r="T1877">
        <v>78</v>
      </c>
      <c r="U1877" s="5">
        <f>IF(Merge1[[#This Row],[team_defense_snaps]]=0, "", Merge1[[#This Row],[defense_snaps]] / Merge1[[#This Row],[team_defense_snaps]])</f>
        <v>1</v>
      </c>
      <c r="V1877">
        <v>78</v>
      </c>
      <c r="W1877">
        <v>9</v>
      </c>
      <c r="X1877" s="5" t="s">
        <v>70</v>
      </c>
      <c r="Y1877">
        <v>4</v>
      </c>
      <c r="Z1877">
        <v>0</v>
      </c>
      <c r="AA1877" t="s">
        <v>25</v>
      </c>
      <c r="AB1877" t="s">
        <v>26</v>
      </c>
      <c r="AC1877" t="s">
        <v>27</v>
      </c>
      <c r="AD1877" t="s">
        <v>42</v>
      </c>
      <c r="AE1877" t="s">
        <v>25</v>
      </c>
      <c r="AF18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0.1206896551724138</v>
      </c>
      <c r="AG1877" t="s">
        <v>942</v>
      </c>
      <c r="AH1877">
        <v>72</v>
      </c>
      <c r="AI1877" t="s">
        <v>939</v>
      </c>
      <c r="AJ1877">
        <v>4</v>
      </c>
      <c r="AK18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MIN(AJ1877/8, 1) +
  Merge1[[#This Row],[index_defensive_effort]],
  2
)</f>
        <v>1.22</v>
      </c>
    </row>
    <row r="1878" spans="1:37" x14ac:dyDescent="0.25">
      <c r="A1878" t="s">
        <v>457</v>
      </c>
      <c r="B1878" t="s">
        <v>458</v>
      </c>
      <c r="C1878">
        <v>27</v>
      </c>
      <c r="D1878" t="s">
        <v>22</v>
      </c>
      <c r="E1878">
        <v>72</v>
      </c>
      <c r="F1878">
        <v>212</v>
      </c>
      <c r="G1878" t="s">
        <v>259</v>
      </c>
      <c r="H1878">
        <v>2020</v>
      </c>
      <c r="I1878" t="s">
        <v>33</v>
      </c>
      <c r="J1878">
        <v>4</v>
      </c>
      <c r="K1878">
        <v>6</v>
      </c>
      <c r="L1878">
        <v>1</v>
      </c>
      <c r="M1878">
        <v>0</v>
      </c>
      <c r="N1878">
        <v>1</v>
      </c>
      <c r="O1878">
        <v>0</v>
      </c>
      <c r="P1878">
        <v>1</v>
      </c>
      <c r="Q1878">
        <v>0</v>
      </c>
      <c r="R1878">
        <v>0</v>
      </c>
      <c r="S1878">
        <v>57</v>
      </c>
      <c r="T1878">
        <v>56</v>
      </c>
      <c r="U1878" s="5">
        <f>IF(Merge1[[#This Row],[team_defense_snaps]]=0, "", Merge1[[#This Row],[defense_snaps]] / Merge1[[#This Row],[team_defense_snaps]])</f>
        <v>0.98245614035087714</v>
      </c>
      <c r="V1878">
        <v>57</v>
      </c>
      <c r="W1878">
        <v>1</v>
      </c>
      <c r="X1878" s="5" t="s">
        <v>193</v>
      </c>
      <c r="Y1878">
        <v>4</v>
      </c>
      <c r="Z1878">
        <v>0</v>
      </c>
      <c r="AA1878" t="s">
        <v>25</v>
      </c>
      <c r="AB1878" t="s">
        <v>26</v>
      </c>
      <c r="AC1878" t="s">
        <v>27</v>
      </c>
      <c r="AD1878" t="s">
        <v>42</v>
      </c>
      <c r="AE1878" t="s">
        <v>25</v>
      </c>
      <c r="AF18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0.14912280701754385</v>
      </c>
      <c r="AG1878" t="s">
        <v>942</v>
      </c>
      <c r="AH1878">
        <v>75</v>
      </c>
      <c r="AI1878" t="s">
        <v>939</v>
      </c>
      <c r="AJ1878">
        <v>5</v>
      </c>
      <c r="AK18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MIN(AJ1878/8, 1) +
  Merge1[[#This Row],[index_defensive_effort]],
  2
)</f>
        <v>1.37</v>
      </c>
    </row>
    <row r="1879" spans="1:37" x14ac:dyDescent="0.25">
      <c r="A1879" t="s">
        <v>457</v>
      </c>
      <c r="B1879" t="s">
        <v>458</v>
      </c>
      <c r="C1879">
        <v>27</v>
      </c>
      <c r="D1879" t="s">
        <v>22</v>
      </c>
      <c r="E1879">
        <v>72</v>
      </c>
      <c r="F1879">
        <v>212</v>
      </c>
      <c r="G1879" t="s">
        <v>259</v>
      </c>
      <c r="H1879">
        <v>2020</v>
      </c>
      <c r="I1879" t="s">
        <v>33</v>
      </c>
      <c r="J1879">
        <v>5</v>
      </c>
      <c r="K1879">
        <v>0</v>
      </c>
      <c r="L1879">
        <v>3</v>
      </c>
      <c r="M1879">
        <v>0</v>
      </c>
      <c r="N1879">
        <v>3</v>
      </c>
      <c r="O1879">
        <v>0</v>
      </c>
      <c r="P1879">
        <v>0</v>
      </c>
      <c r="Q1879">
        <v>2</v>
      </c>
      <c r="R1879">
        <v>0</v>
      </c>
      <c r="S1879">
        <v>76</v>
      </c>
      <c r="T1879">
        <v>65</v>
      </c>
      <c r="U1879" s="5">
        <f>IF(Merge1[[#This Row],[team_defense_snaps]]=0, "", Merge1[[#This Row],[defense_snaps]] / Merge1[[#This Row],[team_defense_snaps]])</f>
        <v>1</v>
      </c>
      <c r="V1879">
        <v>65</v>
      </c>
      <c r="W1879">
        <v>11</v>
      </c>
      <c r="X1879" s="5" t="s">
        <v>131</v>
      </c>
      <c r="Y1879">
        <v>4</v>
      </c>
      <c r="Z1879">
        <v>0</v>
      </c>
      <c r="AA1879" t="s">
        <v>25</v>
      </c>
      <c r="AB1879" t="s">
        <v>26</v>
      </c>
      <c r="AC1879" t="s">
        <v>27</v>
      </c>
      <c r="AD1879" t="s">
        <v>42</v>
      </c>
      <c r="AE1879" t="s">
        <v>25</v>
      </c>
      <c r="AF18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1879" t="s">
        <v>942</v>
      </c>
      <c r="AH1879">
        <v>55.5</v>
      </c>
      <c r="AI1879" t="s">
        <v>939</v>
      </c>
      <c r="AJ1879">
        <v>6</v>
      </c>
      <c r="AK18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MIN(AJ1879/8, 1) +
  Merge1[[#This Row],[index_defensive_effort]],
  2
)</f>
        <v>1.48</v>
      </c>
    </row>
    <row r="1880" spans="1:37" x14ac:dyDescent="0.25">
      <c r="A1880" t="s">
        <v>457</v>
      </c>
      <c r="B1880" t="s">
        <v>458</v>
      </c>
      <c r="C1880">
        <v>27</v>
      </c>
      <c r="D1880" t="s">
        <v>22</v>
      </c>
      <c r="E1880">
        <v>72</v>
      </c>
      <c r="F1880">
        <v>212</v>
      </c>
      <c r="G1880" t="s">
        <v>259</v>
      </c>
      <c r="H1880">
        <v>2020</v>
      </c>
      <c r="I1880" t="s">
        <v>33</v>
      </c>
      <c r="J1880">
        <v>6</v>
      </c>
      <c r="K1880">
        <v>2</v>
      </c>
      <c r="L1880">
        <v>2</v>
      </c>
      <c r="M1880">
        <v>0</v>
      </c>
      <c r="N1880">
        <v>2</v>
      </c>
      <c r="O1880">
        <v>0</v>
      </c>
      <c r="P1880">
        <v>0</v>
      </c>
      <c r="Q1880">
        <v>0</v>
      </c>
      <c r="R1880">
        <v>0</v>
      </c>
      <c r="S1880">
        <v>51</v>
      </c>
      <c r="T1880">
        <v>43</v>
      </c>
      <c r="U1880" s="5">
        <f>IF(Merge1[[#This Row],[team_defense_snaps]]=0, "", Merge1[[#This Row],[defense_snaps]] / Merge1[[#This Row],[team_defense_snaps]])</f>
        <v>0.64179104477611937</v>
      </c>
      <c r="V1880">
        <v>67</v>
      </c>
      <c r="W1880">
        <v>8</v>
      </c>
      <c r="X1880" s="5" t="s">
        <v>314</v>
      </c>
      <c r="Y1880">
        <v>4</v>
      </c>
      <c r="Z1880">
        <v>0</v>
      </c>
      <c r="AA1880" t="s">
        <v>25</v>
      </c>
      <c r="AB1880" t="s">
        <v>26</v>
      </c>
      <c r="AC1880" t="s">
        <v>27</v>
      </c>
      <c r="AD1880" t="s">
        <v>42</v>
      </c>
      <c r="AE1880" t="s">
        <v>25</v>
      </c>
      <c r="AF18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AG1880" t="s">
        <v>942</v>
      </c>
      <c r="AH1880">
        <v>60</v>
      </c>
      <c r="AI1880" t="s">
        <v>938</v>
      </c>
      <c r="AJ1880">
        <v>1</v>
      </c>
      <c r="AK18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MIN(AJ1880/8, 1) +
  Merge1[[#This Row],[index_defensive_effort]],
  2
)</f>
        <v>0.78</v>
      </c>
    </row>
    <row r="1881" spans="1:37" x14ac:dyDescent="0.25">
      <c r="A1881" t="s">
        <v>457</v>
      </c>
      <c r="B1881" t="s">
        <v>458</v>
      </c>
      <c r="C1881">
        <v>27</v>
      </c>
      <c r="D1881" t="s">
        <v>22</v>
      </c>
      <c r="E1881">
        <v>72</v>
      </c>
      <c r="F1881">
        <v>212</v>
      </c>
      <c r="G1881" t="s">
        <v>259</v>
      </c>
      <c r="H1881">
        <v>2020</v>
      </c>
      <c r="I1881" t="s">
        <v>33</v>
      </c>
      <c r="J1881">
        <v>10</v>
      </c>
      <c r="K1881">
        <v>1</v>
      </c>
      <c r="L1881">
        <v>3</v>
      </c>
      <c r="M1881">
        <v>1</v>
      </c>
      <c r="N1881">
        <v>4</v>
      </c>
      <c r="O1881">
        <v>0</v>
      </c>
      <c r="P1881">
        <v>0</v>
      </c>
      <c r="Q1881">
        <v>0</v>
      </c>
      <c r="R1881">
        <v>0</v>
      </c>
      <c r="S1881">
        <v>56</v>
      </c>
      <c r="T1881">
        <v>50</v>
      </c>
      <c r="U1881" s="5">
        <f>IF(Merge1[[#This Row],[team_defense_snaps]]=0, "", Merge1[[#This Row],[defense_snaps]] / Merge1[[#This Row],[team_defense_snaps]])</f>
        <v>0.625</v>
      </c>
      <c r="V1881">
        <v>80</v>
      </c>
      <c r="W1881">
        <v>6</v>
      </c>
      <c r="X1881" s="5" t="s">
        <v>59</v>
      </c>
      <c r="Y1881">
        <v>4</v>
      </c>
      <c r="Z1881">
        <v>0</v>
      </c>
      <c r="AA1881" t="s">
        <v>25</v>
      </c>
      <c r="AB1881" t="s">
        <v>62</v>
      </c>
      <c r="AC1881" t="s">
        <v>27</v>
      </c>
      <c r="AD1881" t="s">
        <v>28</v>
      </c>
      <c r="AE1881" t="s">
        <v>25</v>
      </c>
      <c r="AF18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5.3571428571428568E-2</v>
      </c>
      <c r="AG1881" t="s">
        <v>942</v>
      </c>
      <c r="AH1881">
        <v>52.5</v>
      </c>
      <c r="AI1881" t="s">
        <v>939</v>
      </c>
      <c r="AJ1881">
        <v>2</v>
      </c>
      <c r="AK18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MIN(AJ1881/8, 1) +
  Merge1[[#This Row],[index_defensive_effort]],
  2
)</f>
        <v>0.9</v>
      </c>
    </row>
    <row r="1882" spans="1:37" x14ac:dyDescent="0.25">
      <c r="A1882" t="s">
        <v>457</v>
      </c>
      <c r="B1882" t="s">
        <v>458</v>
      </c>
      <c r="C1882">
        <v>27</v>
      </c>
      <c r="D1882" t="s">
        <v>22</v>
      </c>
      <c r="E1882">
        <v>72</v>
      </c>
      <c r="F1882">
        <v>212</v>
      </c>
      <c r="G1882" t="s">
        <v>259</v>
      </c>
      <c r="H1882">
        <v>2020</v>
      </c>
      <c r="I1882" t="s">
        <v>33</v>
      </c>
      <c r="J1882">
        <v>11</v>
      </c>
      <c r="K1882">
        <v>6</v>
      </c>
      <c r="L1882">
        <v>1</v>
      </c>
      <c r="M1882">
        <v>0</v>
      </c>
      <c r="N1882">
        <v>1</v>
      </c>
      <c r="O1882">
        <v>0</v>
      </c>
      <c r="P1882">
        <v>1</v>
      </c>
      <c r="Q1882">
        <v>0</v>
      </c>
      <c r="R1882">
        <v>0</v>
      </c>
      <c r="S1882">
        <v>59</v>
      </c>
      <c r="T1882">
        <v>56</v>
      </c>
      <c r="U1882" s="5">
        <f>IF(Merge1[[#This Row],[team_defense_snaps]]=0, "", Merge1[[#This Row],[defense_snaps]] / Merge1[[#This Row],[team_defense_snaps]])</f>
        <v>0.98245614035087714</v>
      </c>
      <c r="V1882">
        <v>57</v>
      </c>
      <c r="W1882">
        <v>3</v>
      </c>
      <c r="X1882" s="5" t="s">
        <v>212</v>
      </c>
      <c r="Y1882">
        <v>4</v>
      </c>
      <c r="Z1882">
        <v>0</v>
      </c>
      <c r="AA1882" t="s">
        <v>25</v>
      </c>
      <c r="AB1882" t="s">
        <v>26</v>
      </c>
      <c r="AC1882" t="s">
        <v>27</v>
      </c>
      <c r="AD1882" t="s">
        <v>42</v>
      </c>
      <c r="AE1882" t="s">
        <v>25</v>
      </c>
      <c r="AF18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0.1440677966101695</v>
      </c>
      <c r="AG1882" t="s">
        <v>942</v>
      </c>
      <c r="AH1882">
        <v>51</v>
      </c>
      <c r="AI1882" t="s">
        <v>939</v>
      </c>
      <c r="AJ1882">
        <v>3</v>
      </c>
      <c r="AK18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MIN(AJ1882/8, 1) +
  Merge1[[#This Row],[index_defensive_effort]],
  2
)</f>
        <v>1.1200000000000001</v>
      </c>
    </row>
    <row r="1883" spans="1:37" x14ac:dyDescent="0.25">
      <c r="A1883" t="s">
        <v>457</v>
      </c>
      <c r="B1883" t="s">
        <v>458</v>
      </c>
      <c r="C1883">
        <v>27</v>
      </c>
      <c r="D1883" t="s">
        <v>22</v>
      </c>
      <c r="E1883">
        <v>72</v>
      </c>
      <c r="F1883">
        <v>212</v>
      </c>
      <c r="G1883" t="s">
        <v>259</v>
      </c>
      <c r="H1883">
        <v>2020</v>
      </c>
      <c r="I1883" t="s">
        <v>33</v>
      </c>
      <c r="J1883">
        <v>12</v>
      </c>
      <c r="K1883">
        <v>2</v>
      </c>
      <c r="L1883">
        <v>1</v>
      </c>
      <c r="M1883">
        <v>0</v>
      </c>
      <c r="N1883">
        <v>1</v>
      </c>
      <c r="O1883">
        <v>0</v>
      </c>
      <c r="P1883">
        <v>1</v>
      </c>
      <c r="Q1883">
        <v>0</v>
      </c>
      <c r="R1883">
        <v>0</v>
      </c>
      <c r="S1883">
        <v>77</v>
      </c>
      <c r="T1883">
        <v>71</v>
      </c>
      <c r="U1883" s="5">
        <f>IF(Merge1[[#This Row],[team_defense_snaps]]=0, "", Merge1[[#This Row],[defense_snaps]] / Merge1[[#This Row],[team_defense_snaps]])</f>
        <v>0.9726027397260274</v>
      </c>
      <c r="V1883">
        <v>73</v>
      </c>
      <c r="W1883">
        <v>6</v>
      </c>
      <c r="X1883" s="5" t="s">
        <v>293</v>
      </c>
      <c r="Y1883">
        <v>4</v>
      </c>
      <c r="Z1883">
        <v>0</v>
      </c>
      <c r="AA1883" t="s">
        <v>25</v>
      </c>
      <c r="AB1883" t="s">
        <v>26</v>
      </c>
      <c r="AC1883" t="s">
        <v>27</v>
      </c>
      <c r="AD1883" t="s">
        <v>42</v>
      </c>
      <c r="AE1883" t="s">
        <v>25</v>
      </c>
      <c r="AF18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5.844155844155844E-2</v>
      </c>
      <c r="AG1883" t="s">
        <v>942</v>
      </c>
      <c r="AH1883">
        <v>70.5</v>
      </c>
      <c r="AI1883" t="s">
        <v>939</v>
      </c>
      <c r="AJ1883">
        <v>1</v>
      </c>
      <c r="AK18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MIN(AJ1883/8, 1) +
  Merge1[[#This Row],[index_defensive_effort]],
  2
)</f>
        <v>0.78</v>
      </c>
    </row>
    <row r="1884" spans="1:37" x14ac:dyDescent="0.25">
      <c r="A1884" t="s">
        <v>457</v>
      </c>
      <c r="B1884" t="s">
        <v>458</v>
      </c>
      <c r="C1884">
        <v>27</v>
      </c>
      <c r="D1884" t="s">
        <v>22</v>
      </c>
      <c r="E1884">
        <v>72</v>
      </c>
      <c r="F1884">
        <v>212</v>
      </c>
      <c r="G1884" t="s">
        <v>259</v>
      </c>
      <c r="H1884">
        <v>2020</v>
      </c>
      <c r="I1884" t="s">
        <v>33</v>
      </c>
      <c r="J1884">
        <v>14</v>
      </c>
      <c r="K1884">
        <v>5</v>
      </c>
      <c r="L1884">
        <v>2</v>
      </c>
      <c r="M1884">
        <v>1</v>
      </c>
      <c r="N1884">
        <v>3</v>
      </c>
      <c r="O1884">
        <v>0</v>
      </c>
      <c r="P1884">
        <v>0</v>
      </c>
      <c r="Q1884">
        <v>0</v>
      </c>
      <c r="R1884">
        <v>0</v>
      </c>
      <c r="S1884">
        <v>67</v>
      </c>
      <c r="T1884">
        <v>61</v>
      </c>
      <c r="U1884" s="5">
        <f>IF(Merge1[[#This Row],[team_defense_snaps]]=0, "", Merge1[[#This Row],[defense_snaps]] / Merge1[[#This Row],[team_defense_snaps]])</f>
        <v>0.9838709677419355</v>
      </c>
      <c r="V1884">
        <v>62</v>
      </c>
      <c r="W1884">
        <v>6</v>
      </c>
      <c r="X1884" s="5" t="s">
        <v>58</v>
      </c>
      <c r="Y1884">
        <v>4</v>
      </c>
      <c r="Z1884">
        <v>0</v>
      </c>
      <c r="AA1884" t="s">
        <v>25</v>
      </c>
      <c r="AB1884" t="s">
        <v>26</v>
      </c>
      <c r="AC1884" t="s">
        <v>27</v>
      </c>
      <c r="AD1884" t="s">
        <v>42</v>
      </c>
      <c r="AE1884" t="s">
        <v>25</v>
      </c>
      <c r="AF18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9.7014925373134331E-2</v>
      </c>
      <c r="AG1884" t="s">
        <v>942</v>
      </c>
      <c r="AH1884">
        <v>58.5</v>
      </c>
      <c r="AI1884" t="s">
        <v>939</v>
      </c>
      <c r="AJ1884">
        <v>2</v>
      </c>
      <c r="AK18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MIN(AJ1884/8, 1) +
  Merge1[[#This Row],[index_defensive_effort]],
  2
)</f>
        <v>0.95</v>
      </c>
    </row>
    <row r="1885" spans="1:37" x14ac:dyDescent="0.25">
      <c r="A1885" t="s">
        <v>457</v>
      </c>
      <c r="B1885" t="s">
        <v>458</v>
      </c>
      <c r="C1885">
        <v>27</v>
      </c>
      <c r="D1885" t="s">
        <v>22</v>
      </c>
      <c r="E1885">
        <v>72</v>
      </c>
      <c r="F1885">
        <v>212</v>
      </c>
      <c r="G1885" t="s">
        <v>259</v>
      </c>
      <c r="H1885">
        <v>2020</v>
      </c>
      <c r="I1885" t="s">
        <v>33</v>
      </c>
      <c r="J1885">
        <v>15</v>
      </c>
      <c r="K1885">
        <v>2</v>
      </c>
      <c r="L1885">
        <v>2</v>
      </c>
      <c r="M1885">
        <v>0</v>
      </c>
      <c r="N1885">
        <v>2</v>
      </c>
      <c r="O1885">
        <v>0</v>
      </c>
      <c r="P1885">
        <v>0</v>
      </c>
      <c r="Q1885">
        <v>0</v>
      </c>
      <c r="R1885">
        <v>0</v>
      </c>
      <c r="S1885">
        <v>64</v>
      </c>
      <c r="T1885">
        <v>60</v>
      </c>
      <c r="U1885" s="5">
        <f>IF(Merge1[[#This Row],[team_defense_snaps]]=0, "", Merge1[[#This Row],[defense_snaps]] / Merge1[[#This Row],[team_defense_snaps]])</f>
        <v>0.967741935483871</v>
      </c>
      <c r="V1885">
        <v>62</v>
      </c>
      <c r="W1885">
        <v>4</v>
      </c>
      <c r="X1885" s="5" t="s">
        <v>212</v>
      </c>
      <c r="Y1885">
        <v>4</v>
      </c>
      <c r="Z1885">
        <v>0</v>
      </c>
      <c r="AA1885" t="s">
        <v>25</v>
      </c>
      <c r="AB1885" t="s">
        <v>26</v>
      </c>
      <c r="AC1885" t="s">
        <v>27</v>
      </c>
      <c r="AD1885" t="s">
        <v>42</v>
      </c>
      <c r="AE1885" t="s">
        <v>25</v>
      </c>
      <c r="AF18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4.6875E-2</v>
      </c>
      <c r="AG1885" t="s">
        <v>942</v>
      </c>
      <c r="AH1885">
        <v>61.5</v>
      </c>
      <c r="AI1885" t="s">
        <v>939</v>
      </c>
      <c r="AJ1885">
        <v>3</v>
      </c>
      <c r="AK18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MIN(AJ1885/8, 1) +
  Merge1[[#This Row],[index_defensive_effort]],
  2
)</f>
        <v>1.02</v>
      </c>
    </row>
    <row r="1886" spans="1:37" x14ac:dyDescent="0.25">
      <c r="A1886" t="s">
        <v>457</v>
      </c>
      <c r="B1886" t="s">
        <v>458</v>
      </c>
      <c r="C1886">
        <v>27</v>
      </c>
      <c r="D1886" t="s">
        <v>22</v>
      </c>
      <c r="E1886">
        <v>72</v>
      </c>
      <c r="F1886">
        <v>212</v>
      </c>
      <c r="G1886" t="s">
        <v>259</v>
      </c>
      <c r="H1886">
        <v>2020</v>
      </c>
      <c r="I1886" t="s">
        <v>33</v>
      </c>
      <c r="J1886">
        <v>16</v>
      </c>
      <c r="K1886">
        <v>2</v>
      </c>
      <c r="L1886">
        <v>2</v>
      </c>
      <c r="M1886">
        <v>0</v>
      </c>
      <c r="N1886">
        <v>2</v>
      </c>
      <c r="O1886">
        <v>0</v>
      </c>
      <c r="P1886">
        <v>0</v>
      </c>
      <c r="Q1886">
        <v>0</v>
      </c>
      <c r="R1886">
        <v>0</v>
      </c>
      <c r="S1886">
        <v>72</v>
      </c>
      <c r="T1886">
        <v>71</v>
      </c>
      <c r="U1886" s="5">
        <f>IF(Merge1[[#This Row],[team_defense_snaps]]=0, "", Merge1[[#This Row],[defense_snaps]] / Merge1[[#This Row],[team_defense_snaps]])</f>
        <v>1</v>
      </c>
      <c r="V1886">
        <v>71</v>
      </c>
      <c r="W1886">
        <v>1</v>
      </c>
      <c r="X1886" s="5" t="s">
        <v>34</v>
      </c>
      <c r="Y1886">
        <v>4</v>
      </c>
      <c r="Z1886">
        <v>0</v>
      </c>
      <c r="AA1886" t="s">
        <v>25</v>
      </c>
      <c r="AB1886" t="s">
        <v>26</v>
      </c>
      <c r="AC1886" t="s">
        <v>27</v>
      </c>
      <c r="AD1886" t="s">
        <v>42</v>
      </c>
      <c r="AE1886" t="s">
        <v>25</v>
      </c>
      <c r="AF18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1886" t="s">
        <v>942</v>
      </c>
      <c r="AH1886">
        <v>54</v>
      </c>
      <c r="AI1886" t="s">
        <v>939</v>
      </c>
      <c r="AJ1886">
        <v>4</v>
      </c>
      <c r="AK18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MIN(AJ1886/8, 1) +
  Merge1[[#This Row],[index_defensive_effort]],
  2
)</f>
        <v>1.1399999999999999</v>
      </c>
    </row>
    <row r="1887" spans="1:37" x14ac:dyDescent="0.25">
      <c r="A1887" t="s">
        <v>457</v>
      </c>
      <c r="B1887" t="s">
        <v>458</v>
      </c>
      <c r="C1887">
        <v>27</v>
      </c>
      <c r="D1887" t="s">
        <v>22</v>
      </c>
      <c r="E1887">
        <v>72</v>
      </c>
      <c r="F1887">
        <v>212</v>
      </c>
      <c r="G1887" t="s">
        <v>259</v>
      </c>
      <c r="H1887">
        <v>2020</v>
      </c>
      <c r="I1887" t="s">
        <v>33</v>
      </c>
      <c r="J1887">
        <v>17</v>
      </c>
      <c r="K1887">
        <v>0</v>
      </c>
      <c r="L1887">
        <v>1</v>
      </c>
      <c r="M1887">
        <v>0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56</v>
      </c>
      <c r="T1887">
        <v>55</v>
      </c>
      <c r="U1887" s="5">
        <f>IF(Merge1[[#This Row],[team_defense_snaps]]=0, "", Merge1[[#This Row],[defense_snaps]] / Merge1[[#This Row],[team_defense_snaps]])</f>
        <v>0.859375</v>
      </c>
      <c r="V1887">
        <v>64</v>
      </c>
      <c r="W1887">
        <v>1</v>
      </c>
      <c r="X1887" s="5" t="s">
        <v>193</v>
      </c>
      <c r="Y1887">
        <v>4</v>
      </c>
      <c r="Z1887">
        <v>0</v>
      </c>
      <c r="AA1887" t="s">
        <v>25</v>
      </c>
      <c r="AB1887" t="s">
        <v>26</v>
      </c>
      <c r="AC1887" t="s">
        <v>27</v>
      </c>
      <c r="AD1887" t="s">
        <v>42</v>
      </c>
      <c r="AE1887" t="s">
        <v>25</v>
      </c>
      <c r="AF18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8.9285714285714281E-3</v>
      </c>
      <c r="AG1887" t="s">
        <v>942</v>
      </c>
      <c r="AH1887">
        <v>67.5</v>
      </c>
      <c r="AI1887" t="s">
        <v>939</v>
      </c>
      <c r="AJ1887">
        <v>1</v>
      </c>
      <c r="AK18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MIN(AJ1887/8, 1) +
  Merge1[[#This Row],[index_defensive_effort]],
  2
)</f>
        <v>0.73</v>
      </c>
    </row>
    <row r="1888" spans="1:37" x14ac:dyDescent="0.25">
      <c r="A1888" t="s">
        <v>586</v>
      </c>
      <c r="B1888" t="s">
        <v>587</v>
      </c>
      <c r="C1888">
        <v>26</v>
      </c>
      <c r="D1888" t="s">
        <v>56</v>
      </c>
      <c r="E1888">
        <v>72</v>
      </c>
      <c r="F1888">
        <v>196</v>
      </c>
      <c r="G1888" t="s">
        <v>41</v>
      </c>
      <c r="H1888">
        <v>2020</v>
      </c>
      <c r="I1888" t="s">
        <v>33</v>
      </c>
      <c r="J1888">
        <v>4</v>
      </c>
      <c r="K1888">
        <v>1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23</v>
      </c>
      <c r="T1888">
        <v>12</v>
      </c>
      <c r="U1888" s="5">
        <f>IF(Merge1[[#This Row],[team_defense_snaps]]=0, "", Merge1[[#This Row],[defense_snaps]] / Merge1[[#This Row],[team_defense_snaps]])</f>
        <v>0.16</v>
      </c>
      <c r="V1888">
        <v>75</v>
      </c>
      <c r="W1888">
        <v>11</v>
      </c>
      <c r="X1888" s="5" t="s">
        <v>200</v>
      </c>
      <c r="Y1888">
        <v>1</v>
      </c>
      <c r="Z1888">
        <v>0</v>
      </c>
      <c r="AA1888" t="s">
        <v>25</v>
      </c>
      <c r="AB1888" t="s">
        <v>26</v>
      </c>
      <c r="AC1888" t="s">
        <v>27</v>
      </c>
      <c r="AD1888" t="s">
        <v>28</v>
      </c>
      <c r="AE1888" t="s">
        <v>25</v>
      </c>
      <c r="AF18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4.3478260869565216E-2</v>
      </c>
      <c r="AG1888" t="s">
        <v>943</v>
      </c>
      <c r="AH1888">
        <v>51.5</v>
      </c>
      <c r="AI1888" t="s">
        <v>939</v>
      </c>
      <c r="AJ1888">
        <v>1</v>
      </c>
      <c r="AK18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MIN(AJ1888/8, 1) +
  Merge1[[#This Row],[index_defensive_effort]],
  2
)</f>
        <v>0.67</v>
      </c>
    </row>
    <row r="1889" spans="1:37" x14ac:dyDescent="0.25">
      <c r="A1889" t="s">
        <v>586</v>
      </c>
      <c r="B1889" t="s">
        <v>587</v>
      </c>
      <c r="C1889">
        <v>26</v>
      </c>
      <c r="D1889" t="s">
        <v>56</v>
      </c>
      <c r="E1889">
        <v>72</v>
      </c>
      <c r="F1889">
        <v>196</v>
      </c>
      <c r="G1889" t="s">
        <v>41</v>
      </c>
      <c r="H1889">
        <v>2020</v>
      </c>
      <c r="I1889" t="s">
        <v>33</v>
      </c>
      <c r="J1889">
        <v>6</v>
      </c>
      <c r="K1889">
        <v>1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18</v>
      </c>
      <c r="T1889">
        <v>5</v>
      </c>
      <c r="U1889" s="5">
        <f>IF(Merge1[[#This Row],[team_defense_snaps]]=0, "", Merge1[[#This Row],[defense_snaps]] / Merge1[[#This Row],[team_defense_snaps]])</f>
        <v>7.8125E-2</v>
      </c>
      <c r="V1889">
        <v>64</v>
      </c>
      <c r="W1889">
        <v>13</v>
      </c>
      <c r="X1889" s="5" t="s">
        <v>75</v>
      </c>
      <c r="Y1889">
        <v>1</v>
      </c>
      <c r="Z1889">
        <v>0</v>
      </c>
      <c r="AA1889" t="s">
        <v>25</v>
      </c>
      <c r="AB1889" t="s">
        <v>26</v>
      </c>
      <c r="AC1889" t="s">
        <v>27</v>
      </c>
      <c r="AD1889" t="s">
        <v>28</v>
      </c>
      <c r="AE1889" t="s">
        <v>25</v>
      </c>
      <c r="AF18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1889" t="s">
        <v>943</v>
      </c>
      <c r="AH1889">
        <v>60.5</v>
      </c>
      <c r="AI1889" t="s">
        <v>939</v>
      </c>
      <c r="AJ1889">
        <v>1</v>
      </c>
      <c r="AK18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MIN(AJ1889/8, 1) +
  Merge1[[#This Row],[index_defensive_effort]],
  2
)</f>
        <v>0.68</v>
      </c>
    </row>
    <row r="1890" spans="1:37" x14ac:dyDescent="0.25">
      <c r="A1890" t="s">
        <v>586</v>
      </c>
      <c r="B1890" t="s">
        <v>587</v>
      </c>
      <c r="C1890">
        <v>26</v>
      </c>
      <c r="D1890" t="s">
        <v>56</v>
      </c>
      <c r="E1890">
        <v>72</v>
      </c>
      <c r="F1890">
        <v>196</v>
      </c>
      <c r="G1890" t="s">
        <v>41</v>
      </c>
      <c r="H1890">
        <v>2020</v>
      </c>
      <c r="I1890" t="s">
        <v>33</v>
      </c>
      <c r="J1890">
        <v>9</v>
      </c>
      <c r="K1890">
        <v>1</v>
      </c>
      <c r="L1890">
        <v>1</v>
      </c>
      <c r="M1890">
        <v>0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42</v>
      </c>
      <c r="T1890">
        <v>26</v>
      </c>
      <c r="U1890" s="5">
        <f>IF(Merge1[[#This Row],[team_defense_snaps]]=0, "", Merge1[[#This Row],[defense_snaps]] / Merge1[[#This Row],[team_defense_snaps]])</f>
        <v>0.45614035087719296</v>
      </c>
      <c r="V1890">
        <v>57</v>
      </c>
      <c r="W1890">
        <v>16</v>
      </c>
      <c r="X1890" s="5" t="s">
        <v>102</v>
      </c>
      <c r="Y1890">
        <v>1</v>
      </c>
      <c r="Z1890">
        <v>0</v>
      </c>
      <c r="AA1890" t="s">
        <v>25</v>
      </c>
      <c r="AB1890" t="s">
        <v>26</v>
      </c>
      <c r="AC1890" t="s">
        <v>27</v>
      </c>
      <c r="AD1890" t="s">
        <v>28</v>
      </c>
      <c r="AE1890" t="s">
        <v>25</v>
      </c>
      <c r="AF18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3.5714285714285712E-2</v>
      </c>
      <c r="AG1890" t="s">
        <v>943</v>
      </c>
      <c r="AH1890">
        <v>53</v>
      </c>
      <c r="AI1890" t="s">
        <v>939</v>
      </c>
      <c r="AJ1890">
        <v>2</v>
      </c>
      <c r="AK18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MIN(AJ1890/8, 1) +
  Merge1[[#This Row],[index_defensive_effort]],
  2
)</f>
        <v>0.79</v>
      </c>
    </row>
    <row r="1891" spans="1:37" x14ac:dyDescent="0.25">
      <c r="A1891" t="s">
        <v>586</v>
      </c>
      <c r="B1891" t="s">
        <v>587</v>
      </c>
      <c r="C1891">
        <v>26</v>
      </c>
      <c r="D1891" t="s">
        <v>56</v>
      </c>
      <c r="E1891">
        <v>72</v>
      </c>
      <c r="F1891">
        <v>196</v>
      </c>
      <c r="G1891" t="s">
        <v>41</v>
      </c>
      <c r="H1891">
        <v>2020</v>
      </c>
      <c r="I1891" t="s">
        <v>33</v>
      </c>
      <c r="J1891">
        <v>10</v>
      </c>
      <c r="K1891">
        <v>4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62</v>
      </c>
      <c r="T1891">
        <v>51</v>
      </c>
      <c r="U1891" s="5">
        <f>IF(Merge1[[#This Row],[team_defense_snaps]]=0, "", Merge1[[#This Row],[defense_snaps]] / Merge1[[#This Row],[team_defense_snaps]])</f>
        <v>0.796875</v>
      </c>
      <c r="V1891">
        <v>64</v>
      </c>
      <c r="W1891">
        <v>11</v>
      </c>
      <c r="X1891" s="5" t="s">
        <v>60</v>
      </c>
      <c r="Y1891">
        <v>1</v>
      </c>
      <c r="Z1891">
        <v>0</v>
      </c>
      <c r="AA1891" t="s">
        <v>25</v>
      </c>
      <c r="AB1891" t="s">
        <v>26</v>
      </c>
      <c r="AC1891" t="s">
        <v>27</v>
      </c>
      <c r="AD1891" t="s">
        <v>42</v>
      </c>
      <c r="AE1891" t="s">
        <v>25</v>
      </c>
      <c r="AF18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6.4516129032258063E-2</v>
      </c>
      <c r="AG1891" t="s">
        <v>943</v>
      </c>
      <c r="AH1891">
        <v>57.5</v>
      </c>
      <c r="AI1891" t="s">
        <v>939</v>
      </c>
      <c r="AJ1891">
        <v>1</v>
      </c>
      <c r="AK18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MIN(AJ1891/8, 1) +
  Merge1[[#This Row],[index_defensive_effort]],
  2
)</f>
        <v>0.69</v>
      </c>
    </row>
    <row r="1892" spans="1:37" x14ac:dyDescent="0.25">
      <c r="A1892" t="s">
        <v>572</v>
      </c>
      <c r="B1892" t="s">
        <v>573</v>
      </c>
      <c r="C1892">
        <v>21</v>
      </c>
      <c r="D1892" t="s">
        <v>22</v>
      </c>
      <c r="E1892">
        <v>74</v>
      </c>
      <c r="F1892">
        <v>205</v>
      </c>
      <c r="G1892" t="s">
        <v>286</v>
      </c>
      <c r="H1892">
        <v>2020</v>
      </c>
      <c r="I1892" t="s">
        <v>33</v>
      </c>
      <c r="J1892">
        <v>1</v>
      </c>
      <c r="K1892">
        <v>4</v>
      </c>
      <c r="L1892">
        <v>1</v>
      </c>
      <c r="M1892">
        <v>0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40</v>
      </c>
      <c r="T1892">
        <v>22</v>
      </c>
      <c r="U1892" s="5">
        <f>IF(Merge1[[#This Row],[team_defense_snaps]]=0, "", Merge1[[#This Row],[defense_snaps]] / Merge1[[#This Row],[team_defense_snaps]])</f>
        <v>0.3188405797101449</v>
      </c>
      <c r="V1892">
        <v>69</v>
      </c>
      <c r="W1892">
        <v>18</v>
      </c>
      <c r="X1892" s="5" t="s">
        <v>182</v>
      </c>
      <c r="Y1892">
        <v>0</v>
      </c>
      <c r="Z1892">
        <v>0</v>
      </c>
      <c r="AA1892" t="s">
        <v>25</v>
      </c>
      <c r="AB1892" t="s">
        <v>26</v>
      </c>
      <c r="AC1892" t="s">
        <v>27</v>
      </c>
      <c r="AD1892" t="s">
        <v>28</v>
      </c>
      <c r="AE1892" t="s">
        <v>25</v>
      </c>
      <c r="AF18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0.1125</v>
      </c>
      <c r="AG1892" t="s">
        <v>941</v>
      </c>
      <c r="AH1892">
        <v>72.5</v>
      </c>
      <c r="AI1892" t="s">
        <v>939</v>
      </c>
      <c r="AJ1892">
        <v>1</v>
      </c>
      <c r="AK18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MIN(AJ1892/8, 1) +
  Merge1[[#This Row],[index_defensive_effort]],
  2
)</f>
        <v>0.64</v>
      </c>
    </row>
    <row r="1893" spans="1:37" x14ac:dyDescent="0.25">
      <c r="A1893" t="s">
        <v>572</v>
      </c>
      <c r="B1893" t="s">
        <v>573</v>
      </c>
      <c r="C1893">
        <v>21</v>
      </c>
      <c r="D1893" t="s">
        <v>22</v>
      </c>
      <c r="E1893">
        <v>74</v>
      </c>
      <c r="F1893">
        <v>205</v>
      </c>
      <c r="G1893" t="s">
        <v>286</v>
      </c>
      <c r="H1893">
        <v>2020</v>
      </c>
      <c r="I1893" t="s">
        <v>33</v>
      </c>
      <c r="J1893">
        <v>1</v>
      </c>
      <c r="K1893">
        <v>4</v>
      </c>
      <c r="L1893">
        <v>1</v>
      </c>
      <c r="M1893">
        <v>0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40</v>
      </c>
      <c r="T1893">
        <v>22</v>
      </c>
      <c r="U1893" s="5">
        <f>IF(Merge1[[#This Row],[team_defense_snaps]]=0, "", Merge1[[#This Row],[defense_snaps]] / Merge1[[#This Row],[team_defense_snaps]])</f>
        <v>0.3188405797101449</v>
      </c>
      <c r="V1893">
        <v>69</v>
      </c>
      <c r="W1893">
        <v>18</v>
      </c>
      <c r="X1893" s="5" t="s">
        <v>182</v>
      </c>
      <c r="Y1893">
        <v>0</v>
      </c>
      <c r="Z1893">
        <v>0</v>
      </c>
      <c r="AA1893" t="s">
        <v>25</v>
      </c>
      <c r="AB1893" t="s">
        <v>26</v>
      </c>
      <c r="AC1893" t="s">
        <v>27</v>
      </c>
      <c r="AD1893" t="s">
        <v>28</v>
      </c>
      <c r="AE1893" t="s">
        <v>25</v>
      </c>
      <c r="AF18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0.1125</v>
      </c>
      <c r="AG1893" t="s">
        <v>941</v>
      </c>
      <c r="AH1893">
        <v>68</v>
      </c>
      <c r="AI1893" t="s">
        <v>939</v>
      </c>
      <c r="AJ1893">
        <v>2</v>
      </c>
      <c r="AK18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MIN(AJ1893/8, 1) +
  Merge1[[#This Row],[index_defensive_effort]],
  2
)</f>
        <v>0.76</v>
      </c>
    </row>
    <row r="1894" spans="1:37" x14ac:dyDescent="0.25">
      <c r="A1894" t="s">
        <v>572</v>
      </c>
      <c r="B1894" t="s">
        <v>573</v>
      </c>
      <c r="C1894">
        <v>21</v>
      </c>
      <c r="D1894" t="s">
        <v>22</v>
      </c>
      <c r="E1894">
        <v>74</v>
      </c>
      <c r="F1894">
        <v>205</v>
      </c>
      <c r="G1894" t="s">
        <v>286</v>
      </c>
      <c r="H1894">
        <v>2020</v>
      </c>
      <c r="I1894" t="s">
        <v>33</v>
      </c>
      <c r="J1894">
        <v>2</v>
      </c>
      <c r="K1894">
        <v>2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41</v>
      </c>
      <c r="T1894">
        <v>32</v>
      </c>
      <c r="U1894" s="5">
        <f>IF(Merge1[[#This Row],[team_defense_snaps]]=0, "", Merge1[[#This Row],[defense_snaps]] / Merge1[[#This Row],[team_defense_snaps]])</f>
        <v>0.41558441558441561</v>
      </c>
      <c r="V1894">
        <v>77</v>
      </c>
      <c r="W1894">
        <v>9</v>
      </c>
      <c r="X1894" s="5" t="s">
        <v>108</v>
      </c>
      <c r="Y1894">
        <v>0</v>
      </c>
      <c r="Z1894">
        <v>0</v>
      </c>
      <c r="AA1894" t="s">
        <v>25</v>
      </c>
      <c r="AB1894" t="s">
        <v>26</v>
      </c>
      <c r="AC1894" t="s">
        <v>27</v>
      </c>
      <c r="AD1894" t="s">
        <v>28</v>
      </c>
      <c r="AE1894" t="s">
        <v>25</v>
      </c>
      <c r="AF18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4.878048780487805E-2</v>
      </c>
      <c r="AG1894" t="s">
        <v>941</v>
      </c>
      <c r="AH1894">
        <v>56</v>
      </c>
      <c r="AI1894" t="s">
        <v>939</v>
      </c>
      <c r="AJ1894">
        <v>1</v>
      </c>
      <c r="AK18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MIN(AJ1894/8, 1) +
  Merge1[[#This Row],[index_defensive_effort]],
  2
)</f>
        <v>0.56999999999999995</v>
      </c>
    </row>
    <row r="1895" spans="1:37" x14ac:dyDescent="0.25">
      <c r="A1895" t="s">
        <v>572</v>
      </c>
      <c r="B1895" t="s">
        <v>573</v>
      </c>
      <c r="C1895">
        <v>21</v>
      </c>
      <c r="D1895" t="s">
        <v>22</v>
      </c>
      <c r="E1895">
        <v>74</v>
      </c>
      <c r="F1895">
        <v>205</v>
      </c>
      <c r="G1895" t="s">
        <v>286</v>
      </c>
      <c r="H1895">
        <v>2020</v>
      </c>
      <c r="I1895" t="s">
        <v>33</v>
      </c>
      <c r="J1895">
        <v>2</v>
      </c>
      <c r="K1895">
        <v>2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41</v>
      </c>
      <c r="T1895">
        <v>32</v>
      </c>
      <c r="U1895" s="5">
        <f>IF(Merge1[[#This Row],[team_defense_snaps]]=0, "", Merge1[[#This Row],[defense_snaps]] / Merge1[[#This Row],[team_defense_snaps]])</f>
        <v>0.41558441558441561</v>
      </c>
      <c r="V1895">
        <v>77</v>
      </c>
      <c r="W1895">
        <v>9</v>
      </c>
      <c r="X1895" s="5" t="s">
        <v>108</v>
      </c>
      <c r="Y1895">
        <v>0</v>
      </c>
      <c r="Z1895">
        <v>0</v>
      </c>
      <c r="AA1895" t="s">
        <v>25</v>
      </c>
      <c r="AB1895" t="s">
        <v>26</v>
      </c>
      <c r="AC1895" t="s">
        <v>27</v>
      </c>
      <c r="AD1895" t="s">
        <v>28</v>
      </c>
      <c r="AE1895" t="s">
        <v>25</v>
      </c>
      <c r="AF18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4.878048780487805E-2</v>
      </c>
      <c r="AG1895" t="s">
        <v>941</v>
      </c>
      <c r="AH1895">
        <v>60.5</v>
      </c>
      <c r="AI1895" t="s">
        <v>939</v>
      </c>
      <c r="AJ1895">
        <v>2</v>
      </c>
      <c r="AK18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MIN(AJ1895/8, 1) +
  Merge1[[#This Row],[index_defensive_effort]],
  2
)</f>
        <v>0.7</v>
      </c>
    </row>
    <row r="1896" spans="1:37" x14ac:dyDescent="0.25">
      <c r="A1896" t="s">
        <v>572</v>
      </c>
      <c r="B1896" t="s">
        <v>573</v>
      </c>
      <c r="C1896">
        <v>21</v>
      </c>
      <c r="D1896" t="s">
        <v>22</v>
      </c>
      <c r="E1896">
        <v>74</v>
      </c>
      <c r="F1896">
        <v>205</v>
      </c>
      <c r="G1896" t="s">
        <v>286</v>
      </c>
      <c r="H1896">
        <v>2020</v>
      </c>
      <c r="I1896" t="s">
        <v>33</v>
      </c>
      <c r="J1896">
        <v>3</v>
      </c>
      <c r="K1896">
        <v>2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34</v>
      </c>
      <c r="T1896">
        <v>14</v>
      </c>
      <c r="U1896" s="5">
        <f>IF(Merge1[[#This Row],[team_defense_snaps]]=0, "", Merge1[[#This Row],[defense_snaps]] / Merge1[[#This Row],[team_defense_snaps]])</f>
        <v>0.21875</v>
      </c>
      <c r="V1896">
        <v>64</v>
      </c>
      <c r="W1896">
        <v>20</v>
      </c>
      <c r="X1896" s="5" t="s">
        <v>230</v>
      </c>
      <c r="Y1896">
        <v>0</v>
      </c>
      <c r="Z1896">
        <v>0</v>
      </c>
      <c r="AA1896" t="s">
        <v>25</v>
      </c>
      <c r="AB1896" t="s">
        <v>26</v>
      </c>
      <c r="AC1896" t="s">
        <v>27</v>
      </c>
      <c r="AD1896" t="s">
        <v>28</v>
      </c>
      <c r="AE1896" t="s">
        <v>25</v>
      </c>
      <c r="AF18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AG1896" t="s">
        <v>941</v>
      </c>
      <c r="AH1896">
        <v>62</v>
      </c>
      <c r="AI1896" t="s">
        <v>939</v>
      </c>
      <c r="AJ1896">
        <v>1</v>
      </c>
      <c r="AK18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MIN(AJ1896/8, 1) +
  Merge1[[#This Row],[index_defensive_effort]],
  2
)</f>
        <v>0.57999999999999996</v>
      </c>
    </row>
    <row r="1897" spans="1:37" x14ac:dyDescent="0.25">
      <c r="A1897" t="s">
        <v>572</v>
      </c>
      <c r="B1897" t="s">
        <v>573</v>
      </c>
      <c r="C1897">
        <v>21</v>
      </c>
      <c r="D1897" t="s">
        <v>22</v>
      </c>
      <c r="E1897">
        <v>74</v>
      </c>
      <c r="F1897">
        <v>205</v>
      </c>
      <c r="G1897" t="s">
        <v>286</v>
      </c>
      <c r="H1897">
        <v>2020</v>
      </c>
      <c r="I1897" t="s">
        <v>33</v>
      </c>
      <c r="J1897">
        <v>3</v>
      </c>
      <c r="K1897">
        <v>2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34</v>
      </c>
      <c r="T1897">
        <v>14</v>
      </c>
      <c r="U1897" s="5">
        <f>IF(Merge1[[#This Row],[team_defense_snaps]]=0, "", Merge1[[#This Row],[defense_snaps]] / Merge1[[#This Row],[team_defense_snaps]])</f>
        <v>0.21875</v>
      </c>
      <c r="V1897">
        <v>64</v>
      </c>
      <c r="W1897">
        <v>20</v>
      </c>
      <c r="X1897" s="5" t="s">
        <v>230</v>
      </c>
      <c r="Y1897">
        <v>0</v>
      </c>
      <c r="Z1897">
        <v>0</v>
      </c>
      <c r="AA1897" t="s">
        <v>25</v>
      </c>
      <c r="AB1897" t="s">
        <v>26</v>
      </c>
      <c r="AC1897" t="s">
        <v>27</v>
      </c>
      <c r="AD1897" t="s">
        <v>28</v>
      </c>
      <c r="AE1897" t="s">
        <v>25</v>
      </c>
      <c r="AF18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AG1897" t="s">
        <v>941</v>
      </c>
      <c r="AH1897">
        <v>69.5</v>
      </c>
      <c r="AI1897" t="s">
        <v>939</v>
      </c>
      <c r="AJ1897">
        <v>2</v>
      </c>
      <c r="AK18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MIN(AJ1897/8, 1) +
  Merge1[[#This Row],[index_defensive_effort]],
  2
)</f>
        <v>0.71</v>
      </c>
    </row>
    <row r="1898" spans="1:37" x14ac:dyDescent="0.25">
      <c r="A1898" t="s">
        <v>572</v>
      </c>
      <c r="B1898" t="s">
        <v>573</v>
      </c>
      <c r="C1898">
        <v>21</v>
      </c>
      <c r="D1898" t="s">
        <v>22</v>
      </c>
      <c r="E1898">
        <v>74</v>
      </c>
      <c r="F1898">
        <v>205</v>
      </c>
      <c r="G1898" t="s">
        <v>286</v>
      </c>
      <c r="H1898">
        <v>2020</v>
      </c>
      <c r="I1898" t="s">
        <v>33</v>
      </c>
      <c r="J1898">
        <v>4</v>
      </c>
      <c r="K1898">
        <v>1</v>
      </c>
      <c r="L1898">
        <v>2</v>
      </c>
      <c r="M1898">
        <v>0</v>
      </c>
      <c r="N1898">
        <v>2</v>
      </c>
      <c r="O1898">
        <v>0</v>
      </c>
      <c r="P1898">
        <v>0</v>
      </c>
      <c r="Q1898">
        <v>0</v>
      </c>
      <c r="R1898">
        <v>0</v>
      </c>
      <c r="S1898">
        <v>41</v>
      </c>
      <c r="T1898">
        <v>24</v>
      </c>
      <c r="U1898" s="5">
        <f>IF(Merge1[[#This Row],[team_defense_snaps]]=0, "", Merge1[[#This Row],[defense_snaps]] / Merge1[[#This Row],[team_defense_snaps]])</f>
        <v>0.42105263157894735</v>
      </c>
      <c r="V1898">
        <v>57</v>
      </c>
      <c r="W1898">
        <v>17</v>
      </c>
      <c r="X1898" s="5" t="s">
        <v>215</v>
      </c>
      <c r="Y1898">
        <v>0</v>
      </c>
      <c r="Z1898">
        <v>0</v>
      </c>
      <c r="AA1898" t="s">
        <v>25</v>
      </c>
      <c r="AB1898" t="s">
        <v>26</v>
      </c>
      <c r="AC1898" t="s">
        <v>27</v>
      </c>
      <c r="AD1898" t="s">
        <v>42</v>
      </c>
      <c r="AE1898" t="s">
        <v>25</v>
      </c>
      <c r="AF18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4.878048780487805E-2</v>
      </c>
      <c r="AG1898" t="s">
        <v>941</v>
      </c>
      <c r="AH1898">
        <v>57.5</v>
      </c>
      <c r="AI1898" t="s">
        <v>939</v>
      </c>
      <c r="AJ1898">
        <v>1</v>
      </c>
      <c r="AK18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MIN(AJ1898/8, 1) +
  Merge1[[#This Row],[index_defensive_effort]],
  2
)</f>
        <v>0.56999999999999995</v>
      </c>
    </row>
    <row r="1899" spans="1:37" x14ac:dyDescent="0.25">
      <c r="A1899" t="s">
        <v>572</v>
      </c>
      <c r="B1899" t="s">
        <v>573</v>
      </c>
      <c r="C1899">
        <v>21</v>
      </c>
      <c r="D1899" t="s">
        <v>22</v>
      </c>
      <c r="E1899">
        <v>74</v>
      </c>
      <c r="F1899">
        <v>205</v>
      </c>
      <c r="G1899" t="s">
        <v>286</v>
      </c>
      <c r="H1899">
        <v>2020</v>
      </c>
      <c r="I1899" t="s">
        <v>33</v>
      </c>
      <c r="J1899">
        <v>4</v>
      </c>
      <c r="K1899">
        <v>1</v>
      </c>
      <c r="L1899">
        <v>2</v>
      </c>
      <c r="M1899">
        <v>0</v>
      </c>
      <c r="N1899">
        <v>2</v>
      </c>
      <c r="O1899">
        <v>0</v>
      </c>
      <c r="P1899">
        <v>0</v>
      </c>
      <c r="Q1899">
        <v>0</v>
      </c>
      <c r="R1899">
        <v>0</v>
      </c>
      <c r="S1899">
        <v>41</v>
      </c>
      <c r="T1899">
        <v>24</v>
      </c>
      <c r="U1899" s="5">
        <f>IF(Merge1[[#This Row],[team_defense_snaps]]=0, "", Merge1[[#This Row],[defense_snaps]] / Merge1[[#This Row],[team_defense_snaps]])</f>
        <v>0.42105263157894735</v>
      </c>
      <c r="V1899">
        <v>57</v>
      </c>
      <c r="W1899">
        <v>17</v>
      </c>
      <c r="X1899" s="5" t="s">
        <v>215</v>
      </c>
      <c r="Y1899">
        <v>0</v>
      </c>
      <c r="Z1899">
        <v>0</v>
      </c>
      <c r="AA1899" t="s">
        <v>25</v>
      </c>
      <c r="AB1899" t="s">
        <v>26</v>
      </c>
      <c r="AC1899" t="s">
        <v>27</v>
      </c>
      <c r="AD1899" t="s">
        <v>42</v>
      </c>
      <c r="AE1899" t="s">
        <v>25</v>
      </c>
      <c r="AF18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4.878048780487805E-2</v>
      </c>
      <c r="AG1899" t="s">
        <v>941</v>
      </c>
      <c r="AH1899">
        <v>71</v>
      </c>
      <c r="AI1899" t="s">
        <v>939</v>
      </c>
      <c r="AJ1899">
        <v>2</v>
      </c>
      <c r="AK18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MIN(AJ1899/8, 1) +
  Merge1[[#This Row],[index_defensive_effort]],
  2
)</f>
        <v>0.7</v>
      </c>
    </row>
    <row r="1900" spans="1:37" x14ac:dyDescent="0.25">
      <c r="A1900" t="s">
        <v>572</v>
      </c>
      <c r="B1900" t="s">
        <v>573</v>
      </c>
      <c r="C1900">
        <v>21</v>
      </c>
      <c r="D1900" t="s">
        <v>22</v>
      </c>
      <c r="E1900">
        <v>74</v>
      </c>
      <c r="F1900">
        <v>205</v>
      </c>
      <c r="G1900" t="s">
        <v>286</v>
      </c>
      <c r="H1900">
        <v>2020</v>
      </c>
      <c r="I1900" t="s">
        <v>33</v>
      </c>
      <c r="J1900">
        <v>5</v>
      </c>
      <c r="K1900">
        <v>1</v>
      </c>
      <c r="L1900">
        <v>2</v>
      </c>
      <c r="M1900">
        <v>0</v>
      </c>
      <c r="N1900">
        <v>2</v>
      </c>
      <c r="O1900">
        <v>0</v>
      </c>
      <c r="P1900">
        <v>0</v>
      </c>
      <c r="Q1900">
        <v>0</v>
      </c>
      <c r="R1900">
        <v>0</v>
      </c>
      <c r="S1900">
        <v>46</v>
      </c>
      <c r="T1900">
        <v>36</v>
      </c>
      <c r="U1900" s="5">
        <f>IF(Merge1[[#This Row],[team_defense_snaps]]=0, "", Merge1[[#This Row],[defense_snaps]] / Merge1[[#This Row],[team_defense_snaps]])</f>
        <v>0.52941176470588236</v>
      </c>
      <c r="V1900">
        <v>68</v>
      </c>
      <c r="W1900">
        <v>10</v>
      </c>
      <c r="X1900" s="5" t="s">
        <v>123</v>
      </c>
      <c r="Y1900">
        <v>0</v>
      </c>
      <c r="Z1900">
        <v>0</v>
      </c>
      <c r="AA1900" t="s">
        <v>25</v>
      </c>
      <c r="AB1900" t="s">
        <v>26</v>
      </c>
      <c r="AC1900" t="s">
        <v>27</v>
      </c>
      <c r="AD1900" t="s">
        <v>42</v>
      </c>
      <c r="AE1900" t="s">
        <v>25</v>
      </c>
      <c r="AF19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4.3478260869565216E-2</v>
      </c>
      <c r="AG1900" t="s">
        <v>941</v>
      </c>
      <c r="AH1900">
        <v>50</v>
      </c>
      <c r="AI1900" t="s">
        <v>939</v>
      </c>
      <c r="AJ1900">
        <v>1</v>
      </c>
      <c r="AK19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MIN(AJ1900/8, 1) +
  Merge1[[#This Row],[index_defensive_effort]],
  2
)</f>
        <v>0.56999999999999995</v>
      </c>
    </row>
    <row r="1901" spans="1:37" x14ac:dyDescent="0.25">
      <c r="A1901" t="s">
        <v>572</v>
      </c>
      <c r="B1901" t="s">
        <v>573</v>
      </c>
      <c r="C1901">
        <v>21</v>
      </c>
      <c r="D1901" t="s">
        <v>22</v>
      </c>
      <c r="E1901">
        <v>74</v>
      </c>
      <c r="F1901">
        <v>205</v>
      </c>
      <c r="G1901" t="s">
        <v>286</v>
      </c>
      <c r="H1901">
        <v>2020</v>
      </c>
      <c r="I1901" t="s">
        <v>33</v>
      </c>
      <c r="J1901">
        <v>5</v>
      </c>
      <c r="K1901">
        <v>1</v>
      </c>
      <c r="L1901">
        <v>2</v>
      </c>
      <c r="M1901">
        <v>0</v>
      </c>
      <c r="N1901">
        <v>2</v>
      </c>
      <c r="O1901">
        <v>0</v>
      </c>
      <c r="P1901">
        <v>0</v>
      </c>
      <c r="Q1901">
        <v>0</v>
      </c>
      <c r="R1901">
        <v>0</v>
      </c>
      <c r="S1901">
        <v>46</v>
      </c>
      <c r="T1901">
        <v>36</v>
      </c>
      <c r="U1901" s="5">
        <f>IF(Merge1[[#This Row],[team_defense_snaps]]=0, "", Merge1[[#This Row],[defense_snaps]] / Merge1[[#This Row],[team_defense_snaps]])</f>
        <v>0.52941176470588236</v>
      </c>
      <c r="V1901">
        <v>68</v>
      </c>
      <c r="W1901">
        <v>10</v>
      </c>
      <c r="X1901" s="5" t="s">
        <v>123</v>
      </c>
      <c r="Y1901">
        <v>0</v>
      </c>
      <c r="Z1901">
        <v>0</v>
      </c>
      <c r="AA1901" t="s">
        <v>25</v>
      </c>
      <c r="AB1901" t="s">
        <v>26</v>
      </c>
      <c r="AC1901" t="s">
        <v>27</v>
      </c>
      <c r="AD1901" t="s">
        <v>42</v>
      </c>
      <c r="AE1901" t="s">
        <v>25</v>
      </c>
      <c r="AF19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4.3478260869565216E-2</v>
      </c>
      <c r="AG1901" t="s">
        <v>941</v>
      </c>
      <c r="AH1901">
        <v>59</v>
      </c>
      <c r="AI1901" t="s">
        <v>939</v>
      </c>
      <c r="AJ1901">
        <v>2</v>
      </c>
      <c r="AK19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MIN(AJ1901/8, 1) +
  Merge1[[#This Row],[index_defensive_effort]],
  2
)</f>
        <v>0.69</v>
      </c>
    </row>
    <row r="1902" spans="1:37" x14ac:dyDescent="0.25">
      <c r="A1902" t="s">
        <v>572</v>
      </c>
      <c r="B1902" t="s">
        <v>573</v>
      </c>
      <c r="C1902">
        <v>21</v>
      </c>
      <c r="D1902" t="s">
        <v>22</v>
      </c>
      <c r="E1902">
        <v>74</v>
      </c>
      <c r="F1902">
        <v>205</v>
      </c>
      <c r="G1902" t="s">
        <v>286</v>
      </c>
      <c r="H1902">
        <v>2020</v>
      </c>
      <c r="I1902" t="s">
        <v>33</v>
      </c>
      <c r="J1902">
        <v>6</v>
      </c>
      <c r="K1902">
        <v>1</v>
      </c>
      <c r="L1902">
        <v>0</v>
      </c>
      <c r="M1902">
        <v>0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16</v>
      </c>
      <c r="T1902">
        <v>2</v>
      </c>
      <c r="U1902" s="5">
        <f>IF(Merge1[[#This Row],[team_defense_snaps]]=0, "", Merge1[[#This Row],[defense_snaps]] / Merge1[[#This Row],[team_defense_snaps]])</f>
        <v>0.04</v>
      </c>
      <c r="V1902">
        <v>50</v>
      </c>
      <c r="W1902">
        <v>14</v>
      </c>
      <c r="X1902" s="5" t="s">
        <v>80</v>
      </c>
      <c r="Y1902">
        <v>0</v>
      </c>
      <c r="Z1902">
        <v>0</v>
      </c>
      <c r="AA1902" t="s">
        <v>25</v>
      </c>
      <c r="AB1902" t="s">
        <v>26</v>
      </c>
      <c r="AC1902" t="s">
        <v>27</v>
      </c>
      <c r="AD1902" t="s">
        <v>28</v>
      </c>
      <c r="AE1902" t="s">
        <v>25</v>
      </c>
      <c r="AF19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0.1875</v>
      </c>
      <c r="AG1902" t="s">
        <v>941</v>
      </c>
      <c r="AH1902">
        <v>51.5</v>
      </c>
      <c r="AI1902" t="s">
        <v>939</v>
      </c>
      <c r="AJ1902">
        <v>1</v>
      </c>
      <c r="AK19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MIN(AJ1902/8, 1) +
  Merge1[[#This Row],[index_defensive_effort]],
  2
)</f>
        <v>0.71</v>
      </c>
    </row>
    <row r="1903" spans="1:37" x14ac:dyDescent="0.25">
      <c r="A1903" t="s">
        <v>572</v>
      </c>
      <c r="B1903" t="s">
        <v>573</v>
      </c>
      <c r="C1903">
        <v>21</v>
      </c>
      <c r="D1903" t="s">
        <v>22</v>
      </c>
      <c r="E1903">
        <v>74</v>
      </c>
      <c r="F1903">
        <v>205</v>
      </c>
      <c r="G1903" t="s">
        <v>286</v>
      </c>
      <c r="H1903">
        <v>2020</v>
      </c>
      <c r="I1903" t="s">
        <v>33</v>
      </c>
      <c r="J1903">
        <v>6</v>
      </c>
      <c r="K1903">
        <v>1</v>
      </c>
      <c r="L1903">
        <v>0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16</v>
      </c>
      <c r="T1903">
        <v>2</v>
      </c>
      <c r="U1903" s="5">
        <f>IF(Merge1[[#This Row],[team_defense_snaps]]=0, "", Merge1[[#This Row],[defense_snaps]] / Merge1[[#This Row],[team_defense_snaps]])</f>
        <v>0.04</v>
      </c>
      <c r="V1903">
        <v>50</v>
      </c>
      <c r="W1903">
        <v>14</v>
      </c>
      <c r="X1903" s="5" t="s">
        <v>80</v>
      </c>
      <c r="Y1903">
        <v>0</v>
      </c>
      <c r="Z1903">
        <v>0</v>
      </c>
      <c r="AA1903" t="s">
        <v>25</v>
      </c>
      <c r="AB1903" t="s">
        <v>26</v>
      </c>
      <c r="AC1903" t="s">
        <v>27</v>
      </c>
      <c r="AD1903" t="s">
        <v>28</v>
      </c>
      <c r="AE1903" t="s">
        <v>25</v>
      </c>
      <c r="AF19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0.1875</v>
      </c>
      <c r="AG1903" t="s">
        <v>941</v>
      </c>
      <c r="AH1903">
        <v>54.5</v>
      </c>
      <c r="AI1903" t="s">
        <v>939</v>
      </c>
      <c r="AJ1903">
        <v>2</v>
      </c>
      <c r="AK19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MIN(AJ1903/8, 1) +
  Merge1[[#This Row],[index_defensive_effort]],
  2
)</f>
        <v>0.84</v>
      </c>
    </row>
    <row r="1904" spans="1:37" x14ac:dyDescent="0.25">
      <c r="A1904" t="s">
        <v>572</v>
      </c>
      <c r="B1904" t="s">
        <v>573</v>
      </c>
      <c r="C1904">
        <v>21</v>
      </c>
      <c r="D1904" t="s">
        <v>22</v>
      </c>
      <c r="E1904">
        <v>74</v>
      </c>
      <c r="F1904">
        <v>205</v>
      </c>
      <c r="G1904" t="s">
        <v>286</v>
      </c>
      <c r="H1904">
        <v>2020</v>
      </c>
      <c r="I1904" t="s">
        <v>33</v>
      </c>
      <c r="J1904">
        <v>7</v>
      </c>
      <c r="K1904">
        <v>3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49</v>
      </c>
      <c r="T1904">
        <v>39</v>
      </c>
      <c r="U1904" s="5">
        <f>IF(Merge1[[#This Row],[team_defense_snaps]]=0, "", Merge1[[#This Row],[defense_snaps]] / Merge1[[#This Row],[team_defense_snaps]])</f>
        <v>0.68421052631578949</v>
      </c>
      <c r="V1904">
        <v>57</v>
      </c>
      <c r="W1904">
        <v>10</v>
      </c>
      <c r="X1904" s="5" t="s">
        <v>275</v>
      </c>
      <c r="Y1904">
        <v>0</v>
      </c>
      <c r="Z1904">
        <v>0</v>
      </c>
      <c r="AA1904" t="s">
        <v>25</v>
      </c>
      <c r="AB1904" t="s">
        <v>26</v>
      </c>
      <c r="AC1904" t="s">
        <v>27</v>
      </c>
      <c r="AD1904" t="s">
        <v>28</v>
      </c>
      <c r="AE1904" t="s">
        <v>25</v>
      </c>
      <c r="AF19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6.1224489795918366E-2</v>
      </c>
      <c r="AG1904" t="s">
        <v>941</v>
      </c>
      <c r="AH1904">
        <v>53</v>
      </c>
      <c r="AI1904" t="s">
        <v>939</v>
      </c>
      <c r="AJ1904">
        <v>1</v>
      </c>
      <c r="AK19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MIN(AJ1904/8, 1) +
  Merge1[[#This Row],[index_defensive_effort]],
  2
)</f>
        <v>0.59</v>
      </c>
    </row>
    <row r="1905" spans="1:37" x14ac:dyDescent="0.25">
      <c r="A1905" t="s">
        <v>572</v>
      </c>
      <c r="B1905" t="s">
        <v>573</v>
      </c>
      <c r="C1905">
        <v>21</v>
      </c>
      <c r="D1905" t="s">
        <v>22</v>
      </c>
      <c r="E1905">
        <v>74</v>
      </c>
      <c r="F1905">
        <v>205</v>
      </c>
      <c r="G1905" t="s">
        <v>286</v>
      </c>
      <c r="H1905">
        <v>2020</v>
      </c>
      <c r="I1905" t="s">
        <v>33</v>
      </c>
      <c r="J1905">
        <v>7</v>
      </c>
      <c r="K1905">
        <v>3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49</v>
      </c>
      <c r="T1905">
        <v>39</v>
      </c>
      <c r="U1905" s="5">
        <f>IF(Merge1[[#This Row],[team_defense_snaps]]=0, "", Merge1[[#This Row],[defense_snaps]] / Merge1[[#This Row],[team_defense_snaps]])</f>
        <v>0.68421052631578949</v>
      </c>
      <c r="V1905">
        <v>57</v>
      </c>
      <c r="W1905">
        <v>10</v>
      </c>
      <c r="X1905" s="5" t="s">
        <v>275</v>
      </c>
      <c r="Y1905">
        <v>0</v>
      </c>
      <c r="Z1905">
        <v>0</v>
      </c>
      <c r="AA1905" t="s">
        <v>25</v>
      </c>
      <c r="AB1905" t="s">
        <v>26</v>
      </c>
      <c r="AC1905" t="s">
        <v>27</v>
      </c>
      <c r="AD1905" t="s">
        <v>28</v>
      </c>
      <c r="AE1905" t="s">
        <v>25</v>
      </c>
      <c r="AF19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6.1224489795918366E-2</v>
      </c>
      <c r="AG1905" t="s">
        <v>941</v>
      </c>
      <c r="AH1905">
        <v>74</v>
      </c>
      <c r="AI1905" t="s">
        <v>939</v>
      </c>
      <c r="AJ1905">
        <v>1</v>
      </c>
      <c r="AK19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MIN(AJ1905/8, 1) +
  Merge1[[#This Row],[index_defensive_effort]],
  2
)</f>
        <v>0.59</v>
      </c>
    </row>
    <row r="1906" spans="1:37" x14ac:dyDescent="0.25">
      <c r="A1906" t="s">
        <v>572</v>
      </c>
      <c r="B1906" t="s">
        <v>573</v>
      </c>
      <c r="C1906">
        <v>21</v>
      </c>
      <c r="D1906" t="s">
        <v>22</v>
      </c>
      <c r="E1906">
        <v>74</v>
      </c>
      <c r="F1906">
        <v>205</v>
      </c>
      <c r="G1906" t="s">
        <v>286</v>
      </c>
      <c r="H1906">
        <v>2020</v>
      </c>
      <c r="I1906" t="s">
        <v>33</v>
      </c>
      <c r="J1906">
        <v>9</v>
      </c>
      <c r="K1906">
        <v>9</v>
      </c>
      <c r="L1906">
        <v>5</v>
      </c>
      <c r="M1906">
        <v>0</v>
      </c>
      <c r="N1906">
        <v>5</v>
      </c>
      <c r="O1906">
        <v>4</v>
      </c>
      <c r="P1906">
        <v>5</v>
      </c>
      <c r="Q1906">
        <v>0</v>
      </c>
      <c r="R1906">
        <v>0</v>
      </c>
      <c r="S1906">
        <v>82</v>
      </c>
      <c r="T1906">
        <v>77</v>
      </c>
      <c r="U1906" s="5">
        <f>IF(Merge1[[#This Row],[team_defense_snaps]]=0, "", Merge1[[#This Row],[defense_snaps]] / Merge1[[#This Row],[team_defense_snaps]])</f>
        <v>1</v>
      </c>
      <c r="V1906">
        <v>77</v>
      </c>
      <c r="W1906">
        <v>5</v>
      </c>
      <c r="X1906" s="5" t="s">
        <v>59</v>
      </c>
      <c r="Y1906">
        <v>0</v>
      </c>
      <c r="Z1906">
        <v>0</v>
      </c>
      <c r="AA1906" t="s">
        <v>25</v>
      </c>
      <c r="AB1906" t="s">
        <v>26</v>
      </c>
      <c r="AC1906" t="s">
        <v>27</v>
      </c>
      <c r="AD1906" t="s">
        <v>42</v>
      </c>
      <c r="AE1906" t="s">
        <v>25</v>
      </c>
      <c r="AF19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0.40853658536585363</v>
      </c>
      <c r="AG1906" t="s">
        <v>941</v>
      </c>
      <c r="AH1906">
        <v>65</v>
      </c>
      <c r="AI1906" t="s">
        <v>939</v>
      </c>
      <c r="AJ1906">
        <v>1</v>
      </c>
      <c r="AK19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MIN(AJ1906/8, 1) +
  Merge1[[#This Row],[index_defensive_effort]],
  2
)</f>
        <v>0.93</v>
      </c>
    </row>
    <row r="1907" spans="1:37" x14ac:dyDescent="0.25">
      <c r="A1907" t="s">
        <v>572</v>
      </c>
      <c r="B1907" t="s">
        <v>573</v>
      </c>
      <c r="C1907">
        <v>21</v>
      </c>
      <c r="D1907" t="s">
        <v>22</v>
      </c>
      <c r="E1907">
        <v>74</v>
      </c>
      <c r="F1907">
        <v>205</v>
      </c>
      <c r="G1907" t="s">
        <v>286</v>
      </c>
      <c r="H1907">
        <v>2020</v>
      </c>
      <c r="I1907" t="s">
        <v>33</v>
      </c>
      <c r="J1907">
        <v>9</v>
      </c>
      <c r="K1907">
        <v>9</v>
      </c>
      <c r="L1907">
        <v>5</v>
      </c>
      <c r="M1907">
        <v>0</v>
      </c>
      <c r="N1907">
        <v>5</v>
      </c>
      <c r="O1907">
        <v>4</v>
      </c>
      <c r="P1907">
        <v>5</v>
      </c>
      <c r="Q1907">
        <v>0</v>
      </c>
      <c r="R1907">
        <v>0</v>
      </c>
      <c r="S1907">
        <v>82</v>
      </c>
      <c r="T1907">
        <v>77</v>
      </c>
      <c r="U1907" s="5">
        <f>IF(Merge1[[#This Row],[team_defense_snaps]]=0, "", Merge1[[#This Row],[defense_snaps]] / Merge1[[#This Row],[team_defense_snaps]])</f>
        <v>1</v>
      </c>
      <c r="V1907">
        <v>77</v>
      </c>
      <c r="W1907">
        <v>5</v>
      </c>
      <c r="X1907" s="5" t="s">
        <v>59</v>
      </c>
      <c r="Y1907">
        <v>0</v>
      </c>
      <c r="Z1907">
        <v>0</v>
      </c>
      <c r="AA1907" t="s">
        <v>25</v>
      </c>
      <c r="AB1907" t="s">
        <v>26</v>
      </c>
      <c r="AC1907" t="s">
        <v>27</v>
      </c>
      <c r="AD1907" t="s">
        <v>42</v>
      </c>
      <c r="AE1907" t="s">
        <v>25</v>
      </c>
      <c r="AF19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0.40853658536585363</v>
      </c>
      <c r="AG1907" t="s">
        <v>941</v>
      </c>
      <c r="AH1907">
        <v>54</v>
      </c>
      <c r="AI1907" t="s">
        <v>939</v>
      </c>
      <c r="AJ1907">
        <v>2</v>
      </c>
      <c r="AK19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MIN(AJ1907/8, 1) +
  Merge1[[#This Row],[index_defensive_effort]],
  2
)</f>
        <v>1.06</v>
      </c>
    </row>
    <row r="1908" spans="1:37" x14ac:dyDescent="0.25">
      <c r="A1908" t="s">
        <v>572</v>
      </c>
      <c r="B1908" t="s">
        <v>573</v>
      </c>
      <c r="C1908">
        <v>21</v>
      </c>
      <c r="D1908" t="s">
        <v>22</v>
      </c>
      <c r="E1908">
        <v>74</v>
      </c>
      <c r="F1908">
        <v>205</v>
      </c>
      <c r="G1908" t="s">
        <v>286</v>
      </c>
      <c r="H1908">
        <v>2020</v>
      </c>
      <c r="I1908" t="s">
        <v>33</v>
      </c>
      <c r="J1908">
        <v>10</v>
      </c>
      <c r="K1908">
        <v>9</v>
      </c>
      <c r="L1908">
        <v>3</v>
      </c>
      <c r="M1908">
        <v>0</v>
      </c>
      <c r="N1908">
        <v>3</v>
      </c>
      <c r="O1908">
        <v>4</v>
      </c>
      <c r="P1908">
        <v>4</v>
      </c>
      <c r="Q1908">
        <v>0</v>
      </c>
      <c r="R1908">
        <v>0</v>
      </c>
      <c r="S1908">
        <v>65</v>
      </c>
      <c r="T1908">
        <v>59</v>
      </c>
      <c r="U1908" s="5">
        <f>IF(Merge1[[#This Row],[team_defense_snaps]]=0, "", Merge1[[#This Row],[defense_snaps]] / Merge1[[#This Row],[team_defense_snaps]])</f>
        <v>1</v>
      </c>
      <c r="V1908">
        <v>59</v>
      </c>
      <c r="W1908">
        <v>6</v>
      </c>
      <c r="X1908" s="5" t="s">
        <v>58</v>
      </c>
      <c r="Y1908">
        <v>0</v>
      </c>
      <c r="Z1908">
        <v>0</v>
      </c>
      <c r="AA1908" t="s">
        <v>25</v>
      </c>
      <c r="AB1908" t="s">
        <v>26</v>
      </c>
      <c r="AC1908" t="s">
        <v>27</v>
      </c>
      <c r="AD1908" t="s">
        <v>42</v>
      </c>
      <c r="AE1908" t="s">
        <v>25</v>
      </c>
      <c r="AF19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0.46923076923076923</v>
      </c>
      <c r="AG1908" t="s">
        <v>941</v>
      </c>
      <c r="AH1908">
        <v>66.5</v>
      </c>
      <c r="AI1908" t="s">
        <v>939</v>
      </c>
      <c r="AJ1908">
        <v>1</v>
      </c>
      <c r="AK19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MIN(AJ1908/8, 1) +
  Merge1[[#This Row],[index_defensive_effort]],
  2
)</f>
        <v>0.99</v>
      </c>
    </row>
    <row r="1909" spans="1:37" x14ac:dyDescent="0.25">
      <c r="A1909" t="s">
        <v>572</v>
      </c>
      <c r="B1909" t="s">
        <v>573</v>
      </c>
      <c r="C1909">
        <v>21</v>
      </c>
      <c r="D1909" t="s">
        <v>22</v>
      </c>
      <c r="E1909">
        <v>74</v>
      </c>
      <c r="F1909">
        <v>205</v>
      </c>
      <c r="G1909" t="s">
        <v>286</v>
      </c>
      <c r="H1909">
        <v>2020</v>
      </c>
      <c r="I1909" t="s">
        <v>33</v>
      </c>
      <c r="J1909">
        <v>10</v>
      </c>
      <c r="K1909">
        <v>9</v>
      </c>
      <c r="L1909">
        <v>3</v>
      </c>
      <c r="M1909">
        <v>0</v>
      </c>
      <c r="N1909">
        <v>3</v>
      </c>
      <c r="O1909">
        <v>4</v>
      </c>
      <c r="P1909">
        <v>4</v>
      </c>
      <c r="Q1909">
        <v>0</v>
      </c>
      <c r="R1909">
        <v>0</v>
      </c>
      <c r="S1909">
        <v>65</v>
      </c>
      <c r="T1909">
        <v>59</v>
      </c>
      <c r="U1909" s="5">
        <f>IF(Merge1[[#This Row],[team_defense_snaps]]=0, "", Merge1[[#This Row],[defense_snaps]] / Merge1[[#This Row],[team_defense_snaps]])</f>
        <v>1</v>
      </c>
      <c r="V1909">
        <v>59</v>
      </c>
      <c r="W1909">
        <v>6</v>
      </c>
      <c r="X1909" s="5" t="s">
        <v>58</v>
      </c>
      <c r="Y1909">
        <v>0</v>
      </c>
      <c r="Z1909">
        <v>0</v>
      </c>
      <c r="AA1909" t="s">
        <v>25</v>
      </c>
      <c r="AB1909" t="s">
        <v>26</v>
      </c>
      <c r="AC1909" t="s">
        <v>27</v>
      </c>
      <c r="AD1909" t="s">
        <v>42</v>
      </c>
      <c r="AE1909" t="s">
        <v>25</v>
      </c>
      <c r="AF19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0.46923076923076923</v>
      </c>
      <c r="AG1909" t="s">
        <v>941</v>
      </c>
      <c r="AH1909">
        <v>53</v>
      </c>
      <c r="AI1909" t="s">
        <v>939</v>
      </c>
      <c r="AJ1909">
        <v>2</v>
      </c>
      <c r="AK19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MIN(AJ1909/8, 1) +
  Merge1[[#This Row],[index_defensive_effort]],
  2
)</f>
        <v>1.1200000000000001</v>
      </c>
    </row>
    <row r="1910" spans="1:37" x14ac:dyDescent="0.25">
      <c r="A1910" t="s">
        <v>572</v>
      </c>
      <c r="B1910" t="s">
        <v>573</v>
      </c>
      <c r="C1910">
        <v>21</v>
      </c>
      <c r="D1910" t="s">
        <v>22</v>
      </c>
      <c r="E1910">
        <v>74</v>
      </c>
      <c r="F1910">
        <v>205</v>
      </c>
      <c r="G1910" t="s">
        <v>286</v>
      </c>
      <c r="H1910">
        <v>2020</v>
      </c>
      <c r="I1910" t="s">
        <v>33</v>
      </c>
      <c r="J1910">
        <v>11</v>
      </c>
      <c r="K1910">
        <v>5</v>
      </c>
      <c r="L1910">
        <v>4</v>
      </c>
      <c r="M1910">
        <v>0</v>
      </c>
      <c r="N1910">
        <v>4</v>
      </c>
      <c r="O1910">
        <v>0</v>
      </c>
      <c r="P1910">
        <v>1</v>
      </c>
      <c r="Q1910">
        <v>0</v>
      </c>
      <c r="R1910">
        <v>0</v>
      </c>
      <c r="S1910">
        <v>71</v>
      </c>
      <c r="T1910">
        <v>68</v>
      </c>
      <c r="U1910" s="5">
        <f>IF(Merge1[[#This Row],[team_defense_snaps]]=0, "", Merge1[[#This Row],[defense_snaps]] / Merge1[[#This Row],[team_defense_snaps]])</f>
        <v>0.98550724637681164</v>
      </c>
      <c r="V1910">
        <v>69</v>
      </c>
      <c r="W1910">
        <v>3</v>
      </c>
      <c r="X1910" s="5" t="s">
        <v>35</v>
      </c>
      <c r="Y1910">
        <v>0</v>
      </c>
      <c r="Z1910">
        <v>0</v>
      </c>
      <c r="AA1910" t="s">
        <v>25</v>
      </c>
      <c r="AB1910" t="s">
        <v>26</v>
      </c>
      <c r="AC1910" t="s">
        <v>27</v>
      </c>
      <c r="AD1910" t="s">
        <v>42</v>
      </c>
      <c r="AE1910" t="s">
        <v>25</v>
      </c>
      <c r="AF19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0.12676056338028169</v>
      </c>
      <c r="AG1910" t="s">
        <v>941</v>
      </c>
      <c r="AH1910">
        <v>65</v>
      </c>
      <c r="AI1910" t="s">
        <v>939</v>
      </c>
      <c r="AJ1910">
        <v>1</v>
      </c>
      <c r="AK19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MIN(AJ1910/8, 1) +
  Merge1[[#This Row],[index_defensive_effort]],
  2
)</f>
        <v>0.65</v>
      </c>
    </row>
    <row r="1911" spans="1:37" x14ac:dyDescent="0.25">
      <c r="A1911" t="s">
        <v>572</v>
      </c>
      <c r="B1911" t="s">
        <v>573</v>
      </c>
      <c r="C1911">
        <v>21</v>
      </c>
      <c r="D1911" t="s">
        <v>22</v>
      </c>
      <c r="E1911">
        <v>74</v>
      </c>
      <c r="F1911">
        <v>205</v>
      </c>
      <c r="G1911" t="s">
        <v>286</v>
      </c>
      <c r="H1911">
        <v>2020</v>
      </c>
      <c r="I1911" t="s">
        <v>33</v>
      </c>
      <c r="J1911">
        <v>11</v>
      </c>
      <c r="K1911">
        <v>5</v>
      </c>
      <c r="L1911">
        <v>4</v>
      </c>
      <c r="M1911">
        <v>0</v>
      </c>
      <c r="N1911">
        <v>4</v>
      </c>
      <c r="O1911">
        <v>0</v>
      </c>
      <c r="P1911">
        <v>1</v>
      </c>
      <c r="Q1911">
        <v>0</v>
      </c>
      <c r="R1911">
        <v>0</v>
      </c>
      <c r="S1911">
        <v>71</v>
      </c>
      <c r="T1911">
        <v>68</v>
      </c>
      <c r="U1911" s="5">
        <f>IF(Merge1[[#This Row],[team_defense_snaps]]=0, "", Merge1[[#This Row],[defense_snaps]] / Merge1[[#This Row],[team_defense_snaps]])</f>
        <v>0.98550724637681164</v>
      </c>
      <c r="V1911">
        <v>69</v>
      </c>
      <c r="W1911">
        <v>3</v>
      </c>
      <c r="X1911" s="5" t="s">
        <v>35</v>
      </c>
      <c r="Y1911">
        <v>0</v>
      </c>
      <c r="Z1911">
        <v>0</v>
      </c>
      <c r="AA1911" t="s">
        <v>25</v>
      </c>
      <c r="AB1911" t="s">
        <v>26</v>
      </c>
      <c r="AC1911" t="s">
        <v>27</v>
      </c>
      <c r="AD1911" t="s">
        <v>42</v>
      </c>
      <c r="AE1911" t="s">
        <v>25</v>
      </c>
      <c r="AF19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0.12676056338028169</v>
      </c>
      <c r="AG1911" t="s">
        <v>941</v>
      </c>
      <c r="AH1911">
        <v>72.5</v>
      </c>
      <c r="AI1911" t="s">
        <v>939</v>
      </c>
      <c r="AJ1911">
        <v>2</v>
      </c>
      <c r="AK19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MIN(AJ1911/8, 1) +
  Merge1[[#This Row],[index_defensive_effort]],
  2
)</f>
        <v>0.78</v>
      </c>
    </row>
    <row r="1912" spans="1:37" x14ac:dyDescent="0.25">
      <c r="A1912" t="s">
        <v>572</v>
      </c>
      <c r="B1912" t="s">
        <v>573</v>
      </c>
      <c r="C1912">
        <v>21</v>
      </c>
      <c r="D1912" t="s">
        <v>22</v>
      </c>
      <c r="E1912">
        <v>74</v>
      </c>
      <c r="F1912">
        <v>205</v>
      </c>
      <c r="G1912" t="s">
        <v>286</v>
      </c>
      <c r="H1912">
        <v>2020</v>
      </c>
      <c r="I1912" t="s">
        <v>33</v>
      </c>
      <c r="J1912">
        <v>12</v>
      </c>
      <c r="K1912">
        <v>5</v>
      </c>
      <c r="L1912">
        <v>3</v>
      </c>
      <c r="M1912">
        <v>1</v>
      </c>
      <c r="N1912">
        <v>4</v>
      </c>
      <c r="O1912">
        <v>0</v>
      </c>
      <c r="P1912">
        <v>0</v>
      </c>
      <c r="Q1912">
        <v>0</v>
      </c>
      <c r="R1912">
        <v>0</v>
      </c>
      <c r="S1912">
        <v>63</v>
      </c>
      <c r="T1912">
        <v>59</v>
      </c>
      <c r="U1912" s="5">
        <f>IF(Merge1[[#This Row],[team_defense_snaps]]=0, "", Merge1[[#This Row],[defense_snaps]] / Merge1[[#This Row],[team_defense_snaps]])</f>
        <v>1</v>
      </c>
      <c r="V1912">
        <v>59</v>
      </c>
      <c r="W1912">
        <v>4</v>
      </c>
      <c r="X1912" s="5" t="s">
        <v>212</v>
      </c>
      <c r="Y1912">
        <v>0</v>
      </c>
      <c r="Z1912">
        <v>0</v>
      </c>
      <c r="AA1912" t="s">
        <v>25</v>
      </c>
      <c r="AB1912" t="s">
        <v>26</v>
      </c>
      <c r="AC1912" t="s">
        <v>27</v>
      </c>
      <c r="AD1912" t="s">
        <v>42</v>
      </c>
      <c r="AE1912" t="s">
        <v>25</v>
      </c>
      <c r="AF19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0.1111111111111111</v>
      </c>
      <c r="AG1912" t="s">
        <v>941</v>
      </c>
      <c r="AH1912">
        <v>54.5</v>
      </c>
      <c r="AI1912" t="s">
        <v>939</v>
      </c>
      <c r="AJ1912">
        <v>1</v>
      </c>
      <c r="AK19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MIN(AJ1912/8, 1) +
  Merge1[[#This Row],[index_defensive_effort]],
  2
)</f>
        <v>0.64</v>
      </c>
    </row>
    <row r="1913" spans="1:37" x14ac:dyDescent="0.25">
      <c r="A1913" t="s">
        <v>572</v>
      </c>
      <c r="B1913" t="s">
        <v>573</v>
      </c>
      <c r="C1913">
        <v>21</v>
      </c>
      <c r="D1913" t="s">
        <v>22</v>
      </c>
      <c r="E1913">
        <v>74</v>
      </c>
      <c r="F1913">
        <v>205</v>
      </c>
      <c r="G1913" t="s">
        <v>286</v>
      </c>
      <c r="H1913">
        <v>2020</v>
      </c>
      <c r="I1913" t="s">
        <v>33</v>
      </c>
      <c r="J1913">
        <v>12</v>
      </c>
      <c r="K1913">
        <v>5</v>
      </c>
      <c r="L1913">
        <v>3</v>
      </c>
      <c r="M1913">
        <v>1</v>
      </c>
      <c r="N1913">
        <v>4</v>
      </c>
      <c r="O1913">
        <v>0</v>
      </c>
      <c r="P1913">
        <v>0</v>
      </c>
      <c r="Q1913">
        <v>0</v>
      </c>
      <c r="R1913">
        <v>0</v>
      </c>
      <c r="S1913">
        <v>63</v>
      </c>
      <c r="T1913">
        <v>59</v>
      </c>
      <c r="U1913" s="5">
        <f>IF(Merge1[[#This Row],[team_defense_snaps]]=0, "", Merge1[[#This Row],[defense_snaps]] / Merge1[[#This Row],[team_defense_snaps]])</f>
        <v>1</v>
      </c>
      <c r="V1913">
        <v>59</v>
      </c>
      <c r="W1913">
        <v>4</v>
      </c>
      <c r="X1913" s="5" t="s">
        <v>212</v>
      </c>
      <c r="Y1913">
        <v>0</v>
      </c>
      <c r="Z1913">
        <v>0</v>
      </c>
      <c r="AA1913" t="s">
        <v>25</v>
      </c>
      <c r="AB1913" t="s">
        <v>26</v>
      </c>
      <c r="AC1913" t="s">
        <v>27</v>
      </c>
      <c r="AD1913" t="s">
        <v>42</v>
      </c>
      <c r="AE1913" t="s">
        <v>25</v>
      </c>
      <c r="AF19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0.1111111111111111</v>
      </c>
      <c r="AG1913" t="s">
        <v>941</v>
      </c>
      <c r="AH1913">
        <v>57.5</v>
      </c>
      <c r="AI1913" t="s">
        <v>939</v>
      </c>
      <c r="AJ1913">
        <v>2</v>
      </c>
      <c r="AK19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MIN(AJ1913/8, 1) +
  Merge1[[#This Row],[index_defensive_effort]],
  2
)</f>
        <v>0.76</v>
      </c>
    </row>
    <row r="1914" spans="1:37" x14ac:dyDescent="0.25">
      <c r="A1914" t="s">
        <v>572</v>
      </c>
      <c r="B1914" t="s">
        <v>573</v>
      </c>
      <c r="C1914">
        <v>21</v>
      </c>
      <c r="D1914" t="s">
        <v>22</v>
      </c>
      <c r="E1914">
        <v>74</v>
      </c>
      <c r="F1914">
        <v>205</v>
      </c>
      <c r="G1914" t="s">
        <v>286</v>
      </c>
      <c r="H1914">
        <v>2020</v>
      </c>
      <c r="I1914" t="s">
        <v>33</v>
      </c>
      <c r="J1914">
        <v>13</v>
      </c>
      <c r="K1914">
        <v>4</v>
      </c>
      <c r="L1914">
        <v>4</v>
      </c>
      <c r="M1914">
        <v>3</v>
      </c>
      <c r="N1914">
        <v>7</v>
      </c>
      <c r="O1914">
        <v>0</v>
      </c>
      <c r="P1914">
        <v>0</v>
      </c>
      <c r="Q1914">
        <v>0</v>
      </c>
      <c r="R1914">
        <v>0</v>
      </c>
      <c r="S1914">
        <v>64</v>
      </c>
      <c r="T1914">
        <v>61</v>
      </c>
      <c r="U1914" s="5">
        <f>IF(Merge1[[#This Row],[team_defense_snaps]]=0, "", Merge1[[#This Row],[defense_snaps]] / Merge1[[#This Row],[team_defense_snaps]])</f>
        <v>0.85915492957746475</v>
      </c>
      <c r="V1914">
        <v>71</v>
      </c>
      <c r="W1914">
        <v>3</v>
      </c>
      <c r="X1914" s="5" t="s">
        <v>250</v>
      </c>
      <c r="Y1914">
        <v>0</v>
      </c>
      <c r="Z1914">
        <v>0</v>
      </c>
      <c r="AA1914" t="s">
        <v>25</v>
      </c>
      <c r="AB1914" t="s">
        <v>26</v>
      </c>
      <c r="AC1914" t="s">
        <v>27</v>
      </c>
      <c r="AD1914" t="s">
        <v>42</v>
      </c>
      <c r="AE1914" t="s">
        <v>25</v>
      </c>
      <c r="AF19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0.1171875</v>
      </c>
      <c r="AG1914" t="s">
        <v>941</v>
      </c>
      <c r="AH1914">
        <v>71</v>
      </c>
      <c r="AI1914" t="s">
        <v>939</v>
      </c>
      <c r="AJ1914">
        <v>1</v>
      </c>
      <c r="AK19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MIN(AJ1914/8, 1) +
  Merge1[[#This Row],[index_defensive_effort]],
  2
)</f>
        <v>0.64</v>
      </c>
    </row>
    <row r="1915" spans="1:37" x14ac:dyDescent="0.25">
      <c r="A1915" t="s">
        <v>572</v>
      </c>
      <c r="B1915" t="s">
        <v>573</v>
      </c>
      <c r="C1915">
        <v>21</v>
      </c>
      <c r="D1915" t="s">
        <v>22</v>
      </c>
      <c r="E1915">
        <v>74</v>
      </c>
      <c r="F1915">
        <v>205</v>
      </c>
      <c r="G1915" t="s">
        <v>286</v>
      </c>
      <c r="H1915">
        <v>2020</v>
      </c>
      <c r="I1915" t="s">
        <v>33</v>
      </c>
      <c r="J1915">
        <v>13</v>
      </c>
      <c r="K1915">
        <v>4</v>
      </c>
      <c r="L1915">
        <v>4</v>
      </c>
      <c r="M1915">
        <v>3</v>
      </c>
      <c r="N1915">
        <v>7</v>
      </c>
      <c r="O1915">
        <v>0</v>
      </c>
      <c r="P1915">
        <v>0</v>
      </c>
      <c r="Q1915">
        <v>0</v>
      </c>
      <c r="R1915">
        <v>0</v>
      </c>
      <c r="S1915">
        <v>64</v>
      </c>
      <c r="T1915">
        <v>61</v>
      </c>
      <c r="U1915" s="5">
        <f>IF(Merge1[[#This Row],[team_defense_snaps]]=0, "", Merge1[[#This Row],[defense_snaps]] / Merge1[[#This Row],[team_defense_snaps]])</f>
        <v>0.85915492957746475</v>
      </c>
      <c r="V1915">
        <v>71</v>
      </c>
      <c r="W1915">
        <v>3</v>
      </c>
      <c r="X1915" s="5" t="s">
        <v>250</v>
      </c>
      <c r="Y1915">
        <v>0</v>
      </c>
      <c r="Z1915">
        <v>0</v>
      </c>
      <c r="AA1915" t="s">
        <v>25</v>
      </c>
      <c r="AB1915" t="s">
        <v>26</v>
      </c>
      <c r="AC1915" t="s">
        <v>27</v>
      </c>
      <c r="AD1915" t="s">
        <v>42</v>
      </c>
      <c r="AE1915" t="s">
        <v>25</v>
      </c>
      <c r="AF19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0.1171875</v>
      </c>
      <c r="AG1915" t="s">
        <v>941</v>
      </c>
      <c r="AH1915">
        <v>54</v>
      </c>
      <c r="AI1915" t="s">
        <v>939</v>
      </c>
      <c r="AJ1915">
        <v>2</v>
      </c>
      <c r="AK19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MIN(AJ1915/8, 1) +
  Merge1[[#This Row],[index_defensive_effort]],
  2
)</f>
        <v>0.77</v>
      </c>
    </row>
    <row r="1916" spans="1:37" x14ac:dyDescent="0.25">
      <c r="A1916" t="s">
        <v>572</v>
      </c>
      <c r="B1916" t="s">
        <v>573</v>
      </c>
      <c r="C1916">
        <v>21</v>
      </c>
      <c r="D1916" t="s">
        <v>22</v>
      </c>
      <c r="E1916">
        <v>74</v>
      </c>
      <c r="F1916">
        <v>205</v>
      </c>
      <c r="G1916" t="s">
        <v>286</v>
      </c>
      <c r="H1916">
        <v>2020</v>
      </c>
      <c r="I1916" t="s">
        <v>33</v>
      </c>
      <c r="J1916">
        <v>14</v>
      </c>
      <c r="K1916">
        <v>7</v>
      </c>
      <c r="L1916">
        <v>1</v>
      </c>
      <c r="M1916">
        <v>1</v>
      </c>
      <c r="N1916">
        <v>2</v>
      </c>
      <c r="O1916">
        <v>0</v>
      </c>
      <c r="P1916">
        <v>1</v>
      </c>
      <c r="Q1916">
        <v>2</v>
      </c>
      <c r="R1916">
        <v>0</v>
      </c>
      <c r="S1916">
        <v>82</v>
      </c>
      <c r="T1916">
        <v>81</v>
      </c>
      <c r="U1916" s="5">
        <f>IF(Merge1[[#This Row],[team_defense_snaps]]=0, "", Merge1[[#This Row],[defense_snaps]] / Merge1[[#This Row],[team_defense_snaps]])</f>
        <v>1</v>
      </c>
      <c r="V1916">
        <v>81</v>
      </c>
      <c r="W1916">
        <v>1</v>
      </c>
      <c r="X1916" s="5" t="s">
        <v>303</v>
      </c>
      <c r="Y1916">
        <v>0</v>
      </c>
      <c r="Z1916">
        <v>0</v>
      </c>
      <c r="AA1916" t="s">
        <v>25</v>
      </c>
      <c r="AB1916" t="s">
        <v>26</v>
      </c>
      <c r="AC1916" t="s">
        <v>27</v>
      </c>
      <c r="AD1916" t="s">
        <v>42</v>
      </c>
      <c r="AE1916" t="s">
        <v>25</v>
      </c>
      <c r="AF19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0.21951219512195122</v>
      </c>
      <c r="AG1916" t="s">
        <v>941</v>
      </c>
      <c r="AH1916">
        <v>50</v>
      </c>
      <c r="AI1916" t="s">
        <v>939</v>
      </c>
      <c r="AJ1916">
        <v>1</v>
      </c>
      <c r="AK19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MIN(AJ1916/8, 1) +
  Merge1[[#This Row],[index_defensive_effort]],
  2
)</f>
        <v>0.74</v>
      </c>
    </row>
    <row r="1917" spans="1:37" x14ac:dyDescent="0.25">
      <c r="A1917" t="s">
        <v>572</v>
      </c>
      <c r="B1917" t="s">
        <v>573</v>
      </c>
      <c r="C1917">
        <v>21</v>
      </c>
      <c r="D1917" t="s">
        <v>22</v>
      </c>
      <c r="E1917">
        <v>74</v>
      </c>
      <c r="F1917">
        <v>205</v>
      </c>
      <c r="G1917" t="s">
        <v>286</v>
      </c>
      <c r="H1917">
        <v>2020</v>
      </c>
      <c r="I1917" t="s">
        <v>33</v>
      </c>
      <c r="J1917">
        <v>14</v>
      </c>
      <c r="K1917">
        <v>7</v>
      </c>
      <c r="L1917">
        <v>1</v>
      </c>
      <c r="M1917">
        <v>1</v>
      </c>
      <c r="N1917">
        <v>2</v>
      </c>
      <c r="O1917">
        <v>0</v>
      </c>
      <c r="P1917">
        <v>1</v>
      </c>
      <c r="Q1917">
        <v>2</v>
      </c>
      <c r="R1917">
        <v>0</v>
      </c>
      <c r="S1917">
        <v>82</v>
      </c>
      <c r="T1917">
        <v>81</v>
      </c>
      <c r="U1917" s="5">
        <f>IF(Merge1[[#This Row],[team_defense_snaps]]=0, "", Merge1[[#This Row],[defense_snaps]] / Merge1[[#This Row],[team_defense_snaps]])</f>
        <v>1</v>
      </c>
      <c r="V1917">
        <v>81</v>
      </c>
      <c r="W1917">
        <v>1</v>
      </c>
      <c r="X1917" s="5" t="s">
        <v>303</v>
      </c>
      <c r="Y1917">
        <v>0</v>
      </c>
      <c r="Z1917">
        <v>0</v>
      </c>
      <c r="AA1917" t="s">
        <v>25</v>
      </c>
      <c r="AB1917" t="s">
        <v>26</v>
      </c>
      <c r="AC1917" t="s">
        <v>27</v>
      </c>
      <c r="AD1917" t="s">
        <v>42</v>
      </c>
      <c r="AE1917" t="s">
        <v>25</v>
      </c>
      <c r="AF19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0.21951219512195122</v>
      </c>
      <c r="AG1917" t="s">
        <v>941</v>
      </c>
      <c r="AH1917">
        <v>74</v>
      </c>
      <c r="AI1917" t="s">
        <v>939</v>
      </c>
      <c r="AJ1917">
        <v>2</v>
      </c>
      <c r="AK19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MIN(AJ1917/8, 1) +
  Merge1[[#This Row],[index_defensive_effort]],
  2
)</f>
        <v>0.87</v>
      </c>
    </row>
    <row r="1918" spans="1:37" x14ac:dyDescent="0.25">
      <c r="A1918" t="s">
        <v>572</v>
      </c>
      <c r="B1918" t="s">
        <v>573</v>
      </c>
      <c r="C1918">
        <v>21</v>
      </c>
      <c r="D1918" t="s">
        <v>22</v>
      </c>
      <c r="E1918">
        <v>74</v>
      </c>
      <c r="F1918">
        <v>205</v>
      </c>
      <c r="G1918" t="s">
        <v>286</v>
      </c>
      <c r="H1918">
        <v>2020</v>
      </c>
      <c r="I1918" t="s">
        <v>33</v>
      </c>
      <c r="J1918">
        <v>15</v>
      </c>
      <c r="K1918">
        <v>6</v>
      </c>
      <c r="L1918">
        <v>2</v>
      </c>
      <c r="M1918">
        <v>1</v>
      </c>
      <c r="N1918">
        <v>3</v>
      </c>
      <c r="O1918">
        <v>0</v>
      </c>
      <c r="P1918">
        <v>0</v>
      </c>
      <c r="Q1918">
        <v>0</v>
      </c>
      <c r="R1918">
        <v>0</v>
      </c>
      <c r="S1918">
        <v>61</v>
      </c>
      <c r="T1918">
        <v>57</v>
      </c>
      <c r="U1918" s="5">
        <f>IF(Merge1[[#This Row],[team_defense_snaps]]=0, "", Merge1[[#This Row],[defense_snaps]] / Merge1[[#This Row],[team_defense_snaps]])</f>
        <v>1</v>
      </c>
      <c r="V1918">
        <v>57</v>
      </c>
      <c r="W1918">
        <v>4</v>
      </c>
      <c r="X1918" s="5" t="s">
        <v>124</v>
      </c>
      <c r="Y1918">
        <v>0</v>
      </c>
      <c r="Z1918">
        <v>0</v>
      </c>
      <c r="AA1918" t="s">
        <v>25</v>
      </c>
      <c r="AB1918" t="s">
        <v>26</v>
      </c>
      <c r="AC1918" t="s">
        <v>27</v>
      </c>
      <c r="AD1918" t="s">
        <v>42</v>
      </c>
      <c r="AE1918" t="s">
        <v>25</v>
      </c>
      <c r="AF19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0.12295081967213115</v>
      </c>
      <c r="AG1918" t="s">
        <v>941</v>
      </c>
      <c r="AH1918">
        <v>69.5</v>
      </c>
      <c r="AI1918" t="s">
        <v>939</v>
      </c>
      <c r="AJ1918">
        <v>1</v>
      </c>
      <c r="AK19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MIN(AJ1918/8, 1) +
  Merge1[[#This Row],[index_defensive_effort]],
  2
)</f>
        <v>0.65</v>
      </c>
    </row>
    <row r="1919" spans="1:37" x14ac:dyDescent="0.25">
      <c r="A1919" t="s">
        <v>572</v>
      </c>
      <c r="B1919" t="s">
        <v>573</v>
      </c>
      <c r="C1919">
        <v>21</v>
      </c>
      <c r="D1919" t="s">
        <v>22</v>
      </c>
      <c r="E1919">
        <v>74</v>
      </c>
      <c r="F1919">
        <v>205</v>
      </c>
      <c r="G1919" t="s">
        <v>286</v>
      </c>
      <c r="H1919">
        <v>2020</v>
      </c>
      <c r="I1919" t="s">
        <v>33</v>
      </c>
      <c r="J1919">
        <v>15</v>
      </c>
      <c r="K1919">
        <v>6</v>
      </c>
      <c r="L1919">
        <v>2</v>
      </c>
      <c r="M1919">
        <v>1</v>
      </c>
      <c r="N1919">
        <v>3</v>
      </c>
      <c r="O1919">
        <v>0</v>
      </c>
      <c r="P1919">
        <v>0</v>
      </c>
      <c r="Q1919">
        <v>0</v>
      </c>
      <c r="R1919">
        <v>0</v>
      </c>
      <c r="S1919">
        <v>61</v>
      </c>
      <c r="T1919">
        <v>57</v>
      </c>
      <c r="U1919" s="5">
        <f>IF(Merge1[[#This Row],[team_defense_snaps]]=0, "", Merge1[[#This Row],[defense_snaps]] / Merge1[[#This Row],[team_defense_snaps]])</f>
        <v>1</v>
      </c>
      <c r="V1919">
        <v>57</v>
      </c>
      <c r="W1919">
        <v>4</v>
      </c>
      <c r="X1919" s="5" t="s">
        <v>124</v>
      </c>
      <c r="Y1919">
        <v>0</v>
      </c>
      <c r="Z1919">
        <v>0</v>
      </c>
      <c r="AA1919" t="s">
        <v>25</v>
      </c>
      <c r="AB1919" t="s">
        <v>26</v>
      </c>
      <c r="AC1919" t="s">
        <v>27</v>
      </c>
      <c r="AD1919" t="s">
        <v>42</v>
      </c>
      <c r="AE1919" t="s">
        <v>25</v>
      </c>
      <c r="AF19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0.12295081967213115</v>
      </c>
      <c r="AG1919" t="s">
        <v>941</v>
      </c>
      <c r="AH1919">
        <v>62</v>
      </c>
      <c r="AI1919" t="s">
        <v>939</v>
      </c>
      <c r="AJ1919">
        <v>2</v>
      </c>
      <c r="AK19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MIN(AJ1919/8, 1) +
  Merge1[[#This Row],[index_defensive_effort]],
  2
)</f>
        <v>0.77</v>
      </c>
    </row>
    <row r="1920" spans="1:37" x14ac:dyDescent="0.25">
      <c r="A1920" t="s">
        <v>572</v>
      </c>
      <c r="B1920" t="s">
        <v>573</v>
      </c>
      <c r="C1920">
        <v>21</v>
      </c>
      <c r="D1920" t="s">
        <v>22</v>
      </c>
      <c r="E1920">
        <v>74</v>
      </c>
      <c r="F1920">
        <v>205</v>
      </c>
      <c r="G1920" t="s">
        <v>286</v>
      </c>
      <c r="H1920">
        <v>2020</v>
      </c>
      <c r="I1920" t="s">
        <v>33</v>
      </c>
      <c r="J1920">
        <v>16</v>
      </c>
      <c r="K1920">
        <v>8</v>
      </c>
      <c r="L1920">
        <v>2</v>
      </c>
      <c r="M1920">
        <v>0</v>
      </c>
      <c r="N1920">
        <v>2</v>
      </c>
      <c r="O1920">
        <v>0</v>
      </c>
      <c r="P1920">
        <v>0</v>
      </c>
      <c r="Q1920">
        <v>2</v>
      </c>
      <c r="R1920">
        <v>0</v>
      </c>
      <c r="S1920">
        <v>67</v>
      </c>
      <c r="T1920">
        <v>64</v>
      </c>
      <c r="U1920" s="5">
        <f>IF(Merge1[[#This Row],[team_defense_snaps]]=0, "", Merge1[[#This Row],[defense_snaps]] / Merge1[[#This Row],[team_defense_snaps]])</f>
        <v>0.95522388059701491</v>
      </c>
      <c r="V1920">
        <v>67</v>
      </c>
      <c r="W1920">
        <v>3</v>
      </c>
      <c r="X1920" s="5" t="s">
        <v>212</v>
      </c>
      <c r="Y1920">
        <v>0</v>
      </c>
      <c r="Z1920">
        <v>0</v>
      </c>
      <c r="AA1920" t="s">
        <v>25</v>
      </c>
      <c r="AB1920" t="s">
        <v>26</v>
      </c>
      <c r="AC1920" t="s">
        <v>27</v>
      </c>
      <c r="AD1920" t="s">
        <v>42</v>
      </c>
      <c r="AE1920" t="s">
        <v>25</v>
      </c>
      <c r="AF19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0.2537313432835821</v>
      </c>
      <c r="AG1920" t="s">
        <v>941</v>
      </c>
      <c r="AH1920">
        <v>51.5</v>
      </c>
      <c r="AI1920" t="s">
        <v>939</v>
      </c>
      <c r="AJ1920">
        <v>1</v>
      </c>
      <c r="AK19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MIN(AJ1920/8, 1) +
  Merge1[[#This Row],[index_defensive_effort]],
  2
)</f>
        <v>0.78</v>
      </c>
    </row>
    <row r="1921" spans="1:37" x14ac:dyDescent="0.25">
      <c r="A1921" t="s">
        <v>572</v>
      </c>
      <c r="B1921" t="s">
        <v>573</v>
      </c>
      <c r="C1921">
        <v>21</v>
      </c>
      <c r="D1921" t="s">
        <v>22</v>
      </c>
      <c r="E1921">
        <v>74</v>
      </c>
      <c r="F1921">
        <v>205</v>
      </c>
      <c r="G1921" t="s">
        <v>286</v>
      </c>
      <c r="H1921">
        <v>2020</v>
      </c>
      <c r="I1921" t="s">
        <v>33</v>
      </c>
      <c r="J1921">
        <v>16</v>
      </c>
      <c r="K1921">
        <v>8</v>
      </c>
      <c r="L1921">
        <v>2</v>
      </c>
      <c r="M1921">
        <v>0</v>
      </c>
      <c r="N1921">
        <v>2</v>
      </c>
      <c r="O1921">
        <v>0</v>
      </c>
      <c r="P1921">
        <v>0</v>
      </c>
      <c r="Q1921">
        <v>2</v>
      </c>
      <c r="R1921">
        <v>0</v>
      </c>
      <c r="S1921">
        <v>67</v>
      </c>
      <c r="T1921">
        <v>64</v>
      </c>
      <c r="U1921" s="5">
        <f>IF(Merge1[[#This Row],[team_defense_snaps]]=0, "", Merge1[[#This Row],[defense_snaps]] / Merge1[[#This Row],[team_defense_snaps]])</f>
        <v>0.95522388059701491</v>
      </c>
      <c r="V1921">
        <v>67</v>
      </c>
      <c r="W1921">
        <v>3</v>
      </c>
      <c r="X1921" s="5" t="s">
        <v>212</v>
      </c>
      <c r="Y1921">
        <v>0</v>
      </c>
      <c r="Z1921">
        <v>0</v>
      </c>
      <c r="AA1921" t="s">
        <v>25</v>
      </c>
      <c r="AB1921" t="s">
        <v>26</v>
      </c>
      <c r="AC1921" t="s">
        <v>27</v>
      </c>
      <c r="AD1921" t="s">
        <v>42</v>
      </c>
      <c r="AE1921" t="s">
        <v>25</v>
      </c>
      <c r="AF19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0.2537313432835821</v>
      </c>
      <c r="AG1921" t="s">
        <v>941</v>
      </c>
      <c r="AH1921">
        <v>56</v>
      </c>
      <c r="AI1921" t="s">
        <v>939</v>
      </c>
      <c r="AJ1921">
        <v>2</v>
      </c>
      <c r="AK19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MIN(AJ1921/8, 1) +
  Merge1[[#This Row],[index_defensive_effort]],
  2
)</f>
        <v>0.9</v>
      </c>
    </row>
    <row r="1922" spans="1:37" x14ac:dyDescent="0.25">
      <c r="A1922" t="s">
        <v>572</v>
      </c>
      <c r="B1922" t="s">
        <v>573</v>
      </c>
      <c r="C1922">
        <v>21</v>
      </c>
      <c r="D1922" t="s">
        <v>22</v>
      </c>
      <c r="E1922">
        <v>74</v>
      </c>
      <c r="F1922">
        <v>205</v>
      </c>
      <c r="G1922" t="s">
        <v>286</v>
      </c>
      <c r="H1922">
        <v>2020</v>
      </c>
      <c r="I1922" t="s">
        <v>33</v>
      </c>
      <c r="J1922">
        <v>17</v>
      </c>
      <c r="K1922">
        <v>5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2</v>
      </c>
      <c r="R1922">
        <v>0</v>
      </c>
      <c r="S1922">
        <v>70</v>
      </c>
      <c r="T1922">
        <v>68</v>
      </c>
      <c r="U1922" s="5">
        <f>IF(Merge1[[#This Row],[team_defense_snaps]]=0, "", Merge1[[#This Row],[defense_snaps]] / Merge1[[#This Row],[team_defense_snaps]])</f>
        <v>0.98550724637681164</v>
      </c>
      <c r="V1922">
        <v>69</v>
      </c>
      <c r="W1922">
        <v>2</v>
      </c>
      <c r="X1922" s="5" t="s">
        <v>167</v>
      </c>
      <c r="Y1922">
        <v>0</v>
      </c>
      <c r="Z1922">
        <v>0</v>
      </c>
      <c r="AA1922" t="s">
        <v>25</v>
      </c>
      <c r="AB1922" t="s">
        <v>26</v>
      </c>
      <c r="AC1922" t="s">
        <v>27</v>
      </c>
      <c r="AD1922" t="s">
        <v>42</v>
      </c>
      <c r="AE1922" t="s">
        <v>25</v>
      </c>
      <c r="AF19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0.18571428571428572</v>
      </c>
      <c r="AG1922" t="s">
        <v>941</v>
      </c>
      <c r="AH1922">
        <v>68</v>
      </c>
      <c r="AI1922" t="s">
        <v>939</v>
      </c>
      <c r="AJ1922">
        <v>1</v>
      </c>
      <c r="AK19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MIN(AJ1922/8, 1) +
  Merge1[[#This Row],[index_defensive_effort]],
  2
)</f>
        <v>0.71</v>
      </c>
    </row>
    <row r="1923" spans="1:37" x14ac:dyDescent="0.25">
      <c r="A1923" t="s">
        <v>572</v>
      </c>
      <c r="B1923" t="s">
        <v>573</v>
      </c>
      <c r="C1923">
        <v>21</v>
      </c>
      <c r="D1923" t="s">
        <v>22</v>
      </c>
      <c r="E1923">
        <v>74</v>
      </c>
      <c r="F1923">
        <v>205</v>
      </c>
      <c r="G1923" t="s">
        <v>286</v>
      </c>
      <c r="H1923">
        <v>2020</v>
      </c>
      <c r="I1923" t="s">
        <v>33</v>
      </c>
      <c r="J1923">
        <v>17</v>
      </c>
      <c r="K1923">
        <v>5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2</v>
      </c>
      <c r="R1923">
        <v>0</v>
      </c>
      <c r="S1923">
        <v>70</v>
      </c>
      <c r="T1923">
        <v>68</v>
      </c>
      <c r="U1923" s="5">
        <f>IF(Merge1[[#This Row],[team_defense_snaps]]=0, "", Merge1[[#This Row],[defense_snaps]] / Merge1[[#This Row],[team_defense_snaps]])</f>
        <v>0.98550724637681164</v>
      </c>
      <c r="V1923">
        <v>69</v>
      </c>
      <c r="W1923">
        <v>2</v>
      </c>
      <c r="X1923" s="5" t="s">
        <v>167</v>
      </c>
      <c r="Y1923">
        <v>0</v>
      </c>
      <c r="Z1923">
        <v>0</v>
      </c>
      <c r="AA1923" t="s">
        <v>25</v>
      </c>
      <c r="AB1923" t="s">
        <v>26</v>
      </c>
      <c r="AC1923" t="s">
        <v>27</v>
      </c>
      <c r="AD1923" t="s">
        <v>42</v>
      </c>
      <c r="AE1923" t="s">
        <v>25</v>
      </c>
      <c r="AF19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0.18571428571428572</v>
      </c>
      <c r="AG1923" t="s">
        <v>941</v>
      </c>
      <c r="AH1923">
        <v>60.5</v>
      </c>
      <c r="AI1923" t="s">
        <v>939</v>
      </c>
      <c r="AJ1923">
        <v>2</v>
      </c>
      <c r="AK19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MIN(AJ1923/8, 1) +
  Merge1[[#This Row],[index_defensive_effort]],
  2
)</f>
        <v>0.84</v>
      </c>
    </row>
    <row r="1924" spans="1:37" x14ac:dyDescent="0.25">
      <c r="A1924" t="s">
        <v>572</v>
      </c>
      <c r="B1924" t="s">
        <v>573</v>
      </c>
      <c r="C1924">
        <v>21</v>
      </c>
      <c r="D1924" t="s">
        <v>22</v>
      </c>
      <c r="E1924">
        <v>74</v>
      </c>
      <c r="F1924">
        <v>205</v>
      </c>
      <c r="G1924" t="s">
        <v>286</v>
      </c>
      <c r="H1924">
        <v>2020</v>
      </c>
      <c r="I1924" t="s">
        <v>24</v>
      </c>
      <c r="J1924">
        <v>18</v>
      </c>
      <c r="K1924">
        <v>3</v>
      </c>
      <c r="L1924">
        <v>4</v>
      </c>
      <c r="M1924">
        <v>1</v>
      </c>
      <c r="N1924">
        <v>5</v>
      </c>
      <c r="O1924">
        <v>0</v>
      </c>
      <c r="P1924">
        <v>0</v>
      </c>
      <c r="Q1924">
        <v>0</v>
      </c>
      <c r="R1924">
        <v>1</v>
      </c>
      <c r="S1924">
        <v>79</v>
      </c>
      <c r="T1924">
        <v>73</v>
      </c>
      <c r="U1924" s="5">
        <f>IF(Merge1[[#This Row],[team_defense_snaps]]=0, "", Merge1[[#This Row],[defense_snaps]] / Merge1[[#This Row],[team_defense_snaps]])</f>
        <v>1</v>
      </c>
      <c r="V1924">
        <v>73</v>
      </c>
      <c r="W1924">
        <v>6</v>
      </c>
      <c r="X1924" s="5" t="s">
        <v>58</v>
      </c>
      <c r="Y1924">
        <v>0</v>
      </c>
      <c r="Z1924">
        <v>0</v>
      </c>
      <c r="AA1924" t="s">
        <v>25</v>
      </c>
      <c r="AB1924" t="s">
        <v>26</v>
      </c>
      <c r="AC1924" t="s">
        <v>27</v>
      </c>
      <c r="AD1924" t="s">
        <v>42</v>
      </c>
      <c r="AE1924" t="s">
        <v>25</v>
      </c>
      <c r="AF19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9.49367088607595E-2</v>
      </c>
      <c r="AG1924" t="s">
        <v>941</v>
      </c>
      <c r="AH1924">
        <v>59</v>
      </c>
      <c r="AI1924" t="s">
        <v>939</v>
      </c>
      <c r="AJ1924">
        <v>1</v>
      </c>
      <c r="AK19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MIN(AJ1924/8, 1) +
  Merge1[[#This Row],[index_defensive_effort]],
  2
)</f>
        <v>0.82</v>
      </c>
    </row>
    <row r="1925" spans="1:37" x14ac:dyDescent="0.25">
      <c r="A1925" t="s">
        <v>572</v>
      </c>
      <c r="B1925" t="s">
        <v>573</v>
      </c>
      <c r="C1925">
        <v>21</v>
      </c>
      <c r="D1925" t="s">
        <v>22</v>
      </c>
      <c r="E1925">
        <v>74</v>
      </c>
      <c r="F1925">
        <v>205</v>
      </c>
      <c r="G1925" t="s">
        <v>286</v>
      </c>
      <c r="H1925">
        <v>2020</v>
      </c>
      <c r="I1925" t="s">
        <v>24</v>
      </c>
      <c r="J1925">
        <v>18</v>
      </c>
      <c r="K1925">
        <v>3</v>
      </c>
      <c r="L1925">
        <v>4</v>
      </c>
      <c r="M1925">
        <v>1</v>
      </c>
      <c r="N1925">
        <v>5</v>
      </c>
      <c r="O1925">
        <v>0</v>
      </c>
      <c r="P1925">
        <v>0</v>
      </c>
      <c r="Q1925">
        <v>0</v>
      </c>
      <c r="R1925">
        <v>1</v>
      </c>
      <c r="S1925">
        <v>79</v>
      </c>
      <c r="T1925">
        <v>73</v>
      </c>
      <c r="U1925" s="5">
        <f>IF(Merge1[[#This Row],[team_defense_snaps]]=0, "", Merge1[[#This Row],[defense_snaps]] / Merge1[[#This Row],[team_defense_snaps]])</f>
        <v>1</v>
      </c>
      <c r="V1925">
        <v>73</v>
      </c>
      <c r="W1925">
        <v>6</v>
      </c>
      <c r="X1925" s="5" t="s">
        <v>58</v>
      </c>
      <c r="Y1925">
        <v>0</v>
      </c>
      <c r="Z1925">
        <v>0</v>
      </c>
      <c r="AA1925" t="s">
        <v>25</v>
      </c>
      <c r="AB1925" t="s">
        <v>26</v>
      </c>
      <c r="AC1925" t="s">
        <v>27</v>
      </c>
      <c r="AD1925" t="s">
        <v>42</v>
      </c>
      <c r="AE1925" t="s">
        <v>25</v>
      </c>
      <c r="AF19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9.49367088607595E-2</v>
      </c>
      <c r="AG1925" t="s">
        <v>941</v>
      </c>
      <c r="AH1925">
        <v>66.5</v>
      </c>
      <c r="AI1925" t="s">
        <v>939</v>
      </c>
      <c r="AJ1925">
        <v>1</v>
      </c>
      <c r="AK19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MIN(AJ1925/8, 1) +
  Merge1[[#This Row],[index_defensive_effort]],
  2
)</f>
        <v>0.82</v>
      </c>
    </row>
    <row r="1926" spans="1:37" x14ac:dyDescent="0.25">
      <c r="A1926" t="s">
        <v>588</v>
      </c>
      <c r="B1926" t="s">
        <v>589</v>
      </c>
      <c r="C1926">
        <v>32</v>
      </c>
      <c r="D1926" t="s">
        <v>22</v>
      </c>
      <c r="E1926">
        <v>70</v>
      </c>
      <c r="F1926">
        <v>196</v>
      </c>
      <c r="G1926" t="s">
        <v>67</v>
      </c>
      <c r="H1926">
        <v>2020</v>
      </c>
      <c r="I1926" t="s">
        <v>33</v>
      </c>
      <c r="J1926">
        <v>1</v>
      </c>
      <c r="K1926">
        <v>5</v>
      </c>
      <c r="L1926">
        <v>1</v>
      </c>
      <c r="M1926">
        <v>0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81</v>
      </c>
      <c r="T1926">
        <v>81</v>
      </c>
      <c r="U1926" s="5">
        <f>IF(Merge1[[#This Row],[team_defense_snaps]]=0, "", Merge1[[#This Row],[defense_snaps]] / Merge1[[#This Row],[team_defense_snaps]])</f>
        <v>1</v>
      </c>
      <c r="V1926">
        <v>81</v>
      </c>
      <c r="W1926">
        <v>0</v>
      </c>
      <c r="X1926" s="5" t="s">
        <v>29</v>
      </c>
      <c r="Y1926">
        <v>10</v>
      </c>
      <c r="Z1926">
        <v>0</v>
      </c>
      <c r="AA1926" t="s">
        <v>25</v>
      </c>
      <c r="AB1926" t="s">
        <v>26</v>
      </c>
      <c r="AC1926" t="s">
        <v>27</v>
      </c>
      <c r="AD1926" t="s">
        <v>42</v>
      </c>
      <c r="AE1926" t="s">
        <v>25</v>
      </c>
      <c r="AF19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6.7901234567901231E-2</v>
      </c>
      <c r="AG1926" t="s">
        <v>941</v>
      </c>
      <c r="AH1926">
        <v>63</v>
      </c>
      <c r="AI1926" t="s">
        <v>939</v>
      </c>
      <c r="AJ1926">
        <v>2</v>
      </c>
      <c r="AK19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MIN(AJ1926/8, 1) +
  Merge1[[#This Row],[index_defensive_effort]],
  2
)</f>
        <v>1.02</v>
      </c>
    </row>
    <row r="1927" spans="1:37" x14ac:dyDescent="0.25">
      <c r="A1927" t="s">
        <v>588</v>
      </c>
      <c r="B1927" t="s">
        <v>589</v>
      </c>
      <c r="C1927">
        <v>32</v>
      </c>
      <c r="D1927" t="s">
        <v>22</v>
      </c>
      <c r="E1927">
        <v>70</v>
      </c>
      <c r="F1927">
        <v>196</v>
      </c>
      <c r="G1927" t="s">
        <v>67</v>
      </c>
      <c r="H1927">
        <v>2020</v>
      </c>
      <c r="I1927" t="s">
        <v>33</v>
      </c>
      <c r="J1927">
        <v>2</v>
      </c>
      <c r="K1927">
        <v>3</v>
      </c>
      <c r="L1927">
        <v>1</v>
      </c>
      <c r="M1927">
        <v>0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65</v>
      </c>
      <c r="T1927">
        <v>65</v>
      </c>
      <c r="U1927" s="5">
        <f>IF(Merge1[[#This Row],[team_defense_snaps]]=0, "", Merge1[[#This Row],[defense_snaps]] / Merge1[[#This Row],[team_defense_snaps]])</f>
        <v>1</v>
      </c>
      <c r="V1927">
        <v>65</v>
      </c>
      <c r="W1927">
        <v>0</v>
      </c>
      <c r="X1927" s="5" t="s">
        <v>29</v>
      </c>
      <c r="Y1927">
        <v>10</v>
      </c>
      <c r="Z1927">
        <v>0</v>
      </c>
      <c r="AA1927" t="s">
        <v>25</v>
      </c>
      <c r="AB1927" t="s">
        <v>26</v>
      </c>
      <c r="AC1927" t="s">
        <v>27</v>
      </c>
      <c r="AD1927" t="s">
        <v>42</v>
      </c>
      <c r="AE1927" t="s">
        <v>25</v>
      </c>
      <c r="AF19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5.3846153846153849E-2</v>
      </c>
      <c r="AG1927" t="s">
        <v>941</v>
      </c>
      <c r="AH1927">
        <v>66</v>
      </c>
      <c r="AI1927" t="s">
        <v>939</v>
      </c>
      <c r="AJ1927">
        <v>3</v>
      </c>
      <c r="AK19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MIN(AJ1927/8, 1) +
  Merge1[[#This Row],[index_defensive_effort]],
  2
)</f>
        <v>1.1299999999999999</v>
      </c>
    </row>
    <row r="1928" spans="1:37" x14ac:dyDescent="0.25">
      <c r="A1928" t="s">
        <v>588</v>
      </c>
      <c r="B1928" t="s">
        <v>589</v>
      </c>
      <c r="C1928">
        <v>32</v>
      </c>
      <c r="D1928" t="s">
        <v>22</v>
      </c>
      <c r="E1928">
        <v>70</v>
      </c>
      <c r="F1928">
        <v>196</v>
      </c>
      <c r="G1928" t="s">
        <v>67</v>
      </c>
      <c r="H1928">
        <v>2020</v>
      </c>
      <c r="I1928" t="s">
        <v>33</v>
      </c>
      <c r="J1928">
        <v>3</v>
      </c>
      <c r="K1928">
        <v>4</v>
      </c>
      <c r="L1928">
        <v>2</v>
      </c>
      <c r="M1928">
        <v>0</v>
      </c>
      <c r="N1928">
        <v>2</v>
      </c>
      <c r="O1928">
        <v>0</v>
      </c>
      <c r="P1928">
        <v>0</v>
      </c>
      <c r="Q1928">
        <v>0</v>
      </c>
      <c r="R1928">
        <v>0</v>
      </c>
      <c r="S1928">
        <v>68</v>
      </c>
      <c r="T1928">
        <v>68</v>
      </c>
      <c r="U1928" s="5">
        <f>IF(Merge1[[#This Row],[team_defense_snaps]]=0, "", Merge1[[#This Row],[defense_snaps]] / Merge1[[#This Row],[team_defense_snaps]])</f>
        <v>1</v>
      </c>
      <c r="V1928">
        <v>68</v>
      </c>
      <c r="W1928">
        <v>0</v>
      </c>
      <c r="X1928" s="5" t="s">
        <v>29</v>
      </c>
      <c r="Y1928">
        <v>10</v>
      </c>
      <c r="Z1928">
        <v>0</v>
      </c>
      <c r="AA1928" t="s">
        <v>25</v>
      </c>
      <c r="AB1928" t="s">
        <v>26</v>
      </c>
      <c r="AC1928" t="s">
        <v>27</v>
      </c>
      <c r="AD1928" t="s">
        <v>42</v>
      </c>
      <c r="AE1928" t="s">
        <v>25</v>
      </c>
      <c r="AF19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7.3529411764705885E-2</v>
      </c>
      <c r="AG1928" t="s">
        <v>941</v>
      </c>
      <c r="AH1928">
        <v>76.5</v>
      </c>
      <c r="AI1928" t="s">
        <v>939</v>
      </c>
      <c r="AJ1928">
        <v>4</v>
      </c>
      <c r="AK19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MIN(AJ1928/8, 1) +
  Merge1[[#This Row],[index_defensive_effort]],
  2
)</f>
        <v>1.27</v>
      </c>
    </row>
    <row r="1929" spans="1:37" x14ac:dyDescent="0.25">
      <c r="A1929" t="s">
        <v>588</v>
      </c>
      <c r="B1929" t="s">
        <v>589</v>
      </c>
      <c r="C1929">
        <v>32</v>
      </c>
      <c r="D1929" t="s">
        <v>22</v>
      </c>
      <c r="E1929">
        <v>70</v>
      </c>
      <c r="F1929">
        <v>196</v>
      </c>
      <c r="G1929" t="s">
        <v>67</v>
      </c>
      <c r="H1929">
        <v>2020</v>
      </c>
      <c r="I1929" t="s">
        <v>33</v>
      </c>
      <c r="J1929">
        <v>4</v>
      </c>
      <c r="K1929">
        <v>5</v>
      </c>
      <c r="L1929">
        <v>1</v>
      </c>
      <c r="M1929">
        <v>1</v>
      </c>
      <c r="N1929">
        <v>2</v>
      </c>
      <c r="O1929">
        <v>0</v>
      </c>
      <c r="P1929">
        <v>1</v>
      </c>
      <c r="Q1929">
        <v>0</v>
      </c>
      <c r="R1929">
        <v>0</v>
      </c>
      <c r="S1929">
        <v>77</v>
      </c>
      <c r="T1929">
        <v>77</v>
      </c>
      <c r="U1929" s="5">
        <f>IF(Merge1[[#This Row],[team_defense_snaps]]=0, "", Merge1[[#This Row],[defense_snaps]] / Merge1[[#This Row],[team_defense_snaps]])</f>
        <v>1</v>
      </c>
      <c r="V1929">
        <v>77</v>
      </c>
      <c r="W1929">
        <v>0</v>
      </c>
      <c r="X1929" s="5" t="s">
        <v>29</v>
      </c>
      <c r="Y1929">
        <v>10</v>
      </c>
      <c r="Z1929">
        <v>0</v>
      </c>
      <c r="AA1929" t="s">
        <v>25</v>
      </c>
      <c r="AB1929" t="s">
        <v>26</v>
      </c>
      <c r="AC1929" t="s">
        <v>27</v>
      </c>
      <c r="AD1929" t="s">
        <v>42</v>
      </c>
      <c r="AE1929" t="s">
        <v>25</v>
      </c>
      <c r="AF19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0.1038961038961039</v>
      </c>
      <c r="AG1929" t="s">
        <v>941</v>
      </c>
      <c r="AH1929">
        <v>57</v>
      </c>
      <c r="AI1929" t="s">
        <v>939</v>
      </c>
      <c r="AJ1929">
        <v>1</v>
      </c>
      <c r="AK19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MIN(AJ1929/8, 1) +
  Merge1[[#This Row],[index_defensive_effort]],
  2
)</f>
        <v>0.93</v>
      </c>
    </row>
    <row r="1930" spans="1:37" x14ac:dyDescent="0.25">
      <c r="A1930" t="s">
        <v>588</v>
      </c>
      <c r="B1930" t="s">
        <v>589</v>
      </c>
      <c r="C1930">
        <v>32</v>
      </c>
      <c r="D1930" t="s">
        <v>22</v>
      </c>
      <c r="E1930">
        <v>70</v>
      </c>
      <c r="F1930">
        <v>196</v>
      </c>
      <c r="G1930" t="s">
        <v>67</v>
      </c>
      <c r="H1930">
        <v>2020</v>
      </c>
      <c r="I1930" t="s">
        <v>33</v>
      </c>
      <c r="J1930">
        <v>6</v>
      </c>
      <c r="K1930">
        <v>5</v>
      </c>
      <c r="L1930">
        <v>2</v>
      </c>
      <c r="M1930">
        <v>1</v>
      </c>
      <c r="N1930">
        <v>3</v>
      </c>
      <c r="O1930">
        <v>0</v>
      </c>
      <c r="P1930">
        <v>0</v>
      </c>
      <c r="Q1930">
        <v>0</v>
      </c>
      <c r="R1930">
        <v>0</v>
      </c>
      <c r="S1930">
        <v>57</v>
      </c>
      <c r="T1930">
        <v>57</v>
      </c>
      <c r="U1930" s="5">
        <f>IF(Merge1[[#This Row],[team_defense_snaps]]=0, "", Merge1[[#This Row],[defense_snaps]] / Merge1[[#This Row],[team_defense_snaps]])</f>
        <v>1</v>
      </c>
      <c r="V1930">
        <v>57</v>
      </c>
      <c r="W1930">
        <v>0</v>
      </c>
      <c r="X1930" s="5" t="s">
        <v>29</v>
      </c>
      <c r="Y1930">
        <v>10</v>
      </c>
      <c r="Z1930">
        <v>0</v>
      </c>
      <c r="AA1930" t="s">
        <v>25</v>
      </c>
      <c r="AB1930" t="s">
        <v>26</v>
      </c>
      <c r="AC1930" t="s">
        <v>27</v>
      </c>
      <c r="AD1930" t="s">
        <v>42</v>
      </c>
      <c r="AE1930" t="s">
        <v>25</v>
      </c>
      <c r="AF19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0.11403508771929824</v>
      </c>
      <c r="AG1930" t="s">
        <v>941</v>
      </c>
      <c r="AH1930">
        <v>67.5</v>
      </c>
      <c r="AI1930" t="s">
        <v>939</v>
      </c>
      <c r="AJ1930">
        <v>2</v>
      </c>
      <c r="AK19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MIN(AJ1930/8, 1) +
  Merge1[[#This Row],[index_defensive_effort]],
  2
)</f>
        <v>1.06</v>
      </c>
    </row>
    <row r="1931" spans="1:37" x14ac:dyDescent="0.25">
      <c r="A1931" t="s">
        <v>588</v>
      </c>
      <c r="B1931" t="s">
        <v>589</v>
      </c>
      <c r="C1931">
        <v>32</v>
      </c>
      <c r="D1931" t="s">
        <v>22</v>
      </c>
      <c r="E1931">
        <v>70</v>
      </c>
      <c r="F1931">
        <v>196</v>
      </c>
      <c r="G1931" t="s">
        <v>67</v>
      </c>
      <c r="H1931">
        <v>2020</v>
      </c>
      <c r="I1931" t="s">
        <v>33</v>
      </c>
      <c r="J1931">
        <v>7</v>
      </c>
      <c r="K1931">
        <v>0</v>
      </c>
      <c r="L1931">
        <v>2</v>
      </c>
      <c r="M1931">
        <v>0</v>
      </c>
      <c r="N1931">
        <v>2</v>
      </c>
      <c r="O1931">
        <v>0</v>
      </c>
      <c r="P1931">
        <v>0</v>
      </c>
      <c r="Q1931">
        <v>0</v>
      </c>
      <c r="R1931">
        <v>0</v>
      </c>
      <c r="S1931">
        <v>51</v>
      </c>
      <c r="T1931">
        <v>51</v>
      </c>
      <c r="U1931" s="5">
        <f>IF(Merge1[[#This Row],[team_defense_snaps]]=0, "", Merge1[[#This Row],[defense_snaps]] / Merge1[[#This Row],[team_defense_snaps]])</f>
        <v>1</v>
      </c>
      <c r="V1931">
        <v>51</v>
      </c>
      <c r="W1931">
        <v>0</v>
      </c>
      <c r="X1931" s="5" t="s">
        <v>29</v>
      </c>
      <c r="Y1931">
        <v>10</v>
      </c>
      <c r="Z1931">
        <v>0</v>
      </c>
      <c r="AA1931" t="s">
        <v>25</v>
      </c>
      <c r="AB1931" t="s">
        <v>26</v>
      </c>
      <c r="AC1931" t="s">
        <v>27</v>
      </c>
      <c r="AD1931" t="s">
        <v>42</v>
      </c>
      <c r="AE1931" t="s">
        <v>25</v>
      </c>
      <c r="AF19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1.9607843137254902E-2</v>
      </c>
      <c r="AG1931" t="s">
        <v>941</v>
      </c>
      <c r="AH1931">
        <v>70.5</v>
      </c>
      <c r="AI1931" t="s">
        <v>939</v>
      </c>
      <c r="AJ1931">
        <v>3</v>
      </c>
      <c r="AK19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MIN(AJ1931/8, 1) +
  Merge1[[#This Row],[index_defensive_effort]],
  2
)</f>
        <v>1.0900000000000001</v>
      </c>
    </row>
    <row r="1932" spans="1:37" x14ac:dyDescent="0.25">
      <c r="A1932" t="s">
        <v>588</v>
      </c>
      <c r="B1932" t="s">
        <v>589</v>
      </c>
      <c r="C1932">
        <v>32</v>
      </c>
      <c r="D1932" t="s">
        <v>22</v>
      </c>
      <c r="E1932">
        <v>70</v>
      </c>
      <c r="F1932">
        <v>196</v>
      </c>
      <c r="G1932" t="s">
        <v>67</v>
      </c>
      <c r="H1932">
        <v>2020</v>
      </c>
      <c r="I1932" t="s">
        <v>33</v>
      </c>
      <c r="J1932">
        <v>8</v>
      </c>
      <c r="K1932">
        <v>8</v>
      </c>
      <c r="L1932">
        <v>4</v>
      </c>
      <c r="M1932">
        <v>0</v>
      </c>
      <c r="N1932">
        <v>4</v>
      </c>
      <c r="O1932">
        <v>0</v>
      </c>
      <c r="P1932">
        <v>0</v>
      </c>
      <c r="Q1932">
        <v>0</v>
      </c>
      <c r="R1932">
        <v>0</v>
      </c>
      <c r="S1932">
        <v>86</v>
      </c>
      <c r="T1932">
        <v>86</v>
      </c>
      <c r="U1932" s="5">
        <f>IF(Merge1[[#This Row],[team_defense_snaps]]=0, "", Merge1[[#This Row],[defense_snaps]] / Merge1[[#This Row],[team_defense_snaps]])</f>
        <v>0.9662921348314607</v>
      </c>
      <c r="V1932">
        <v>89</v>
      </c>
      <c r="W1932">
        <v>0</v>
      </c>
      <c r="X1932" s="5" t="s">
        <v>29</v>
      </c>
      <c r="Y1932">
        <v>10</v>
      </c>
      <c r="Z1932">
        <v>0</v>
      </c>
      <c r="AA1932" t="s">
        <v>25</v>
      </c>
      <c r="AB1932" t="s">
        <v>26</v>
      </c>
      <c r="AC1932" t="s">
        <v>27</v>
      </c>
      <c r="AD1932" t="s">
        <v>42</v>
      </c>
      <c r="AE1932" t="s">
        <v>25</v>
      </c>
      <c r="AF19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0.11627906976744186</v>
      </c>
      <c r="AG1932" t="s">
        <v>941</v>
      </c>
      <c r="AH1932">
        <v>64.5</v>
      </c>
      <c r="AI1932" t="s">
        <v>939</v>
      </c>
      <c r="AJ1932">
        <v>4</v>
      </c>
      <c r="AK19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MIN(AJ1932/8, 1) +
  Merge1[[#This Row],[index_defensive_effort]],
  2
)</f>
        <v>1.32</v>
      </c>
    </row>
    <row r="1933" spans="1:37" x14ac:dyDescent="0.25">
      <c r="A1933" t="s">
        <v>588</v>
      </c>
      <c r="B1933" t="s">
        <v>589</v>
      </c>
      <c r="C1933">
        <v>32</v>
      </c>
      <c r="D1933" t="s">
        <v>22</v>
      </c>
      <c r="E1933">
        <v>70</v>
      </c>
      <c r="F1933">
        <v>196</v>
      </c>
      <c r="G1933" t="s">
        <v>67</v>
      </c>
      <c r="H1933">
        <v>2020</v>
      </c>
      <c r="I1933" t="s">
        <v>33</v>
      </c>
      <c r="J1933">
        <v>9</v>
      </c>
      <c r="K1933">
        <v>6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71</v>
      </c>
      <c r="T1933">
        <v>71</v>
      </c>
      <c r="U1933" s="5">
        <f>IF(Merge1[[#This Row],[team_defense_snaps]]=0, "", Merge1[[#This Row],[defense_snaps]] / Merge1[[#This Row],[team_defense_snaps]])</f>
        <v>1</v>
      </c>
      <c r="V1933">
        <v>71</v>
      </c>
      <c r="W1933">
        <v>0</v>
      </c>
      <c r="X1933" s="5" t="s">
        <v>29</v>
      </c>
      <c r="Y1933">
        <v>10</v>
      </c>
      <c r="Z1933">
        <v>0</v>
      </c>
      <c r="AA1933" t="s">
        <v>25</v>
      </c>
      <c r="AB1933" t="s">
        <v>26</v>
      </c>
      <c r="AC1933" t="s">
        <v>27</v>
      </c>
      <c r="AD1933" t="s">
        <v>42</v>
      </c>
      <c r="AE1933" t="s">
        <v>25</v>
      </c>
      <c r="AF19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8.4507042253521125E-2</v>
      </c>
      <c r="AG1933" t="s">
        <v>941</v>
      </c>
      <c r="AH1933">
        <v>75</v>
      </c>
      <c r="AI1933" t="s">
        <v>939</v>
      </c>
      <c r="AJ1933">
        <v>5</v>
      </c>
      <c r="AK19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MIN(AJ1933/8, 1) +
  Merge1[[#This Row],[index_defensive_effort]],
  2
)</f>
        <v>1.41</v>
      </c>
    </row>
    <row r="1934" spans="1:37" x14ac:dyDescent="0.25">
      <c r="A1934" t="s">
        <v>588</v>
      </c>
      <c r="B1934" t="s">
        <v>589</v>
      </c>
      <c r="C1934">
        <v>32</v>
      </c>
      <c r="D1934" t="s">
        <v>22</v>
      </c>
      <c r="E1934">
        <v>70</v>
      </c>
      <c r="F1934">
        <v>196</v>
      </c>
      <c r="G1934" t="s">
        <v>67</v>
      </c>
      <c r="H1934">
        <v>2020</v>
      </c>
      <c r="I1934" t="s">
        <v>33</v>
      </c>
      <c r="J1934">
        <v>10</v>
      </c>
      <c r="K1934">
        <v>2</v>
      </c>
      <c r="L1934">
        <v>3</v>
      </c>
      <c r="M1934">
        <v>0</v>
      </c>
      <c r="N1934">
        <v>3</v>
      </c>
      <c r="O1934">
        <v>0</v>
      </c>
      <c r="P1934">
        <v>0</v>
      </c>
      <c r="Q1934">
        <v>0</v>
      </c>
      <c r="R1934">
        <v>0</v>
      </c>
      <c r="S1934">
        <v>69</v>
      </c>
      <c r="T1934">
        <v>69</v>
      </c>
      <c r="U1934" s="5">
        <f>IF(Merge1[[#This Row],[team_defense_snaps]]=0, "", Merge1[[#This Row],[defense_snaps]] / Merge1[[#This Row],[team_defense_snaps]])</f>
        <v>0.95833333333333337</v>
      </c>
      <c r="V1934">
        <v>72</v>
      </c>
      <c r="W1934">
        <v>0</v>
      </c>
      <c r="X1934" s="5" t="s">
        <v>29</v>
      </c>
      <c r="Y1934">
        <v>10</v>
      </c>
      <c r="Z1934">
        <v>0</v>
      </c>
      <c r="AA1934" t="s">
        <v>25</v>
      </c>
      <c r="AB1934" t="s">
        <v>26</v>
      </c>
      <c r="AC1934" t="s">
        <v>27</v>
      </c>
      <c r="AD1934" t="s">
        <v>42</v>
      </c>
      <c r="AE1934" t="s">
        <v>25</v>
      </c>
      <c r="AF19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5.0724637681159424E-2</v>
      </c>
      <c r="AG1934" t="s">
        <v>941</v>
      </c>
      <c r="AH1934">
        <v>69</v>
      </c>
      <c r="AI1934" t="s">
        <v>939</v>
      </c>
      <c r="AJ1934">
        <v>6</v>
      </c>
      <c r="AK19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MIN(AJ1934/8, 1) +
  Merge1[[#This Row],[index_defensive_effort]],
  2
)</f>
        <v>1.5</v>
      </c>
    </row>
    <row r="1935" spans="1:37" x14ac:dyDescent="0.25">
      <c r="A1935" t="s">
        <v>588</v>
      </c>
      <c r="B1935" t="s">
        <v>589</v>
      </c>
      <c r="C1935">
        <v>32</v>
      </c>
      <c r="D1935" t="s">
        <v>22</v>
      </c>
      <c r="E1935">
        <v>70</v>
      </c>
      <c r="F1935">
        <v>196</v>
      </c>
      <c r="G1935" t="s">
        <v>67</v>
      </c>
      <c r="H1935">
        <v>2020</v>
      </c>
      <c r="I1935" t="s">
        <v>33</v>
      </c>
      <c r="J1935">
        <v>11</v>
      </c>
      <c r="K1935">
        <v>2</v>
      </c>
      <c r="L1935">
        <v>1</v>
      </c>
      <c r="M1935">
        <v>0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65</v>
      </c>
      <c r="T1935">
        <v>65</v>
      </c>
      <c r="U1935" s="5">
        <f>IF(Merge1[[#This Row],[team_defense_snaps]]=0, "", Merge1[[#This Row],[defense_snaps]] / Merge1[[#This Row],[team_defense_snaps]])</f>
        <v>1</v>
      </c>
      <c r="V1935">
        <v>65</v>
      </c>
      <c r="W1935">
        <v>0</v>
      </c>
      <c r="X1935" s="5" t="s">
        <v>29</v>
      </c>
      <c r="Y1935">
        <v>10</v>
      </c>
      <c r="Z1935">
        <v>0</v>
      </c>
      <c r="AA1935" t="s">
        <v>25</v>
      </c>
      <c r="AB1935" t="s">
        <v>26</v>
      </c>
      <c r="AC1935" t="s">
        <v>27</v>
      </c>
      <c r="AD1935" t="s">
        <v>42</v>
      </c>
      <c r="AE1935" t="s">
        <v>25</v>
      </c>
      <c r="AF19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3.8461538461538464E-2</v>
      </c>
      <c r="AG1935" t="s">
        <v>941</v>
      </c>
      <c r="AH1935">
        <v>61.5</v>
      </c>
      <c r="AI1935" t="s">
        <v>939</v>
      </c>
      <c r="AJ1935">
        <v>7</v>
      </c>
      <c r="AK19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MIN(AJ1935/8, 1) +
  Merge1[[#This Row],[index_defensive_effort]],
  2
)</f>
        <v>1.61</v>
      </c>
    </row>
    <row r="1936" spans="1:37" x14ac:dyDescent="0.25">
      <c r="A1936" t="s">
        <v>588</v>
      </c>
      <c r="B1936" t="s">
        <v>589</v>
      </c>
      <c r="C1936">
        <v>32</v>
      </c>
      <c r="D1936" t="s">
        <v>22</v>
      </c>
      <c r="E1936">
        <v>70</v>
      </c>
      <c r="F1936">
        <v>196</v>
      </c>
      <c r="G1936" t="s">
        <v>67</v>
      </c>
      <c r="H1936">
        <v>2020</v>
      </c>
      <c r="I1936" t="s">
        <v>33</v>
      </c>
      <c r="J1936">
        <v>12</v>
      </c>
      <c r="K1936">
        <v>3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64</v>
      </c>
      <c r="T1936">
        <v>64</v>
      </c>
      <c r="U1936" s="5">
        <f>IF(Merge1[[#This Row],[team_defense_snaps]]=0, "", Merge1[[#This Row],[defense_snaps]] / Merge1[[#This Row],[team_defense_snaps]])</f>
        <v>1</v>
      </c>
      <c r="V1936">
        <v>64</v>
      </c>
      <c r="W1936">
        <v>0</v>
      </c>
      <c r="X1936" s="5" t="s">
        <v>29</v>
      </c>
      <c r="Y1936">
        <v>10</v>
      </c>
      <c r="Z1936">
        <v>0</v>
      </c>
      <c r="AA1936" t="s">
        <v>25</v>
      </c>
      <c r="AB1936" t="s">
        <v>26</v>
      </c>
      <c r="AC1936" t="s">
        <v>27</v>
      </c>
      <c r="AD1936" t="s">
        <v>42</v>
      </c>
      <c r="AE1936" t="s">
        <v>25</v>
      </c>
      <c r="AF19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4.6875E-2</v>
      </c>
      <c r="AG1936" t="s">
        <v>941</v>
      </c>
      <c r="AH1936">
        <v>73.5</v>
      </c>
      <c r="AI1936" t="s">
        <v>939</v>
      </c>
      <c r="AJ1936">
        <v>8</v>
      </c>
      <c r="AK19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MIN(AJ1936/8, 1) +
  Merge1[[#This Row],[index_defensive_effort]],
  2
)</f>
        <v>1.75</v>
      </c>
    </row>
    <row r="1937" spans="1:37" x14ac:dyDescent="0.25">
      <c r="A1937" t="s">
        <v>588</v>
      </c>
      <c r="B1937" t="s">
        <v>589</v>
      </c>
      <c r="C1937">
        <v>32</v>
      </c>
      <c r="D1937" t="s">
        <v>22</v>
      </c>
      <c r="E1937">
        <v>70</v>
      </c>
      <c r="F1937">
        <v>196</v>
      </c>
      <c r="G1937" t="s">
        <v>67</v>
      </c>
      <c r="H1937">
        <v>2020</v>
      </c>
      <c r="I1937" t="s">
        <v>33</v>
      </c>
      <c r="J1937">
        <v>13</v>
      </c>
      <c r="K1937">
        <v>8</v>
      </c>
      <c r="L1937">
        <v>2</v>
      </c>
      <c r="M1937">
        <v>0</v>
      </c>
      <c r="N1937">
        <v>2</v>
      </c>
      <c r="O1937">
        <v>0</v>
      </c>
      <c r="P1937">
        <v>0</v>
      </c>
      <c r="Q1937">
        <v>0</v>
      </c>
      <c r="R1937">
        <v>0</v>
      </c>
      <c r="S1937">
        <v>64</v>
      </c>
      <c r="T1937">
        <v>64</v>
      </c>
      <c r="U1937" s="5">
        <f>IF(Merge1[[#This Row],[team_defense_snaps]]=0, "", Merge1[[#This Row],[defense_snaps]] / Merge1[[#This Row],[team_defense_snaps]])</f>
        <v>0.98461538461538467</v>
      </c>
      <c r="V1937">
        <v>65</v>
      </c>
      <c r="W1937">
        <v>0</v>
      </c>
      <c r="X1937" s="5" t="s">
        <v>29</v>
      </c>
      <c r="Y1937">
        <v>10</v>
      </c>
      <c r="Z1937">
        <v>0</v>
      </c>
      <c r="AA1937" t="s">
        <v>25</v>
      </c>
      <c r="AB1937" t="s">
        <v>26</v>
      </c>
      <c r="AC1937" t="s">
        <v>27</v>
      </c>
      <c r="AD1937" t="s">
        <v>42</v>
      </c>
      <c r="AE1937" t="s">
        <v>25</v>
      </c>
      <c r="AF19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0.140625</v>
      </c>
      <c r="AG1937" t="s">
        <v>941</v>
      </c>
      <c r="AH1937">
        <v>58.5</v>
      </c>
      <c r="AI1937" t="s">
        <v>939</v>
      </c>
      <c r="AJ1937">
        <v>9</v>
      </c>
      <c r="AK19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MIN(AJ1937/8, 1) +
  Merge1[[#This Row],[index_defensive_effort]],
  2
)</f>
        <v>1.84</v>
      </c>
    </row>
    <row r="1938" spans="1:37" x14ac:dyDescent="0.25">
      <c r="A1938" t="s">
        <v>588</v>
      </c>
      <c r="B1938" t="s">
        <v>589</v>
      </c>
      <c r="C1938">
        <v>32</v>
      </c>
      <c r="D1938" t="s">
        <v>22</v>
      </c>
      <c r="E1938">
        <v>70</v>
      </c>
      <c r="F1938">
        <v>196</v>
      </c>
      <c r="G1938" t="s">
        <v>67</v>
      </c>
      <c r="H1938">
        <v>2020</v>
      </c>
      <c r="I1938" t="s">
        <v>33</v>
      </c>
      <c r="J1938">
        <v>14</v>
      </c>
      <c r="K1938">
        <v>7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67</v>
      </c>
      <c r="T1938">
        <v>67</v>
      </c>
      <c r="U1938" s="5">
        <f>IF(Merge1[[#This Row],[team_defense_snaps]]=0, "", Merge1[[#This Row],[defense_snaps]] / Merge1[[#This Row],[team_defense_snaps]])</f>
        <v>0.95714285714285718</v>
      </c>
      <c r="V1938">
        <v>70</v>
      </c>
      <c r="W1938">
        <v>0</v>
      </c>
      <c r="X1938" s="5" t="s">
        <v>29</v>
      </c>
      <c r="Y1938">
        <v>10</v>
      </c>
      <c r="Z1938">
        <v>0</v>
      </c>
      <c r="AA1938" t="s">
        <v>25</v>
      </c>
      <c r="AB1938" t="s">
        <v>26</v>
      </c>
      <c r="AC1938" t="s">
        <v>27</v>
      </c>
      <c r="AD1938" t="s">
        <v>42</v>
      </c>
      <c r="AE1938" t="s">
        <v>25</v>
      </c>
      <c r="AF19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0.1044776119402985</v>
      </c>
      <c r="AG1938" t="s">
        <v>941</v>
      </c>
      <c r="AH1938">
        <v>60</v>
      </c>
      <c r="AI1938" t="s">
        <v>939</v>
      </c>
      <c r="AJ1938">
        <v>10</v>
      </c>
      <c r="AK19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MIN(AJ1938/8, 1) +
  Merge1[[#This Row],[index_defensive_effort]],
  2
)</f>
        <v>1.8</v>
      </c>
    </row>
    <row r="1939" spans="1:37" x14ac:dyDescent="0.25">
      <c r="A1939" t="s">
        <v>588</v>
      </c>
      <c r="B1939" t="s">
        <v>589</v>
      </c>
      <c r="C1939">
        <v>32</v>
      </c>
      <c r="D1939" t="s">
        <v>22</v>
      </c>
      <c r="E1939">
        <v>70</v>
      </c>
      <c r="F1939">
        <v>196</v>
      </c>
      <c r="G1939" t="s">
        <v>67</v>
      </c>
      <c r="H1939">
        <v>2020</v>
      </c>
      <c r="I1939" t="s">
        <v>33</v>
      </c>
      <c r="J1939">
        <v>15</v>
      </c>
      <c r="K1939">
        <v>7</v>
      </c>
      <c r="L1939">
        <v>2</v>
      </c>
      <c r="M1939">
        <v>0</v>
      </c>
      <c r="N1939">
        <v>2</v>
      </c>
      <c r="O1939">
        <v>0</v>
      </c>
      <c r="P1939">
        <v>0</v>
      </c>
      <c r="Q1939">
        <v>0</v>
      </c>
      <c r="R1939">
        <v>0</v>
      </c>
      <c r="S1939">
        <v>73</v>
      </c>
      <c r="T1939">
        <v>73</v>
      </c>
      <c r="U1939" s="5">
        <f>IF(Merge1[[#This Row],[team_defense_snaps]]=0, "", Merge1[[#This Row],[defense_snaps]] / Merge1[[#This Row],[team_defense_snaps]])</f>
        <v>1</v>
      </c>
      <c r="V1939">
        <v>73</v>
      </c>
      <c r="W1939">
        <v>0</v>
      </c>
      <c r="X1939" s="5" t="s">
        <v>29</v>
      </c>
      <c r="Y1939">
        <v>10</v>
      </c>
      <c r="Z1939">
        <v>0</v>
      </c>
      <c r="AA1939" t="s">
        <v>25</v>
      </c>
      <c r="AB1939" t="s">
        <v>26</v>
      </c>
      <c r="AC1939" t="s">
        <v>27</v>
      </c>
      <c r="AD1939" t="s">
        <v>42</v>
      </c>
      <c r="AE1939" t="s">
        <v>25</v>
      </c>
      <c r="AF19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0.1095890410958904</v>
      </c>
      <c r="AG1939" t="s">
        <v>941</v>
      </c>
      <c r="AH1939">
        <v>55.5</v>
      </c>
      <c r="AI1939" t="s">
        <v>939</v>
      </c>
      <c r="AJ1939">
        <v>11</v>
      </c>
      <c r="AK19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MIN(AJ1939/8, 1) +
  Merge1[[#This Row],[index_defensive_effort]],
  2
)</f>
        <v>1.81</v>
      </c>
    </row>
    <row r="1940" spans="1:37" x14ac:dyDescent="0.25">
      <c r="A1940" t="s">
        <v>588</v>
      </c>
      <c r="B1940" t="s">
        <v>589</v>
      </c>
      <c r="C1940">
        <v>32</v>
      </c>
      <c r="D1940" t="s">
        <v>22</v>
      </c>
      <c r="E1940">
        <v>70</v>
      </c>
      <c r="F1940">
        <v>196</v>
      </c>
      <c r="G1940" t="s">
        <v>67</v>
      </c>
      <c r="H1940">
        <v>2020</v>
      </c>
      <c r="I1940" t="s">
        <v>33</v>
      </c>
      <c r="J1940">
        <v>16</v>
      </c>
      <c r="K1940">
        <v>2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57</v>
      </c>
      <c r="T1940">
        <v>57</v>
      </c>
      <c r="U1940" s="5">
        <f>IF(Merge1[[#This Row],[team_defense_snaps]]=0, "", Merge1[[#This Row],[defense_snaps]] / Merge1[[#This Row],[team_defense_snaps]])</f>
        <v>0.98275862068965514</v>
      </c>
      <c r="V1940">
        <v>58</v>
      </c>
      <c r="W1940">
        <v>0</v>
      </c>
      <c r="X1940" s="5" t="s">
        <v>29</v>
      </c>
      <c r="Y1940">
        <v>10</v>
      </c>
      <c r="Z1940">
        <v>0</v>
      </c>
      <c r="AA1940" t="s">
        <v>25</v>
      </c>
      <c r="AB1940" t="s">
        <v>26</v>
      </c>
      <c r="AC1940" t="s">
        <v>27</v>
      </c>
      <c r="AD1940" t="s">
        <v>42</v>
      </c>
      <c r="AE1940" t="s">
        <v>25</v>
      </c>
      <c r="AF19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3.5087719298245612E-2</v>
      </c>
      <c r="AG1940" t="s">
        <v>941</v>
      </c>
      <c r="AH1940">
        <v>54</v>
      </c>
      <c r="AI1940" t="s">
        <v>939</v>
      </c>
      <c r="AJ1940">
        <v>12</v>
      </c>
      <c r="AK19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MIN(AJ1940/8, 1) +
  Merge1[[#This Row],[index_defensive_effort]],
  2
)</f>
        <v>1.74</v>
      </c>
    </row>
    <row r="1941" spans="1:37" x14ac:dyDescent="0.25">
      <c r="A1941" t="s">
        <v>588</v>
      </c>
      <c r="B1941" t="s">
        <v>589</v>
      </c>
      <c r="C1941">
        <v>32</v>
      </c>
      <c r="D1941" t="s">
        <v>22</v>
      </c>
      <c r="E1941">
        <v>70</v>
      </c>
      <c r="F1941">
        <v>196</v>
      </c>
      <c r="G1941" t="s">
        <v>67</v>
      </c>
      <c r="H1941">
        <v>2020</v>
      </c>
      <c r="I1941" t="s">
        <v>33</v>
      </c>
      <c r="J1941">
        <v>17</v>
      </c>
      <c r="K1941">
        <v>3</v>
      </c>
      <c r="L1941">
        <v>1</v>
      </c>
      <c r="M1941">
        <v>0</v>
      </c>
      <c r="N1941">
        <v>1</v>
      </c>
      <c r="O1941">
        <v>0</v>
      </c>
      <c r="P1941">
        <v>0</v>
      </c>
      <c r="Q1941">
        <v>2</v>
      </c>
      <c r="R1941">
        <v>0</v>
      </c>
      <c r="S1941">
        <v>68</v>
      </c>
      <c r="T1941">
        <v>68</v>
      </c>
      <c r="U1941" s="5">
        <f>IF(Merge1[[#This Row],[team_defense_snaps]]=0, "", Merge1[[#This Row],[defense_snaps]] / Merge1[[#This Row],[team_defense_snaps]])</f>
        <v>0.95774647887323938</v>
      </c>
      <c r="V1941">
        <v>71</v>
      </c>
      <c r="W1941">
        <v>0</v>
      </c>
      <c r="X1941" s="5" t="s">
        <v>29</v>
      </c>
      <c r="Y1941">
        <v>10</v>
      </c>
      <c r="Z1941">
        <v>0</v>
      </c>
      <c r="AA1941" t="s">
        <v>25</v>
      </c>
      <c r="AB1941" t="s">
        <v>26</v>
      </c>
      <c r="AC1941" t="s">
        <v>27</v>
      </c>
      <c r="AD1941" t="s">
        <v>42</v>
      </c>
      <c r="AE1941" t="s">
        <v>25</v>
      </c>
      <c r="AF19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0.16911764705882354</v>
      </c>
      <c r="AG1941" t="s">
        <v>941</v>
      </c>
      <c r="AH1941">
        <v>78</v>
      </c>
      <c r="AI1941" t="s">
        <v>939</v>
      </c>
      <c r="AJ1941">
        <v>1</v>
      </c>
      <c r="AK19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MIN(AJ1941/8, 1) +
  Merge1[[#This Row],[index_defensive_effort]],
  2
)</f>
        <v>0.99</v>
      </c>
    </row>
    <row r="1942" spans="1:37" x14ac:dyDescent="0.25">
      <c r="A1942" t="s">
        <v>602</v>
      </c>
      <c r="B1942" t="s">
        <v>603</v>
      </c>
      <c r="C1942">
        <v>23</v>
      </c>
      <c r="D1942" t="s">
        <v>56</v>
      </c>
      <c r="E1942">
        <v>71</v>
      </c>
      <c r="F1942">
        <v>195</v>
      </c>
      <c r="G1942" t="s">
        <v>130</v>
      </c>
      <c r="H1942">
        <v>2020</v>
      </c>
      <c r="I1942" t="s">
        <v>33</v>
      </c>
      <c r="J1942">
        <v>5</v>
      </c>
      <c r="K1942">
        <v>4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35</v>
      </c>
      <c r="T1942">
        <v>26</v>
      </c>
      <c r="U1942" s="5">
        <f>IF(Merge1[[#This Row],[team_defense_snaps]]=0, "", Merge1[[#This Row],[defense_snaps]] / Merge1[[#This Row],[team_defense_snaps]])</f>
        <v>0.3611111111111111</v>
      </c>
      <c r="V1942">
        <v>72</v>
      </c>
      <c r="W1942">
        <v>9</v>
      </c>
      <c r="X1942" s="5" t="s">
        <v>158</v>
      </c>
      <c r="Y1942">
        <v>1</v>
      </c>
      <c r="Z1942">
        <v>0</v>
      </c>
      <c r="AA1942" t="s">
        <v>25</v>
      </c>
      <c r="AB1942" t="s">
        <v>26</v>
      </c>
      <c r="AC1942" t="s">
        <v>27</v>
      </c>
      <c r="AD1942" t="s">
        <v>28</v>
      </c>
      <c r="AE1942" t="s">
        <v>25</v>
      </c>
      <c r="AF19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0.11428571428571428</v>
      </c>
      <c r="AG1942" t="s">
        <v>941</v>
      </c>
      <c r="AH1942">
        <v>67.5</v>
      </c>
      <c r="AI1942" t="s">
        <v>939</v>
      </c>
      <c r="AJ1942">
        <v>1</v>
      </c>
      <c r="AK19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MIN(AJ1942/8, 1) +
  Merge1[[#This Row],[index_defensive_effort]],
  2
)</f>
        <v>0.74</v>
      </c>
    </row>
    <row r="1943" spans="1:37" x14ac:dyDescent="0.25">
      <c r="A1943" t="s">
        <v>602</v>
      </c>
      <c r="B1943" t="s">
        <v>603</v>
      </c>
      <c r="C1943">
        <v>23</v>
      </c>
      <c r="D1943" t="s">
        <v>56</v>
      </c>
      <c r="E1943">
        <v>71</v>
      </c>
      <c r="F1943">
        <v>195</v>
      </c>
      <c r="G1943" t="s">
        <v>130</v>
      </c>
      <c r="H1943">
        <v>2020</v>
      </c>
      <c r="I1943" t="s">
        <v>33</v>
      </c>
      <c r="J1943">
        <v>8</v>
      </c>
      <c r="K1943">
        <v>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26</v>
      </c>
      <c r="T1943">
        <v>20</v>
      </c>
      <c r="U1943" s="5">
        <f>IF(Merge1[[#This Row],[team_defense_snaps]]=0, "", Merge1[[#This Row],[defense_snaps]] / Merge1[[#This Row],[team_defense_snaps]])</f>
        <v>0.27027027027027029</v>
      </c>
      <c r="V1943">
        <v>74</v>
      </c>
      <c r="W1943">
        <v>6</v>
      </c>
      <c r="X1943" s="5" t="s">
        <v>135</v>
      </c>
      <c r="Y1943">
        <v>1</v>
      </c>
      <c r="Z1943">
        <v>0</v>
      </c>
      <c r="AA1943" t="s">
        <v>25</v>
      </c>
      <c r="AB1943" t="s">
        <v>26</v>
      </c>
      <c r="AC1943" t="s">
        <v>27</v>
      </c>
      <c r="AD1943" t="s">
        <v>28</v>
      </c>
      <c r="AE1943" t="s">
        <v>25</v>
      </c>
      <c r="AF19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3.8461538461538464E-2</v>
      </c>
      <c r="AG1943" t="s">
        <v>941</v>
      </c>
      <c r="AH1943">
        <v>72</v>
      </c>
      <c r="AI1943" t="s">
        <v>939</v>
      </c>
      <c r="AJ1943">
        <v>1</v>
      </c>
      <c r="AK19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MIN(AJ1943/8, 1) +
  Merge1[[#This Row],[index_defensive_effort]],
  2
)</f>
        <v>0.66</v>
      </c>
    </row>
    <row r="1944" spans="1:37" x14ac:dyDescent="0.25">
      <c r="A1944" t="s">
        <v>592</v>
      </c>
      <c r="B1944" t="s">
        <v>593</v>
      </c>
      <c r="C1944">
        <v>27</v>
      </c>
      <c r="D1944" t="s">
        <v>22</v>
      </c>
      <c r="E1944">
        <v>70</v>
      </c>
      <c r="F1944">
        <v>200</v>
      </c>
      <c r="G1944" t="s">
        <v>47</v>
      </c>
      <c r="H1944">
        <v>2020</v>
      </c>
      <c r="I1944" t="s">
        <v>33</v>
      </c>
      <c r="J1944">
        <v>1</v>
      </c>
      <c r="K1944">
        <v>3</v>
      </c>
      <c r="L1944">
        <v>2</v>
      </c>
      <c r="M1944">
        <v>0</v>
      </c>
      <c r="N1944">
        <v>2</v>
      </c>
      <c r="O1944">
        <v>0</v>
      </c>
      <c r="P1944">
        <v>1</v>
      </c>
      <c r="Q1944">
        <v>0</v>
      </c>
      <c r="R1944">
        <v>0</v>
      </c>
      <c r="S1944">
        <v>66</v>
      </c>
      <c r="T1944">
        <v>59</v>
      </c>
      <c r="U1944" s="5">
        <f>IF(Merge1[[#This Row],[team_defense_snaps]]=0, "", Merge1[[#This Row],[defense_snaps]] / Merge1[[#This Row],[team_defense_snaps]])</f>
        <v>0.98333333333333328</v>
      </c>
      <c r="V1944">
        <v>60</v>
      </c>
      <c r="W1944">
        <v>7</v>
      </c>
      <c r="X1944" s="5" t="s">
        <v>113</v>
      </c>
      <c r="Y1944">
        <v>4</v>
      </c>
      <c r="Z1944">
        <v>0</v>
      </c>
      <c r="AA1944" t="s">
        <v>25</v>
      </c>
      <c r="AB1944" t="s">
        <v>26</v>
      </c>
      <c r="AC1944" t="s">
        <v>27</v>
      </c>
      <c r="AD1944" t="s">
        <v>42</v>
      </c>
      <c r="AE1944" t="s">
        <v>25</v>
      </c>
      <c r="AF19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9.0909090909090912E-2</v>
      </c>
      <c r="AG1944" t="s">
        <v>941</v>
      </c>
      <c r="AH1944">
        <v>55</v>
      </c>
      <c r="AI1944" t="s">
        <v>939</v>
      </c>
      <c r="AJ1944">
        <v>2</v>
      </c>
      <c r="AK19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MIN(AJ1944/8, 1) +
  Merge1[[#This Row],[index_defensive_effort]],
  2
)</f>
        <v>0.94</v>
      </c>
    </row>
    <row r="1945" spans="1:37" x14ac:dyDescent="0.25">
      <c r="A1945" t="s">
        <v>592</v>
      </c>
      <c r="B1945" t="s">
        <v>593</v>
      </c>
      <c r="C1945">
        <v>27</v>
      </c>
      <c r="D1945" t="s">
        <v>22</v>
      </c>
      <c r="E1945">
        <v>70</v>
      </c>
      <c r="F1945">
        <v>200</v>
      </c>
      <c r="G1945" t="s">
        <v>47</v>
      </c>
      <c r="H1945">
        <v>2020</v>
      </c>
      <c r="I1945" t="s">
        <v>33</v>
      </c>
      <c r="J1945">
        <v>2</v>
      </c>
      <c r="K1945">
        <v>2</v>
      </c>
      <c r="L1945">
        <v>5</v>
      </c>
      <c r="M1945">
        <v>2</v>
      </c>
      <c r="N1945">
        <v>7</v>
      </c>
      <c r="O1945">
        <v>0</v>
      </c>
      <c r="P1945">
        <v>0</v>
      </c>
      <c r="Q1945">
        <v>0</v>
      </c>
      <c r="R1945">
        <v>0</v>
      </c>
      <c r="S1945">
        <v>95</v>
      </c>
      <c r="T1945">
        <v>86</v>
      </c>
      <c r="U1945" s="5">
        <f>IF(Merge1[[#This Row],[team_defense_snaps]]=0, "", Merge1[[#This Row],[defense_snaps]] / Merge1[[#This Row],[team_defense_snaps]])</f>
        <v>0.93478260869565222</v>
      </c>
      <c r="V1945">
        <v>92</v>
      </c>
      <c r="W1945">
        <v>9</v>
      </c>
      <c r="X1945" s="5" t="s">
        <v>123</v>
      </c>
      <c r="Y1945">
        <v>4</v>
      </c>
      <c r="Z1945">
        <v>0</v>
      </c>
      <c r="AA1945" t="s">
        <v>25</v>
      </c>
      <c r="AB1945" t="s">
        <v>26</v>
      </c>
      <c r="AC1945" t="s">
        <v>27</v>
      </c>
      <c r="AD1945" t="s">
        <v>42</v>
      </c>
      <c r="AE1945" t="s">
        <v>25</v>
      </c>
      <c r="AF19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5.7894736842105263E-2</v>
      </c>
      <c r="AG1945" t="s">
        <v>941</v>
      </c>
      <c r="AH1945">
        <v>50</v>
      </c>
      <c r="AI1945" t="s">
        <v>939</v>
      </c>
      <c r="AJ1945">
        <v>3</v>
      </c>
      <c r="AK19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MIN(AJ1945/8, 1) +
  Merge1[[#This Row],[index_defensive_effort]],
  2
)</f>
        <v>1.03</v>
      </c>
    </row>
    <row r="1946" spans="1:37" x14ac:dyDescent="0.25">
      <c r="A1946" t="s">
        <v>592</v>
      </c>
      <c r="B1946" t="s">
        <v>593</v>
      </c>
      <c r="C1946">
        <v>27</v>
      </c>
      <c r="D1946" t="s">
        <v>22</v>
      </c>
      <c r="E1946">
        <v>70</v>
      </c>
      <c r="F1946">
        <v>200</v>
      </c>
      <c r="G1946" t="s">
        <v>47</v>
      </c>
      <c r="H1946">
        <v>2020</v>
      </c>
      <c r="I1946" t="s">
        <v>33</v>
      </c>
      <c r="J1946">
        <v>3</v>
      </c>
      <c r="K1946">
        <v>6</v>
      </c>
      <c r="L1946">
        <v>2</v>
      </c>
      <c r="M1946">
        <v>0</v>
      </c>
      <c r="N1946">
        <v>2</v>
      </c>
      <c r="O1946">
        <v>0</v>
      </c>
      <c r="P1946">
        <v>0</v>
      </c>
      <c r="Q1946">
        <v>2</v>
      </c>
      <c r="R1946">
        <v>2</v>
      </c>
      <c r="S1946">
        <v>67</v>
      </c>
      <c r="T1946">
        <v>64</v>
      </c>
      <c r="U1946" s="5">
        <f>IF(Merge1[[#This Row],[team_defense_snaps]]=0, "", Merge1[[#This Row],[defense_snaps]] / Merge1[[#This Row],[team_defense_snaps]])</f>
        <v>0.95522388059701491</v>
      </c>
      <c r="V1946">
        <v>67</v>
      </c>
      <c r="W1946">
        <v>3</v>
      </c>
      <c r="X1946" s="5" t="s">
        <v>35</v>
      </c>
      <c r="Y1946">
        <v>4</v>
      </c>
      <c r="Z1946">
        <v>0</v>
      </c>
      <c r="AA1946" t="s">
        <v>25</v>
      </c>
      <c r="AB1946" t="s">
        <v>26</v>
      </c>
      <c r="AC1946" t="s">
        <v>27</v>
      </c>
      <c r="AD1946" t="s">
        <v>42</v>
      </c>
      <c r="AE1946" t="s">
        <v>25</v>
      </c>
      <c r="AF19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0.28358208955223879</v>
      </c>
      <c r="AG1946" t="s">
        <v>941</v>
      </c>
      <c r="AH1946">
        <v>50</v>
      </c>
      <c r="AI1946" t="s">
        <v>939</v>
      </c>
      <c r="AJ1946">
        <v>4</v>
      </c>
      <c r="AK19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MIN(AJ1946/8, 1) +
  Merge1[[#This Row],[index_defensive_effort]],
  2
)</f>
        <v>1.38</v>
      </c>
    </row>
    <row r="1947" spans="1:37" x14ac:dyDescent="0.25">
      <c r="A1947" t="s">
        <v>592</v>
      </c>
      <c r="B1947" t="s">
        <v>593</v>
      </c>
      <c r="C1947">
        <v>27</v>
      </c>
      <c r="D1947" t="s">
        <v>22</v>
      </c>
      <c r="E1947">
        <v>70</v>
      </c>
      <c r="F1947">
        <v>200</v>
      </c>
      <c r="G1947" t="s">
        <v>47</v>
      </c>
      <c r="H1947">
        <v>2020</v>
      </c>
      <c r="I1947" t="s">
        <v>33</v>
      </c>
      <c r="J1947">
        <v>4</v>
      </c>
      <c r="K1947">
        <v>4</v>
      </c>
      <c r="L1947">
        <v>2</v>
      </c>
      <c r="M1947">
        <v>0</v>
      </c>
      <c r="N1947">
        <v>2</v>
      </c>
      <c r="O1947">
        <v>0</v>
      </c>
      <c r="P1947">
        <v>0</v>
      </c>
      <c r="Q1947">
        <v>0</v>
      </c>
      <c r="R1947">
        <v>0</v>
      </c>
      <c r="S1947">
        <v>76</v>
      </c>
      <c r="T1947">
        <v>73</v>
      </c>
      <c r="U1947" s="5">
        <f>IF(Merge1[[#This Row],[team_defense_snaps]]=0, "", Merge1[[#This Row],[defense_snaps]] / Merge1[[#This Row],[team_defense_snaps]])</f>
        <v>0.85882352941176465</v>
      </c>
      <c r="V1947">
        <v>85</v>
      </c>
      <c r="W1947">
        <v>3</v>
      </c>
      <c r="X1947" s="5" t="s">
        <v>38</v>
      </c>
      <c r="Y1947">
        <v>4</v>
      </c>
      <c r="Z1947">
        <v>0</v>
      </c>
      <c r="AA1947" t="s">
        <v>25</v>
      </c>
      <c r="AB1947" t="s">
        <v>26</v>
      </c>
      <c r="AC1947" t="s">
        <v>27</v>
      </c>
      <c r="AD1947" t="s">
        <v>42</v>
      </c>
      <c r="AE1947" t="s">
        <v>25</v>
      </c>
      <c r="AF19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6.5789473684210523E-2</v>
      </c>
      <c r="AG1947" t="s">
        <v>941</v>
      </c>
      <c r="AH1947">
        <v>65.5</v>
      </c>
      <c r="AI1947" t="s">
        <v>938</v>
      </c>
      <c r="AJ1947">
        <v>1</v>
      </c>
      <c r="AK19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MIN(AJ1947/8, 1) +
  Merge1[[#This Row],[index_defensive_effort]],
  2
)</f>
        <v>0.79</v>
      </c>
    </row>
    <row r="1948" spans="1:37" x14ac:dyDescent="0.25">
      <c r="A1948" t="s">
        <v>592</v>
      </c>
      <c r="B1948" t="s">
        <v>593</v>
      </c>
      <c r="C1948">
        <v>27</v>
      </c>
      <c r="D1948" t="s">
        <v>22</v>
      </c>
      <c r="E1948">
        <v>70</v>
      </c>
      <c r="F1948">
        <v>200</v>
      </c>
      <c r="G1948" t="s">
        <v>47</v>
      </c>
      <c r="H1948">
        <v>2020</v>
      </c>
      <c r="I1948" t="s">
        <v>33</v>
      </c>
      <c r="J1948">
        <v>7</v>
      </c>
      <c r="K1948">
        <v>1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19</v>
      </c>
      <c r="T1948">
        <v>12</v>
      </c>
      <c r="U1948" s="5">
        <f>IF(Merge1[[#This Row],[team_defense_snaps]]=0, "", Merge1[[#This Row],[defense_snaps]] / Merge1[[#This Row],[team_defense_snaps]])</f>
        <v>0.15789473684210525</v>
      </c>
      <c r="V1948">
        <v>76</v>
      </c>
      <c r="W1948">
        <v>7</v>
      </c>
      <c r="X1948" s="5" t="s">
        <v>135</v>
      </c>
      <c r="Y1948">
        <v>4</v>
      </c>
      <c r="Z1948">
        <v>0</v>
      </c>
      <c r="AA1948" t="s">
        <v>25</v>
      </c>
      <c r="AB1948" t="s">
        <v>36</v>
      </c>
      <c r="AC1948" t="s">
        <v>147</v>
      </c>
      <c r="AD1948" t="s">
        <v>28</v>
      </c>
      <c r="AE1948" t="s">
        <v>25</v>
      </c>
      <c r="AF19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5.2631578947368418E-2</v>
      </c>
      <c r="AG1948" t="s">
        <v>941</v>
      </c>
      <c r="AH1948">
        <v>59.5</v>
      </c>
      <c r="AI1948" t="s">
        <v>939</v>
      </c>
      <c r="AJ1948">
        <v>2</v>
      </c>
      <c r="AK19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MIN(AJ1948/8, 1) +
  Merge1[[#This Row],[index_defensive_effort]],
  2
)</f>
        <v>0.9</v>
      </c>
    </row>
    <row r="1949" spans="1:37" x14ac:dyDescent="0.25">
      <c r="A1949" t="s">
        <v>592</v>
      </c>
      <c r="B1949" t="s">
        <v>593</v>
      </c>
      <c r="C1949">
        <v>27</v>
      </c>
      <c r="D1949" t="s">
        <v>22</v>
      </c>
      <c r="E1949">
        <v>70</v>
      </c>
      <c r="F1949">
        <v>200</v>
      </c>
      <c r="G1949" t="s">
        <v>47</v>
      </c>
      <c r="H1949">
        <v>2020</v>
      </c>
      <c r="I1949" t="s">
        <v>33</v>
      </c>
      <c r="J1949">
        <v>8</v>
      </c>
      <c r="K1949">
        <v>2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15</v>
      </c>
      <c r="T1949">
        <v>6</v>
      </c>
      <c r="U1949" s="5">
        <f>IF(Merge1[[#This Row],[team_defense_snaps]]=0, "", Merge1[[#This Row],[defense_snaps]] / Merge1[[#This Row],[team_defense_snaps]])</f>
        <v>0.08</v>
      </c>
      <c r="V1949">
        <v>75</v>
      </c>
      <c r="W1949">
        <v>9</v>
      </c>
      <c r="X1949" s="5" t="s">
        <v>275</v>
      </c>
      <c r="Y1949">
        <v>4</v>
      </c>
      <c r="Z1949">
        <v>0</v>
      </c>
      <c r="AA1949" t="s">
        <v>25</v>
      </c>
      <c r="AB1949" t="s">
        <v>26</v>
      </c>
      <c r="AC1949" t="s">
        <v>27</v>
      </c>
      <c r="AD1949" t="s">
        <v>28</v>
      </c>
      <c r="AE1949" t="s">
        <v>25</v>
      </c>
      <c r="AF19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0.13333333333333333</v>
      </c>
      <c r="AG1949" t="s">
        <v>941</v>
      </c>
      <c r="AH1949">
        <v>47.5</v>
      </c>
      <c r="AI1949" t="s">
        <v>939</v>
      </c>
      <c r="AJ1949">
        <v>1</v>
      </c>
      <c r="AK19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MIN(AJ1949/8, 1) +
  Merge1[[#This Row],[index_defensive_effort]],
  2
)</f>
        <v>0.86</v>
      </c>
    </row>
    <row r="1950" spans="1:37" x14ac:dyDescent="0.25">
      <c r="A1950" t="s">
        <v>592</v>
      </c>
      <c r="B1950" t="s">
        <v>593</v>
      </c>
      <c r="C1950">
        <v>27</v>
      </c>
      <c r="D1950" t="s">
        <v>22</v>
      </c>
      <c r="E1950">
        <v>70</v>
      </c>
      <c r="F1950">
        <v>200</v>
      </c>
      <c r="G1950" t="s">
        <v>47</v>
      </c>
      <c r="H1950">
        <v>2020</v>
      </c>
      <c r="I1950" t="s">
        <v>33</v>
      </c>
      <c r="J1950">
        <v>11</v>
      </c>
      <c r="K1950">
        <v>2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34</v>
      </c>
      <c r="T1950">
        <v>18</v>
      </c>
      <c r="U1950" s="5">
        <f>IF(Merge1[[#This Row],[team_defense_snaps]]=0, "", Merge1[[#This Row],[defense_snaps]] / Merge1[[#This Row],[team_defense_snaps]])</f>
        <v>0.2608695652173913</v>
      </c>
      <c r="V1950">
        <v>69</v>
      </c>
      <c r="W1950">
        <v>16</v>
      </c>
      <c r="X1950" s="5" t="s">
        <v>182</v>
      </c>
      <c r="Y1950">
        <v>4</v>
      </c>
      <c r="Z1950">
        <v>0</v>
      </c>
      <c r="AA1950" t="s">
        <v>25</v>
      </c>
      <c r="AB1950" t="s">
        <v>26</v>
      </c>
      <c r="AC1950" t="s">
        <v>27</v>
      </c>
      <c r="AD1950" t="s">
        <v>28</v>
      </c>
      <c r="AE1950" t="s">
        <v>25</v>
      </c>
      <c r="AF19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AG1950" t="s">
        <v>941</v>
      </c>
      <c r="AH1950">
        <v>68.5</v>
      </c>
      <c r="AI1950" t="s">
        <v>939</v>
      </c>
      <c r="AJ1950">
        <v>2</v>
      </c>
      <c r="AK19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MIN(AJ1950/8, 1) +
  Merge1[[#This Row],[index_defensive_effort]],
  2
)</f>
        <v>0.91</v>
      </c>
    </row>
    <row r="1951" spans="1:37" x14ac:dyDescent="0.25">
      <c r="A1951" t="s">
        <v>592</v>
      </c>
      <c r="B1951" t="s">
        <v>593</v>
      </c>
      <c r="C1951">
        <v>27</v>
      </c>
      <c r="D1951" t="s">
        <v>22</v>
      </c>
      <c r="E1951">
        <v>70</v>
      </c>
      <c r="F1951">
        <v>200</v>
      </c>
      <c r="G1951" t="s">
        <v>47</v>
      </c>
      <c r="H1951">
        <v>2020</v>
      </c>
      <c r="I1951" t="s">
        <v>33</v>
      </c>
      <c r="J1951">
        <v>12</v>
      </c>
      <c r="K1951">
        <v>4</v>
      </c>
      <c r="L1951">
        <v>1</v>
      </c>
      <c r="M1951">
        <v>0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70</v>
      </c>
      <c r="T1951">
        <v>64</v>
      </c>
      <c r="U1951" s="5">
        <f>IF(Merge1[[#This Row],[team_defense_snaps]]=0, "", Merge1[[#This Row],[defense_snaps]] / Merge1[[#This Row],[team_defense_snaps]])</f>
        <v>0.96969696969696972</v>
      </c>
      <c r="V1951">
        <v>66</v>
      </c>
      <c r="W1951">
        <v>6</v>
      </c>
      <c r="X1951" s="5" t="s">
        <v>132</v>
      </c>
      <c r="Y1951">
        <v>4</v>
      </c>
      <c r="Z1951">
        <v>0</v>
      </c>
      <c r="AA1951" t="s">
        <v>25</v>
      </c>
      <c r="AB1951" t="s">
        <v>26</v>
      </c>
      <c r="AC1951" t="s">
        <v>27</v>
      </c>
      <c r="AD1951" t="s">
        <v>28</v>
      </c>
      <c r="AE1951" t="s">
        <v>25</v>
      </c>
      <c r="AF19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6.4285714285714279E-2</v>
      </c>
      <c r="AG1951" t="s">
        <v>941</v>
      </c>
      <c r="AH1951">
        <v>50.5</v>
      </c>
      <c r="AI1951" t="s">
        <v>939</v>
      </c>
      <c r="AJ1951">
        <v>3</v>
      </c>
      <c r="AK19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MIN(AJ1951/8, 1) +
  Merge1[[#This Row],[index_defensive_effort]],
  2
)</f>
        <v>1.04</v>
      </c>
    </row>
    <row r="1952" spans="1:37" x14ac:dyDescent="0.25">
      <c r="A1952" t="s">
        <v>592</v>
      </c>
      <c r="B1952" t="s">
        <v>593</v>
      </c>
      <c r="C1952">
        <v>27</v>
      </c>
      <c r="D1952" t="s">
        <v>22</v>
      </c>
      <c r="E1952">
        <v>70</v>
      </c>
      <c r="F1952">
        <v>200</v>
      </c>
      <c r="G1952" t="s">
        <v>47</v>
      </c>
      <c r="H1952">
        <v>2020</v>
      </c>
      <c r="I1952" t="s">
        <v>33</v>
      </c>
      <c r="J1952">
        <v>13</v>
      </c>
      <c r="K1952">
        <v>3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48</v>
      </c>
      <c r="T1952">
        <v>43</v>
      </c>
      <c r="U1952" s="5">
        <f>IF(Merge1[[#This Row],[team_defense_snaps]]=0, "", Merge1[[#This Row],[defense_snaps]] / Merge1[[#This Row],[team_defense_snaps]])</f>
        <v>0.58904109589041098</v>
      </c>
      <c r="V1952">
        <v>73</v>
      </c>
      <c r="W1952">
        <v>5</v>
      </c>
      <c r="X1952" s="5" t="s">
        <v>124</v>
      </c>
      <c r="Y1952">
        <v>4</v>
      </c>
      <c r="Z1952">
        <v>0</v>
      </c>
      <c r="AA1952" t="s">
        <v>25</v>
      </c>
      <c r="AB1952" t="s">
        <v>26</v>
      </c>
      <c r="AC1952" t="s">
        <v>27</v>
      </c>
      <c r="AD1952" t="s">
        <v>42</v>
      </c>
      <c r="AE1952" t="s">
        <v>25</v>
      </c>
      <c r="AF19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1952" t="s">
        <v>941</v>
      </c>
      <c r="AH1952">
        <v>53.5</v>
      </c>
      <c r="AI1952" t="s">
        <v>939</v>
      </c>
      <c r="AJ1952">
        <v>4</v>
      </c>
      <c r="AK19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MIN(AJ1952/8, 1) +
  Merge1[[#This Row],[index_defensive_effort]],
  2
)</f>
        <v>1.1599999999999999</v>
      </c>
    </row>
    <row r="1953" spans="1:37" x14ac:dyDescent="0.25">
      <c r="A1953" t="s">
        <v>592</v>
      </c>
      <c r="B1953" t="s">
        <v>593</v>
      </c>
      <c r="C1953">
        <v>27</v>
      </c>
      <c r="D1953" t="s">
        <v>22</v>
      </c>
      <c r="E1953">
        <v>70</v>
      </c>
      <c r="F1953">
        <v>200</v>
      </c>
      <c r="G1953" t="s">
        <v>47</v>
      </c>
      <c r="H1953">
        <v>2020</v>
      </c>
      <c r="I1953" t="s">
        <v>33</v>
      </c>
      <c r="J1953">
        <v>14</v>
      </c>
      <c r="K1953">
        <v>5</v>
      </c>
      <c r="L1953">
        <v>2</v>
      </c>
      <c r="M1953">
        <v>0</v>
      </c>
      <c r="N1953">
        <v>2</v>
      </c>
      <c r="O1953">
        <v>0</v>
      </c>
      <c r="P1953">
        <v>0</v>
      </c>
      <c r="Q1953">
        <v>0</v>
      </c>
      <c r="R1953">
        <v>0</v>
      </c>
      <c r="S1953">
        <v>57</v>
      </c>
      <c r="T1953">
        <v>51</v>
      </c>
      <c r="U1953" s="5">
        <f>IF(Merge1[[#This Row],[team_defense_snaps]]=0, "", Merge1[[#This Row],[defense_snaps]] / Merge1[[#This Row],[team_defense_snaps]])</f>
        <v>0.83606557377049184</v>
      </c>
      <c r="V1953">
        <v>61</v>
      </c>
      <c r="W1953">
        <v>6</v>
      </c>
      <c r="X1953" s="5" t="s">
        <v>181</v>
      </c>
      <c r="Y1953">
        <v>4</v>
      </c>
      <c r="Z1953">
        <v>0</v>
      </c>
      <c r="AA1953" t="s">
        <v>25</v>
      </c>
      <c r="AB1953" t="s">
        <v>26</v>
      </c>
      <c r="AC1953" t="s">
        <v>27</v>
      </c>
      <c r="AD1953" t="s">
        <v>42</v>
      </c>
      <c r="AE1953" t="s">
        <v>25</v>
      </c>
      <c r="AF19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0.10526315789473684</v>
      </c>
      <c r="AG1953" t="s">
        <v>941</v>
      </c>
      <c r="AH1953">
        <v>52</v>
      </c>
      <c r="AI1953" t="s">
        <v>939</v>
      </c>
      <c r="AJ1953">
        <v>5</v>
      </c>
      <c r="AK19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MIN(AJ1953/8, 1) +
  Merge1[[#This Row],[index_defensive_effort]],
  2
)</f>
        <v>1.33</v>
      </c>
    </row>
    <row r="1954" spans="1:37" x14ac:dyDescent="0.25">
      <c r="A1954" t="s">
        <v>592</v>
      </c>
      <c r="B1954" t="s">
        <v>593</v>
      </c>
      <c r="C1954">
        <v>27</v>
      </c>
      <c r="D1954" t="s">
        <v>22</v>
      </c>
      <c r="E1954">
        <v>70</v>
      </c>
      <c r="F1954">
        <v>200</v>
      </c>
      <c r="G1954" t="s">
        <v>47</v>
      </c>
      <c r="H1954">
        <v>2020</v>
      </c>
      <c r="I1954" t="s">
        <v>33</v>
      </c>
      <c r="J1954">
        <v>15</v>
      </c>
      <c r="K1954">
        <v>9</v>
      </c>
      <c r="L1954">
        <v>2</v>
      </c>
      <c r="M1954">
        <v>1</v>
      </c>
      <c r="N1954">
        <v>3</v>
      </c>
      <c r="O1954">
        <v>0</v>
      </c>
      <c r="P1954">
        <v>0</v>
      </c>
      <c r="Q1954">
        <v>0</v>
      </c>
      <c r="R1954">
        <v>0</v>
      </c>
      <c r="S1954">
        <v>62</v>
      </c>
      <c r="T1954">
        <v>54</v>
      </c>
      <c r="U1954" s="5">
        <f>IF(Merge1[[#This Row],[team_defense_snaps]]=0, "", Merge1[[#This Row],[defense_snaps]] / Merge1[[#This Row],[team_defense_snaps]])</f>
        <v>1</v>
      </c>
      <c r="V1954">
        <v>54</v>
      </c>
      <c r="W1954">
        <v>8</v>
      </c>
      <c r="X1954" s="5" t="s">
        <v>243</v>
      </c>
      <c r="Y1954">
        <v>4</v>
      </c>
      <c r="Z1954">
        <v>0</v>
      </c>
      <c r="AA1954" t="s">
        <v>25</v>
      </c>
      <c r="AB1954" t="s">
        <v>26</v>
      </c>
      <c r="AC1954" t="s">
        <v>27</v>
      </c>
      <c r="AD1954" t="s">
        <v>42</v>
      </c>
      <c r="AE1954" t="s">
        <v>25</v>
      </c>
      <c r="AF19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0.16935483870967741</v>
      </c>
      <c r="AG1954" t="s">
        <v>941</v>
      </c>
      <c r="AH1954">
        <v>61</v>
      </c>
      <c r="AI1954" t="s">
        <v>939</v>
      </c>
      <c r="AJ1954">
        <v>6</v>
      </c>
      <c r="AK19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MIN(AJ1954/8, 1) +
  Merge1[[#This Row],[index_defensive_effort]],
  2
)</f>
        <v>1.52</v>
      </c>
    </row>
    <row r="1955" spans="1:37" x14ac:dyDescent="0.25">
      <c r="A1955" t="s">
        <v>592</v>
      </c>
      <c r="B1955" t="s">
        <v>593</v>
      </c>
      <c r="C1955">
        <v>27</v>
      </c>
      <c r="D1955" t="s">
        <v>22</v>
      </c>
      <c r="E1955">
        <v>70</v>
      </c>
      <c r="F1955">
        <v>200</v>
      </c>
      <c r="G1955" t="s">
        <v>47</v>
      </c>
      <c r="H1955">
        <v>2020</v>
      </c>
      <c r="I1955" t="s">
        <v>33</v>
      </c>
      <c r="J1955">
        <v>16</v>
      </c>
      <c r="K1955">
        <v>2</v>
      </c>
      <c r="L1955">
        <v>3</v>
      </c>
      <c r="M1955">
        <v>0</v>
      </c>
      <c r="N1955">
        <v>3</v>
      </c>
      <c r="O1955">
        <v>0</v>
      </c>
      <c r="P1955">
        <v>0</v>
      </c>
      <c r="Q1955">
        <v>0</v>
      </c>
      <c r="R1955">
        <v>0</v>
      </c>
      <c r="S1955">
        <v>78</v>
      </c>
      <c r="T1955">
        <v>69</v>
      </c>
      <c r="U1955" s="5">
        <f>IF(Merge1[[#This Row],[team_defense_snaps]]=0, "", Merge1[[#This Row],[defense_snaps]] / Merge1[[#This Row],[team_defense_snaps]])</f>
        <v>0.971830985915493</v>
      </c>
      <c r="V1955">
        <v>71</v>
      </c>
      <c r="W1955">
        <v>9</v>
      </c>
      <c r="X1955" s="5" t="s">
        <v>261</v>
      </c>
      <c r="Y1955">
        <v>4</v>
      </c>
      <c r="Z1955">
        <v>0</v>
      </c>
      <c r="AA1955" t="s">
        <v>25</v>
      </c>
      <c r="AB1955" t="s">
        <v>26</v>
      </c>
      <c r="AC1955" t="s">
        <v>27</v>
      </c>
      <c r="AD1955" t="s">
        <v>42</v>
      </c>
      <c r="AE1955" t="s">
        <v>25</v>
      </c>
      <c r="AF19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4.4871794871794872E-2</v>
      </c>
      <c r="AG1955" t="s">
        <v>941</v>
      </c>
      <c r="AH1955">
        <v>70</v>
      </c>
      <c r="AI1955" t="s">
        <v>939</v>
      </c>
      <c r="AJ1955">
        <v>1</v>
      </c>
      <c r="AK19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MIN(AJ1955/8, 1) +
  Merge1[[#This Row],[index_defensive_effort]],
  2
)</f>
        <v>0.77</v>
      </c>
    </row>
    <row r="1956" spans="1:37" x14ac:dyDescent="0.25">
      <c r="A1956" t="s">
        <v>592</v>
      </c>
      <c r="B1956" t="s">
        <v>593</v>
      </c>
      <c r="C1956">
        <v>27</v>
      </c>
      <c r="D1956" t="s">
        <v>22</v>
      </c>
      <c r="E1956">
        <v>70</v>
      </c>
      <c r="F1956">
        <v>200</v>
      </c>
      <c r="G1956" t="s">
        <v>47</v>
      </c>
      <c r="H1956">
        <v>2020</v>
      </c>
      <c r="I1956" t="s">
        <v>24</v>
      </c>
      <c r="J1956">
        <v>18</v>
      </c>
      <c r="K1956">
        <v>2</v>
      </c>
      <c r="L1956">
        <v>0</v>
      </c>
      <c r="M1956">
        <v>0</v>
      </c>
      <c r="N1956">
        <v>0</v>
      </c>
      <c r="O1956">
        <v>0</v>
      </c>
      <c r="P1956">
        <v>1</v>
      </c>
      <c r="Q1956">
        <v>1</v>
      </c>
      <c r="R1956">
        <v>0</v>
      </c>
      <c r="S1956">
        <v>84</v>
      </c>
      <c r="T1956">
        <v>71</v>
      </c>
      <c r="U1956" s="5">
        <f>IF(Merge1[[#This Row],[team_defense_snaps]]=0, "", Merge1[[#This Row],[defense_snaps]] / Merge1[[#This Row],[team_defense_snaps]])</f>
        <v>0.77173913043478259</v>
      </c>
      <c r="V1956">
        <v>92</v>
      </c>
      <c r="W1956">
        <v>13</v>
      </c>
      <c r="X1956" s="5" t="s">
        <v>60</v>
      </c>
      <c r="Y1956">
        <v>4</v>
      </c>
      <c r="Z1956">
        <v>0</v>
      </c>
      <c r="AA1956" t="s">
        <v>25</v>
      </c>
      <c r="AB1956" t="s">
        <v>26</v>
      </c>
      <c r="AC1956" t="s">
        <v>27</v>
      </c>
      <c r="AD1956" t="s">
        <v>42</v>
      </c>
      <c r="AE1956" t="s">
        <v>25</v>
      </c>
      <c r="AF19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9.5238095238095233E-2</v>
      </c>
      <c r="AG1956" t="s">
        <v>941</v>
      </c>
      <c r="AH1956">
        <v>46</v>
      </c>
      <c r="AI1956" t="s">
        <v>939</v>
      </c>
      <c r="AJ1956">
        <v>1</v>
      </c>
      <c r="AK19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MIN(AJ1956/8, 1) +
  Merge1[[#This Row],[index_defensive_effort]],
  2
)</f>
        <v>1.02</v>
      </c>
    </row>
    <row r="1957" spans="1:37" x14ac:dyDescent="0.25">
      <c r="A1957" t="s">
        <v>592</v>
      </c>
      <c r="B1957" t="s">
        <v>593</v>
      </c>
      <c r="C1957">
        <v>27</v>
      </c>
      <c r="D1957" t="s">
        <v>22</v>
      </c>
      <c r="E1957">
        <v>70</v>
      </c>
      <c r="F1957">
        <v>200</v>
      </c>
      <c r="G1957" t="s">
        <v>47</v>
      </c>
      <c r="H1957">
        <v>2020</v>
      </c>
      <c r="I1957" t="s">
        <v>24</v>
      </c>
      <c r="J1957">
        <v>19</v>
      </c>
      <c r="K1957">
        <v>4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2</v>
      </c>
      <c r="R1957">
        <v>0</v>
      </c>
      <c r="S1957">
        <v>60</v>
      </c>
      <c r="T1957">
        <v>50</v>
      </c>
      <c r="U1957" s="5">
        <f>IF(Merge1[[#This Row],[team_defense_snaps]]=0, "", Merge1[[#This Row],[defense_snaps]] / Merge1[[#This Row],[team_defense_snaps]])</f>
        <v>0.74626865671641796</v>
      </c>
      <c r="V1957">
        <v>67</v>
      </c>
      <c r="W1957">
        <v>10</v>
      </c>
      <c r="X1957" s="5" t="s">
        <v>200</v>
      </c>
      <c r="Y1957">
        <v>4</v>
      </c>
      <c r="Z1957">
        <v>0</v>
      </c>
      <c r="AA1957" t="s">
        <v>25</v>
      </c>
      <c r="AB1957" t="s">
        <v>26</v>
      </c>
      <c r="AC1957" t="s">
        <v>27</v>
      </c>
      <c r="AD1957" t="s">
        <v>42</v>
      </c>
      <c r="AE1957" t="s">
        <v>25</v>
      </c>
      <c r="AF19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</v>
      </c>
      <c r="AG1957" t="s">
        <v>941</v>
      </c>
      <c r="AH1957">
        <v>67</v>
      </c>
      <c r="AI1957" t="s">
        <v>939</v>
      </c>
      <c r="AJ1957">
        <v>2</v>
      </c>
      <c r="AK19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MIN(AJ1957/8, 1) +
  Merge1[[#This Row],[index_defensive_effort]],
  2
)</f>
        <v>1.25</v>
      </c>
    </row>
    <row r="1958" spans="1:37" x14ac:dyDescent="0.25">
      <c r="A1958" t="s">
        <v>592</v>
      </c>
      <c r="B1958" t="s">
        <v>593</v>
      </c>
      <c r="C1958">
        <v>27</v>
      </c>
      <c r="D1958" t="s">
        <v>22</v>
      </c>
      <c r="E1958">
        <v>70</v>
      </c>
      <c r="F1958">
        <v>200</v>
      </c>
      <c r="G1958" t="s">
        <v>47</v>
      </c>
      <c r="H1958">
        <v>2020</v>
      </c>
      <c r="I1958" t="s">
        <v>33</v>
      </c>
      <c r="J1958">
        <v>17</v>
      </c>
      <c r="K1958">
        <v>3</v>
      </c>
      <c r="L1958">
        <v>3</v>
      </c>
      <c r="M1958">
        <v>2</v>
      </c>
      <c r="N1958">
        <v>5</v>
      </c>
      <c r="O1958">
        <v>0</v>
      </c>
      <c r="P1958">
        <v>1</v>
      </c>
      <c r="Q1958">
        <v>0</v>
      </c>
      <c r="R1958">
        <v>0</v>
      </c>
      <c r="S1958">
        <v>69</v>
      </c>
      <c r="T1958">
        <v>61</v>
      </c>
      <c r="U1958" s="5">
        <f>IF(Merge1[[#This Row],[team_defense_snaps]]=0, "", Merge1[[#This Row],[defense_snaps]] / Merge1[[#This Row],[team_defense_snaps]])</f>
        <v>0.91044776119402981</v>
      </c>
      <c r="V1958">
        <v>67</v>
      </c>
      <c r="W1958">
        <v>8</v>
      </c>
      <c r="X1958" s="5" t="s">
        <v>108</v>
      </c>
      <c r="Y1958">
        <v>4</v>
      </c>
      <c r="Z1958">
        <v>0</v>
      </c>
      <c r="AA1958" t="s">
        <v>25</v>
      </c>
      <c r="AB1958" t="s">
        <v>26</v>
      </c>
      <c r="AC1958" t="s">
        <v>27</v>
      </c>
      <c r="AD1958" t="s">
        <v>42</v>
      </c>
      <c r="AE1958" t="s">
        <v>25</v>
      </c>
      <c r="AF19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0.10869565217391304</v>
      </c>
      <c r="AG1958" t="s">
        <v>941</v>
      </c>
      <c r="AH1958">
        <v>49</v>
      </c>
      <c r="AI1958" t="s">
        <v>939</v>
      </c>
      <c r="AJ1958">
        <v>1</v>
      </c>
      <c r="AK19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MIN(AJ1958/8, 1) +
  Merge1[[#This Row],[index_defensive_effort]],
  2
)</f>
        <v>0.83</v>
      </c>
    </row>
    <row r="1959" spans="1:37" x14ac:dyDescent="0.25">
      <c r="A1959" t="s">
        <v>578</v>
      </c>
      <c r="B1959" t="s">
        <v>579</v>
      </c>
      <c r="C1959">
        <v>26</v>
      </c>
      <c r="D1959" t="s">
        <v>22</v>
      </c>
      <c r="E1959">
        <v>72</v>
      </c>
      <c r="F1959">
        <v>223</v>
      </c>
      <c r="G1959" t="s">
        <v>203</v>
      </c>
      <c r="H1959">
        <v>2020</v>
      </c>
      <c r="I1959" t="s">
        <v>33</v>
      </c>
      <c r="J1959">
        <v>3</v>
      </c>
      <c r="K1959">
        <v>1</v>
      </c>
      <c r="L1959">
        <v>1</v>
      </c>
      <c r="M1959">
        <v>0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23</v>
      </c>
      <c r="T1959">
        <v>6</v>
      </c>
      <c r="U1959" s="5">
        <f>IF(Merge1[[#This Row],[team_defense_snaps]]=0, "", Merge1[[#This Row],[defense_snaps]] / Merge1[[#This Row],[team_defense_snaps]])</f>
        <v>8.9552238805970144E-2</v>
      </c>
      <c r="V1959">
        <v>67</v>
      </c>
      <c r="W1959">
        <v>17</v>
      </c>
      <c r="X1959" s="5" t="s">
        <v>110</v>
      </c>
      <c r="Y1959">
        <v>4</v>
      </c>
      <c r="Z1959">
        <v>0</v>
      </c>
      <c r="AA1959" t="s">
        <v>25</v>
      </c>
      <c r="AB1959" t="s">
        <v>26</v>
      </c>
      <c r="AC1959" t="s">
        <v>27</v>
      </c>
      <c r="AD1959" t="s">
        <v>28</v>
      </c>
      <c r="AE1959" t="s">
        <v>25</v>
      </c>
      <c r="AF19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6.5217391304347824E-2</v>
      </c>
      <c r="AG1959" t="s">
        <v>941</v>
      </c>
      <c r="AH1959">
        <v>85</v>
      </c>
      <c r="AI1959" t="s">
        <v>939</v>
      </c>
      <c r="AJ1959">
        <v>1</v>
      </c>
      <c r="AK19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MIN(AJ1959/8, 1) +
  Merge1[[#This Row],[index_defensive_effort]],
  2
)</f>
        <v>0.79</v>
      </c>
    </row>
    <row r="1960" spans="1:37" x14ac:dyDescent="0.25">
      <c r="A1960" t="s">
        <v>598</v>
      </c>
      <c r="B1960" t="s">
        <v>599</v>
      </c>
      <c r="C1960">
        <v>25</v>
      </c>
      <c r="D1960" t="s">
        <v>22</v>
      </c>
      <c r="E1960">
        <v>72</v>
      </c>
      <c r="F1960">
        <v>211</v>
      </c>
      <c r="G1960" t="s">
        <v>173</v>
      </c>
      <c r="H1960">
        <v>2020</v>
      </c>
      <c r="I1960" t="s">
        <v>33</v>
      </c>
      <c r="J1960">
        <v>1</v>
      </c>
      <c r="K1960">
        <v>2</v>
      </c>
      <c r="L1960">
        <v>4</v>
      </c>
      <c r="M1960">
        <v>0</v>
      </c>
      <c r="N1960">
        <v>4</v>
      </c>
      <c r="O1960">
        <v>0</v>
      </c>
      <c r="P1960">
        <v>0</v>
      </c>
      <c r="Q1960">
        <v>0</v>
      </c>
      <c r="R1960">
        <v>0</v>
      </c>
      <c r="S1960">
        <v>60</v>
      </c>
      <c r="T1960">
        <v>51</v>
      </c>
      <c r="U1960" s="5">
        <f>IF(Merge1[[#This Row],[team_defense_snaps]]=0, "", Merge1[[#This Row],[defense_snaps]] / Merge1[[#This Row],[team_defense_snaps]])</f>
        <v>0.82258064516129037</v>
      </c>
      <c r="V1960">
        <v>62</v>
      </c>
      <c r="W1960">
        <v>9</v>
      </c>
      <c r="X1960" s="5" t="s">
        <v>314</v>
      </c>
      <c r="Y1960">
        <v>4</v>
      </c>
      <c r="Z1960">
        <v>0</v>
      </c>
      <c r="AA1960" t="s">
        <v>25</v>
      </c>
      <c r="AB1960" t="s">
        <v>26</v>
      </c>
      <c r="AC1960" t="s">
        <v>27</v>
      </c>
      <c r="AD1960" t="s">
        <v>42</v>
      </c>
      <c r="AE1960" t="s">
        <v>25</v>
      </c>
      <c r="AF19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1960" t="s">
        <v>942</v>
      </c>
      <c r="AH1960">
        <v>78</v>
      </c>
      <c r="AI1960" t="s">
        <v>939</v>
      </c>
      <c r="AJ1960">
        <v>2</v>
      </c>
      <c r="AK19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MIN(AJ1960/8, 1) +
  Merge1[[#This Row],[index_defensive_effort]],
  2
)</f>
        <v>0.82</v>
      </c>
    </row>
    <row r="1961" spans="1:37" x14ac:dyDescent="0.25">
      <c r="A1961" t="s">
        <v>598</v>
      </c>
      <c r="B1961" t="s">
        <v>599</v>
      </c>
      <c r="C1961">
        <v>25</v>
      </c>
      <c r="D1961" t="s">
        <v>22</v>
      </c>
      <c r="E1961">
        <v>72</v>
      </c>
      <c r="F1961">
        <v>211</v>
      </c>
      <c r="G1961" t="s">
        <v>173</v>
      </c>
      <c r="H1961">
        <v>2020</v>
      </c>
      <c r="I1961" t="s">
        <v>33</v>
      </c>
      <c r="J1961">
        <v>2</v>
      </c>
      <c r="K1961">
        <v>5</v>
      </c>
      <c r="L1961">
        <v>2</v>
      </c>
      <c r="M1961">
        <v>0</v>
      </c>
      <c r="N1961">
        <v>2</v>
      </c>
      <c r="O1961">
        <v>0</v>
      </c>
      <c r="P1961">
        <v>1</v>
      </c>
      <c r="Q1961">
        <v>0</v>
      </c>
      <c r="R1961">
        <v>0</v>
      </c>
      <c r="S1961">
        <v>79</v>
      </c>
      <c r="T1961">
        <v>64</v>
      </c>
      <c r="U1961" s="5">
        <f>IF(Merge1[[#This Row],[team_defense_snaps]]=0, "", Merge1[[#This Row],[defense_snaps]] / Merge1[[#This Row],[team_defense_snaps]])</f>
        <v>0.77108433734939763</v>
      </c>
      <c r="V1961">
        <v>83</v>
      </c>
      <c r="W1961">
        <v>15</v>
      </c>
      <c r="X1961" s="5" t="s">
        <v>131</v>
      </c>
      <c r="Y1961">
        <v>4</v>
      </c>
      <c r="Z1961">
        <v>0</v>
      </c>
      <c r="AA1961" t="s">
        <v>25</v>
      </c>
      <c r="AB1961" t="s">
        <v>26</v>
      </c>
      <c r="AC1961" t="s">
        <v>27</v>
      </c>
      <c r="AD1961" t="s">
        <v>28</v>
      </c>
      <c r="AE1961" t="s">
        <v>25</v>
      </c>
      <c r="AF19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0.10126582278481013</v>
      </c>
      <c r="AG1961" t="s">
        <v>942</v>
      </c>
      <c r="AH1961">
        <v>76.5</v>
      </c>
      <c r="AI1961" t="s">
        <v>939</v>
      </c>
      <c r="AJ1961">
        <v>3</v>
      </c>
      <c r="AK19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MIN(AJ1961/8, 1) +
  Merge1[[#This Row],[index_defensive_effort]],
  2
)</f>
        <v>0.98</v>
      </c>
    </row>
    <row r="1962" spans="1:37" x14ac:dyDescent="0.25">
      <c r="A1962" t="s">
        <v>598</v>
      </c>
      <c r="B1962" t="s">
        <v>599</v>
      </c>
      <c r="C1962">
        <v>25</v>
      </c>
      <c r="D1962" t="s">
        <v>22</v>
      </c>
      <c r="E1962">
        <v>72</v>
      </c>
      <c r="F1962">
        <v>211</v>
      </c>
      <c r="G1962" t="s">
        <v>173</v>
      </c>
      <c r="H1962">
        <v>2020</v>
      </c>
      <c r="I1962" t="s">
        <v>33</v>
      </c>
      <c r="J1962">
        <v>3</v>
      </c>
      <c r="K1962">
        <v>5</v>
      </c>
      <c r="L1962">
        <v>3</v>
      </c>
      <c r="M1962">
        <v>1</v>
      </c>
      <c r="N1962">
        <v>4</v>
      </c>
      <c r="O1962">
        <v>0</v>
      </c>
      <c r="P1962">
        <v>0</v>
      </c>
      <c r="Q1962">
        <v>0</v>
      </c>
      <c r="R1962">
        <v>0</v>
      </c>
      <c r="S1962">
        <v>76</v>
      </c>
      <c r="T1962">
        <v>68</v>
      </c>
      <c r="U1962" s="5">
        <f>IF(Merge1[[#This Row],[team_defense_snaps]]=0, "", Merge1[[#This Row],[defense_snaps]] / Merge1[[#This Row],[team_defense_snaps]])</f>
        <v>0.81927710843373491</v>
      </c>
      <c r="V1962">
        <v>83</v>
      </c>
      <c r="W1962">
        <v>8</v>
      </c>
      <c r="X1962" s="5" t="s">
        <v>133</v>
      </c>
      <c r="Y1962">
        <v>4</v>
      </c>
      <c r="Z1962">
        <v>0</v>
      </c>
      <c r="AA1962" t="s">
        <v>25</v>
      </c>
      <c r="AB1962" t="s">
        <v>26</v>
      </c>
      <c r="AC1962" t="s">
        <v>27</v>
      </c>
      <c r="AD1962" t="s">
        <v>42</v>
      </c>
      <c r="AE1962" t="s">
        <v>25</v>
      </c>
      <c r="AF19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9.2105263157894732E-2</v>
      </c>
      <c r="AG1962" t="s">
        <v>942</v>
      </c>
      <c r="AH1962">
        <v>55.5</v>
      </c>
      <c r="AI1962" t="s">
        <v>939</v>
      </c>
      <c r="AJ1962">
        <v>1</v>
      </c>
      <c r="AK19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MIN(AJ1962/8, 1) +
  Merge1[[#This Row],[index_defensive_effort]],
  2
)</f>
        <v>0.72</v>
      </c>
    </row>
    <row r="1963" spans="1:37" x14ac:dyDescent="0.25">
      <c r="A1963" t="s">
        <v>598</v>
      </c>
      <c r="B1963" t="s">
        <v>599</v>
      </c>
      <c r="C1963">
        <v>25</v>
      </c>
      <c r="D1963" t="s">
        <v>22</v>
      </c>
      <c r="E1963">
        <v>72</v>
      </c>
      <c r="F1963">
        <v>211</v>
      </c>
      <c r="G1963" t="s">
        <v>173</v>
      </c>
      <c r="H1963">
        <v>2020</v>
      </c>
      <c r="I1963" t="s">
        <v>33</v>
      </c>
      <c r="J1963">
        <v>5</v>
      </c>
      <c r="K1963">
        <v>5</v>
      </c>
      <c r="L1963">
        <v>2</v>
      </c>
      <c r="M1963">
        <v>0</v>
      </c>
      <c r="N1963">
        <v>2</v>
      </c>
      <c r="O1963">
        <v>0</v>
      </c>
      <c r="P1963">
        <v>1</v>
      </c>
      <c r="Q1963">
        <v>0</v>
      </c>
      <c r="R1963">
        <v>0</v>
      </c>
      <c r="S1963">
        <v>59</v>
      </c>
      <c r="T1963">
        <v>59</v>
      </c>
      <c r="U1963" s="5">
        <f>IF(Merge1[[#This Row],[team_defense_snaps]]=0, "", Merge1[[#This Row],[defense_snaps]] / Merge1[[#This Row],[team_defense_snaps]])</f>
        <v>0.89393939393939392</v>
      </c>
      <c r="V1963">
        <v>66</v>
      </c>
      <c r="W1963">
        <v>0</v>
      </c>
      <c r="X1963" s="5" t="s">
        <v>29</v>
      </c>
      <c r="Y1963">
        <v>4</v>
      </c>
      <c r="Z1963">
        <v>0</v>
      </c>
      <c r="AA1963" t="s">
        <v>25</v>
      </c>
      <c r="AB1963" t="s">
        <v>26</v>
      </c>
      <c r="AC1963" t="s">
        <v>27</v>
      </c>
      <c r="AD1963" t="s">
        <v>42</v>
      </c>
      <c r="AE1963" t="s">
        <v>25</v>
      </c>
      <c r="AF19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0.13559322033898305</v>
      </c>
      <c r="AG1963" t="s">
        <v>942</v>
      </c>
      <c r="AH1963">
        <v>57</v>
      </c>
      <c r="AI1963" t="s">
        <v>939</v>
      </c>
      <c r="AJ1963">
        <v>2</v>
      </c>
      <c r="AK19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MIN(AJ1963/8, 1) +
  Merge1[[#This Row],[index_defensive_effort]],
  2
)</f>
        <v>0.89</v>
      </c>
    </row>
    <row r="1964" spans="1:37" x14ac:dyDescent="0.25">
      <c r="A1964" t="s">
        <v>598</v>
      </c>
      <c r="B1964" t="s">
        <v>599</v>
      </c>
      <c r="C1964">
        <v>25</v>
      </c>
      <c r="D1964" t="s">
        <v>22</v>
      </c>
      <c r="E1964">
        <v>72</v>
      </c>
      <c r="F1964">
        <v>211</v>
      </c>
      <c r="G1964" t="s">
        <v>173</v>
      </c>
      <c r="H1964">
        <v>2020</v>
      </c>
      <c r="I1964" t="s">
        <v>33</v>
      </c>
      <c r="J1964">
        <v>6</v>
      </c>
      <c r="K1964">
        <v>7</v>
      </c>
      <c r="L1964">
        <v>1</v>
      </c>
      <c r="M1964">
        <v>0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56</v>
      </c>
      <c r="T1964">
        <v>55</v>
      </c>
      <c r="U1964" s="5">
        <f>IF(Merge1[[#This Row],[team_defense_snaps]]=0, "", Merge1[[#This Row],[defense_snaps]] / Merge1[[#This Row],[team_defense_snaps]])</f>
        <v>0.9821428571428571</v>
      </c>
      <c r="V1964">
        <v>56</v>
      </c>
      <c r="W1964">
        <v>1</v>
      </c>
      <c r="X1964" s="5" t="s">
        <v>193</v>
      </c>
      <c r="Y1964">
        <v>4</v>
      </c>
      <c r="Z1964">
        <v>0</v>
      </c>
      <c r="AA1964" t="s">
        <v>25</v>
      </c>
      <c r="AB1964" t="s">
        <v>26</v>
      </c>
      <c r="AC1964" t="s">
        <v>27</v>
      </c>
      <c r="AD1964" t="s">
        <v>42</v>
      </c>
      <c r="AE1964" t="s">
        <v>25</v>
      </c>
      <c r="AF19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0.13392857142857142</v>
      </c>
      <c r="AG1964" t="s">
        <v>942</v>
      </c>
      <c r="AH1964">
        <v>66</v>
      </c>
      <c r="AI1964" t="s">
        <v>939</v>
      </c>
      <c r="AJ1964">
        <v>3</v>
      </c>
      <c r="AK19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MIN(AJ1964/8, 1) +
  Merge1[[#This Row],[index_defensive_effort]],
  2
)</f>
        <v>1.01</v>
      </c>
    </row>
    <row r="1965" spans="1:37" x14ac:dyDescent="0.25">
      <c r="A1965" t="s">
        <v>598</v>
      </c>
      <c r="B1965" t="s">
        <v>599</v>
      </c>
      <c r="C1965">
        <v>25</v>
      </c>
      <c r="D1965" t="s">
        <v>22</v>
      </c>
      <c r="E1965">
        <v>72</v>
      </c>
      <c r="F1965">
        <v>211</v>
      </c>
      <c r="G1965" t="s">
        <v>173</v>
      </c>
      <c r="H1965">
        <v>2020</v>
      </c>
      <c r="I1965" t="s">
        <v>33</v>
      </c>
      <c r="J1965">
        <v>7</v>
      </c>
      <c r="K1965">
        <v>12</v>
      </c>
      <c r="L1965">
        <v>3</v>
      </c>
      <c r="M1965">
        <v>2</v>
      </c>
      <c r="N1965">
        <v>5</v>
      </c>
      <c r="O1965">
        <v>4</v>
      </c>
      <c r="P1965">
        <v>4</v>
      </c>
      <c r="Q1965">
        <v>0</v>
      </c>
      <c r="R1965">
        <v>0</v>
      </c>
      <c r="S1965">
        <v>56</v>
      </c>
      <c r="T1965">
        <v>54</v>
      </c>
      <c r="U1965" s="5">
        <f>IF(Merge1[[#This Row],[team_defense_snaps]]=0, "", Merge1[[#This Row],[defense_snaps]] / Merge1[[#This Row],[team_defense_snaps]])</f>
        <v>0.88524590163934425</v>
      </c>
      <c r="V1965">
        <v>61</v>
      </c>
      <c r="W1965">
        <v>2</v>
      </c>
      <c r="X1965" s="5" t="s">
        <v>250</v>
      </c>
      <c r="Y1965">
        <v>4</v>
      </c>
      <c r="Z1965">
        <v>0</v>
      </c>
      <c r="AA1965" t="s">
        <v>25</v>
      </c>
      <c r="AB1965" t="s">
        <v>26</v>
      </c>
      <c r="AC1965" t="s">
        <v>27</v>
      </c>
      <c r="AD1965" t="s">
        <v>42</v>
      </c>
      <c r="AE1965" t="s">
        <v>25</v>
      </c>
      <c r="AF19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0.6160714285714286</v>
      </c>
      <c r="AG1965" t="s">
        <v>942</v>
      </c>
      <c r="AH1965">
        <v>70.5</v>
      </c>
      <c r="AI1965" t="s">
        <v>939</v>
      </c>
      <c r="AJ1965">
        <v>4</v>
      </c>
      <c r="AK19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MIN(AJ1965/8, 1) +
  Merge1[[#This Row],[index_defensive_effort]],
  2
)</f>
        <v>1.62</v>
      </c>
    </row>
    <row r="1966" spans="1:37" x14ac:dyDescent="0.25">
      <c r="A1966" t="s">
        <v>598</v>
      </c>
      <c r="B1966" t="s">
        <v>599</v>
      </c>
      <c r="C1966">
        <v>25</v>
      </c>
      <c r="D1966" t="s">
        <v>22</v>
      </c>
      <c r="E1966">
        <v>72</v>
      </c>
      <c r="F1966">
        <v>211</v>
      </c>
      <c r="G1966" t="s">
        <v>173</v>
      </c>
      <c r="H1966">
        <v>2020</v>
      </c>
      <c r="I1966" t="s">
        <v>33</v>
      </c>
      <c r="J1966">
        <v>8</v>
      </c>
      <c r="K1966">
        <v>7</v>
      </c>
      <c r="L1966">
        <v>1</v>
      </c>
      <c r="M1966">
        <v>0</v>
      </c>
      <c r="N1966">
        <v>1</v>
      </c>
      <c r="O1966">
        <v>0</v>
      </c>
      <c r="P1966">
        <v>1</v>
      </c>
      <c r="Q1966">
        <v>0</v>
      </c>
      <c r="R1966">
        <v>0</v>
      </c>
      <c r="S1966">
        <v>55</v>
      </c>
      <c r="T1966">
        <v>54</v>
      </c>
      <c r="U1966" s="5">
        <f>IF(Merge1[[#This Row],[team_defense_snaps]]=0, "", Merge1[[#This Row],[defense_snaps]] / Merge1[[#This Row],[team_defense_snaps]])</f>
        <v>1</v>
      </c>
      <c r="V1966">
        <v>54</v>
      </c>
      <c r="W1966">
        <v>1</v>
      </c>
      <c r="X1966" s="5" t="s">
        <v>193</v>
      </c>
      <c r="Y1966">
        <v>4</v>
      </c>
      <c r="Z1966">
        <v>0</v>
      </c>
      <c r="AA1966" t="s">
        <v>25</v>
      </c>
      <c r="AB1966" t="s">
        <v>26</v>
      </c>
      <c r="AC1966" t="s">
        <v>27</v>
      </c>
      <c r="AD1966" t="s">
        <v>42</v>
      </c>
      <c r="AE1966" t="s">
        <v>25</v>
      </c>
      <c r="AF19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0.17272727272727273</v>
      </c>
      <c r="AG1966" t="s">
        <v>942</v>
      </c>
      <c r="AH1966">
        <v>60</v>
      </c>
      <c r="AI1966" t="s">
        <v>939</v>
      </c>
      <c r="AJ1966">
        <v>5</v>
      </c>
      <c r="AK19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MIN(AJ1966/8, 1) +
  Merge1[[#This Row],[index_defensive_effort]],
  2
)</f>
        <v>1.3</v>
      </c>
    </row>
    <row r="1967" spans="1:37" x14ac:dyDescent="0.25">
      <c r="A1967" t="s">
        <v>598</v>
      </c>
      <c r="B1967" t="s">
        <v>599</v>
      </c>
      <c r="C1967">
        <v>25</v>
      </c>
      <c r="D1967" t="s">
        <v>22</v>
      </c>
      <c r="E1967">
        <v>72</v>
      </c>
      <c r="F1967">
        <v>211</v>
      </c>
      <c r="G1967" t="s">
        <v>173</v>
      </c>
      <c r="H1967">
        <v>2020</v>
      </c>
      <c r="I1967" t="s">
        <v>33</v>
      </c>
      <c r="J1967">
        <v>9</v>
      </c>
      <c r="K1967">
        <v>4</v>
      </c>
      <c r="L1967">
        <v>1</v>
      </c>
      <c r="M1967">
        <v>0</v>
      </c>
      <c r="N1967">
        <v>1</v>
      </c>
      <c r="O1967">
        <v>0</v>
      </c>
      <c r="P1967">
        <v>1</v>
      </c>
      <c r="Q1967">
        <v>0</v>
      </c>
      <c r="R1967">
        <v>0</v>
      </c>
      <c r="S1967">
        <v>77</v>
      </c>
      <c r="T1967">
        <v>73</v>
      </c>
      <c r="U1967" s="5">
        <f>IF(Merge1[[#This Row],[team_defense_snaps]]=0, "", Merge1[[#This Row],[defense_snaps]] / Merge1[[#This Row],[team_defense_snaps]])</f>
        <v>0.73</v>
      </c>
      <c r="V1967">
        <v>100</v>
      </c>
      <c r="W1967">
        <v>4</v>
      </c>
      <c r="X1967" s="5" t="s">
        <v>251</v>
      </c>
      <c r="Y1967">
        <v>4</v>
      </c>
      <c r="Z1967">
        <v>0</v>
      </c>
      <c r="AA1967" t="s">
        <v>25</v>
      </c>
      <c r="AB1967" t="s">
        <v>26</v>
      </c>
      <c r="AC1967" t="s">
        <v>27</v>
      </c>
      <c r="AD1967" t="s">
        <v>42</v>
      </c>
      <c r="AE1967" t="s">
        <v>25</v>
      </c>
      <c r="AF19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8.4415584415584416E-2</v>
      </c>
      <c r="AG1967" t="s">
        <v>942</v>
      </c>
      <c r="AH1967">
        <v>75</v>
      </c>
      <c r="AI1967" t="s">
        <v>939</v>
      </c>
      <c r="AJ1967">
        <v>1</v>
      </c>
      <c r="AK19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MIN(AJ1967/8, 1) +
  Merge1[[#This Row],[index_defensive_effort]],
  2
)</f>
        <v>0.71</v>
      </c>
    </row>
    <row r="1968" spans="1:37" x14ac:dyDescent="0.25">
      <c r="A1968" t="s">
        <v>598</v>
      </c>
      <c r="B1968" t="s">
        <v>599</v>
      </c>
      <c r="C1968">
        <v>25</v>
      </c>
      <c r="D1968" t="s">
        <v>22</v>
      </c>
      <c r="E1968">
        <v>72</v>
      </c>
      <c r="F1968">
        <v>211</v>
      </c>
      <c r="G1968" t="s">
        <v>173</v>
      </c>
      <c r="H1968">
        <v>2020</v>
      </c>
      <c r="I1968" t="s">
        <v>33</v>
      </c>
      <c r="J1968">
        <v>11</v>
      </c>
      <c r="K1968">
        <v>7</v>
      </c>
      <c r="L1968">
        <v>1</v>
      </c>
      <c r="M1968">
        <v>0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68</v>
      </c>
      <c r="T1968">
        <v>66</v>
      </c>
      <c r="U1968" s="5">
        <f>IF(Merge1[[#This Row],[team_defense_snaps]]=0, "", Merge1[[#This Row],[defense_snaps]] / Merge1[[#This Row],[team_defense_snaps]])</f>
        <v>0.97058823529411764</v>
      </c>
      <c r="V1968">
        <v>68</v>
      </c>
      <c r="W1968">
        <v>2</v>
      </c>
      <c r="X1968" s="5" t="s">
        <v>167</v>
      </c>
      <c r="Y1968">
        <v>4</v>
      </c>
      <c r="Z1968">
        <v>0</v>
      </c>
      <c r="AA1968" t="s">
        <v>25</v>
      </c>
      <c r="AB1968" t="s">
        <v>26</v>
      </c>
      <c r="AC1968" t="s">
        <v>27</v>
      </c>
      <c r="AD1968" t="s">
        <v>42</v>
      </c>
      <c r="AE1968" t="s">
        <v>25</v>
      </c>
      <c r="AF19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0.11029411764705882</v>
      </c>
      <c r="AG1968" t="s">
        <v>942</v>
      </c>
      <c r="AH1968">
        <v>72</v>
      </c>
      <c r="AI1968" t="s">
        <v>939</v>
      </c>
      <c r="AJ1968">
        <v>2</v>
      </c>
      <c r="AK19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MIN(AJ1968/8, 1) +
  Merge1[[#This Row],[index_defensive_effort]],
  2
)</f>
        <v>0.86</v>
      </c>
    </row>
    <row r="1969" spans="1:37" x14ac:dyDescent="0.25">
      <c r="A1969" t="s">
        <v>598</v>
      </c>
      <c r="B1969" t="s">
        <v>599</v>
      </c>
      <c r="C1969">
        <v>25</v>
      </c>
      <c r="D1969" t="s">
        <v>22</v>
      </c>
      <c r="E1969">
        <v>72</v>
      </c>
      <c r="F1969">
        <v>211</v>
      </c>
      <c r="G1969" t="s">
        <v>173</v>
      </c>
      <c r="H1969">
        <v>2020</v>
      </c>
      <c r="I1969" t="s">
        <v>33</v>
      </c>
      <c r="J1969">
        <v>12</v>
      </c>
      <c r="K1969">
        <v>4</v>
      </c>
      <c r="L1969">
        <v>1</v>
      </c>
      <c r="M1969">
        <v>0</v>
      </c>
      <c r="N1969">
        <v>1</v>
      </c>
      <c r="O1969">
        <v>0</v>
      </c>
      <c r="P1969">
        <v>1</v>
      </c>
      <c r="Q1969">
        <v>0</v>
      </c>
      <c r="R1969">
        <v>0</v>
      </c>
      <c r="S1969">
        <v>55</v>
      </c>
      <c r="T1969">
        <v>55</v>
      </c>
      <c r="U1969" s="5">
        <f>IF(Merge1[[#This Row],[team_defense_snaps]]=0, "", Merge1[[#This Row],[defense_snaps]] / Merge1[[#This Row],[team_defense_snaps]])</f>
        <v>0.87301587301587302</v>
      </c>
      <c r="V1969">
        <v>63</v>
      </c>
      <c r="W1969">
        <v>0</v>
      </c>
      <c r="X1969" s="5" t="s">
        <v>29</v>
      </c>
      <c r="Y1969">
        <v>4</v>
      </c>
      <c r="Z1969">
        <v>0</v>
      </c>
      <c r="AA1969" t="s">
        <v>25</v>
      </c>
      <c r="AB1969" t="s">
        <v>26</v>
      </c>
      <c r="AC1969" t="s">
        <v>27</v>
      </c>
      <c r="AD1969" t="s">
        <v>42</v>
      </c>
      <c r="AE1969" t="s">
        <v>25</v>
      </c>
      <c r="AF19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0.11818181818181818</v>
      </c>
      <c r="AG1969" t="s">
        <v>942</v>
      </c>
      <c r="AH1969">
        <v>61.5</v>
      </c>
      <c r="AI1969" t="s">
        <v>939</v>
      </c>
      <c r="AJ1969">
        <v>3</v>
      </c>
      <c r="AK19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MIN(AJ1969/8, 1) +
  Merge1[[#This Row],[index_defensive_effort]],
  2
)</f>
        <v>0.99</v>
      </c>
    </row>
    <row r="1970" spans="1:37" x14ac:dyDescent="0.25">
      <c r="A1970" t="s">
        <v>598</v>
      </c>
      <c r="B1970" t="s">
        <v>599</v>
      </c>
      <c r="C1970">
        <v>25</v>
      </c>
      <c r="D1970" t="s">
        <v>22</v>
      </c>
      <c r="E1970">
        <v>72</v>
      </c>
      <c r="F1970">
        <v>211</v>
      </c>
      <c r="G1970" t="s">
        <v>173</v>
      </c>
      <c r="H1970">
        <v>2020</v>
      </c>
      <c r="I1970" t="s">
        <v>33</v>
      </c>
      <c r="J1970">
        <v>13</v>
      </c>
      <c r="K1970">
        <v>6</v>
      </c>
      <c r="L1970">
        <v>3</v>
      </c>
      <c r="M1970">
        <v>0</v>
      </c>
      <c r="N1970">
        <v>3</v>
      </c>
      <c r="O1970">
        <v>0</v>
      </c>
      <c r="P1970">
        <v>0</v>
      </c>
      <c r="Q1970">
        <v>0</v>
      </c>
      <c r="R1970">
        <v>0</v>
      </c>
      <c r="S1970">
        <v>73</v>
      </c>
      <c r="T1970">
        <v>70</v>
      </c>
      <c r="U1970" s="5">
        <f>IF(Merge1[[#This Row],[team_defense_snaps]]=0, "", Merge1[[#This Row],[defense_snaps]] / Merge1[[#This Row],[team_defense_snaps]])</f>
        <v>0.89743589743589747</v>
      </c>
      <c r="V1970">
        <v>78</v>
      </c>
      <c r="W1970">
        <v>3</v>
      </c>
      <c r="X1970" s="5" t="s">
        <v>251</v>
      </c>
      <c r="Y1970">
        <v>4</v>
      </c>
      <c r="Z1970">
        <v>0</v>
      </c>
      <c r="AA1970" t="s">
        <v>25</v>
      </c>
      <c r="AB1970" t="s">
        <v>26</v>
      </c>
      <c r="AC1970" t="s">
        <v>27</v>
      </c>
      <c r="AD1970" t="s">
        <v>42</v>
      </c>
      <c r="AE1970" t="s">
        <v>25</v>
      </c>
      <c r="AF19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0.10273972602739725</v>
      </c>
      <c r="AG1970" t="s">
        <v>942</v>
      </c>
      <c r="AH1970">
        <v>54</v>
      </c>
      <c r="AI1970" t="s">
        <v>939</v>
      </c>
      <c r="AJ1970">
        <v>4</v>
      </c>
      <c r="AK19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MIN(AJ1970/8, 1) +
  Merge1[[#This Row],[index_defensive_effort]],
  2
)</f>
        <v>1.1000000000000001</v>
      </c>
    </row>
    <row r="1971" spans="1:37" x14ac:dyDescent="0.25">
      <c r="A1971" t="s">
        <v>598</v>
      </c>
      <c r="B1971" t="s">
        <v>599</v>
      </c>
      <c r="C1971">
        <v>25</v>
      </c>
      <c r="D1971" t="s">
        <v>22</v>
      </c>
      <c r="E1971">
        <v>72</v>
      </c>
      <c r="F1971">
        <v>211</v>
      </c>
      <c r="G1971" t="s">
        <v>173</v>
      </c>
      <c r="H1971">
        <v>2020</v>
      </c>
      <c r="I1971" t="s">
        <v>33</v>
      </c>
      <c r="J1971">
        <v>14</v>
      </c>
      <c r="K1971">
        <v>4</v>
      </c>
      <c r="L1971">
        <v>1</v>
      </c>
      <c r="M1971">
        <v>1</v>
      </c>
      <c r="N1971">
        <v>2</v>
      </c>
      <c r="O1971">
        <v>0</v>
      </c>
      <c r="P1971">
        <v>0</v>
      </c>
      <c r="Q1971">
        <v>0</v>
      </c>
      <c r="R1971">
        <v>0</v>
      </c>
      <c r="S1971">
        <v>74</v>
      </c>
      <c r="T1971">
        <v>73</v>
      </c>
      <c r="U1971" s="5">
        <f>IF(Merge1[[#This Row],[team_defense_snaps]]=0, "", Merge1[[#This Row],[defense_snaps]] / Merge1[[#This Row],[team_defense_snaps]])</f>
        <v>1</v>
      </c>
      <c r="V1971">
        <v>73</v>
      </c>
      <c r="W1971">
        <v>1</v>
      </c>
      <c r="X1971" s="5" t="s">
        <v>34</v>
      </c>
      <c r="Y1971">
        <v>4</v>
      </c>
      <c r="Z1971">
        <v>0</v>
      </c>
      <c r="AA1971" t="s">
        <v>25</v>
      </c>
      <c r="AB1971" t="s">
        <v>26</v>
      </c>
      <c r="AC1971" t="s">
        <v>27</v>
      </c>
      <c r="AD1971" t="s">
        <v>42</v>
      </c>
      <c r="AE1971" t="s">
        <v>25</v>
      </c>
      <c r="AF19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6.7567567567567571E-2</v>
      </c>
      <c r="AG1971" t="s">
        <v>942</v>
      </c>
      <c r="AH1971">
        <v>69</v>
      </c>
      <c r="AI1971" t="s">
        <v>939</v>
      </c>
      <c r="AJ1971">
        <v>5</v>
      </c>
      <c r="AK19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MIN(AJ1971/8, 1) +
  Merge1[[#This Row],[index_defensive_effort]],
  2
)</f>
        <v>1.19</v>
      </c>
    </row>
    <row r="1972" spans="1:37" x14ac:dyDescent="0.25">
      <c r="A1972" t="s">
        <v>598</v>
      </c>
      <c r="B1972" t="s">
        <v>599</v>
      </c>
      <c r="C1972">
        <v>25</v>
      </c>
      <c r="D1972" t="s">
        <v>22</v>
      </c>
      <c r="E1972">
        <v>72</v>
      </c>
      <c r="F1972">
        <v>211</v>
      </c>
      <c r="G1972" t="s">
        <v>173</v>
      </c>
      <c r="H1972">
        <v>2020</v>
      </c>
      <c r="I1972" t="s">
        <v>33</v>
      </c>
      <c r="J1972">
        <v>15</v>
      </c>
      <c r="K1972">
        <v>6</v>
      </c>
      <c r="L1972">
        <v>2</v>
      </c>
      <c r="M1972">
        <v>2</v>
      </c>
      <c r="N1972">
        <v>4</v>
      </c>
      <c r="O1972">
        <v>0</v>
      </c>
      <c r="P1972">
        <v>1</v>
      </c>
      <c r="Q1972">
        <v>0</v>
      </c>
      <c r="R1972">
        <v>0</v>
      </c>
      <c r="S1972">
        <v>56</v>
      </c>
      <c r="T1972">
        <v>54</v>
      </c>
      <c r="U1972" s="5">
        <f>IF(Merge1[[#This Row],[team_defense_snaps]]=0, "", Merge1[[#This Row],[defense_snaps]] / Merge1[[#This Row],[team_defense_snaps]])</f>
        <v>0.76056338028169013</v>
      </c>
      <c r="V1972">
        <v>71</v>
      </c>
      <c r="W1972">
        <v>2</v>
      </c>
      <c r="X1972" s="5" t="s">
        <v>114</v>
      </c>
      <c r="Y1972">
        <v>4</v>
      </c>
      <c r="Z1972">
        <v>0</v>
      </c>
      <c r="AA1972" t="s">
        <v>25</v>
      </c>
      <c r="AB1972" t="s">
        <v>26</v>
      </c>
      <c r="AC1972" t="s">
        <v>27</v>
      </c>
      <c r="AD1972" t="s">
        <v>42</v>
      </c>
      <c r="AE1972" t="s">
        <v>25</v>
      </c>
      <c r="AF19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0.17857142857142858</v>
      </c>
      <c r="AG1972" t="s">
        <v>942</v>
      </c>
      <c r="AH1972">
        <v>63</v>
      </c>
      <c r="AI1972" t="s">
        <v>939</v>
      </c>
      <c r="AJ1972">
        <v>6</v>
      </c>
      <c r="AK19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MIN(AJ1972/8, 1) +
  Merge1[[#This Row],[index_defensive_effort]],
  2
)</f>
        <v>1.43</v>
      </c>
    </row>
    <row r="1973" spans="1:37" x14ac:dyDescent="0.25">
      <c r="A1973" t="s">
        <v>598</v>
      </c>
      <c r="B1973" t="s">
        <v>599</v>
      </c>
      <c r="C1973">
        <v>25</v>
      </c>
      <c r="D1973" t="s">
        <v>22</v>
      </c>
      <c r="E1973">
        <v>72</v>
      </c>
      <c r="F1973">
        <v>211</v>
      </c>
      <c r="G1973" t="s">
        <v>173</v>
      </c>
      <c r="H1973">
        <v>2020</v>
      </c>
      <c r="I1973" t="s">
        <v>33</v>
      </c>
      <c r="J1973">
        <v>16</v>
      </c>
      <c r="K1973">
        <v>7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2</v>
      </c>
      <c r="R1973">
        <v>0</v>
      </c>
      <c r="S1973">
        <v>65</v>
      </c>
      <c r="T1973">
        <v>63</v>
      </c>
      <c r="U1973" s="5">
        <f>IF(Merge1[[#This Row],[team_defense_snaps]]=0, "", Merge1[[#This Row],[defense_snaps]] / Merge1[[#This Row],[team_defense_snaps]])</f>
        <v>0.94029850746268662</v>
      </c>
      <c r="V1973">
        <v>67</v>
      </c>
      <c r="W1973">
        <v>2</v>
      </c>
      <c r="X1973" s="5" t="s">
        <v>250</v>
      </c>
      <c r="Y1973">
        <v>4</v>
      </c>
      <c r="Z1973">
        <v>0</v>
      </c>
      <c r="AA1973" t="s">
        <v>25</v>
      </c>
      <c r="AB1973" t="s">
        <v>26</v>
      </c>
      <c r="AC1973" t="s">
        <v>27</v>
      </c>
      <c r="AD1973" t="s">
        <v>42</v>
      </c>
      <c r="AE1973" t="s">
        <v>25</v>
      </c>
      <c r="AF19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0.23076923076923078</v>
      </c>
      <c r="AG1973" t="s">
        <v>942</v>
      </c>
      <c r="AH1973">
        <v>58.5</v>
      </c>
      <c r="AI1973" t="s">
        <v>939</v>
      </c>
      <c r="AJ1973">
        <v>7</v>
      </c>
      <c r="AK19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MIN(AJ1973/8, 1) +
  Merge1[[#This Row],[index_defensive_effort]],
  2
)</f>
        <v>1.61</v>
      </c>
    </row>
    <row r="1974" spans="1:37" x14ac:dyDescent="0.25">
      <c r="A1974" t="s">
        <v>598</v>
      </c>
      <c r="B1974" t="s">
        <v>599</v>
      </c>
      <c r="C1974">
        <v>25</v>
      </c>
      <c r="D1974" t="s">
        <v>22</v>
      </c>
      <c r="E1974">
        <v>72</v>
      </c>
      <c r="F1974">
        <v>211</v>
      </c>
      <c r="G1974" t="s">
        <v>173</v>
      </c>
      <c r="H1974">
        <v>2020</v>
      </c>
      <c r="I1974" t="s">
        <v>33</v>
      </c>
      <c r="J1974">
        <v>17</v>
      </c>
      <c r="K1974">
        <v>3</v>
      </c>
      <c r="L1974">
        <v>4</v>
      </c>
      <c r="M1974">
        <v>1</v>
      </c>
      <c r="N1974">
        <v>5</v>
      </c>
      <c r="O1974">
        <v>0</v>
      </c>
      <c r="P1974">
        <v>0</v>
      </c>
      <c r="Q1974">
        <v>0</v>
      </c>
      <c r="R1974">
        <v>0</v>
      </c>
      <c r="S1974">
        <v>59</v>
      </c>
      <c r="T1974">
        <v>59</v>
      </c>
      <c r="U1974" s="5">
        <f>IF(Merge1[[#This Row],[team_defense_snaps]]=0, "", Merge1[[#This Row],[defense_snaps]] / Merge1[[#This Row],[team_defense_snaps]])</f>
        <v>0.85507246376811596</v>
      </c>
      <c r="V1974">
        <v>69</v>
      </c>
      <c r="W1974">
        <v>0</v>
      </c>
      <c r="X1974" s="5" t="s">
        <v>29</v>
      </c>
      <c r="Y1974">
        <v>4</v>
      </c>
      <c r="Z1974">
        <v>0</v>
      </c>
      <c r="AA1974" t="s">
        <v>25</v>
      </c>
      <c r="AB1974" t="s">
        <v>26</v>
      </c>
      <c r="AC1974" t="s">
        <v>27</v>
      </c>
      <c r="AD1974" t="s">
        <v>42</v>
      </c>
      <c r="AE1974" t="s">
        <v>25</v>
      </c>
      <c r="AF19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9.3220338983050849E-2</v>
      </c>
      <c r="AG1974" t="s">
        <v>942</v>
      </c>
      <c r="AH1974">
        <v>67.5</v>
      </c>
      <c r="AI1974" t="s">
        <v>939</v>
      </c>
      <c r="AJ1974">
        <v>1</v>
      </c>
      <c r="AK19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MIN(AJ1974/8, 1) +
  Merge1[[#This Row],[index_defensive_effort]],
  2
)</f>
        <v>0.72</v>
      </c>
    </row>
    <row r="1975" spans="1:37" x14ac:dyDescent="0.25">
      <c r="A1975" t="s">
        <v>570</v>
      </c>
      <c r="B1975" t="s">
        <v>571</v>
      </c>
      <c r="C1975">
        <v>24</v>
      </c>
      <c r="D1975" t="s">
        <v>56</v>
      </c>
      <c r="E1975">
        <v>70</v>
      </c>
      <c r="F1975">
        <v>190</v>
      </c>
      <c r="G1975" t="s">
        <v>157</v>
      </c>
      <c r="H1975">
        <v>2020</v>
      </c>
      <c r="I1975" t="s">
        <v>33</v>
      </c>
      <c r="J1975">
        <v>9</v>
      </c>
      <c r="K1975">
        <v>1</v>
      </c>
      <c r="L1975">
        <v>1</v>
      </c>
      <c r="M1975">
        <v>0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43</v>
      </c>
      <c r="T1975">
        <v>18</v>
      </c>
      <c r="U1975" s="5">
        <f>IF(Merge1[[#This Row],[team_defense_snaps]]=0, "", Merge1[[#This Row],[defense_snaps]] / Merge1[[#This Row],[team_defense_snaps]])</f>
        <v>0.25714285714285712</v>
      </c>
      <c r="V1975">
        <v>70</v>
      </c>
      <c r="W1975">
        <v>25</v>
      </c>
      <c r="X1975" s="5" t="s">
        <v>103</v>
      </c>
      <c r="Y1975">
        <v>2</v>
      </c>
      <c r="Z1975">
        <v>0</v>
      </c>
      <c r="AA1975" t="s">
        <v>25</v>
      </c>
      <c r="AB1975" t="s">
        <v>26</v>
      </c>
      <c r="AC1975" t="s">
        <v>27</v>
      </c>
      <c r="AD1975" t="s">
        <v>28</v>
      </c>
      <c r="AE1975" t="s">
        <v>25</v>
      </c>
      <c r="AF19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3.4883720930232558E-2</v>
      </c>
      <c r="AG1975" t="s">
        <v>942</v>
      </c>
      <c r="AH1975">
        <v>76</v>
      </c>
      <c r="AI1975" t="s">
        <v>939</v>
      </c>
      <c r="AJ1975">
        <v>1</v>
      </c>
      <c r="AK19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MIN(AJ1975/8, 1) +
  Merge1[[#This Row],[index_defensive_effort]],
  2
)</f>
        <v>0.66</v>
      </c>
    </row>
    <row r="1976" spans="1:37" x14ac:dyDescent="0.25">
      <c r="A1976" t="s">
        <v>570</v>
      </c>
      <c r="B1976" t="s">
        <v>571</v>
      </c>
      <c r="C1976">
        <v>24</v>
      </c>
      <c r="D1976" t="s">
        <v>56</v>
      </c>
      <c r="E1976">
        <v>70</v>
      </c>
      <c r="F1976">
        <v>190</v>
      </c>
      <c r="G1976" t="s">
        <v>157</v>
      </c>
      <c r="H1976">
        <v>2020</v>
      </c>
      <c r="I1976" t="s">
        <v>33</v>
      </c>
      <c r="J1976">
        <v>12</v>
      </c>
      <c r="K1976">
        <v>1</v>
      </c>
      <c r="L1976">
        <v>2</v>
      </c>
      <c r="M1976">
        <v>0</v>
      </c>
      <c r="N1976">
        <v>2</v>
      </c>
      <c r="O1976">
        <v>0</v>
      </c>
      <c r="P1976">
        <v>0</v>
      </c>
      <c r="Q1976">
        <v>0</v>
      </c>
      <c r="R1976">
        <v>0</v>
      </c>
      <c r="S1976">
        <v>40</v>
      </c>
      <c r="T1976">
        <v>22</v>
      </c>
      <c r="U1976" s="5">
        <f>IF(Merge1[[#This Row],[team_defense_snaps]]=0, "", Merge1[[#This Row],[defense_snaps]] / Merge1[[#This Row],[team_defense_snaps]])</f>
        <v>0.26829268292682928</v>
      </c>
      <c r="V1976">
        <v>82</v>
      </c>
      <c r="W1976">
        <v>18</v>
      </c>
      <c r="X1976" s="5" t="s">
        <v>256</v>
      </c>
      <c r="Y1976">
        <v>2</v>
      </c>
      <c r="Z1976">
        <v>0</v>
      </c>
      <c r="AA1976" t="s">
        <v>25</v>
      </c>
      <c r="AB1976" t="s">
        <v>26</v>
      </c>
      <c r="AC1976" t="s">
        <v>27</v>
      </c>
      <c r="AD1976" t="s">
        <v>28</v>
      </c>
      <c r="AE1976" t="s">
        <v>25</v>
      </c>
      <c r="AF19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1976" t="s">
        <v>942</v>
      </c>
      <c r="AH1976">
        <v>65.5</v>
      </c>
      <c r="AI1976" t="s">
        <v>939</v>
      </c>
      <c r="AJ1976">
        <v>2</v>
      </c>
      <c r="AK19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MIN(AJ1976/8, 1) +
  Merge1[[#This Row],[index_defensive_effort]],
  2
)</f>
        <v>0.8</v>
      </c>
    </row>
    <row r="1977" spans="1:37" x14ac:dyDescent="0.25">
      <c r="A1977" t="s">
        <v>570</v>
      </c>
      <c r="B1977" t="s">
        <v>571</v>
      </c>
      <c r="C1977">
        <v>24</v>
      </c>
      <c r="D1977" t="s">
        <v>56</v>
      </c>
      <c r="E1977">
        <v>70</v>
      </c>
      <c r="F1977">
        <v>190</v>
      </c>
      <c r="G1977" t="s">
        <v>157</v>
      </c>
      <c r="H1977">
        <v>2020</v>
      </c>
      <c r="I1977" t="s">
        <v>33</v>
      </c>
      <c r="J1977">
        <v>13</v>
      </c>
      <c r="K1977">
        <v>1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26</v>
      </c>
      <c r="T1977">
        <v>6</v>
      </c>
      <c r="U1977" s="5">
        <f>IF(Merge1[[#This Row],[team_defense_snaps]]=0, "", Merge1[[#This Row],[defense_snaps]] / Merge1[[#This Row],[team_defense_snaps]])</f>
        <v>8.6956521739130432E-2</v>
      </c>
      <c r="V1977">
        <v>69</v>
      </c>
      <c r="W1977">
        <v>20</v>
      </c>
      <c r="X1977" s="5" t="s">
        <v>230</v>
      </c>
      <c r="Y1977">
        <v>2</v>
      </c>
      <c r="Z1977">
        <v>0</v>
      </c>
      <c r="AA1977" t="s">
        <v>25</v>
      </c>
      <c r="AB1977" t="s">
        <v>26</v>
      </c>
      <c r="AC1977" t="s">
        <v>27</v>
      </c>
      <c r="AD1977" t="s">
        <v>28</v>
      </c>
      <c r="AE1977" t="s">
        <v>25</v>
      </c>
      <c r="AF19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3.8461538461538464E-2</v>
      </c>
      <c r="AG1977" t="s">
        <v>942</v>
      </c>
      <c r="AH1977">
        <v>70</v>
      </c>
      <c r="AI1977" t="s">
        <v>939</v>
      </c>
      <c r="AJ1977">
        <v>3</v>
      </c>
      <c r="AK19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MIN(AJ1977/8, 1) +
  Merge1[[#This Row],[index_defensive_effort]],
  2
)</f>
        <v>0.91</v>
      </c>
    </row>
    <row r="1978" spans="1:37" x14ac:dyDescent="0.25">
      <c r="A1978" t="s">
        <v>570</v>
      </c>
      <c r="B1978" t="s">
        <v>571</v>
      </c>
      <c r="C1978">
        <v>24</v>
      </c>
      <c r="D1978" t="s">
        <v>56</v>
      </c>
      <c r="E1978">
        <v>70</v>
      </c>
      <c r="F1978">
        <v>190</v>
      </c>
      <c r="G1978" t="s">
        <v>157</v>
      </c>
      <c r="H1978">
        <v>2020</v>
      </c>
      <c r="I1978" t="s">
        <v>33</v>
      </c>
      <c r="J1978">
        <v>14</v>
      </c>
      <c r="K1978">
        <v>8</v>
      </c>
      <c r="L1978">
        <v>1</v>
      </c>
      <c r="M1978">
        <v>0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60</v>
      </c>
      <c r="T1978">
        <v>60</v>
      </c>
      <c r="U1978" s="5">
        <f>IF(Merge1[[#This Row],[team_defense_snaps]]=0, "", Merge1[[#This Row],[defense_snaps]] / Merge1[[#This Row],[team_defense_snaps]])</f>
        <v>1</v>
      </c>
      <c r="V1978">
        <v>60</v>
      </c>
      <c r="W1978">
        <v>0</v>
      </c>
      <c r="X1978" s="5" t="s">
        <v>29</v>
      </c>
      <c r="Y1978">
        <v>2</v>
      </c>
      <c r="Z1978">
        <v>0</v>
      </c>
      <c r="AA1978" t="s">
        <v>25</v>
      </c>
      <c r="AB1978" t="s">
        <v>36</v>
      </c>
      <c r="AC1978" t="s">
        <v>190</v>
      </c>
      <c r="AD1978" t="s">
        <v>42</v>
      </c>
      <c r="AE1978" t="s">
        <v>25</v>
      </c>
      <c r="AF19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0.14166666666666666</v>
      </c>
      <c r="AG1978" t="s">
        <v>942</v>
      </c>
      <c r="AH1978">
        <v>68.5</v>
      </c>
      <c r="AI1978" t="s">
        <v>939</v>
      </c>
      <c r="AJ1978">
        <v>4</v>
      </c>
      <c r="AK19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MIN(AJ1978/8, 1) +
  Merge1[[#This Row],[index_defensive_effort]],
  2
)</f>
        <v>1.1399999999999999</v>
      </c>
    </row>
    <row r="1979" spans="1:37" x14ac:dyDescent="0.25">
      <c r="A1979" t="s">
        <v>570</v>
      </c>
      <c r="B1979" t="s">
        <v>571</v>
      </c>
      <c r="C1979">
        <v>24</v>
      </c>
      <c r="D1979" t="s">
        <v>56</v>
      </c>
      <c r="E1979">
        <v>70</v>
      </c>
      <c r="F1979">
        <v>190</v>
      </c>
      <c r="G1979" t="s">
        <v>157</v>
      </c>
      <c r="H1979">
        <v>2020</v>
      </c>
      <c r="I1979" t="s">
        <v>33</v>
      </c>
      <c r="J1979">
        <v>15</v>
      </c>
      <c r="K1979">
        <v>1</v>
      </c>
      <c r="L1979">
        <v>5</v>
      </c>
      <c r="M1979">
        <v>5</v>
      </c>
      <c r="N1979">
        <v>10</v>
      </c>
      <c r="O1979">
        <v>0</v>
      </c>
      <c r="P1979">
        <v>0</v>
      </c>
      <c r="Q1979">
        <v>0</v>
      </c>
      <c r="R1979">
        <v>0</v>
      </c>
      <c r="S1979">
        <v>54</v>
      </c>
      <c r="T1979">
        <v>54</v>
      </c>
      <c r="U1979" s="5">
        <f>IF(Merge1[[#This Row],[team_defense_snaps]]=0, "", Merge1[[#This Row],[defense_snaps]] / Merge1[[#This Row],[team_defense_snaps]])</f>
        <v>0.98181818181818181</v>
      </c>
      <c r="V1979">
        <v>55</v>
      </c>
      <c r="W1979">
        <v>0</v>
      </c>
      <c r="X1979" s="5" t="s">
        <v>29</v>
      </c>
      <c r="Y1979">
        <v>2</v>
      </c>
      <c r="Z1979">
        <v>0</v>
      </c>
      <c r="AA1979" t="s">
        <v>25</v>
      </c>
      <c r="AB1979" t="s">
        <v>26</v>
      </c>
      <c r="AC1979" t="s">
        <v>27</v>
      </c>
      <c r="AD1979" t="s">
        <v>42</v>
      </c>
      <c r="AE1979" t="s">
        <v>25</v>
      </c>
      <c r="AF19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0.1111111111111111</v>
      </c>
      <c r="AG1979" t="s">
        <v>942</v>
      </c>
      <c r="AH1979">
        <v>71.5</v>
      </c>
      <c r="AI1979" t="s">
        <v>939</v>
      </c>
      <c r="AJ1979">
        <v>5</v>
      </c>
      <c r="AK19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MIN(AJ1979/8, 1) +
  Merge1[[#This Row],[index_defensive_effort]],
  2
)</f>
        <v>1.24</v>
      </c>
    </row>
    <row r="1980" spans="1:37" x14ac:dyDescent="0.25">
      <c r="A1980" t="s">
        <v>570</v>
      </c>
      <c r="B1980" t="s">
        <v>571</v>
      </c>
      <c r="C1980">
        <v>24</v>
      </c>
      <c r="D1980" t="s">
        <v>56</v>
      </c>
      <c r="E1980">
        <v>70</v>
      </c>
      <c r="F1980">
        <v>190</v>
      </c>
      <c r="G1980" t="s">
        <v>157</v>
      </c>
      <c r="H1980">
        <v>2020</v>
      </c>
      <c r="I1980" t="s">
        <v>33</v>
      </c>
      <c r="J1980">
        <v>16</v>
      </c>
      <c r="K1980">
        <v>6</v>
      </c>
      <c r="L1980">
        <v>2</v>
      </c>
      <c r="M1980">
        <v>2</v>
      </c>
      <c r="N1980">
        <v>4</v>
      </c>
      <c r="O1980">
        <v>0</v>
      </c>
      <c r="P1980">
        <v>1</v>
      </c>
      <c r="Q1980">
        <v>0</v>
      </c>
      <c r="R1980">
        <v>0</v>
      </c>
      <c r="S1980">
        <v>76</v>
      </c>
      <c r="T1980">
        <v>76</v>
      </c>
      <c r="U1980" s="5">
        <f>IF(Merge1[[#This Row],[team_defense_snaps]]=0, "", Merge1[[#This Row],[defense_snaps]] / Merge1[[#This Row],[team_defense_snaps]])</f>
        <v>1</v>
      </c>
      <c r="V1980">
        <v>76</v>
      </c>
      <c r="W1980">
        <v>0</v>
      </c>
      <c r="X1980" s="5" t="s">
        <v>29</v>
      </c>
      <c r="Y1980">
        <v>2</v>
      </c>
      <c r="Z1980">
        <v>0</v>
      </c>
      <c r="AA1980" t="s">
        <v>25</v>
      </c>
      <c r="AB1980" t="s">
        <v>26</v>
      </c>
      <c r="AC1980" t="s">
        <v>27</v>
      </c>
      <c r="AD1980" t="s">
        <v>42</v>
      </c>
      <c r="AE1980" t="s">
        <v>25</v>
      </c>
      <c r="AF19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0.13157894736842105</v>
      </c>
      <c r="AG1980" t="s">
        <v>942</v>
      </c>
      <c r="AH1980">
        <v>67</v>
      </c>
      <c r="AI1980" t="s">
        <v>939</v>
      </c>
      <c r="AJ1980">
        <v>6</v>
      </c>
      <c r="AK19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MIN(AJ1980/8, 1) +
  Merge1[[#This Row],[index_defensive_effort]],
  2
)</f>
        <v>1.38</v>
      </c>
    </row>
    <row r="1981" spans="1:37" x14ac:dyDescent="0.25">
      <c r="A1981" t="s">
        <v>570</v>
      </c>
      <c r="B1981" t="s">
        <v>571</v>
      </c>
      <c r="C1981">
        <v>24</v>
      </c>
      <c r="D1981" t="s">
        <v>56</v>
      </c>
      <c r="E1981">
        <v>70</v>
      </c>
      <c r="F1981">
        <v>190</v>
      </c>
      <c r="G1981" t="s">
        <v>157</v>
      </c>
      <c r="H1981">
        <v>2020</v>
      </c>
      <c r="I1981" t="s">
        <v>33</v>
      </c>
      <c r="J1981">
        <v>17</v>
      </c>
      <c r="K1981">
        <v>4</v>
      </c>
      <c r="L1981">
        <v>1</v>
      </c>
      <c r="M1981">
        <v>0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70</v>
      </c>
      <c r="T1981">
        <v>70</v>
      </c>
      <c r="U1981" s="5">
        <f>IF(Merge1[[#This Row],[team_defense_snaps]]=0, "", Merge1[[#This Row],[defense_snaps]] / Merge1[[#This Row],[team_defense_snaps]])</f>
        <v>0.9859154929577465</v>
      </c>
      <c r="V1981">
        <v>71</v>
      </c>
      <c r="W1981">
        <v>0</v>
      </c>
      <c r="X1981" s="5" t="s">
        <v>29</v>
      </c>
      <c r="Y1981">
        <v>2</v>
      </c>
      <c r="Z1981">
        <v>0</v>
      </c>
      <c r="AA1981" t="s">
        <v>25</v>
      </c>
      <c r="AB1981" t="s">
        <v>26</v>
      </c>
      <c r="AC1981" t="s">
        <v>27</v>
      </c>
      <c r="AD1981" t="s">
        <v>42</v>
      </c>
      <c r="AE1981" t="s">
        <v>25</v>
      </c>
      <c r="AF19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6.4285714285714279E-2</v>
      </c>
      <c r="AG1981" t="s">
        <v>942</v>
      </c>
      <c r="AH1981">
        <v>64</v>
      </c>
      <c r="AI1981" t="s">
        <v>939</v>
      </c>
      <c r="AJ1981">
        <v>1</v>
      </c>
      <c r="AK19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MIN(AJ1981/8, 1) +
  Merge1[[#This Row],[index_defensive_effort]],
  2
)</f>
        <v>0.69</v>
      </c>
    </row>
    <row r="1982" spans="1:37" x14ac:dyDescent="0.25">
      <c r="A1982" t="s">
        <v>600</v>
      </c>
      <c r="B1982" t="s">
        <v>601</v>
      </c>
      <c r="C1982">
        <v>23</v>
      </c>
      <c r="D1982" t="s">
        <v>56</v>
      </c>
      <c r="E1982">
        <v>70</v>
      </c>
      <c r="F1982">
        <v>200</v>
      </c>
      <c r="G1982" t="s">
        <v>166</v>
      </c>
      <c r="H1982">
        <v>2020</v>
      </c>
      <c r="I1982" t="s">
        <v>33</v>
      </c>
      <c r="J1982">
        <v>1</v>
      </c>
      <c r="K1982">
        <v>1</v>
      </c>
      <c r="L1982">
        <v>1</v>
      </c>
      <c r="M1982">
        <v>0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28</v>
      </c>
      <c r="T1982">
        <v>6</v>
      </c>
      <c r="U1982" s="5">
        <f>IF(Merge1[[#This Row],[team_defense_snaps]]=0, "", Merge1[[#This Row],[defense_snaps]] / Merge1[[#This Row],[team_defense_snaps]])</f>
        <v>8.9552238805970144E-2</v>
      </c>
      <c r="V1982">
        <v>67</v>
      </c>
      <c r="W1982">
        <v>22</v>
      </c>
      <c r="X1982" s="5" t="s">
        <v>95</v>
      </c>
      <c r="Y1982">
        <v>1</v>
      </c>
      <c r="Z1982">
        <v>0</v>
      </c>
      <c r="AA1982" t="s">
        <v>25</v>
      </c>
      <c r="AB1982" t="s">
        <v>26</v>
      </c>
      <c r="AC1982" t="s">
        <v>27</v>
      </c>
      <c r="AD1982" t="s">
        <v>28</v>
      </c>
      <c r="AE1982" t="s">
        <v>25</v>
      </c>
      <c r="AF19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5.3571428571428568E-2</v>
      </c>
      <c r="AG1982" t="s">
        <v>941</v>
      </c>
      <c r="AH1982">
        <v>74</v>
      </c>
      <c r="AI1982" t="s">
        <v>939</v>
      </c>
      <c r="AJ1982">
        <v>1</v>
      </c>
      <c r="AK19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MIN(AJ1982/8, 1) +
  Merge1[[#This Row],[index_defensive_effort]],
  2
)</f>
        <v>0.68</v>
      </c>
    </row>
    <row r="1983" spans="1:37" x14ac:dyDescent="0.25">
      <c r="A1983" t="s">
        <v>600</v>
      </c>
      <c r="B1983" t="s">
        <v>601</v>
      </c>
      <c r="C1983">
        <v>23</v>
      </c>
      <c r="D1983" t="s">
        <v>56</v>
      </c>
      <c r="E1983">
        <v>70</v>
      </c>
      <c r="F1983">
        <v>200</v>
      </c>
      <c r="G1983" t="s">
        <v>166</v>
      </c>
      <c r="H1983">
        <v>2020</v>
      </c>
      <c r="I1983" t="s">
        <v>33</v>
      </c>
      <c r="J1983">
        <v>4</v>
      </c>
      <c r="K1983">
        <v>1</v>
      </c>
      <c r="L1983">
        <v>0</v>
      </c>
      <c r="M1983">
        <v>0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20</v>
      </c>
      <c r="T1983">
        <v>5</v>
      </c>
      <c r="U1983" s="5">
        <f>IF(Merge1[[#This Row],[team_defense_snaps]]=0, "", Merge1[[#This Row],[defense_snaps]] / Merge1[[#This Row],[team_defense_snaps]])</f>
        <v>8.0645161290322578E-2</v>
      </c>
      <c r="V1983">
        <v>62</v>
      </c>
      <c r="W1983">
        <v>15</v>
      </c>
      <c r="X1983" s="5" t="s">
        <v>189</v>
      </c>
      <c r="Y1983">
        <v>1</v>
      </c>
      <c r="Z1983">
        <v>0</v>
      </c>
      <c r="AA1983" t="s">
        <v>25</v>
      </c>
      <c r="AB1983" t="s">
        <v>26</v>
      </c>
      <c r="AC1983" t="s">
        <v>27</v>
      </c>
      <c r="AD1983" t="s">
        <v>28</v>
      </c>
      <c r="AE1983" t="s">
        <v>25</v>
      </c>
      <c r="AF19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</v>
      </c>
      <c r="AG1983" t="s">
        <v>941</v>
      </c>
      <c r="AH1983">
        <v>71</v>
      </c>
      <c r="AI1983" t="s">
        <v>939</v>
      </c>
      <c r="AJ1983">
        <v>1</v>
      </c>
      <c r="AK19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MIN(AJ1983/8, 1) +
  Merge1[[#This Row],[index_defensive_effort]],
  2
)</f>
        <v>0.78</v>
      </c>
    </row>
    <row r="1984" spans="1:37" x14ac:dyDescent="0.25">
      <c r="A1984" t="s">
        <v>600</v>
      </c>
      <c r="B1984" t="s">
        <v>601</v>
      </c>
      <c r="C1984">
        <v>23</v>
      </c>
      <c r="D1984" t="s">
        <v>56</v>
      </c>
      <c r="E1984">
        <v>70</v>
      </c>
      <c r="F1984">
        <v>200</v>
      </c>
      <c r="G1984" t="s">
        <v>166</v>
      </c>
      <c r="H1984">
        <v>2020</v>
      </c>
      <c r="I1984" t="s">
        <v>33</v>
      </c>
      <c r="J1984">
        <v>12</v>
      </c>
      <c r="K1984">
        <v>1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57</v>
      </c>
      <c r="T1984">
        <v>29</v>
      </c>
      <c r="U1984" s="5">
        <f>IF(Merge1[[#This Row],[team_defense_snaps]]=0, "", Merge1[[#This Row],[defense_snaps]] / Merge1[[#This Row],[team_defense_snaps]])</f>
        <v>0.36249999999999999</v>
      </c>
      <c r="V1984">
        <v>80</v>
      </c>
      <c r="W1984">
        <v>28</v>
      </c>
      <c r="X1984" s="5" t="s">
        <v>331</v>
      </c>
      <c r="Y1984">
        <v>1</v>
      </c>
      <c r="Z1984">
        <v>0</v>
      </c>
      <c r="AA1984" t="s">
        <v>25</v>
      </c>
      <c r="AB1984" t="s">
        <v>26</v>
      </c>
      <c r="AC1984" t="s">
        <v>27</v>
      </c>
      <c r="AD1984" t="s">
        <v>28</v>
      </c>
      <c r="AE1984" t="s">
        <v>25</v>
      </c>
      <c r="AF19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1.7543859649122806E-2</v>
      </c>
      <c r="AG1984" t="s">
        <v>941</v>
      </c>
      <c r="AH1984">
        <v>78.5</v>
      </c>
      <c r="AI1984" t="s">
        <v>939</v>
      </c>
      <c r="AJ1984">
        <v>2</v>
      </c>
      <c r="AK19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MIN(AJ1984/8, 1) +
  Merge1[[#This Row],[index_defensive_effort]],
  2
)</f>
        <v>0.77</v>
      </c>
    </row>
    <row r="1985" spans="1:37" x14ac:dyDescent="0.25">
      <c r="A1985" t="s">
        <v>600</v>
      </c>
      <c r="B1985" t="s">
        <v>601</v>
      </c>
      <c r="C1985">
        <v>23</v>
      </c>
      <c r="D1985" t="s">
        <v>56</v>
      </c>
      <c r="E1985">
        <v>70</v>
      </c>
      <c r="F1985">
        <v>200</v>
      </c>
      <c r="G1985" t="s">
        <v>166</v>
      </c>
      <c r="H1985">
        <v>2020</v>
      </c>
      <c r="I1985" t="s">
        <v>33</v>
      </c>
      <c r="J1985">
        <v>13</v>
      </c>
      <c r="K1985">
        <v>2</v>
      </c>
      <c r="L1985">
        <v>1</v>
      </c>
      <c r="M1985">
        <v>1</v>
      </c>
      <c r="N1985">
        <v>2</v>
      </c>
      <c r="O1985">
        <v>0</v>
      </c>
      <c r="P1985">
        <v>0</v>
      </c>
      <c r="Q1985">
        <v>0</v>
      </c>
      <c r="R1985">
        <v>0</v>
      </c>
      <c r="S1985">
        <v>40</v>
      </c>
      <c r="T1985">
        <v>21</v>
      </c>
      <c r="U1985" s="5">
        <f>IF(Merge1[[#This Row],[team_defense_snaps]]=0, "", Merge1[[#This Row],[defense_snaps]] / Merge1[[#This Row],[team_defense_snaps]])</f>
        <v>0.31343283582089554</v>
      </c>
      <c r="V1985">
        <v>67</v>
      </c>
      <c r="W1985">
        <v>19</v>
      </c>
      <c r="X1985" s="5" t="s">
        <v>87</v>
      </c>
      <c r="Y1985">
        <v>1</v>
      </c>
      <c r="Z1985">
        <v>0</v>
      </c>
      <c r="AA1985" t="s">
        <v>25</v>
      </c>
      <c r="AB1985" t="s">
        <v>26</v>
      </c>
      <c r="AC1985" t="s">
        <v>27</v>
      </c>
      <c r="AD1985" t="s">
        <v>28</v>
      </c>
      <c r="AE1985" t="s">
        <v>25</v>
      </c>
      <c r="AF19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7.4999999999999997E-2</v>
      </c>
      <c r="AG1985" t="s">
        <v>941</v>
      </c>
      <c r="AH1985">
        <v>95</v>
      </c>
      <c r="AI1985" t="s">
        <v>939</v>
      </c>
      <c r="AJ1985">
        <v>1</v>
      </c>
      <c r="AK19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MIN(AJ1985/8, 1) +
  Merge1[[#This Row],[index_defensive_effort]],
  2
)</f>
        <v>0.7</v>
      </c>
    </row>
    <row r="1986" spans="1:37" x14ac:dyDescent="0.25">
      <c r="A1986" t="s">
        <v>600</v>
      </c>
      <c r="B1986" t="s">
        <v>601</v>
      </c>
      <c r="C1986">
        <v>23</v>
      </c>
      <c r="D1986" t="s">
        <v>56</v>
      </c>
      <c r="E1986">
        <v>70</v>
      </c>
      <c r="F1986">
        <v>200</v>
      </c>
      <c r="G1986" t="s">
        <v>166</v>
      </c>
      <c r="H1986">
        <v>2020</v>
      </c>
      <c r="I1986" t="s">
        <v>33</v>
      </c>
      <c r="J1986">
        <v>15</v>
      </c>
      <c r="K1986">
        <v>1</v>
      </c>
      <c r="L1986">
        <v>1</v>
      </c>
      <c r="M1986">
        <v>0</v>
      </c>
      <c r="N1986">
        <v>1</v>
      </c>
      <c r="O1986">
        <v>0</v>
      </c>
      <c r="P1986">
        <v>1</v>
      </c>
      <c r="Q1986">
        <v>0</v>
      </c>
      <c r="R1986">
        <v>0</v>
      </c>
      <c r="S1986">
        <v>77</v>
      </c>
      <c r="T1986">
        <v>62</v>
      </c>
      <c r="U1986" s="5">
        <f>IF(Merge1[[#This Row],[team_defense_snaps]]=0, "", Merge1[[#This Row],[defense_snaps]] / Merge1[[#This Row],[team_defense_snaps]])</f>
        <v>0.93939393939393945</v>
      </c>
      <c r="V1986">
        <v>66</v>
      </c>
      <c r="W1986">
        <v>15</v>
      </c>
      <c r="X1986" s="5" t="s">
        <v>112</v>
      </c>
      <c r="Y1986">
        <v>1</v>
      </c>
      <c r="Z1986">
        <v>0</v>
      </c>
      <c r="AA1986" t="s">
        <v>25</v>
      </c>
      <c r="AB1986" t="s">
        <v>26</v>
      </c>
      <c r="AC1986" t="s">
        <v>27</v>
      </c>
      <c r="AD1986" t="s">
        <v>42</v>
      </c>
      <c r="AE1986" t="s">
        <v>25</v>
      </c>
      <c r="AF19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G1986" t="s">
        <v>941</v>
      </c>
      <c r="AH1986">
        <v>90.5</v>
      </c>
      <c r="AI1986" t="s">
        <v>939</v>
      </c>
      <c r="AJ1986">
        <v>1</v>
      </c>
      <c r="AK19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MIN(AJ1986/8, 1) +
  Merge1[[#This Row],[index_defensive_effort]],
  2
)</f>
        <v>0.67</v>
      </c>
    </row>
    <row r="1987" spans="1:37" x14ac:dyDescent="0.25">
      <c r="A1987" t="s">
        <v>600</v>
      </c>
      <c r="B1987" t="s">
        <v>601</v>
      </c>
      <c r="C1987">
        <v>23</v>
      </c>
      <c r="D1987" t="s">
        <v>56</v>
      </c>
      <c r="E1987">
        <v>70</v>
      </c>
      <c r="F1987">
        <v>200</v>
      </c>
      <c r="G1987" t="s">
        <v>166</v>
      </c>
      <c r="H1987">
        <v>2020</v>
      </c>
      <c r="I1987" t="s">
        <v>33</v>
      </c>
      <c r="J1987">
        <v>17</v>
      </c>
      <c r="K1987">
        <v>0</v>
      </c>
      <c r="L1987">
        <v>1</v>
      </c>
      <c r="M1987">
        <v>0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44</v>
      </c>
      <c r="T1987">
        <v>20</v>
      </c>
      <c r="U1987" s="5">
        <f>IF(Merge1[[#This Row],[team_defense_snaps]]=0, "", Merge1[[#This Row],[defense_snaps]] / Merge1[[#This Row],[team_defense_snaps]])</f>
        <v>0.24390243902439024</v>
      </c>
      <c r="V1987">
        <v>82</v>
      </c>
      <c r="W1987">
        <v>24</v>
      </c>
      <c r="X1987" s="5" t="s">
        <v>87</v>
      </c>
      <c r="Y1987">
        <v>1</v>
      </c>
      <c r="Z1987">
        <v>0</v>
      </c>
      <c r="AA1987" t="s">
        <v>25</v>
      </c>
      <c r="AB1987" t="s">
        <v>26</v>
      </c>
      <c r="AC1987" t="s">
        <v>27</v>
      </c>
      <c r="AD1987" t="s">
        <v>28</v>
      </c>
      <c r="AE1987" t="s">
        <v>25</v>
      </c>
      <c r="AF19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1.1363636363636364E-2</v>
      </c>
      <c r="AG1987" t="s">
        <v>941</v>
      </c>
      <c r="AH1987">
        <v>77</v>
      </c>
      <c r="AI1987" t="s">
        <v>939</v>
      </c>
      <c r="AJ1987">
        <v>1</v>
      </c>
      <c r="AK19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MIN(AJ1987/8, 1) +
  Merge1[[#This Row],[index_defensive_effort]],
  2
)</f>
        <v>0.64</v>
      </c>
    </row>
    <row r="1988" spans="1:37" x14ac:dyDescent="0.25">
      <c r="A1988" t="s">
        <v>568</v>
      </c>
      <c r="B1988" t="s">
        <v>569</v>
      </c>
      <c r="C1988">
        <v>27</v>
      </c>
      <c r="D1988" t="s">
        <v>56</v>
      </c>
      <c r="E1988">
        <v>73</v>
      </c>
      <c r="F1988">
        <v>180</v>
      </c>
      <c r="G1988" t="s">
        <v>28</v>
      </c>
      <c r="H1988">
        <v>2020</v>
      </c>
      <c r="I1988" t="s">
        <v>33</v>
      </c>
      <c r="J1988">
        <v>4</v>
      </c>
      <c r="K1988">
        <v>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10</v>
      </c>
      <c r="T1988">
        <v>6</v>
      </c>
      <c r="U1988" s="5">
        <f>IF(Merge1[[#This Row],[team_defense_snaps]]=0, "", Merge1[[#This Row],[defense_snaps]] / Merge1[[#This Row],[team_defense_snaps]])</f>
        <v>9.8360655737704916E-2</v>
      </c>
      <c r="V1988">
        <v>61</v>
      </c>
      <c r="W1988">
        <v>4</v>
      </c>
      <c r="X1988" s="5" t="s">
        <v>159</v>
      </c>
      <c r="Y1988">
        <v>4</v>
      </c>
      <c r="Z1988">
        <v>0</v>
      </c>
      <c r="AA1988" t="s">
        <v>25</v>
      </c>
      <c r="AB1988" t="s">
        <v>26</v>
      </c>
      <c r="AC1988" t="s">
        <v>27</v>
      </c>
      <c r="AD1988" t="s">
        <v>28</v>
      </c>
      <c r="AE1988" t="s">
        <v>25</v>
      </c>
      <c r="AF19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1988" t="s">
        <v>942</v>
      </c>
      <c r="AH1988">
        <v>61</v>
      </c>
      <c r="AI1988" t="s">
        <v>939</v>
      </c>
      <c r="AJ1988">
        <v>1</v>
      </c>
      <c r="AK19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MIN(AJ1988/8, 1) +
  Merge1[[#This Row],[index_defensive_effort]],
  2
)</f>
        <v>0.73</v>
      </c>
    </row>
    <row r="1989" spans="1:37" x14ac:dyDescent="0.25">
      <c r="A1989" t="s">
        <v>568</v>
      </c>
      <c r="B1989" t="s">
        <v>569</v>
      </c>
      <c r="C1989">
        <v>27</v>
      </c>
      <c r="D1989" t="s">
        <v>56</v>
      </c>
      <c r="E1989">
        <v>73</v>
      </c>
      <c r="F1989">
        <v>180</v>
      </c>
      <c r="G1989" t="s">
        <v>28</v>
      </c>
      <c r="H1989">
        <v>2020</v>
      </c>
      <c r="I1989" t="s">
        <v>33</v>
      </c>
      <c r="J1989">
        <v>17</v>
      </c>
      <c r="K1989">
        <v>2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2</v>
      </c>
      <c r="R1989">
        <v>2</v>
      </c>
      <c r="S1989">
        <v>10</v>
      </c>
      <c r="T1989">
        <v>1</v>
      </c>
      <c r="U1989" s="5">
        <f>IF(Merge1[[#This Row],[team_defense_snaps]]=0, "", Merge1[[#This Row],[defense_snaps]] / Merge1[[#This Row],[team_defense_snaps]])</f>
        <v>1.6129032258064516E-2</v>
      </c>
      <c r="V1989">
        <v>62</v>
      </c>
      <c r="W1989">
        <v>9</v>
      </c>
      <c r="X1989" s="5" t="s">
        <v>57</v>
      </c>
      <c r="Y1989">
        <v>4</v>
      </c>
      <c r="Z1989">
        <v>0</v>
      </c>
      <c r="AA1989" t="s">
        <v>25</v>
      </c>
      <c r="AB1989" t="s">
        <v>26</v>
      </c>
      <c r="AC1989" t="s">
        <v>27</v>
      </c>
      <c r="AD1989" t="s">
        <v>28</v>
      </c>
      <c r="AE1989" t="s">
        <v>25</v>
      </c>
      <c r="AF19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1989" t="s">
        <v>942</v>
      </c>
      <c r="AH1989">
        <v>80.5</v>
      </c>
      <c r="AI1989" t="s">
        <v>939</v>
      </c>
      <c r="AJ1989">
        <v>1</v>
      </c>
      <c r="AK19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MIN(AJ1989/8, 1) +
  Merge1[[#This Row],[index_defensive_effort]],
  2
)</f>
        <v>1.63</v>
      </c>
    </row>
    <row r="1990" spans="1:37" x14ac:dyDescent="0.25">
      <c r="A1990" t="s">
        <v>582</v>
      </c>
      <c r="B1990" t="s">
        <v>583</v>
      </c>
      <c r="C1990">
        <v>25</v>
      </c>
      <c r="D1990" t="s">
        <v>56</v>
      </c>
      <c r="E1990">
        <v>71</v>
      </c>
      <c r="F1990">
        <v>198</v>
      </c>
      <c r="G1990" t="s">
        <v>286</v>
      </c>
      <c r="H1990">
        <v>2020</v>
      </c>
      <c r="I1990" t="s">
        <v>33</v>
      </c>
      <c r="J1990">
        <v>3</v>
      </c>
      <c r="K1990">
        <v>0</v>
      </c>
      <c r="L1990">
        <v>1</v>
      </c>
      <c r="M1990">
        <v>0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63</v>
      </c>
      <c r="T1990">
        <v>63</v>
      </c>
      <c r="U1990" s="5">
        <f>IF(Merge1[[#This Row],[team_defense_snaps]]=0, "", Merge1[[#This Row],[defense_snaps]] / Merge1[[#This Row],[team_defense_snaps]])</f>
        <v>0.984375</v>
      </c>
      <c r="V1990">
        <v>64</v>
      </c>
      <c r="W1990">
        <v>0</v>
      </c>
      <c r="X1990" s="5" t="s">
        <v>29</v>
      </c>
      <c r="Y1990">
        <v>4</v>
      </c>
      <c r="Z1990">
        <v>0</v>
      </c>
      <c r="AA1990" t="s">
        <v>25</v>
      </c>
      <c r="AB1990" t="s">
        <v>26</v>
      </c>
      <c r="AC1990" t="s">
        <v>27</v>
      </c>
      <c r="AD1990" t="s">
        <v>42</v>
      </c>
      <c r="AE1990" t="s">
        <v>25</v>
      </c>
      <c r="AF19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7.9365079365079361E-3</v>
      </c>
      <c r="AG1990" t="s">
        <v>941</v>
      </c>
      <c r="AH1990">
        <v>51.5</v>
      </c>
      <c r="AI1990" t="s">
        <v>939</v>
      </c>
      <c r="AJ1990">
        <v>1</v>
      </c>
      <c r="AK19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MIN(AJ1990/8, 1) +
  Merge1[[#This Row],[index_defensive_effort]],
  2
)</f>
        <v>0.63</v>
      </c>
    </row>
    <row r="1991" spans="1:37" x14ac:dyDescent="0.25">
      <c r="A1991" t="s">
        <v>582</v>
      </c>
      <c r="B1991" t="s">
        <v>583</v>
      </c>
      <c r="C1991">
        <v>25</v>
      </c>
      <c r="D1991" t="s">
        <v>56</v>
      </c>
      <c r="E1991">
        <v>71</v>
      </c>
      <c r="F1991">
        <v>198</v>
      </c>
      <c r="G1991" t="s">
        <v>286</v>
      </c>
      <c r="H1991">
        <v>2020</v>
      </c>
      <c r="I1991" t="s">
        <v>33</v>
      </c>
      <c r="J1991">
        <v>3</v>
      </c>
      <c r="K1991">
        <v>0</v>
      </c>
      <c r="L1991">
        <v>1</v>
      </c>
      <c r="M1991">
        <v>0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63</v>
      </c>
      <c r="T1991">
        <v>63</v>
      </c>
      <c r="U1991" s="5">
        <f>IF(Merge1[[#This Row],[team_defense_snaps]]=0, "", Merge1[[#This Row],[defense_snaps]] / Merge1[[#This Row],[team_defense_snaps]])</f>
        <v>0.984375</v>
      </c>
      <c r="V1991">
        <v>64</v>
      </c>
      <c r="W1991">
        <v>0</v>
      </c>
      <c r="X1991" s="5" t="s">
        <v>29</v>
      </c>
      <c r="Y1991">
        <v>4</v>
      </c>
      <c r="Z1991">
        <v>0</v>
      </c>
      <c r="AA1991" t="s">
        <v>25</v>
      </c>
      <c r="AB1991" t="s">
        <v>26</v>
      </c>
      <c r="AC1991" t="s">
        <v>27</v>
      </c>
      <c r="AD1991" t="s">
        <v>42</v>
      </c>
      <c r="AE1991" t="s">
        <v>25</v>
      </c>
      <c r="AF19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7.9365079365079361E-3</v>
      </c>
      <c r="AG1991" t="s">
        <v>941</v>
      </c>
      <c r="AH1991">
        <v>56</v>
      </c>
      <c r="AI1991" t="s">
        <v>939</v>
      </c>
      <c r="AJ1991">
        <v>2</v>
      </c>
      <c r="AK19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MIN(AJ1991/8, 1) +
  Merge1[[#This Row],[index_defensive_effort]],
  2
)</f>
        <v>0.76</v>
      </c>
    </row>
    <row r="1992" spans="1:37" x14ac:dyDescent="0.25">
      <c r="A1992" t="s">
        <v>582</v>
      </c>
      <c r="B1992" t="s">
        <v>583</v>
      </c>
      <c r="C1992">
        <v>25</v>
      </c>
      <c r="D1992" t="s">
        <v>56</v>
      </c>
      <c r="E1992">
        <v>71</v>
      </c>
      <c r="F1992">
        <v>198</v>
      </c>
      <c r="G1992" t="s">
        <v>286</v>
      </c>
      <c r="H1992">
        <v>2020</v>
      </c>
      <c r="I1992" t="s">
        <v>33</v>
      </c>
      <c r="J1992">
        <v>4</v>
      </c>
      <c r="K1992">
        <v>2</v>
      </c>
      <c r="L1992">
        <v>1</v>
      </c>
      <c r="M1992">
        <v>0</v>
      </c>
      <c r="N1992">
        <v>1</v>
      </c>
      <c r="O1992">
        <v>0</v>
      </c>
      <c r="P1992">
        <v>2</v>
      </c>
      <c r="Q1992">
        <v>4</v>
      </c>
      <c r="R1992">
        <v>0</v>
      </c>
      <c r="S1992">
        <v>57</v>
      </c>
      <c r="T1992">
        <v>57</v>
      </c>
      <c r="U1992" s="5">
        <f>IF(Merge1[[#This Row],[team_defense_snaps]]=0, "", Merge1[[#This Row],[defense_snaps]] / Merge1[[#This Row],[team_defense_snaps]])</f>
        <v>1</v>
      </c>
      <c r="V1992">
        <v>57</v>
      </c>
      <c r="W1992">
        <v>0</v>
      </c>
      <c r="X1992" s="5" t="s">
        <v>29</v>
      </c>
      <c r="Y1992">
        <v>4</v>
      </c>
      <c r="Z1992">
        <v>0</v>
      </c>
      <c r="AA1992" t="s">
        <v>25</v>
      </c>
      <c r="AB1992" t="s">
        <v>26</v>
      </c>
      <c r="AC1992" t="s">
        <v>27</v>
      </c>
      <c r="AD1992" t="s">
        <v>42</v>
      </c>
      <c r="AE1992" t="s">
        <v>25</v>
      </c>
      <c r="AF19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0.39473684210526316</v>
      </c>
      <c r="AG1992" t="s">
        <v>941</v>
      </c>
      <c r="AH1992">
        <v>57.5</v>
      </c>
      <c r="AI1992" t="s">
        <v>939</v>
      </c>
      <c r="AJ1992">
        <v>1</v>
      </c>
      <c r="AK19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MIN(AJ1992/8, 1) +
  Merge1[[#This Row],[index_defensive_effort]],
  2
)</f>
        <v>1.02</v>
      </c>
    </row>
    <row r="1993" spans="1:37" x14ac:dyDescent="0.25">
      <c r="A1993" t="s">
        <v>582</v>
      </c>
      <c r="B1993" t="s">
        <v>583</v>
      </c>
      <c r="C1993">
        <v>25</v>
      </c>
      <c r="D1993" t="s">
        <v>56</v>
      </c>
      <c r="E1993">
        <v>71</v>
      </c>
      <c r="F1993">
        <v>198</v>
      </c>
      <c r="G1993" t="s">
        <v>286</v>
      </c>
      <c r="H1993">
        <v>2020</v>
      </c>
      <c r="I1993" t="s">
        <v>33</v>
      </c>
      <c r="J1993">
        <v>4</v>
      </c>
      <c r="K1993">
        <v>2</v>
      </c>
      <c r="L1993">
        <v>1</v>
      </c>
      <c r="M1993">
        <v>0</v>
      </c>
      <c r="N1993">
        <v>1</v>
      </c>
      <c r="O1993">
        <v>0</v>
      </c>
      <c r="P1993">
        <v>2</v>
      </c>
      <c r="Q1993">
        <v>4</v>
      </c>
      <c r="R1993">
        <v>0</v>
      </c>
      <c r="S1993">
        <v>57</v>
      </c>
      <c r="T1993">
        <v>57</v>
      </c>
      <c r="U1993" s="5">
        <f>IF(Merge1[[#This Row],[team_defense_snaps]]=0, "", Merge1[[#This Row],[defense_snaps]] / Merge1[[#This Row],[team_defense_snaps]])</f>
        <v>1</v>
      </c>
      <c r="V1993">
        <v>57</v>
      </c>
      <c r="W1993">
        <v>0</v>
      </c>
      <c r="X1993" s="5" t="s">
        <v>29</v>
      </c>
      <c r="Y1993">
        <v>4</v>
      </c>
      <c r="Z1993">
        <v>0</v>
      </c>
      <c r="AA1993" t="s">
        <v>25</v>
      </c>
      <c r="AB1993" t="s">
        <v>26</v>
      </c>
      <c r="AC1993" t="s">
        <v>27</v>
      </c>
      <c r="AD1993" t="s">
        <v>42</v>
      </c>
      <c r="AE1993" t="s">
        <v>25</v>
      </c>
      <c r="AF19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0.39473684210526316</v>
      </c>
      <c r="AG1993" t="s">
        <v>941</v>
      </c>
      <c r="AH1993">
        <v>69.5</v>
      </c>
      <c r="AI1993" t="s">
        <v>939</v>
      </c>
      <c r="AJ1993">
        <v>2</v>
      </c>
      <c r="AK19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MIN(AJ1993/8, 1) +
  Merge1[[#This Row],[index_defensive_effort]],
  2
)</f>
        <v>1.1399999999999999</v>
      </c>
    </row>
    <row r="1994" spans="1:37" x14ac:dyDescent="0.25">
      <c r="A1994" t="s">
        <v>582</v>
      </c>
      <c r="B1994" t="s">
        <v>583</v>
      </c>
      <c r="C1994">
        <v>25</v>
      </c>
      <c r="D1994" t="s">
        <v>56</v>
      </c>
      <c r="E1994">
        <v>71</v>
      </c>
      <c r="F1994">
        <v>198</v>
      </c>
      <c r="G1994" t="s">
        <v>286</v>
      </c>
      <c r="H1994">
        <v>2020</v>
      </c>
      <c r="I1994" t="s">
        <v>33</v>
      </c>
      <c r="J1994">
        <v>5</v>
      </c>
      <c r="K1994">
        <v>6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2</v>
      </c>
      <c r="R1994">
        <v>0</v>
      </c>
      <c r="S1994">
        <v>68</v>
      </c>
      <c r="T1994">
        <v>68</v>
      </c>
      <c r="U1994" s="5">
        <f>IF(Merge1[[#This Row],[team_defense_snaps]]=0, "", Merge1[[#This Row],[defense_snaps]] / Merge1[[#This Row],[team_defense_snaps]])</f>
        <v>1</v>
      </c>
      <c r="V1994">
        <v>68</v>
      </c>
      <c r="W1994">
        <v>0</v>
      </c>
      <c r="X1994" s="5" t="s">
        <v>29</v>
      </c>
      <c r="Y1994">
        <v>4</v>
      </c>
      <c r="Z1994">
        <v>0</v>
      </c>
      <c r="AA1994" t="s">
        <v>25</v>
      </c>
      <c r="AB1994" t="s">
        <v>26</v>
      </c>
      <c r="AC1994" t="s">
        <v>27</v>
      </c>
      <c r="AD1994" t="s">
        <v>42</v>
      </c>
      <c r="AE1994" t="s">
        <v>25</v>
      </c>
      <c r="AF19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0.20588235294117646</v>
      </c>
      <c r="AG1994" t="s">
        <v>941</v>
      </c>
      <c r="AH1994">
        <v>66.5</v>
      </c>
      <c r="AI1994" t="s">
        <v>939</v>
      </c>
      <c r="AJ1994">
        <v>1</v>
      </c>
      <c r="AK19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MIN(AJ1994/8, 1) +
  Merge1[[#This Row],[index_defensive_effort]],
  2
)</f>
        <v>0.83</v>
      </c>
    </row>
    <row r="1995" spans="1:37" x14ac:dyDescent="0.25">
      <c r="A1995" t="s">
        <v>582</v>
      </c>
      <c r="B1995" t="s">
        <v>583</v>
      </c>
      <c r="C1995">
        <v>25</v>
      </c>
      <c r="D1995" t="s">
        <v>56</v>
      </c>
      <c r="E1995">
        <v>71</v>
      </c>
      <c r="F1995">
        <v>198</v>
      </c>
      <c r="G1995" t="s">
        <v>286</v>
      </c>
      <c r="H1995">
        <v>2020</v>
      </c>
      <c r="I1995" t="s">
        <v>33</v>
      </c>
      <c r="J1995">
        <v>5</v>
      </c>
      <c r="K1995">
        <v>6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2</v>
      </c>
      <c r="R1995">
        <v>0</v>
      </c>
      <c r="S1995">
        <v>68</v>
      </c>
      <c r="T1995">
        <v>68</v>
      </c>
      <c r="U1995" s="5">
        <f>IF(Merge1[[#This Row],[team_defense_snaps]]=0, "", Merge1[[#This Row],[defense_snaps]] / Merge1[[#This Row],[team_defense_snaps]])</f>
        <v>1</v>
      </c>
      <c r="V1995">
        <v>68</v>
      </c>
      <c r="W1995">
        <v>0</v>
      </c>
      <c r="X1995" s="5" t="s">
        <v>29</v>
      </c>
      <c r="Y1995">
        <v>4</v>
      </c>
      <c r="Z1995">
        <v>0</v>
      </c>
      <c r="AA1995" t="s">
        <v>25</v>
      </c>
      <c r="AB1995" t="s">
        <v>26</v>
      </c>
      <c r="AC1995" t="s">
        <v>27</v>
      </c>
      <c r="AD1995" t="s">
        <v>42</v>
      </c>
      <c r="AE1995" t="s">
        <v>25</v>
      </c>
      <c r="AF19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0.20588235294117646</v>
      </c>
      <c r="AG1995" t="s">
        <v>941</v>
      </c>
      <c r="AH1995">
        <v>59</v>
      </c>
      <c r="AI1995" t="s">
        <v>939</v>
      </c>
      <c r="AJ1995">
        <v>2</v>
      </c>
      <c r="AK19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MIN(AJ1995/8, 1) +
  Merge1[[#This Row],[index_defensive_effort]],
  2
)</f>
        <v>0.96</v>
      </c>
    </row>
    <row r="1996" spans="1:37" x14ac:dyDescent="0.25">
      <c r="A1996" t="s">
        <v>582</v>
      </c>
      <c r="B1996" t="s">
        <v>583</v>
      </c>
      <c r="C1996">
        <v>25</v>
      </c>
      <c r="D1996" t="s">
        <v>56</v>
      </c>
      <c r="E1996">
        <v>71</v>
      </c>
      <c r="F1996">
        <v>198</v>
      </c>
      <c r="G1996" t="s">
        <v>286</v>
      </c>
      <c r="H1996">
        <v>2020</v>
      </c>
      <c r="I1996" t="s">
        <v>33</v>
      </c>
      <c r="J1996">
        <v>6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2</v>
      </c>
      <c r="R1996">
        <v>0</v>
      </c>
      <c r="S1996">
        <v>48</v>
      </c>
      <c r="T1996">
        <v>48</v>
      </c>
      <c r="U1996" s="5">
        <f>IF(Merge1[[#This Row],[team_defense_snaps]]=0, "", Merge1[[#This Row],[defense_snaps]] / Merge1[[#This Row],[team_defense_snaps]])</f>
        <v>0.96</v>
      </c>
      <c r="V1996">
        <v>50</v>
      </c>
      <c r="W1996">
        <v>0</v>
      </c>
      <c r="X1996" s="5" t="s">
        <v>29</v>
      </c>
      <c r="Y1996">
        <v>4</v>
      </c>
      <c r="Z1996">
        <v>0</v>
      </c>
      <c r="AA1996" t="s">
        <v>25</v>
      </c>
      <c r="AB1996" t="s">
        <v>26</v>
      </c>
      <c r="AC1996" t="s">
        <v>27</v>
      </c>
      <c r="AD1996" t="s">
        <v>42</v>
      </c>
      <c r="AE1996" t="s">
        <v>25</v>
      </c>
      <c r="AF19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AG1996" t="s">
        <v>941</v>
      </c>
      <c r="AH1996">
        <v>53</v>
      </c>
      <c r="AI1996" t="s">
        <v>939</v>
      </c>
      <c r="AJ1996">
        <v>1</v>
      </c>
      <c r="AK19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MIN(AJ1996/8, 1) +
  Merge1[[#This Row],[index_defensive_effort]],
  2
)</f>
        <v>0.79</v>
      </c>
    </row>
    <row r="1997" spans="1:37" x14ac:dyDescent="0.25">
      <c r="A1997" t="s">
        <v>582</v>
      </c>
      <c r="B1997" t="s">
        <v>583</v>
      </c>
      <c r="C1997">
        <v>25</v>
      </c>
      <c r="D1997" t="s">
        <v>56</v>
      </c>
      <c r="E1997">
        <v>71</v>
      </c>
      <c r="F1997">
        <v>198</v>
      </c>
      <c r="G1997" t="s">
        <v>286</v>
      </c>
      <c r="H1997">
        <v>2020</v>
      </c>
      <c r="I1997" t="s">
        <v>33</v>
      </c>
      <c r="J1997">
        <v>6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2</v>
      </c>
      <c r="R1997">
        <v>0</v>
      </c>
      <c r="S1997">
        <v>48</v>
      </c>
      <c r="T1997">
        <v>48</v>
      </c>
      <c r="U1997" s="5">
        <f>IF(Merge1[[#This Row],[team_defense_snaps]]=0, "", Merge1[[#This Row],[defense_snaps]] / Merge1[[#This Row],[team_defense_snaps]])</f>
        <v>0.96</v>
      </c>
      <c r="V1997">
        <v>50</v>
      </c>
      <c r="W1997">
        <v>0</v>
      </c>
      <c r="X1997" s="5" t="s">
        <v>29</v>
      </c>
      <c r="Y1997">
        <v>4</v>
      </c>
      <c r="Z1997">
        <v>0</v>
      </c>
      <c r="AA1997" t="s">
        <v>25</v>
      </c>
      <c r="AB1997" t="s">
        <v>26</v>
      </c>
      <c r="AC1997" t="s">
        <v>27</v>
      </c>
      <c r="AD1997" t="s">
        <v>42</v>
      </c>
      <c r="AE1997" t="s">
        <v>25</v>
      </c>
      <c r="AF19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AG1997" t="s">
        <v>941</v>
      </c>
      <c r="AH1997">
        <v>62</v>
      </c>
      <c r="AI1997" t="s">
        <v>939</v>
      </c>
      <c r="AJ1997">
        <v>2</v>
      </c>
      <c r="AK19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MIN(AJ1997/8, 1) +
  Merge1[[#This Row],[index_defensive_effort]],
  2
)</f>
        <v>0.92</v>
      </c>
    </row>
    <row r="1998" spans="1:37" x14ac:dyDescent="0.25">
      <c r="A1998" t="s">
        <v>582</v>
      </c>
      <c r="B1998" t="s">
        <v>583</v>
      </c>
      <c r="C1998">
        <v>25</v>
      </c>
      <c r="D1998" t="s">
        <v>56</v>
      </c>
      <c r="E1998">
        <v>71</v>
      </c>
      <c r="F1998">
        <v>198</v>
      </c>
      <c r="G1998" t="s">
        <v>286</v>
      </c>
      <c r="H1998">
        <v>2020</v>
      </c>
      <c r="I1998" t="s">
        <v>33</v>
      </c>
      <c r="J1998">
        <v>7</v>
      </c>
      <c r="K1998">
        <v>2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54</v>
      </c>
      <c r="T1998">
        <v>54</v>
      </c>
      <c r="U1998" s="5">
        <f>IF(Merge1[[#This Row],[team_defense_snaps]]=0, "", Merge1[[#This Row],[defense_snaps]] / Merge1[[#This Row],[team_defense_snaps]])</f>
        <v>0.94736842105263153</v>
      </c>
      <c r="V1998">
        <v>57</v>
      </c>
      <c r="W1998">
        <v>0</v>
      </c>
      <c r="X1998" s="5" t="s">
        <v>29</v>
      </c>
      <c r="Y1998">
        <v>4</v>
      </c>
      <c r="Z1998">
        <v>0</v>
      </c>
      <c r="AA1998" t="s">
        <v>25</v>
      </c>
      <c r="AB1998" t="s">
        <v>26</v>
      </c>
      <c r="AC1998" t="s">
        <v>27</v>
      </c>
      <c r="AD1998" t="s">
        <v>42</v>
      </c>
      <c r="AE1998" t="s">
        <v>25</v>
      </c>
      <c r="AF19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3.7037037037037035E-2</v>
      </c>
      <c r="AG1998" t="s">
        <v>941</v>
      </c>
      <c r="AH1998">
        <v>65</v>
      </c>
      <c r="AI1998" t="s">
        <v>939</v>
      </c>
      <c r="AJ1998">
        <v>1</v>
      </c>
      <c r="AK19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MIN(AJ1998/8, 1) +
  Merge1[[#This Row],[index_defensive_effort]],
  2
)</f>
        <v>0.66</v>
      </c>
    </row>
    <row r="1999" spans="1:37" x14ac:dyDescent="0.25">
      <c r="A1999" t="s">
        <v>582</v>
      </c>
      <c r="B1999" t="s">
        <v>583</v>
      </c>
      <c r="C1999">
        <v>25</v>
      </c>
      <c r="D1999" t="s">
        <v>56</v>
      </c>
      <c r="E1999">
        <v>71</v>
      </c>
      <c r="F1999">
        <v>198</v>
      </c>
      <c r="G1999" t="s">
        <v>286</v>
      </c>
      <c r="H1999">
        <v>2020</v>
      </c>
      <c r="I1999" t="s">
        <v>33</v>
      </c>
      <c r="J1999">
        <v>7</v>
      </c>
      <c r="K1999">
        <v>2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54</v>
      </c>
      <c r="T1999">
        <v>54</v>
      </c>
      <c r="U1999" s="5">
        <f>IF(Merge1[[#This Row],[team_defense_snaps]]=0, "", Merge1[[#This Row],[defense_snaps]] / Merge1[[#This Row],[team_defense_snaps]])</f>
        <v>0.94736842105263153</v>
      </c>
      <c r="V1999">
        <v>57</v>
      </c>
      <c r="W1999">
        <v>0</v>
      </c>
      <c r="X1999" s="5" t="s">
        <v>29</v>
      </c>
      <c r="Y1999">
        <v>4</v>
      </c>
      <c r="Z1999">
        <v>0</v>
      </c>
      <c r="AA1999" t="s">
        <v>25</v>
      </c>
      <c r="AB1999" t="s">
        <v>26</v>
      </c>
      <c r="AC1999" t="s">
        <v>27</v>
      </c>
      <c r="AD1999" t="s">
        <v>42</v>
      </c>
      <c r="AE1999" t="s">
        <v>25</v>
      </c>
      <c r="AF19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3.7037037037037035E-2</v>
      </c>
      <c r="AG1999" t="s">
        <v>941</v>
      </c>
      <c r="AH1999">
        <v>54</v>
      </c>
      <c r="AI1999" t="s">
        <v>939</v>
      </c>
      <c r="AJ1999">
        <v>1</v>
      </c>
      <c r="AK19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MIN(AJ1999/8, 1) +
  Merge1[[#This Row],[index_defensive_effort]],
  2
)</f>
        <v>0.66</v>
      </c>
    </row>
    <row r="2000" spans="1:37" x14ac:dyDescent="0.25">
      <c r="A2000" t="s">
        <v>582</v>
      </c>
      <c r="B2000" t="s">
        <v>583</v>
      </c>
      <c r="C2000">
        <v>25</v>
      </c>
      <c r="D2000" t="s">
        <v>56</v>
      </c>
      <c r="E2000">
        <v>71</v>
      </c>
      <c r="F2000">
        <v>198</v>
      </c>
      <c r="G2000" t="s">
        <v>286</v>
      </c>
      <c r="H2000">
        <v>2020</v>
      </c>
      <c r="I2000" t="s">
        <v>33</v>
      </c>
      <c r="J2000">
        <v>9</v>
      </c>
      <c r="K2000">
        <v>5</v>
      </c>
      <c r="L2000">
        <v>1</v>
      </c>
      <c r="M2000">
        <v>0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77</v>
      </c>
      <c r="T2000">
        <v>77</v>
      </c>
      <c r="U2000" s="5">
        <f>IF(Merge1[[#This Row],[team_defense_snaps]]=0, "", Merge1[[#This Row],[defense_snaps]] / Merge1[[#This Row],[team_defense_snaps]])</f>
        <v>1</v>
      </c>
      <c r="V2000">
        <v>77</v>
      </c>
      <c r="W2000">
        <v>0</v>
      </c>
      <c r="X2000" s="5" t="s">
        <v>29</v>
      </c>
      <c r="Y2000">
        <v>4</v>
      </c>
      <c r="Z2000">
        <v>0</v>
      </c>
      <c r="AA2000" t="s">
        <v>25</v>
      </c>
      <c r="AB2000" t="s">
        <v>26</v>
      </c>
      <c r="AC2000" t="s">
        <v>27</v>
      </c>
      <c r="AD2000" t="s">
        <v>42</v>
      </c>
      <c r="AE2000" t="s">
        <v>25</v>
      </c>
      <c r="AF20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2000" t="s">
        <v>941</v>
      </c>
      <c r="AH2000">
        <v>68</v>
      </c>
      <c r="AI2000" t="s">
        <v>939</v>
      </c>
      <c r="AJ2000">
        <v>1</v>
      </c>
      <c r="AK20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MIN(AJ2000/8, 1) +
  Merge1[[#This Row],[index_defensive_effort]],
  2
)</f>
        <v>0.7</v>
      </c>
    </row>
    <row r="2001" spans="1:37" x14ac:dyDescent="0.25">
      <c r="A2001" t="s">
        <v>582</v>
      </c>
      <c r="B2001" t="s">
        <v>583</v>
      </c>
      <c r="C2001">
        <v>25</v>
      </c>
      <c r="D2001" t="s">
        <v>56</v>
      </c>
      <c r="E2001">
        <v>71</v>
      </c>
      <c r="F2001">
        <v>198</v>
      </c>
      <c r="G2001" t="s">
        <v>286</v>
      </c>
      <c r="H2001">
        <v>2020</v>
      </c>
      <c r="I2001" t="s">
        <v>33</v>
      </c>
      <c r="J2001">
        <v>9</v>
      </c>
      <c r="K2001">
        <v>5</v>
      </c>
      <c r="L2001">
        <v>1</v>
      </c>
      <c r="M2001">
        <v>0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77</v>
      </c>
      <c r="T2001">
        <v>77</v>
      </c>
      <c r="U2001" s="5">
        <f>IF(Merge1[[#This Row],[team_defense_snaps]]=0, "", Merge1[[#This Row],[defense_snaps]] / Merge1[[#This Row],[team_defense_snaps]])</f>
        <v>1</v>
      </c>
      <c r="V2001">
        <v>77</v>
      </c>
      <c r="W2001">
        <v>0</v>
      </c>
      <c r="X2001" s="5" t="s">
        <v>29</v>
      </c>
      <c r="Y2001">
        <v>4</v>
      </c>
      <c r="Z2001">
        <v>0</v>
      </c>
      <c r="AA2001" t="s">
        <v>25</v>
      </c>
      <c r="AB2001" t="s">
        <v>26</v>
      </c>
      <c r="AC2001" t="s">
        <v>27</v>
      </c>
      <c r="AD2001" t="s">
        <v>42</v>
      </c>
      <c r="AE2001" t="s">
        <v>25</v>
      </c>
      <c r="AF20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2001" t="s">
        <v>941</v>
      </c>
      <c r="AH2001">
        <v>54.5</v>
      </c>
      <c r="AI2001" t="s">
        <v>939</v>
      </c>
      <c r="AJ2001">
        <v>2</v>
      </c>
      <c r="AK20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MIN(AJ2001/8, 1) +
  Merge1[[#This Row],[index_defensive_effort]],
  2
)</f>
        <v>0.82</v>
      </c>
    </row>
    <row r="2002" spans="1:37" x14ac:dyDescent="0.25">
      <c r="A2002" t="s">
        <v>582</v>
      </c>
      <c r="B2002" t="s">
        <v>583</v>
      </c>
      <c r="C2002">
        <v>25</v>
      </c>
      <c r="D2002" t="s">
        <v>56</v>
      </c>
      <c r="E2002">
        <v>71</v>
      </c>
      <c r="F2002">
        <v>198</v>
      </c>
      <c r="G2002" t="s">
        <v>286</v>
      </c>
      <c r="H2002">
        <v>2020</v>
      </c>
      <c r="I2002" t="s">
        <v>33</v>
      </c>
      <c r="J2002">
        <v>10</v>
      </c>
      <c r="K2002">
        <v>6</v>
      </c>
      <c r="L2002">
        <v>2</v>
      </c>
      <c r="M2002">
        <v>0</v>
      </c>
      <c r="N2002">
        <v>2</v>
      </c>
      <c r="O2002">
        <v>0</v>
      </c>
      <c r="P2002">
        <v>0</v>
      </c>
      <c r="Q2002">
        <v>0</v>
      </c>
      <c r="R2002">
        <v>0</v>
      </c>
      <c r="S2002">
        <v>59</v>
      </c>
      <c r="T2002">
        <v>59</v>
      </c>
      <c r="U2002" s="5">
        <f>IF(Merge1[[#This Row],[team_defense_snaps]]=0, "", Merge1[[#This Row],[defense_snaps]] / Merge1[[#This Row],[team_defense_snaps]])</f>
        <v>1</v>
      </c>
      <c r="V2002">
        <v>59</v>
      </c>
      <c r="W2002">
        <v>0</v>
      </c>
      <c r="X2002" s="5" t="s">
        <v>29</v>
      </c>
      <c r="Y2002">
        <v>4</v>
      </c>
      <c r="Z2002">
        <v>0</v>
      </c>
      <c r="AA2002" t="s">
        <v>25</v>
      </c>
      <c r="AB2002" t="s">
        <v>26</v>
      </c>
      <c r="AC2002" t="s">
        <v>27</v>
      </c>
      <c r="AD2002" t="s">
        <v>42</v>
      </c>
      <c r="AE2002" t="s">
        <v>25</v>
      </c>
      <c r="AF20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0.11864406779661017</v>
      </c>
      <c r="AG2002" t="s">
        <v>941</v>
      </c>
      <c r="AH2002">
        <v>71</v>
      </c>
      <c r="AI2002" t="s">
        <v>939</v>
      </c>
      <c r="AJ2002">
        <v>1</v>
      </c>
      <c r="AK20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MIN(AJ2002/8, 1) +
  Merge1[[#This Row],[index_defensive_effort]],
  2
)</f>
        <v>0.74</v>
      </c>
    </row>
    <row r="2003" spans="1:37" x14ac:dyDescent="0.25">
      <c r="A2003" t="s">
        <v>582</v>
      </c>
      <c r="B2003" t="s">
        <v>583</v>
      </c>
      <c r="C2003">
        <v>25</v>
      </c>
      <c r="D2003" t="s">
        <v>56</v>
      </c>
      <c r="E2003">
        <v>71</v>
      </c>
      <c r="F2003">
        <v>198</v>
      </c>
      <c r="G2003" t="s">
        <v>286</v>
      </c>
      <c r="H2003">
        <v>2020</v>
      </c>
      <c r="I2003" t="s">
        <v>33</v>
      </c>
      <c r="J2003">
        <v>10</v>
      </c>
      <c r="K2003">
        <v>6</v>
      </c>
      <c r="L2003">
        <v>2</v>
      </c>
      <c r="M2003">
        <v>0</v>
      </c>
      <c r="N2003">
        <v>2</v>
      </c>
      <c r="O2003">
        <v>0</v>
      </c>
      <c r="P2003">
        <v>0</v>
      </c>
      <c r="Q2003">
        <v>0</v>
      </c>
      <c r="R2003">
        <v>0</v>
      </c>
      <c r="S2003">
        <v>59</v>
      </c>
      <c r="T2003">
        <v>59</v>
      </c>
      <c r="U2003" s="5">
        <f>IF(Merge1[[#This Row],[team_defense_snaps]]=0, "", Merge1[[#This Row],[defense_snaps]] / Merge1[[#This Row],[team_defense_snaps]])</f>
        <v>1</v>
      </c>
      <c r="V2003">
        <v>59</v>
      </c>
      <c r="W2003">
        <v>0</v>
      </c>
      <c r="X2003" s="5" t="s">
        <v>29</v>
      </c>
      <c r="Y2003">
        <v>4</v>
      </c>
      <c r="Z2003">
        <v>0</v>
      </c>
      <c r="AA2003" t="s">
        <v>25</v>
      </c>
      <c r="AB2003" t="s">
        <v>26</v>
      </c>
      <c r="AC2003" t="s">
        <v>27</v>
      </c>
      <c r="AD2003" t="s">
        <v>42</v>
      </c>
      <c r="AE2003" t="s">
        <v>25</v>
      </c>
      <c r="AF20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0.11864406779661017</v>
      </c>
      <c r="AG2003" t="s">
        <v>941</v>
      </c>
      <c r="AH2003">
        <v>60.5</v>
      </c>
      <c r="AI2003" t="s">
        <v>939</v>
      </c>
      <c r="AJ2003">
        <v>2</v>
      </c>
      <c r="AK20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MIN(AJ2003/8, 1) +
  Merge1[[#This Row],[index_defensive_effort]],
  2
)</f>
        <v>0.87</v>
      </c>
    </row>
    <row r="2004" spans="1:37" x14ac:dyDescent="0.25">
      <c r="A2004" t="s">
        <v>582</v>
      </c>
      <c r="B2004" t="s">
        <v>583</v>
      </c>
      <c r="C2004">
        <v>25</v>
      </c>
      <c r="D2004" t="s">
        <v>56</v>
      </c>
      <c r="E2004">
        <v>71</v>
      </c>
      <c r="F2004">
        <v>198</v>
      </c>
      <c r="G2004" t="s">
        <v>286</v>
      </c>
      <c r="H2004">
        <v>2020</v>
      </c>
      <c r="I2004" t="s">
        <v>33</v>
      </c>
      <c r="J2004">
        <v>11</v>
      </c>
      <c r="K2004">
        <v>2</v>
      </c>
      <c r="L2004">
        <v>0</v>
      </c>
      <c r="M2004">
        <v>0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67</v>
      </c>
      <c r="T2004">
        <v>67</v>
      </c>
      <c r="U2004" s="5">
        <f>IF(Merge1[[#This Row],[team_defense_snaps]]=0, "", Merge1[[#This Row],[defense_snaps]] / Merge1[[#This Row],[team_defense_snaps]])</f>
        <v>0.97101449275362317</v>
      </c>
      <c r="V2004">
        <v>69</v>
      </c>
      <c r="W2004">
        <v>0</v>
      </c>
      <c r="X2004" s="5" t="s">
        <v>29</v>
      </c>
      <c r="Y2004">
        <v>4</v>
      </c>
      <c r="Z2004">
        <v>0</v>
      </c>
      <c r="AA2004" t="s">
        <v>25</v>
      </c>
      <c r="AB2004" t="s">
        <v>26</v>
      </c>
      <c r="AC2004" t="s">
        <v>27</v>
      </c>
      <c r="AD2004" t="s">
        <v>42</v>
      </c>
      <c r="AE2004" t="s">
        <v>25</v>
      </c>
      <c r="AF20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5.9701492537313432E-2</v>
      </c>
      <c r="AG2004" t="s">
        <v>941</v>
      </c>
      <c r="AH2004">
        <v>50</v>
      </c>
      <c r="AI2004" t="s">
        <v>939</v>
      </c>
      <c r="AJ2004">
        <v>1</v>
      </c>
      <c r="AK20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MIN(AJ2004/8, 1) +
  Merge1[[#This Row],[index_defensive_effort]],
  2
)</f>
        <v>0.68</v>
      </c>
    </row>
    <row r="2005" spans="1:37" x14ac:dyDescent="0.25">
      <c r="A2005" t="s">
        <v>582</v>
      </c>
      <c r="B2005" t="s">
        <v>583</v>
      </c>
      <c r="C2005">
        <v>25</v>
      </c>
      <c r="D2005" t="s">
        <v>56</v>
      </c>
      <c r="E2005">
        <v>71</v>
      </c>
      <c r="F2005">
        <v>198</v>
      </c>
      <c r="G2005" t="s">
        <v>286</v>
      </c>
      <c r="H2005">
        <v>2020</v>
      </c>
      <c r="I2005" t="s">
        <v>33</v>
      </c>
      <c r="J2005">
        <v>11</v>
      </c>
      <c r="K2005">
        <v>2</v>
      </c>
      <c r="L2005">
        <v>0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67</v>
      </c>
      <c r="T2005">
        <v>67</v>
      </c>
      <c r="U2005" s="5">
        <f>IF(Merge1[[#This Row],[team_defense_snaps]]=0, "", Merge1[[#This Row],[defense_snaps]] / Merge1[[#This Row],[team_defense_snaps]])</f>
        <v>0.97101449275362317</v>
      </c>
      <c r="V2005">
        <v>69</v>
      </c>
      <c r="W2005">
        <v>0</v>
      </c>
      <c r="X2005" s="5" t="s">
        <v>29</v>
      </c>
      <c r="Y2005">
        <v>4</v>
      </c>
      <c r="Z2005">
        <v>0</v>
      </c>
      <c r="AA2005" t="s">
        <v>25</v>
      </c>
      <c r="AB2005" t="s">
        <v>26</v>
      </c>
      <c r="AC2005" t="s">
        <v>27</v>
      </c>
      <c r="AD2005" t="s">
        <v>42</v>
      </c>
      <c r="AE2005" t="s">
        <v>25</v>
      </c>
      <c r="AF20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5.9701492537313432E-2</v>
      </c>
      <c r="AG2005" t="s">
        <v>941</v>
      </c>
      <c r="AH2005">
        <v>69.5</v>
      </c>
      <c r="AI2005" t="s">
        <v>939</v>
      </c>
      <c r="AJ2005">
        <v>2</v>
      </c>
      <c r="AK20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MIN(AJ2005/8, 1) +
  Merge1[[#This Row],[index_defensive_effort]],
  2
)</f>
        <v>0.81</v>
      </c>
    </row>
    <row r="2006" spans="1:37" x14ac:dyDescent="0.25">
      <c r="A2006" t="s">
        <v>582</v>
      </c>
      <c r="B2006" t="s">
        <v>583</v>
      </c>
      <c r="C2006">
        <v>25</v>
      </c>
      <c r="D2006" t="s">
        <v>56</v>
      </c>
      <c r="E2006">
        <v>71</v>
      </c>
      <c r="F2006">
        <v>198</v>
      </c>
      <c r="G2006" t="s">
        <v>286</v>
      </c>
      <c r="H2006">
        <v>2020</v>
      </c>
      <c r="I2006" t="s">
        <v>33</v>
      </c>
      <c r="J2006">
        <v>12</v>
      </c>
      <c r="K2006">
        <v>2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59</v>
      </c>
      <c r="T2006">
        <v>59</v>
      </c>
      <c r="U2006" s="5">
        <f>IF(Merge1[[#This Row],[team_defense_snaps]]=0, "", Merge1[[#This Row],[defense_snaps]] / Merge1[[#This Row],[team_defense_snaps]])</f>
        <v>1</v>
      </c>
      <c r="V2006">
        <v>59</v>
      </c>
      <c r="W2006">
        <v>0</v>
      </c>
      <c r="X2006" s="5" t="s">
        <v>29</v>
      </c>
      <c r="Y2006">
        <v>4</v>
      </c>
      <c r="Z2006">
        <v>0</v>
      </c>
      <c r="AA2006" t="s">
        <v>25</v>
      </c>
      <c r="AB2006" t="s">
        <v>26</v>
      </c>
      <c r="AC2006" t="s">
        <v>27</v>
      </c>
      <c r="AD2006" t="s">
        <v>42</v>
      </c>
      <c r="AE2006" t="s">
        <v>25</v>
      </c>
      <c r="AF20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3.3898305084745763E-2</v>
      </c>
      <c r="AG2006" t="s">
        <v>941</v>
      </c>
      <c r="AH2006">
        <v>65</v>
      </c>
      <c r="AI2006" t="s">
        <v>939</v>
      </c>
      <c r="AJ2006">
        <v>1</v>
      </c>
      <c r="AK20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MIN(AJ2006/8, 1) +
  Merge1[[#This Row],[index_defensive_effort]],
  2
)</f>
        <v>0.66</v>
      </c>
    </row>
    <row r="2007" spans="1:37" x14ac:dyDescent="0.25">
      <c r="A2007" t="s">
        <v>582</v>
      </c>
      <c r="B2007" t="s">
        <v>583</v>
      </c>
      <c r="C2007">
        <v>25</v>
      </c>
      <c r="D2007" t="s">
        <v>56</v>
      </c>
      <c r="E2007">
        <v>71</v>
      </c>
      <c r="F2007">
        <v>198</v>
      </c>
      <c r="G2007" t="s">
        <v>286</v>
      </c>
      <c r="H2007">
        <v>2020</v>
      </c>
      <c r="I2007" t="s">
        <v>33</v>
      </c>
      <c r="J2007">
        <v>12</v>
      </c>
      <c r="K2007">
        <v>2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59</v>
      </c>
      <c r="T2007">
        <v>59</v>
      </c>
      <c r="U2007" s="5">
        <f>IF(Merge1[[#This Row],[team_defense_snaps]]=0, "", Merge1[[#This Row],[defense_snaps]] / Merge1[[#This Row],[team_defense_snaps]])</f>
        <v>1</v>
      </c>
      <c r="V2007">
        <v>59</v>
      </c>
      <c r="W2007">
        <v>0</v>
      </c>
      <c r="X2007" s="5" t="s">
        <v>29</v>
      </c>
      <c r="Y2007">
        <v>4</v>
      </c>
      <c r="Z2007">
        <v>0</v>
      </c>
      <c r="AA2007" t="s">
        <v>25</v>
      </c>
      <c r="AB2007" t="s">
        <v>26</v>
      </c>
      <c r="AC2007" t="s">
        <v>27</v>
      </c>
      <c r="AD2007" t="s">
        <v>42</v>
      </c>
      <c r="AE2007" t="s">
        <v>25</v>
      </c>
      <c r="AF20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3.3898305084745763E-2</v>
      </c>
      <c r="AG2007" t="s">
        <v>941</v>
      </c>
      <c r="AH2007">
        <v>60.5</v>
      </c>
      <c r="AI2007" t="s">
        <v>939</v>
      </c>
      <c r="AJ2007">
        <v>2</v>
      </c>
      <c r="AK20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MIN(AJ2007/8, 1) +
  Merge1[[#This Row],[index_defensive_effort]],
  2
)</f>
        <v>0.78</v>
      </c>
    </row>
    <row r="2008" spans="1:37" x14ac:dyDescent="0.25">
      <c r="A2008" t="s">
        <v>582</v>
      </c>
      <c r="B2008" t="s">
        <v>583</v>
      </c>
      <c r="C2008">
        <v>25</v>
      </c>
      <c r="D2008" t="s">
        <v>56</v>
      </c>
      <c r="E2008">
        <v>71</v>
      </c>
      <c r="F2008">
        <v>198</v>
      </c>
      <c r="G2008" t="s">
        <v>286</v>
      </c>
      <c r="H2008">
        <v>2020</v>
      </c>
      <c r="I2008" t="s">
        <v>33</v>
      </c>
      <c r="J2008">
        <v>13</v>
      </c>
      <c r="K2008">
        <v>3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70</v>
      </c>
      <c r="T2008">
        <v>70</v>
      </c>
      <c r="U2008" s="5">
        <f>IF(Merge1[[#This Row],[team_defense_snaps]]=0, "", Merge1[[#This Row],[defense_snaps]] / Merge1[[#This Row],[team_defense_snaps]])</f>
        <v>0.9859154929577465</v>
      </c>
      <c r="V2008">
        <v>71</v>
      </c>
      <c r="W2008">
        <v>0</v>
      </c>
      <c r="X2008" s="5" t="s">
        <v>29</v>
      </c>
      <c r="Y2008">
        <v>4</v>
      </c>
      <c r="Z2008">
        <v>0</v>
      </c>
      <c r="AA2008" t="s">
        <v>25</v>
      </c>
      <c r="AB2008" t="s">
        <v>26</v>
      </c>
      <c r="AC2008" t="s">
        <v>27</v>
      </c>
      <c r="AD2008" t="s">
        <v>42</v>
      </c>
      <c r="AE2008" t="s">
        <v>25</v>
      </c>
      <c r="AF20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4.2857142857142858E-2</v>
      </c>
      <c r="AG2008" t="s">
        <v>941</v>
      </c>
      <c r="AH2008">
        <v>66.5</v>
      </c>
      <c r="AI2008" t="s">
        <v>939</v>
      </c>
      <c r="AJ2008">
        <v>1</v>
      </c>
      <c r="AK20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MIN(AJ2008/8, 1) +
  Merge1[[#This Row],[index_defensive_effort]],
  2
)</f>
        <v>0.67</v>
      </c>
    </row>
    <row r="2009" spans="1:37" x14ac:dyDescent="0.25">
      <c r="A2009" t="s">
        <v>582</v>
      </c>
      <c r="B2009" t="s">
        <v>583</v>
      </c>
      <c r="C2009">
        <v>25</v>
      </c>
      <c r="D2009" t="s">
        <v>56</v>
      </c>
      <c r="E2009">
        <v>71</v>
      </c>
      <c r="F2009">
        <v>198</v>
      </c>
      <c r="G2009" t="s">
        <v>286</v>
      </c>
      <c r="H2009">
        <v>2020</v>
      </c>
      <c r="I2009" t="s">
        <v>33</v>
      </c>
      <c r="J2009">
        <v>13</v>
      </c>
      <c r="K2009">
        <v>3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70</v>
      </c>
      <c r="T2009">
        <v>70</v>
      </c>
      <c r="U2009" s="5">
        <f>IF(Merge1[[#This Row],[team_defense_snaps]]=0, "", Merge1[[#This Row],[defense_snaps]] / Merge1[[#This Row],[team_defense_snaps]])</f>
        <v>0.9859154929577465</v>
      </c>
      <c r="V2009">
        <v>71</v>
      </c>
      <c r="W2009">
        <v>0</v>
      </c>
      <c r="X2009" s="5" t="s">
        <v>29</v>
      </c>
      <c r="Y2009">
        <v>4</v>
      </c>
      <c r="Z2009">
        <v>0</v>
      </c>
      <c r="AA2009" t="s">
        <v>25</v>
      </c>
      <c r="AB2009" t="s">
        <v>26</v>
      </c>
      <c r="AC2009" t="s">
        <v>27</v>
      </c>
      <c r="AD2009" t="s">
        <v>42</v>
      </c>
      <c r="AE2009" t="s">
        <v>25</v>
      </c>
      <c r="AF20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4.2857142857142858E-2</v>
      </c>
      <c r="AG2009" t="s">
        <v>941</v>
      </c>
      <c r="AH2009">
        <v>59</v>
      </c>
      <c r="AI2009" t="s">
        <v>939</v>
      </c>
      <c r="AJ2009">
        <v>2</v>
      </c>
      <c r="AK20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MIN(AJ2009/8, 1) +
  Merge1[[#This Row],[index_defensive_effort]],
  2
)</f>
        <v>0.79</v>
      </c>
    </row>
    <row r="2010" spans="1:37" x14ac:dyDescent="0.25">
      <c r="A2010" t="s">
        <v>582</v>
      </c>
      <c r="B2010" t="s">
        <v>583</v>
      </c>
      <c r="C2010">
        <v>25</v>
      </c>
      <c r="D2010" t="s">
        <v>56</v>
      </c>
      <c r="E2010">
        <v>71</v>
      </c>
      <c r="F2010">
        <v>198</v>
      </c>
      <c r="G2010" t="s">
        <v>286</v>
      </c>
      <c r="H2010">
        <v>2020</v>
      </c>
      <c r="I2010" t="s">
        <v>33</v>
      </c>
      <c r="J2010">
        <v>14</v>
      </c>
      <c r="K2010">
        <v>3</v>
      </c>
      <c r="L2010">
        <v>3</v>
      </c>
      <c r="M2010">
        <v>2</v>
      </c>
      <c r="N2010">
        <v>5</v>
      </c>
      <c r="O2010">
        <v>0</v>
      </c>
      <c r="P2010">
        <v>2</v>
      </c>
      <c r="Q2010">
        <v>0</v>
      </c>
      <c r="R2010">
        <v>0</v>
      </c>
      <c r="S2010">
        <v>81</v>
      </c>
      <c r="T2010">
        <v>81</v>
      </c>
      <c r="U2010" s="5">
        <f>IF(Merge1[[#This Row],[team_defense_snaps]]=0, "", Merge1[[#This Row],[defense_snaps]] / Merge1[[#This Row],[team_defense_snaps]])</f>
        <v>1</v>
      </c>
      <c r="V2010">
        <v>81</v>
      </c>
      <c r="W2010">
        <v>0</v>
      </c>
      <c r="X2010" s="5" t="s">
        <v>29</v>
      </c>
      <c r="Y2010">
        <v>4</v>
      </c>
      <c r="Z2010">
        <v>0</v>
      </c>
      <c r="AA2010" t="s">
        <v>25</v>
      </c>
      <c r="AB2010" t="s">
        <v>26</v>
      </c>
      <c r="AC2010" t="s">
        <v>27</v>
      </c>
      <c r="AD2010" t="s">
        <v>42</v>
      </c>
      <c r="AE2010" t="s">
        <v>25</v>
      </c>
      <c r="AF20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0.11728395061728394</v>
      </c>
      <c r="AG2010" t="s">
        <v>941</v>
      </c>
      <c r="AH2010">
        <v>68</v>
      </c>
      <c r="AI2010" t="s">
        <v>939</v>
      </c>
      <c r="AJ2010">
        <v>1</v>
      </c>
      <c r="AK20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MIN(AJ2010/8, 1) +
  Merge1[[#This Row],[index_defensive_effort]],
  2
)</f>
        <v>0.74</v>
      </c>
    </row>
    <row r="2011" spans="1:37" x14ac:dyDescent="0.25">
      <c r="A2011" t="s">
        <v>582</v>
      </c>
      <c r="B2011" t="s">
        <v>583</v>
      </c>
      <c r="C2011">
        <v>25</v>
      </c>
      <c r="D2011" t="s">
        <v>56</v>
      </c>
      <c r="E2011">
        <v>71</v>
      </c>
      <c r="F2011">
        <v>198</v>
      </c>
      <c r="G2011" t="s">
        <v>286</v>
      </c>
      <c r="H2011">
        <v>2020</v>
      </c>
      <c r="I2011" t="s">
        <v>33</v>
      </c>
      <c r="J2011">
        <v>14</v>
      </c>
      <c r="K2011">
        <v>3</v>
      </c>
      <c r="L2011">
        <v>3</v>
      </c>
      <c r="M2011">
        <v>2</v>
      </c>
      <c r="N2011">
        <v>5</v>
      </c>
      <c r="O2011">
        <v>0</v>
      </c>
      <c r="P2011">
        <v>2</v>
      </c>
      <c r="Q2011">
        <v>0</v>
      </c>
      <c r="R2011">
        <v>0</v>
      </c>
      <c r="S2011">
        <v>81</v>
      </c>
      <c r="T2011">
        <v>81</v>
      </c>
      <c r="U2011" s="5">
        <f>IF(Merge1[[#This Row],[team_defense_snaps]]=0, "", Merge1[[#This Row],[defense_snaps]] / Merge1[[#This Row],[team_defense_snaps]])</f>
        <v>1</v>
      </c>
      <c r="V2011">
        <v>81</v>
      </c>
      <c r="W2011">
        <v>0</v>
      </c>
      <c r="X2011" s="5" t="s">
        <v>29</v>
      </c>
      <c r="Y2011">
        <v>4</v>
      </c>
      <c r="Z2011">
        <v>0</v>
      </c>
      <c r="AA2011" t="s">
        <v>25</v>
      </c>
      <c r="AB2011" t="s">
        <v>26</v>
      </c>
      <c r="AC2011" t="s">
        <v>27</v>
      </c>
      <c r="AD2011" t="s">
        <v>42</v>
      </c>
      <c r="AE2011" t="s">
        <v>25</v>
      </c>
      <c r="AF20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0.11728395061728394</v>
      </c>
      <c r="AG2011" t="s">
        <v>941</v>
      </c>
      <c r="AH2011">
        <v>53</v>
      </c>
      <c r="AI2011" t="s">
        <v>939</v>
      </c>
      <c r="AJ2011">
        <v>2</v>
      </c>
      <c r="AK20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MIN(AJ2011/8, 1) +
  Merge1[[#This Row],[index_defensive_effort]],
  2
)</f>
        <v>0.87</v>
      </c>
    </row>
    <row r="2012" spans="1:37" x14ac:dyDescent="0.25">
      <c r="A2012" t="s">
        <v>582</v>
      </c>
      <c r="B2012" t="s">
        <v>583</v>
      </c>
      <c r="C2012">
        <v>25</v>
      </c>
      <c r="D2012" t="s">
        <v>56</v>
      </c>
      <c r="E2012">
        <v>71</v>
      </c>
      <c r="F2012">
        <v>198</v>
      </c>
      <c r="G2012" t="s">
        <v>286</v>
      </c>
      <c r="H2012">
        <v>2020</v>
      </c>
      <c r="I2012" t="s">
        <v>33</v>
      </c>
      <c r="J2012">
        <v>15</v>
      </c>
      <c r="K2012">
        <v>3</v>
      </c>
      <c r="L2012">
        <v>2</v>
      </c>
      <c r="M2012">
        <v>0</v>
      </c>
      <c r="N2012">
        <v>2</v>
      </c>
      <c r="O2012">
        <v>0</v>
      </c>
      <c r="P2012">
        <v>0</v>
      </c>
      <c r="Q2012">
        <v>0</v>
      </c>
      <c r="R2012">
        <v>0</v>
      </c>
      <c r="S2012">
        <v>57</v>
      </c>
      <c r="T2012">
        <v>57</v>
      </c>
      <c r="U2012" s="5">
        <f>IF(Merge1[[#This Row],[team_defense_snaps]]=0, "", Merge1[[#This Row],[defense_snaps]] / Merge1[[#This Row],[team_defense_snaps]])</f>
        <v>1</v>
      </c>
      <c r="V2012">
        <v>57</v>
      </c>
      <c r="W2012">
        <v>0</v>
      </c>
      <c r="X2012" s="5" t="s">
        <v>29</v>
      </c>
      <c r="Y2012">
        <v>4</v>
      </c>
      <c r="Z2012">
        <v>0</v>
      </c>
      <c r="AA2012" t="s">
        <v>25</v>
      </c>
      <c r="AB2012" t="s">
        <v>26</v>
      </c>
      <c r="AC2012" t="s">
        <v>27</v>
      </c>
      <c r="AD2012" t="s">
        <v>42</v>
      </c>
      <c r="AE2012" t="s">
        <v>25</v>
      </c>
      <c r="AF20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7.0175438596491224E-2</v>
      </c>
      <c r="AG2012" t="s">
        <v>941</v>
      </c>
      <c r="AH2012">
        <v>71</v>
      </c>
      <c r="AI2012" t="s">
        <v>939</v>
      </c>
      <c r="AJ2012">
        <v>1</v>
      </c>
      <c r="AK20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MIN(AJ2012/8, 1) +
  Merge1[[#This Row],[index_defensive_effort]],
  2
)</f>
        <v>0.7</v>
      </c>
    </row>
    <row r="2013" spans="1:37" x14ac:dyDescent="0.25">
      <c r="A2013" t="s">
        <v>582</v>
      </c>
      <c r="B2013" t="s">
        <v>583</v>
      </c>
      <c r="C2013">
        <v>25</v>
      </c>
      <c r="D2013" t="s">
        <v>56</v>
      </c>
      <c r="E2013">
        <v>71</v>
      </c>
      <c r="F2013">
        <v>198</v>
      </c>
      <c r="G2013" t="s">
        <v>286</v>
      </c>
      <c r="H2013">
        <v>2020</v>
      </c>
      <c r="I2013" t="s">
        <v>33</v>
      </c>
      <c r="J2013">
        <v>15</v>
      </c>
      <c r="K2013">
        <v>3</v>
      </c>
      <c r="L2013">
        <v>2</v>
      </c>
      <c r="M2013">
        <v>0</v>
      </c>
      <c r="N2013">
        <v>2</v>
      </c>
      <c r="O2013">
        <v>0</v>
      </c>
      <c r="P2013">
        <v>0</v>
      </c>
      <c r="Q2013">
        <v>0</v>
      </c>
      <c r="R2013">
        <v>0</v>
      </c>
      <c r="S2013">
        <v>57</v>
      </c>
      <c r="T2013">
        <v>57</v>
      </c>
      <c r="U2013" s="5">
        <f>IF(Merge1[[#This Row],[team_defense_snaps]]=0, "", Merge1[[#This Row],[defense_snaps]] / Merge1[[#This Row],[team_defense_snaps]])</f>
        <v>1</v>
      </c>
      <c r="V2013">
        <v>57</v>
      </c>
      <c r="W2013">
        <v>0</v>
      </c>
      <c r="X2013" s="5" t="s">
        <v>29</v>
      </c>
      <c r="Y2013">
        <v>4</v>
      </c>
      <c r="Z2013">
        <v>0</v>
      </c>
      <c r="AA2013" t="s">
        <v>25</v>
      </c>
      <c r="AB2013" t="s">
        <v>26</v>
      </c>
      <c r="AC2013" t="s">
        <v>27</v>
      </c>
      <c r="AD2013" t="s">
        <v>42</v>
      </c>
      <c r="AE2013" t="s">
        <v>25</v>
      </c>
      <c r="AF20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7.0175438596491224E-2</v>
      </c>
      <c r="AG2013" t="s">
        <v>941</v>
      </c>
      <c r="AH2013">
        <v>57.5</v>
      </c>
      <c r="AI2013" t="s">
        <v>939</v>
      </c>
      <c r="AJ2013">
        <v>2</v>
      </c>
      <c r="AK20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MIN(AJ2013/8, 1) +
  Merge1[[#This Row],[index_defensive_effort]],
  2
)</f>
        <v>0.82</v>
      </c>
    </row>
    <row r="2014" spans="1:37" x14ac:dyDescent="0.25">
      <c r="A2014" t="s">
        <v>582</v>
      </c>
      <c r="B2014" t="s">
        <v>583</v>
      </c>
      <c r="C2014">
        <v>25</v>
      </c>
      <c r="D2014" t="s">
        <v>56</v>
      </c>
      <c r="E2014">
        <v>71</v>
      </c>
      <c r="F2014">
        <v>198</v>
      </c>
      <c r="G2014" t="s">
        <v>286</v>
      </c>
      <c r="H2014">
        <v>2020</v>
      </c>
      <c r="I2014" t="s">
        <v>33</v>
      </c>
      <c r="J2014">
        <v>16</v>
      </c>
      <c r="K2014">
        <v>6</v>
      </c>
      <c r="L2014">
        <v>1</v>
      </c>
      <c r="M2014">
        <v>0</v>
      </c>
      <c r="N2014">
        <v>1</v>
      </c>
      <c r="O2014">
        <v>0</v>
      </c>
      <c r="P2014">
        <v>1</v>
      </c>
      <c r="Q2014">
        <v>0</v>
      </c>
      <c r="R2014">
        <v>0</v>
      </c>
      <c r="S2014">
        <v>65</v>
      </c>
      <c r="T2014">
        <v>65</v>
      </c>
      <c r="U2014" s="5">
        <f>IF(Merge1[[#This Row],[team_defense_snaps]]=0, "", Merge1[[#This Row],[defense_snaps]] / Merge1[[#This Row],[team_defense_snaps]])</f>
        <v>0.97014925373134331</v>
      </c>
      <c r="V2014">
        <v>67</v>
      </c>
      <c r="W2014">
        <v>0</v>
      </c>
      <c r="X2014" s="5" t="s">
        <v>29</v>
      </c>
      <c r="Y2014">
        <v>4</v>
      </c>
      <c r="Z2014">
        <v>0</v>
      </c>
      <c r="AA2014" t="s">
        <v>25</v>
      </c>
      <c r="AB2014" t="s">
        <v>26</v>
      </c>
      <c r="AC2014" t="s">
        <v>27</v>
      </c>
      <c r="AD2014" t="s">
        <v>42</v>
      </c>
      <c r="AE2014" t="s">
        <v>25</v>
      </c>
      <c r="AF20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0.13076923076923078</v>
      </c>
      <c r="AG2014" t="s">
        <v>941</v>
      </c>
      <c r="AH2014">
        <v>62</v>
      </c>
      <c r="AI2014" t="s">
        <v>939</v>
      </c>
      <c r="AJ2014">
        <v>1</v>
      </c>
      <c r="AK20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MIN(AJ2014/8, 1) +
  Merge1[[#This Row],[index_defensive_effort]],
  2
)</f>
        <v>0.76</v>
      </c>
    </row>
    <row r="2015" spans="1:37" x14ac:dyDescent="0.25">
      <c r="A2015" t="s">
        <v>582</v>
      </c>
      <c r="B2015" t="s">
        <v>583</v>
      </c>
      <c r="C2015">
        <v>25</v>
      </c>
      <c r="D2015" t="s">
        <v>56</v>
      </c>
      <c r="E2015">
        <v>71</v>
      </c>
      <c r="F2015">
        <v>198</v>
      </c>
      <c r="G2015" t="s">
        <v>286</v>
      </c>
      <c r="H2015">
        <v>2020</v>
      </c>
      <c r="I2015" t="s">
        <v>33</v>
      </c>
      <c r="J2015">
        <v>16</v>
      </c>
      <c r="K2015">
        <v>6</v>
      </c>
      <c r="L2015">
        <v>1</v>
      </c>
      <c r="M2015">
        <v>0</v>
      </c>
      <c r="N2015">
        <v>1</v>
      </c>
      <c r="O2015">
        <v>0</v>
      </c>
      <c r="P2015">
        <v>1</v>
      </c>
      <c r="Q2015">
        <v>0</v>
      </c>
      <c r="R2015">
        <v>0</v>
      </c>
      <c r="S2015">
        <v>65</v>
      </c>
      <c r="T2015">
        <v>65</v>
      </c>
      <c r="U2015" s="5">
        <f>IF(Merge1[[#This Row],[team_defense_snaps]]=0, "", Merge1[[#This Row],[defense_snaps]] / Merge1[[#This Row],[team_defense_snaps]])</f>
        <v>0.97014925373134331</v>
      </c>
      <c r="V2015">
        <v>67</v>
      </c>
      <c r="W2015">
        <v>0</v>
      </c>
      <c r="X2015" s="5" t="s">
        <v>29</v>
      </c>
      <c r="Y2015">
        <v>4</v>
      </c>
      <c r="Z2015">
        <v>0</v>
      </c>
      <c r="AA2015" t="s">
        <v>25</v>
      </c>
      <c r="AB2015" t="s">
        <v>26</v>
      </c>
      <c r="AC2015" t="s">
        <v>27</v>
      </c>
      <c r="AD2015" t="s">
        <v>42</v>
      </c>
      <c r="AE2015" t="s">
        <v>25</v>
      </c>
      <c r="AF20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0.13076923076923078</v>
      </c>
      <c r="AG2015" t="s">
        <v>941</v>
      </c>
      <c r="AH2015">
        <v>51.5</v>
      </c>
      <c r="AI2015" t="s">
        <v>939</v>
      </c>
      <c r="AJ2015">
        <v>2</v>
      </c>
      <c r="AK20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MIN(AJ2015/8, 1) +
  Merge1[[#This Row],[index_defensive_effort]],
  2
)</f>
        <v>0.88</v>
      </c>
    </row>
    <row r="2016" spans="1:37" x14ac:dyDescent="0.25">
      <c r="A2016" t="s">
        <v>582</v>
      </c>
      <c r="B2016" t="s">
        <v>583</v>
      </c>
      <c r="C2016">
        <v>25</v>
      </c>
      <c r="D2016" t="s">
        <v>56</v>
      </c>
      <c r="E2016">
        <v>71</v>
      </c>
      <c r="F2016">
        <v>198</v>
      </c>
      <c r="G2016" t="s">
        <v>286</v>
      </c>
      <c r="H2016">
        <v>2020</v>
      </c>
      <c r="I2016" t="s">
        <v>33</v>
      </c>
      <c r="J2016">
        <v>17</v>
      </c>
      <c r="K2016">
        <v>3</v>
      </c>
      <c r="L2016">
        <v>1</v>
      </c>
      <c r="M2016">
        <v>0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68</v>
      </c>
      <c r="T2016">
        <v>68</v>
      </c>
      <c r="U2016" s="5">
        <f>IF(Merge1[[#This Row],[team_defense_snaps]]=0, "", Merge1[[#This Row],[defense_snaps]] / Merge1[[#This Row],[team_defense_snaps]])</f>
        <v>0.98550724637681164</v>
      </c>
      <c r="V2016">
        <v>69</v>
      </c>
      <c r="W2016">
        <v>0</v>
      </c>
      <c r="X2016" s="5" t="s">
        <v>29</v>
      </c>
      <c r="Y2016">
        <v>4</v>
      </c>
      <c r="Z2016">
        <v>0</v>
      </c>
      <c r="AA2016" t="s">
        <v>25</v>
      </c>
      <c r="AB2016" t="s">
        <v>26</v>
      </c>
      <c r="AC2016" t="s">
        <v>27</v>
      </c>
      <c r="AD2016" t="s">
        <v>42</v>
      </c>
      <c r="AE2016" t="s">
        <v>25</v>
      </c>
      <c r="AF20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5.1470588235294115E-2</v>
      </c>
      <c r="AG2016" t="s">
        <v>941</v>
      </c>
      <c r="AH2016">
        <v>50</v>
      </c>
      <c r="AI2016" t="s">
        <v>939</v>
      </c>
      <c r="AJ2016">
        <v>1</v>
      </c>
      <c r="AK20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MIN(AJ2016/8, 1) +
  Merge1[[#This Row],[index_defensive_effort]],
  2
)</f>
        <v>0.68</v>
      </c>
    </row>
    <row r="2017" spans="1:37" x14ac:dyDescent="0.25">
      <c r="A2017" t="s">
        <v>582</v>
      </c>
      <c r="B2017" t="s">
        <v>583</v>
      </c>
      <c r="C2017">
        <v>25</v>
      </c>
      <c r="D2017" t="s">
        <v>56</v>
      </c>
      <c r="E2017">
        <v>71</v>
      </c>
      <c r="F2017">
        <v>198</v>
      </c>
      <c r="G2017" t="s">
        <v>286</v>
      </c>
      <c r="H2017">
        <v>2020</v>
      </c>
      <c r="I2017" t="s">
        <v>33</v>
      </c>
      <c r="J2017">
        <v>17</v>
      </c>
      <c r="K2017">
        <v>3</v>
      </c>
      <c r="L2017">
        <v>1</v>
      </c>
      <c r="M2017">
        <v>0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68</v>
      </c>
      <c r="T2017">
        <v>68</v>
      </c>
      <c r="U2017" s="5">
        <f>IF(Merge1[[#This Row],[team_defense_snaps]]=0, "", Merge1[[#This Row],[defense_snaps]] / Merge1[[#This Row],[team_defense_snaps]])</f>
        <v>0.98550724637681164</v>
      </c>
      <c r="V2017">
        <v>69</v>
      </c>
      <c r="W2017">
        <v>0</v>
      </c>
      <c r="X2017" s="5" t="s">
        <v>29</v>
      </c>
      <c r="Y2017">
        <v>4</v>
      </c>
      <c r="Z2017">
        <v>0</v>
      </c>
      <c r="AA2017" t="s">
        <v>25</v>
      </c>
      <c r="AB2017" t="s">
        <v>26</v>
      </c>
      <c r="AC2017" t="s">
        <v>27</v>
      </c>
      <c r="AD2017" t="s">
        <v>42</v>
      </c>
      <c r="AE2017" t="s">
        <v>25</v>
      </c>
      <c r="AF20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5.1470588235294115E-2</v>
      </c>
      <c r="AG2017" t="s">
        <v>941</v>
      </c>
      <c r="AH2017">
        <v>54.5</v>
      </c>
      <c r="AI2017" t="s">
        <v>939</v>
      </c>
      <c r="AJ2017">
        <v>2</v>
      </c>
      <c r="AK20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MIN(AJ2017/8, 1) +
  Merge1[[#This Row],[index_defensive_effort]],
  2
)</f>
        <v>0.8</v>
      </c>
    </row>
    <row r="2018" spans="1:37" x14ac:dyDescent="0.25">
      <c r="A2018" t="s">
        <v>582</v>
      </c>
      <c r="B2018" t="s">
        <v>583</v>
      </c>
      <c r="C2018">
        <v>25</v>
      </c>
      <c r="D2018" t="s">
        <v>56</v>
      </c>
      <c r="E2018">
        <v>71</v>
      </c>
      <c r="F2018">
        <v>198</v>
      </c>
      <c r="G2018" t="s">
        <v>286</v>
      </c>
      <c r="H2018">
        <v>2020</v>
      </c>
      <c r="I2018" t="s">
        <v>24</v>
      </c>
      <c r="J2018">
        <v>18</v>
      </c>
      <c r="K2018">
        <v>3</v>
      </c>
      <c r="L2018">
        <v>0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73</v>
      </c>
      <c r="T2018">
        <v>73</v>
      </c>
      <c r="U2018" s="5">
        <f>IF(Merge1[[#This Row],[team_defense_snaps]]=0, "", Merge1[[#This Row],[defense_snaps]] / Merge1[[#This Row],[team_defense_snaps]])</f>
        <v>1</v>
      </c>
      <c r="V2018">
        <v>73</v>
      </c>
      <c r="W2018">
        <v>0</v>
      </c>
      <c r="X2018" s="5" t="s">
        <v>29</v>
      </c>
      <c r="Y2018">
        <v>4</v>
      </c>
      <c r="Z2018">
        <v>0</v>
      </c>
      <c r="AA2018" t="s">
        <v>25</v>
      </c>
      <c r="AB2018" t="s">
        <v>26</v>
      </c>
      <c r="AC2018" t="s">
        <v>27</v>
      </c>
      <c r="AD2018" t="s">
        <v>42</v>
      </c>
      <c r="AE2018" t="s">
        <v>25</v>
      </c>
      <c r="AF20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6.8493150684931503E-2</v>
      </c>
      <c r="AG2018" t="s">
        <v>941</v>
      </c>
      <c r="AH2018">
        <v>56</v>
      </c>
      <c r="AI2018" t="s">
        <v>939</v>
      </c>
      <c r="AJ2018">
        <v>1</v>
      </c>
      <c r="AK20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MIN(AJ2018/8, 1) +
  Merge1[[#This Row],[index_defensive_effort]],
  2
)</f>
        <v>0.89</v>
      </c>
    </row>
    <row r="2019" spans="1:37" x14ac:dyDescent="0.25">
      <c r="A2019" t="s">
        <v>582</v>
      </c>
      <c r="B2019" t="s">
        <v>583</v>
      </c>
      <c r="C2019">
        <v>25</v>
      </c>
      <c r="D2019" t="s">
        <v>56</v>
      </c>
      <c r="E2019">
        <v>71</v>
      </c>
      <c r="F2019">
        <v>198</v>
      </c>
      <c r="G2019" t="s">
        <v>286</v>
      </c>
      <c r="H2019">
        <v>2020</v>
      </c>
      <c r="I2019" t="s">
        <v>24</v>
      </c>
      <c r="J2019">
        <v>18</v>
      </c>
      <c r="K2019">
        <v>3</v>
      </c>
      <c r="L2019">
        <v>0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73</v>
      </c>
      <c r="T2019">
        <v>73</v>
      </c>
      <c r="U2019" s="5">
        <f>IF(Merge1[[#This Row],[team_defense_snaps]]=0, "", Merge1[[#This Row],[defense_snaps]] / Merge1[[#This Row],[team_defense_snaps]])</f>
        <v>1</v>
      </c>
      <c r="V2019">
        <v>73</v>
      </c>
      <c r="W2019">
        <v>0</v>
      </c>
      <c r="X2019" s="5" t="s">
        <v>29</v>
      </c>
      <c r="Y2019">
        <v>4</v>
      </c>
      <c r="Z2019">
        <v>0</v>
      </c>
      <c r="AA2019" t="s">
        <v>25</v>
      </c>
      <c r="AB2019" t="s">
        <v>26</v>
      </c>
      <c r="AC2019" t="s">
        <v>27</v>
      </c>
      <c r="AD2019" t="s">
        <v>42</v>
      </c>
      <c r="AE2019" t="s">
        <v>25</v>
      </c>
      <c r="AF20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6.8493150684931503E-2</v>
      </c>
      <c r="AG2019" t="s">
        <v>941</v>
      </c>
      <c r="AH2019">
        <v>54</v>
      </c>
      <c r="AI2019" t="s">
        <v>939</v>
      </c>
      <c r="AJ2019">
        <v>1</v>
      </c>
      <c r="AK20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MIN(AJ2019/8, 1) +
  Merge1[[#This Row],[index_defensive_effort]],
  2
)</f>
        <v>0.89</v>
      </c>
    </row>
    <row r="2020" spans="1:37" x14ac:dyDescent="0.25">
      <c r="A2020" t="s">
        <v>608</v>
      </c>
      <c r="B2020" t="s">
        <v>609</v>
      </c>
      <c r="C2020">
        <v>24</v>
      </c>
      <c r="D2020" t="s">
        <v>56</v>
      </c>
      <c r="E2020">
        <v>70</v>
      </c>
      <c r="F2020">
        <v>212</v>
      </c>
      <c r="G2020" t="s">
        <v>173</v>
      </c>
      <c r="H2020">
        <v>2020</v>
      </c>
      <c r="I2020" t="s">
        <v>33</v>
      </c>
      <c r="J2020">
        <v>4</v>
      </c>
      <c r="K2020">
        <v>6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68</v>
      </c>
      <c r="T2020">
        <v>63</v>
      </c>
      <c r="U2020" s="5">
        <f>IF(Merge1[[#This Row],[team_defense_snaps]]=0, "", Merge1[[#This Row],[defense_snaps]] / Merge1[[#This Row],[team_defense_snaps]])</f>
        <v>0.984375</v>
      </c>
      <c r="V2020">
        <v>64</v>
      </c>
      <c r="W2020">
        <v>5</v>
      </c>
      <c r="X2020" s="5" t="s">
        <v>139</v>
      </c>
      <c r="Y2020">
        <v>1</v>
      </c>
      <c r="Z2020">
        <v>0</v>
      </c>
      <c r="AA2020" t="s">
        <v>25</v>
      </c>
      <c r="AB2020" t="s">
        <v>26</v>
      </c>
      <c r="AC2020" t="s">
        <v>27</v>
      </c>
      <c r="AD2020" t="s">
        <v>42</v>
      </c>
      <c r="AE2020" t="s">
        <v>25</v>
      </c>
      <c r="AF20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8.8235294117647065E-2</v>
      </c>
      <c r="AG2020" t="s">
        <v>942</v>
      </c>
      <c r="AH2020">
        <v>67.5</v>
      </c>
      <c r="AI2020" t="s">
        <v>939</v>
      </c>
      <c r="AJ2020">
        <v>2</v>
      </c>
      <c r="AK20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MIN(AJ2020/8, 1) +
  Merge1[[#This Row],[index_defensive_effort]],
  2
)</f>
        <v>0.84</v>
      </c>
    </row>
    <row r="2021" spans="1:37" x14ac:dyDescent="0.25">
      <c r="A2021" t="s">
        <v>608</v>
      </c>
      <c r="B2021" t="s">
        <v>609</v>
      </c>
      <c r="C2021">
        <v>24</v>
      </c>
      <c r="D2021" t="s">
        <v>56</v>
      </c>
      <c r="E2021">
        <v>70</v>
      </c>
      <c r="F2021">
        <v>212</v>
      </c>
      <c r="G2021" t="s">
        <v>173</v>
      </c>
      <c r="H2021">
        <v>2020</v>
      </c>
      <c r="I2021" t="s">
        <v>33</v>
      </c>
      <c r="J2021">
        <v>5</v>
      </c>
      <c r="K2021">
        <v>3</v>
      </c>
      <c r="L2021">
        <v>3</v>
      </c>
      <c r="M2021">
        <v>0</v>
      </c>
      <c r="N2021">
        <v>3</v>
      </c>
      <c r="O2021">
        <v>0</v>
      </c>
      <c r="P2021">
        <v>0</v>
      </c>
      <c r="Q2021">
        <v>0</v>
      </c>
      <c r="R2021">
        <v>0</v>
      </c>
      <c r="S2021">
        <v>64</v>
      </c>
      <c r="T2021">
        <v>60</v>
      </c>
      <c r="U2021" s="5">
        <f>IF(Merge1[[#This Row],[team_defense_snaps]]=0, "", Merge1[[#This Row],[defense_snaps]] / Merge1[[#This Row],[team_defense_snaps]])</f>
        <v>0.90909090909090906</v>
      </c>
      <c r="V2021">
        <v>66</v>
      </c>
      <c r="W2021">
        <v>4</v>
      </c>
      <c r="X2021" s="5" t="s">
        <v>168</v>
      </c>
      <c r="Y2021">
        <v>1</v>
      </c>
      <c r="Z2021">
        <v>0</v>
      </c>
      <c r="AA2021" t="s">
        <v>25</v>
      </c>
      <c r="AB2021" t="s">
        <v>26</v>
      </c>
      <c r="AC2021" t="s">
        <v>27</v>
      </c>
      <c r="AD2021" t="s">
        <v>42</v>
      </c>
      <c r="AE2021" t="s">
        <v>25</v>
      </c>
      <c r="AF20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7.03125E-2</v>
      </c>
      <c r="AG2021" t="s">
        <v>942</v>
      </c>
      <c r="AH2021">
        <v>70.5</v>
      </c>
      <c r="AI2021" t="s">
        <v>939</v>
      </c>
      <c r="AJ2021">
        <v>3</v>
      </c>
      <c r="AK20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MIN(AJ2021/8, 1) +
  Merge1[[#This Row],[index_defensive_effort]],
  2
)</f>
        <v>0.95</v>
      </c>
    </row>
    <row r="2022" spans="1:37" x14ac:dyDescent="0.25">
      <c r="A2022" t="s">
        <v>608</v>
      </c>
      <c r="B2022" t="s">
        <v>609</v>
      </c>
      <c r="C2022">
        <v>24</v>
      </c>
      <c r="D2022" t="s">
        <v>56</v>
      </c>
      <c r="E2022">
        <v>70</v>
      </c>
      <c r="F2022">
        <v>212</v>
      </c>
      <c r="G2022" t="s">
        <v>173</v>
      </c>
      <c r="H2022">
        <v>2020</v>
      </c>
      <c r="I2022" t="s">
        <v>33</v>
      </c>
      <c r="J2022">
        <v>6</v>
      </c>
      <c r="K2022">
        <v>4</v>
      </c>
      <c r="L2022">
        <v>2</v>
      </c>
      <c r="M2022">
        <v>0</v>
      </c>
      <c r="N2022">
        <v>2</v>
      </c>
      <c r="O2022">
        <v>0</v>
      </c>
      <c r="P2022">
        <v>0</v>
      </c>
      <c r="Q2022">
        <v>0</v>
      </c>
      <c r="R2022">
        <v>0</v>
      </c>
      <c r="S2022">
        <v>53</v>
      </c>
      <c r="T2022">
        <v>51</v>
      </c>
      <c r="U2022" s="5">
        <f>IF(Merge1[[#This Row],[team_defense_snaps]]=0, "", Merge1[[#This Row],[defense_snaps]] / Merge1[[#This Row],[team_defense_snaps]])</f>
        <v>0.9107142857142857</v>
      </c>
      <c r="V2022">
        <v>56</v>
      </c>
      <c r="W2022">
        <v>2</v>
      </c>
      <c r="X2022" s="5" t="s">
        <v>208</v>
      </c>
      <c r="Y2022">
        <v>1</v>
      </c>
      <c r="Z2022">
        <v>0</v>
      </c>
      <c r="AA2022" t="s">
        <v>25</v>
      </c>
      <c r="AB2022" t="s">
        <v>26</v>
      </c>
      <c r="AC2022" t="s">
        <v>27</v>
      </c>
      <c r="AD2022" t="s">
        <v>42</v>
      </c>
      <c r="AE2022" t="s">
        <v>25</v>
      </c>
      <c r="AF20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9.4339622641509441E-2</v>
      </c>
      <c r="AG2022" t="s">
        <v>942</v>
      </c>
      <c r="AH2022">
        <v>63</v>
      </c>
      <c r="AI2022" t="s">
        <v>939</v>
      </c>
      <c r="AJ2022">
        <v>4</v>
      </c>
      <c r="AK20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MIN(AJ2022/8, 1) +
  Merge1[[#This Row],[index_defensive_effort]],
  2
)</f>
        <v>1.0900000000000001</v>
      </c>
    </row>
    <row r="2023" spans="1:37" x14ac:dyDescent="0.25">
      <c r="A2023" t="s">
        <v>608</v>
      </c>
      <c r="B2023" t="s">
        <v>609</v>
      </c>
      <c r="C2023">
        <v>24</v>
      </c>
      <c r="D2023" t="s">
        <v>56</v>
      </c>
      <c r="E2023">
        <v>70</v>
      </c>
      <c r="F2023">
        <v>212</v>
      </c>
      <c r="G2023" t="s">
        <v>173</v>
      </c>
      <c r="H2023">
        <v>2020</v>
      </c>
      <c r="I2023" t="s">
        <v>33</v>
      </c>
      <c r="J2023">
        <v>7</v>
      </c>
      <c r="K2023">
        <v>3</v>
      </c>
      <c r="L2023">
        <v>3</v>
      </c>
      <c r="M2023">
        <v>1</v>
      </c>
      <c r="N2023">
        <v>4</v>
      </c>
      <c r="O2023">
        <v>0</v>
      </c>
      <c r="P2023">
        <v>2</v>
      </c>
      <c r="Q2023">
        <v>0</v>
      </c>
      <c r="R2023">
        <v>0</v>
      </c>
      <c r="S2023">
        <v>67</v>
      </c>
      <c r="T2023">
        <v>59</v>
      </c>
      <c r="U2023" s="5">
        <f>IF(Merge1[[#This Row],[team_defense_snaps]]=0, "", Merge1[[#This Row],[defense_snaps]] / Merge1[[#This Row],[team_defense_snaps]])</f>
        <v>0.96721311475409832</v>
      </c>
      <c r="V2023">
        <v>61</v>
      </c>
      <c r="W2023">
        <v>8</v>
      </c>
      <c r="X2023" s="5" t="s">
        <v>70</v>
      </c>
      <c r="Y2023">
        <v>1</v>
      </c>
      <c r="Z2023">
        <v>0</v>
      </c>
      <c r="AA2023" t="s">
        <v>25</v>
      </c>
      <c r="AB2023" t="s">
        <v>26</v>
      </c>
      <c r="AC2023" t="s">
        <v>27</v>
      </c>
      <c r="AD2023" t="s">
        <v>42</v>
      </c>
      <c r="AE2023" t="s">
        <v>25</v>
      </c>
      <c r="AF20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0.13432835820895522</v>
      </c>
      <c r="AG2023" t="s">
        <v>942</v>
      </c>
      <c r="AH2023">
        <v>72</v>
      </c>
      <c r="AI2023" t="s">
        <v>939</v>
      </c>
      <c r="AJ2023">
        <v>5</v>
      </c>
      <c r="AK20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MIN(AJ2023/8, 1) +
  Merge1[[#This Row],[index_defensive_effort]],
  2
)</f>
        <v>1.26</v>
      </c>
    </row>
    <row r="2024" spans="1:37" x14ac:dyDescent="0.25">
      <c r="A2024" t="s">
        <v>608</v>
      </c>
      <c r="B2024" t="s">
        <v>609</v>
      </c>
      <c r="C2024">
        <v>24</v>
      </c>
      <c r="D2024" t="s">
        <v>56</v>
      </c>
      <c r="E2024">
        <v>70</v>
      </c>
      <c r="F2024">
        <v>212</v>
      </c>
      <c r="G2024" t="s">
        <v>173</v>
      </c>
      <c r="H2024">
        <v>2020</v>
      </c>
      <c r="I2024" t="s">
        <v>33</v>
      </c>
      <c r="J2024">
        <v>8</v>
      </c>
      <c r="K2024">
        <v>1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21</v>
      </c>
      <c r="T2024">
        <v>20</v>
      </c>
      <c r="U2024" s="5">
        <f>IF(Merge1[[#This Row],[team_defense_snaps]]=0, "", Merge1[[#This Row],[defense_snaps]] / Merge1[[#This Row],[team_defense_snaps]])</f>
        <v>0.37037037037037035</v>
      </c>
      <c r="V2024">
        <v>54</v>
      </c>
      <c r="W2024">
        <v>1</v>
      </c>
      <c r="X2024" s="5" t="s">
        <v>193</v>
      </c>
      <c r="Y2024">
        <v>1</v>
      </c>
      <c r="Z2024">
        <v>0</v>
      </c>
      <c r="AA2024" t="s">
        <v>25</v>
      </c>
      <c r="AB2024" t="s">
        <v>26</v>
      </c>
      <c r="AC2024" t="s">
        <v>27</v>
      </c>
      <c r="AD2024" t="s">
        <v>42</v>
      </c>
      <c r="AE2024" t="s">
        <v>25</v>
      </c>
      <c r="AF20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4.7619047619047616E-2</v>
      </c>
      <c r="AG2024" t="s">
        <v>942</v>
      </c>
      <c r="AH2024">
        <v>55.5</v>
      </c>
      <c r="AI2024" t="s">
        <v>939</v>
      </c>
      <c r="AJ2024">
        <v>6</v>
      </c>
      <c r="AK20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MIN(AJ2024/8, 1) +
  Merge1[[#This Row],[index_defensive_effort]],
  2
)</f>
        <v>1.3</v>
      </c>
    </row>
    <row r="2025" spans="1:37" x14ac:dyDescent="0.25">
      <c r="A2025" t="s">
        <v>608</v>
      </c>
      <c r="B2025" t="s">
        <v>609</v>
      </c>
      <c r="C2025">
        <v>24</v>
      </c>
      <c r="D2025" t="s">
        <v>56</v>
      </c>
      <c r="E2025">
        <v>70</v>
      </c>
      <c r="F2025">
        <v>212</v>
      </c>
      <c r="G2025" t="s">
        <v>173</v>
      </c>
      <c r="H2025">
        <v>2020</v>
      </c>
      <c r="I2025" t="s">
        <v>33</v>
      </c>
      <c r="J2025">
        <v>9</v>
      </c>
      <c r="K2025">
        <v>3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2</v>
      </c>
      <c r="S2025">
        <v>38</v>
      </c>
      <c r="T2025">
        <v>30</v>
      </c>
      <c r="U2025" s="5">
        <f>IF(Merge1[[#This Row],[team_defense_snaps]]=0, "", Merge1[[#This Row],[defense_snaps]] / Merge1[[#This Row],[team_defense_snaps]])</f>
        <v>0.3</v>
      </c>
      <c r="V2025">
        <v>100</v>
      </c>
      <c r="W2025">
        <v>8</v>
      </c>
      <c r="X2025" s="5" t="s">
        <v>133</v>
      </c>
      <c r="Y2025">
        <v>1</v>
      </c>
      <c r="Z2025">
        <v>0</v>
      </c>
      <c r="AA2025" t="s">
        <v>25</v>
      </c>
      <c r="AB2025" t="s">
        <v>26</v>
      </c>
      <c r="AC2025" t="s">
        <v>27</v>
      </c>
      <c r="AD2025" t="s">
        <v>42</v>
      </c>
      <c r="AE2025" t="s">
        <v>25</v>
      </c>
      <c r="AF20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0.18421052631578946</v>
      </c>
      <c r="AG2025" t="s">
        <v>942</v>
      </c>
      <c r="AH2025">
        <v>66</v>
      </c>
      <c r="AI2025" t="s">
        <v>939</v>
      </c>
      <c r="AJ2025">
        <v>1</v>
      </c>
      <c r="AK20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MIN(AJ2025/8, 1) +
  Merge1[[#This Row],[index_defensive_effort]],
  2
)</f>
        <v>0.81</v>
      </c>
    </row>
    <row r="2026" spans="1:37" x14ac:dyDescent="0.25">
      <c r="A2026" t="s">
        <v>608</v>
      </c>
      <c r="B2026" t="s">
        <v>609</v>
      </c>
      <c r="C2026">
        <v>24</v>
      </c>
      <c r="D2026" t="s">
        <v>56</v>
      </c>
      <c r="E2026">
        <v>70</v>
      </c>
      <c r="F2026">
        <v>212</v>
      </c>
      <c r="G2026" t="s">
        <v>173</v>
      </c>
      <c r="H2026">
        <v>2020</v>
      </c>
      <c r="I2026" t="s">
        <v>33</v>
      </c>
      <c r="J2026">
        <v>11</v>
      </c>
      <c r="K2026">
        <v>2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31</v>
      </c>
      <c r="T2026">
        <v>21</v>
      </c>
      <c r="U2026" s="5">
        <f>IF(Merge1[[#This Row],[team_defense_snaps]]=0, "", Merge1[[#This Row],[defense_snaps]] / Merge1[[#This Row],[team_defense_snaps]])</f>
        <v>0.30882352941176472</v>
      </c>
      <c r="V2026">
        <v>68</v>
      </c>
      <c r="W2026">
        <v>10</v>
      </c>
      <c r="X2026" s="5" t="s">
        <v>158</v>
      </c>
      <c r="Y2026">
        <v>1</v>
      </c>
      <c r="Z2026">
        <v>0</v>
      </c>
      <c r="AA2026" t="s">
        <v>25</v>
      </c>
      <c r="AB2026" t="s">
        <v>26</v>
      </c>
      <c r="AC2026" t="s">
        <v>27</v>
      </c>
      <c r="AD2026" t="s">
        <v>28</v>
      </c>
      <c r="AE2026" t="s">
        <v>25</v>
      </c>
      <c r="AF20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6.4516129032258063E-2</v>
      </c>
      <c r="AG2026" t="s">
        <v>942</v>
      </c>
      <c r="AH2026">
        <v>73.5</v>
      </c>
      <c r="AI2026" t="s">
        <v>939</v>
      </c>
      <c r="AJ2026">
        <v>2</v>
      </c>
      <c r="AK20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MIN(AJ2026/8, 1) +
  Merge1[[#This Row],[index_defensive_effort]],
  2
)</f>
        <v>0.81</v>
      </c>
    </row>
    <row r="2027" spans="1:37" x14ac:dyDescent="0.25">
      <c r="A2027" t="s">
        <v>608</v>
      </c>
      <c r="B2027" t="s">
        <v>609</v>
      </c>
      <c r="C2027">
        <v>24</v>
      </c>
      <c r="D2027" t="s">
        <v>56</v>
      </c>
      <c r="E2027">
        <v>70</v>
      </c>
      <c r="F2027">
        <v>212</v>
      </c>
      <c r="G2027" t="s">
        <v>173</v>
      </c>
      <c r="H2027">
        <v>2020</v>
      </c>
      <c r="I2027" t="s">
        <v>33</v>
      </c>
      <c r="J2027">
        <v>12</v>
      </c>
      <c r="K2027">
        <v>2</v>
      </c>
      <c r="L2027">
        <v>1</v>
      </c>
      <c r="M2027">
        <v>0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41</v>
      </c>
      <c r="T2027">
        <v>32</v>
      </c>
      <c r="U2027" s="5">
        <f>IF(Merge1[[#This Row],[team_defense_snaps]]=0, "", Merge1[[#This Row],[defense_snaps]] / Merge1[[#This Row],[team_defense_snaps]])</f>
        <v>0.50793650793650791</v>
      </c>
      <c r="V2027">
        <v>63</v>
      </c>
      <c r="W2027">
        <v>9</v>
      </c>
      <c r="X2027" s="5" t="s">
        <v>136</v>
      </c>
      <c r="Y2027">
        <v>1</v>
      </c>
      <c r="Z2027">
        <v>0</v>
      </c>
      <c r="AA2027" t="s">
        <v>25</v>
      </c>
      <c r="AB2027" t="s">
        <v>26</v>
      </c>
      <c r="AC2027" t="s">
        <v>27</v>
      </c>
      <c r="AD2027" t="s">
        <v>28</v>
      </c>
      <c r="AE2027" t="s">
        <v>25</v>
      </c>
      <c r="AF20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6.097560975609756E-2</v>
      </c>
      <c r="AG2027" t="s">
        <v>942</v>
      </c>
      <c r="AH2027">
        <v>54</v>
      </c>
      <c r="AI2027" t="s">
        <v>939</v>
      </c>
      <c r="AJ2027">
        <v>1</v>
      </c>
      <c r="AK20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MIN(AJ2027/8, 1) +
  Merge1[[#This Row],[index_defensive_effort]],
  2
)</f>
        <v>0.69</v>
      </c>
    </row>
    <row r="2028" spans="1:37" x14ac:dyDescent="0.25">
      <c r="A2028" t="s">
        <v>608</v>
      </c>
      <c r="B2028" t="s">
        <v>609</v>
      </c>
      <c r="C2028">
        <v>24</v>
      </c>
      <c r="D2028" t="s">
        <v>56</v>
      </c>
      <c r="E2028">
        <v>70</v>
      </c>
      <c r="F2028">
        <v>212</v>
      </c>
      <c r="G2028" t="s">
        <v>173</v>
      </c>
      <c r="H2028">
        <v>2020</v>
      </c>
      <c r="I2028" t="s">
        <v>33</v>
      </c>
      <c r="J2028">
        <v>15</v>
      </c>
      <c r="K2028">
        <v>2</v>
      </c>
      <c r="L2028">
        <v>1</v>
      </c>
      <c r="M2028">
        <v>0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74</v>
      </c>
      <c r="T2028">
        <v>64</v>
      </c>
      <c r="U2028" s="5">
        <f>IF(Merge1[[#This Row],[team_defense_snaps]]=0, "", Merge1[[#This Row],[defense_snaps]] / Merge1[[#This Row],[team_defense_snaps]])</f>
        <v>0.90140845070422537</v>
      </c>
      <c r="V2028">
        <v>71</v>
      </c>
      <c r="W2028">
        <v>10</v>
      </c>
      <c r="X2028" s="5" t="s">
        <v>138</v>
      </c>
      <c r="Y2028">
        <v>1</v>
      </c>
      <c r="Z2028">
        <v>0</v>
      </c>
      <c r="AA2028" t="s">
        <v>25</v>
      </c>
      <c r="AB2028" t="s">
        <v>26</v>
      </c>
      <c r="AC2028" t="s">
        <v>27</v>
      </c>
      <c r="AD2028" t="s">
        <v>42</v>
      </c>
      <c r="AE2028" t="s">
        <v>25</v>
      </c>
      <c r="AF20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3.3783783783783786E-2</v>
      </c>
      <c r="AG2028" t="s">
        <v>942</v>
      </c>
      <c r="AH2028">
        <v>69</v>
      </c>
      <c r="AI2028" t="s">
        <v>939</v>
      </c>
      <c r="AJ2028">
        <v>2</v>
      </c>
      <c r="AK20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MIN(AJ2028/8, 1) +
  Merge1[[#This Row],[index_defensive_effort]],
  2
)</f>
        <v>0.78</v>
      </c>
    </row>
    <row r="2029" spans="1:37" x14ac:dyDescent="0.25">
      <c r="A2029" t="s">
        <v>608</v>
      </c>
      <c r="B2029" t="s">
        <v>609</v>
      </c>
      <c r="C2029">
        <v>24</v>
      </c>
      <c r="D2029" t="s">
        <v>56</v>
      </c>
      <c r="E2029">
        <v>70</v>
      </c>
      <c r="F2029">
        <v>212</v>
      </c>
      <c r="G2029" t="s">
        <v>173</v>
      </c>
      <c r="H2029">
        <v>2020</v>
      </c>
      <c r="I2029" t="s">
        <v>33</v>
      </c>
      <c r="J2029">
        <v>16</v>
      </c>
      <c r="K2029">
        <v>7</v>
      </c>
      <c r="L2029">
        <v>2</v>
      </c>
      <c r="M2029">
        <v>0</v>
      </c>
      <c r="N2029">
        <v>2</v>
      </c>
      <c r="O2029">
        <v>0</v>
      </c>
      <c r="P2029">
        <v>1</v>
      </c>
      <c r="Q2029">
        <v>0</v>
      </c>
      <c r="R2029">
        <v>0</v>
      </c>
      <c r="S2029">
        <v>73</v>
      </c>
      <c r="T2029">
        <v>66</v>
      </c>
      <c r="U2029" s="5">
        <f>IF(Merge1[[#This Row],[team_defense_snaps]]=0, "", Merge1[[#This Row],[defense_snaps]] / Merge1[[#This Row],[team_defense_snaps]])</f>
        <v>0.9850746268656716</v>
      </c>
      <c r="V2029">
        <v>67</v>
      </c>
      <c r="W2029">
        <v>7</v>
      </c>
      <c r="X2029" s="5" t="s">
        <v>108</v>
      </c>
      <c r="Y2029">
        <v>1</v>
      </c>
      <c r="Z2029">
        <v>0</v>
      </c>
      <c r="AA2029" t="s">
        <v>25</v>
      </c>
      <c r="AB2029" t="s">
        <v>26</v>
      </c>
      <c r="AC2029" t="s">
        <v>27</v>
      </c>
      <c r="AD2029" t="s">
        <v>42</v>
      </c>
      <c r="AE2029" t="s">
        <v>25</v>
      </c>
      <c r="AF20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0.13698630136986301</v>
      </c>
      <c r="AG2029" t="s">
        <v>942</v>
      </c>
      <c r="AH2029">
        <v>61.5</v>
      </c>
      <c r="AI2029" t="s">
        <v>939</v>
      </c>
      <c r="AJ2029">
        <v>3</v>
      </c>
      <c r="AK20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MIN(AJ2029/8, 1) +
  Merge1[[#This Row],[index_defensive_effort]],
  2
)</f>
        <v>1.01</v>
      </c>
    </row>
    <row r="2030" spans="1:37" x14ac:dyDescent="0.25">
      <c r="A2030" t="s">
        <v>608</v>
      </c>
      <c r="B2030" t="s">
        <v>609</v>
      </c>
      <c r="C2030">
        <v>24</v>
      </c>
      <c r="D2030" t="s">
        <v>56</v>
      </c>
      <c r="E2030">
        <v>70</v>
      </c>
      <c r="F2030">
        <v>212</v>
      </c>
      <c r="G2030" t="s">
        <v>173</v>
      </c>
      <c r="H2030">
        <v>2020</v>
      </c>
      <c r="I2030" t="s">
        <v>33</v>
      </c>
      <c r="J2030">
        <v>17</v>
      </c>
      <c r="K2030">
        <v>4</v>
      </c>
      <c r="L2030">
        <v>1</v>
      </c>
      <c r="M2030">
        <v>0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63</v>
      </c>
      <c r="T2030">
        <v>55</v>
      </c>
      <c r="U2030" s="5">
        <f>IF(Merge1[[#This Row],[team_defense_snaps]]=0, "", Merge1[[#This Row],[defense_snaps]] / Merge1[[#This Row],[team_defense_snaps]])</f>
        <v>0.79710144927536231</v>
      </c>
      <c r="V2030">
        <v>69</v>
      </c>
      <c r="W2030">
        <v>8</v>
      </c>
      <c r="X2030" s="5" t="s">
        <v>113</v>
      </c>
      <c r="Y2030">
        <v>1</v>
      </c>
      <c r="Z2030">
        <v>0</v>
      </c>
      <c r="AA2030" t="s">
        <v>25</v>
      </c>
      <c r="AB2030" t="s">
        <v>26</v>
      </c>
      <c r="AC2030" t="s">
        <v>27</v>
      </c>
      <c r="AD2030" t="s">
        <v>42</v>
      </c>
      <c r="AE2030" t="s">
        <v>25</v>
      </c>
      <c r="AF20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2030" t="s">
        <v>942</v>
      </c>
      <c r="AH2030">
        <v>57</v>
      </c>
      <c r="AI2030" t="s">
        <v>939</v>
      </c>
      <c r="AJ2030">
        <v>1</v>
      </c>
      <c r="AK20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MIN(AJ2030/8, 1) +
  Merge1[[#This Row],[index_defensive_effort]],
  2
)</f>
        <v>0.7</v>
      </c>
    </row>
    <row r="2031" spans="1:37" x14ac:dyDescent="0.25">
      <c r="A2031" t="s">
        <v>596</v>
      </c>
      <c r="B2031" t="s">
        <v>597</v>
      </c>
      <c r="C2031">
        <v>25</v>
      </c>
      <c r="D2031" t="s">
        <v>56</v>
      </c>
      <c r="E2031">
        <v>69</v>
      </c>
      <c r="F2031">
        <v>190</v>
      </c>
      <c r="G2031" t="s">
        <v>424</v>
      </c>
      <c r="H2031">
        <v>2020</v>
      </c>
      <c r="I2031" t="s">
        <v>33</v>
      </c>
      <c r="J2031">
        <v>1</v>
      </c>
      <c r="K2031">
        <v>2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39</v>
      </c>
      <c r="T2031">
        <v>38</v>
      </c>
      <c r="U2031" s="5">
        <f>IF(Merge1[[#This Row],[team_defense_snaps]]=0, "", Merge1[[#This Row],[defense_snaps]] / Merge1[[#This Row],[team_defense_snaps]])</f>
        <v>0.76</v>
      </c>
      <c r="V2031">
        <v>50</v>
      </c>
      <c r="W2031">
        <v>1</v>
      </c>
      <c r="X2031" s="5" t="s">
        <v>193</v>
      </c>
      <c r="Y2031">
        <v>3</v>
      </c>
      <c r="Z2031">
        <v>0</v>
      </c>
      <c r="AA2031" t="s">
        <v>25</v>
      </c>
      <c r="AB2031" t="s">
        <v>26</v>
      </c>
      <c r="AC2031" t="s">
        <v>27</v>
      </c>
      <c r="AD2031" t="s">
        <v>42</v>
      </c>
      <c r="AE2031" t="s">
        <v>25</v>
      </c>
      <c r="AF20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5.128205128205128E-2</v>
      </c>
      <c r="AG2031" t="s">
        <v>942</v>
      </c>
      <c r="AH2031">
        <v>54</v>
      </c>
      <c r="AI2031" t="s">
        <v>939</v>
      </c>
      <c r="AJ2031">
        <v>2</v>
      </c>
      <c r="AK20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MIN(AJ2031/8, 1) +
  Merge1[[#This Row],[index_defensive_effort]],
  2
)</f>
        <v>0.8</v>
      </c>
    </row>
    <row r="2032" spans="1:37" x14ac:dyDescent="0.25">
      <c r="A2032" t="s">
        <v>596</v>
      </c>
      <c r="B2032" t="s">
        <v>597</v>
      </c>
      <c r="C2032">
        <v>25</v>
      </c>
      <c r="D2032" t="s">
        <v>56</v>
      </c>
      <c r="E2032">
        <v>69</v>
      </c>
      <c r="F2032">
        <v>190</v>
      </c>
      <c r="G2032" t="s">
        <v>424</v>
      </c>
      <c r="H2032">
        <v>2020</v>
      </c>
      <c r="I2032" t="s">
        <v>33</v>
      </c>
      <c r="J2032">
        <v>2</v>
      </c>
      <c r="K2032">
        <v>5</v>
      </c>
      <c r="L2032">
        <v>2</v>
      </c>
      <c r="M2032">
        <v>2</v>
      </c>
      <c r="N2032">
        <v>4</v>
      </c>
      <c r="O2032">
        <v>0</v>
      </c>
      <c r="P2032">
        <v>0</v>
      </c>
      <c r="Q2032">
        <v>2</v>
      </c>
      <c r="R2032">
        <v>0</v>
      </c>
      <c r="S2032">
        <v>58</v>
      </c>
      <c r="T2032">
        <v>54</v>
      </c>
      <c r="U2032" s="5">
        <f>IF(Merge1[[#This Row],[team_defense_snaps]]=0, "", Merge1[[#This Row],[defense_snaps]] / Merge1[[#This Row],[team_defense_snaps]])</f>
        <v>0.98181818181818181</v>
      </c>
      <c r="V2032">
        <v>55</v>
      </c>
      <c r="W2032">
        <v>4</v>
      </c>
      <c r="X2032" s="5" t="s">
        <v>159</v>
      </c>
      <c r="Y2032">
        <v>3</v>
      </c>
      <c r="Z2032">
        <v>0</v>
      </c>
      <c r="AA2032" t="s">
        <v>25</v>
      </c>
      <c r="AB2032" t="s">
        <v>26</v>
      </c>
      <c r="AC2032" t="s">
        <v>27</v>
      </c>
      <c r="AD2032" t="s">
        <v>42</v>
      </c>
      <c r="AE2032" t="s">
        <v>25</v>
      </c>
      <c r="AF20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0.25862068965517243</v>
      </c>
      <c r="AG2032" t="s">
        <v>942</v>
      </c>
      <c r="AH2032">
        <v>48</v>
      </c>
      <c r="AI2032" t="s">
        <v>939</v>
      </c>
      <c r="AJ2032">
        <v>3</v>
      </c>
      <c r="AK20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MIN(AJ2032/8, 1) +
  Merge1[[#This Row],[index_defensive_effort]],
  2
)</f>
        <v>1.1299999999999999</v>
      </c>
    </row>
    <row r="2033" spans="1:37" x14ac:dyDescent="0.25">
      <c r="A2033" t="s">
        <v>596</v>
      </c>
      <c r="B2033" t="s">
        <v>597</v>
      </c>
      <c r="C2033">
        <v>25</v>
      </c>
      <c r="D2033" t="s">
        <v>56</v>
      </c>
      <c r="E2033">
        <v>69</v>
      </c>
      <c r="F2033">
        <v>190</v>
      </c>
      <c r="G2033" t="s">
        <v>424</v>
      </c>
      <c r="H2033">
        <v>2020</v>
      </c>
      <c r="I2033" t="s">
        <v>33</v>
      </c>
      <c r="J2033">
        <v>3</v>
      </c>
      <c r="K2033">
        <v>5</v>
      </c>
      <c r="L2033">
        <v>0</v>
      </c>
      <c r="M2033">
        <v>0</v>
      </c>
      <c r="N2033">
        <v>0</v>
      </c>
      <c r="O2033">
        <v>4</v>
      </c>
      <c r="P2033">
        <v>4</v>
      </c>
      <c r="Q2033">
        <v>0</v>
      </c>
      <c r="R2033">
        <v>0</v>
      </c>
      <c r="S2033">
        <v>57</v>
      </c>
      <c r="T2033">
        <v>53</v>
      </c>
      <c r="U2033" s="5">
        <f>IF(Merge1[[#This Row],[team_defense_snaps]]=0, "", Merge1[[#This Row],[defense_snaps]] / Merge1[[#This Row],[team_defense_snaps]])</f>
        <v>0.81538461538461537</v>
      </c>
      <c r="V2033">
        <v>65</v>
      </c>
      <c r="W2033">
        <v>4</v>
      </c>
      <c r="X2033" s="5" t="s">
        <v>168</v>
      </c>
      <c r="Y2033">
        <v>3</v>
      </c>
      <c r="Z2033">
        <v>0</v>
      </c>
      <c r="AA2033" t="s">
        <v>25</v>
      </c>
      <c r="AB2033" t="s">
        <v>26</v>
      </c>
      <c r="AC2033" t="s">
        <v>27</v>
      </c>
      <c r="AD2033" t="s">
        <v>42</v>
      </c>
      <c r="AE2033" t="s">
        <v>25</v>
      </c>
      <c r="AF20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0.43859649122807015</v>
      </c>
      <c r="AG2033" t="s">
        <v>942</v>
      </c>
      <c r="AH2033">
        <v>70.5</v>
      </c>
      <c r="AI2033" t="s">
        <v>939</v>
      </c>
      <c r="AJ2033">
        <v>4</v>
      </c>
      <c r="AK20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MIN(AJ2033/8, 1) +
  Merge1[[#This Row],[index_defensive_effort]],
  2
)</f>
        <v>1.44</v>
      </c>
    </row>
    <row r="2034" spans="1:37" x14ac:dyDescent="0.25">
      <c r="A2034" t="s">
        <v>596</v>
      </c>
      <c r="B2034" t="s">
        <v>597</v>
      </c>
      <c r="C2034">
        <v>25</v>
      </c>
      <c r="D2034" t="s">
        <v>56</v>
      </c>
      <c r="E2034">
        <v>69</v>
      </c>
      <c r="F2034">
        <v>190</v>
      </c>
      <c r="G2034" t="s">
        <v>424</v>
      </c>
      <c r="H2034">
        <v>2020</v>
      </c>
      <c r="I2034" t="s">
        <v>33</v>
      </c>
      <c r="J2034">
        <v>4</v>
      </c>
      <c r="K2034">
        <v>5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63</v>
      </c>
      <c r="T2034">
        <v>57</v>
      </c>
      <c r="U2034" s="5">
        <f>IF(Merge1[[#This Row],[team_defense_snaps]]=0, "", Merge1[[#This Row],[defense_snaps]] / Merge1[[#This Row],[team_defense_snaps]])</f>
        <v>0.890625</v>
      </c>
      <c r="V2034">
        <v>64</v>
      </c>
      <c r="W2034">
        <v>6</v>
      </c>
      <c r="X2034" s="5" t="s">
        <v>139</v>
      </c>
      <c r="Y2034">
        <v>3</v>
      </c>
      <c r="Z2034">
        <v>0</v>
      </c>
      <c r="AA2034" t="s">
        <v>25</v>
      </c>
      <c r="AB2034" t="s">
        <v>26</v>
      </c>
      <c r="AC2034" t="s">
        <v>27</v>
      </c>
      <c r="AD2034" t="s">
        <v>42</v>
      </c>
      <c r="AE2034" t="s">
        <v>25</v>
      </c>
      <c r="AF20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7.9365079365079361E-2</v>
      </c>
      <c r="AG2034" t="s">
        <v>942</v>
      </c>
      <c r="AH2034">
        <v>55.5</v>
      </c>
      <c r="AI2034" t="s">
        <v>939</v>
      </c>
      <c r="AJ2034">
        <v>5</v>
      </c>
      <c r="AK20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MIN(AJ2034/8, 1) +
  Merge1[[#This Row],[index_defensive_effort]],
  2
)</f>
        <v>1.2</v>
      </c>
    </row>
    <row r="2035" spans="1:37" x14ac:dyDescent="0.25">
      <c r="A2035" t="s">
        <v>596</v>
      </c>
      <c r="B2035" t="s">
        <v>597</v>
      </c>
      <c r="C2035">
        <v>25</v>
      </c>
      <c r="D2035" t="s">
        <v>56</v>
      </c>
      <c r="E2035">
        <v>69</v>
      </c>
      <c r="F2035">
        <v>190</v>
      </c>
      <c r="G2035" t="s">
        <v>424</v>
      </c>
      <c r="H2035">
        <v>2020</v>
      </c>
      <c r="I2035" t="s">
        <v>33</v>
      </c>
      <c r="J2035">
        <v>5</v>
      </c>
      <c r="K2035">
        <v>2</v>
      </c>
      <c r="L2035">
        <v>2</v>
      </c>
      <c r="M2035">
        <v>0</v>
      </c>
      <c r="N2035">
        <v>2</v>
      </c>
      <c r="O2035">
        <v>0</v>
      </c>
      <c r="P2035">
        <v>0</v>
      </c>
      <c r="Q2035">
        <v>0</v>
      </c>
      <c r="R2035">
        <v>0</v>
      </c>
      <c r="S2035">
        <v>75</v>
      </c>
      <c r="T2035">
        <v>73</v>
      </c>
      <c r="U2035" s="5">
        <f>IF(Merge1[[#This Row],[team_defense_snaps]]=0, "", Merge1[[#This Row],[defense_snaps]] / Merge1[[#This Row],[team_defense_snaps]])</f>
        <v>0.97333333333333338</v>
      </c>
      <c r="V2035">
        <v>75</v>
      </c>
      <c r="W2035">
        <v>2</v>
      </c>
      <c r="X2035" s="5" t="s">
        <v>208</v>
      </c>
      <c r="Y2035">
        <v>3</v>
      </c>
      <c r="Z2035">
        <v>0</v>
      </c>
      <c r="AA2035" t="s">
        <v>25</v>
      </c>
      <c r="AB2035" t="s">
        <v>26</v>
      </c>
      <c r="AC2035" t="s">
        <v>27</v>
      </c>
      <c r="AD2035" t="s">
        <v>42</v>
      </c>
      <c r="AE2035" t="s">
        <v>25</v>
      </c>
      <c r="AF20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0.04</v>
      </c>
      <c r="AG2035" t="s">
        <v>942</v>
      </c>
      <c r="AH2035">
        <v>49.5</v>
      </c>
      <c r="AI2035" t="s">
        <v>939</v>
      </c>
      <c r="AJ2035">
        <v>6</v>
      </c>
      <c r="AK20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MIN(AJ2035/8, 1) +
  Merge1[[#This Row],[index_defensive_effort]],
  2
)</f>
        <v>1.29</v>
      </c>
    </row>
    <row r="2036" spans="1:37" x14ac:dyDescent="0.25">
      <c r="A2036" t="s">
        <v>596</v>
      </c>
      <c r="B2036" t="s">
        <v>597</v>
      </c>
      <c r="C2036">
        <v>25</v>
      </c>
      <c r="D2036" t="s">
        <v>56</v>
      </c>
      <c r="E2036">
        <v>69</v>
      </c>
      <c r="F2036">
        <v>190</v>
      </c>
      <c r="G2036" t="s">
        <v>424</v>
      </c>
      <c r="H2036">
        <v>2020</v>
      </c>
      <c r="I2036" t="s">
        <v>33</v>
      </c>
      <c r="J2036">
        <v>6</v>
      </c>
      <c r="K2036">
        <v>6</v>
      </c>
      <c r="L2036">
        <v>3</v>
      </c>
      <c r="M2036">
        <v>3</v>
      </c>
      <c r="N2036">
        <v>6</v>
      </c>
      <c r="O2036">
        <v>0</v>
      </c>
      <c r="P2036">
        <v>0</v>
      </c>
      <c r="Q2036">
        <v>0</v>
      </c>
      <c r="R2036">
        <v>0</v>
      </c>
      <c r="S2036">
        <v>85</v>
      </c>
      <c r="T2036">
        <v>73</v>
      </c>
      <c r="U2036" s="5">
        <f>IF(Merge1[[#This Row],[team_defense_snaps]]=0, "", Merge1[[#This Row],[defense_snaps]] / Merge1[[#This Row],[team_defense_snaps]])</f>
        <v>0.91249999999999998</v>
      </c>
      <c r="V2036">
        <v>80</v>
      </c>
      <c r="W2036">
        <v>12</v>
      </c>
      <c r="X2036" s="5" t="s">
        <v>210</v>
      </c>
      <c r="Y2036">
        <v>3</v>
      </c>
      <c r="Z2036">
        <v>0</v>
      </c>
      <c r="AA2036" t="s">
        <v>25</v>
      </c>
      <c r="AB2036" t="s">
        <v>26</v>
      </c>
      <c r="AC2036" t="s">
        <v>27</v>
      </c>
      <c r="AD2036" t="s">
        <v>42</v>
      </c>
      <c r="AE2036" t="s">
        <v>25</v>
      </c>
      <c r="AF20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0.10588235294117647</v>
      </c>
      <c r="AG2036" t="s">
        <v>942</v>
      </c>
      <c r="AH2036">
        <v>52</v>
      </c>
      <c r="AI2036" t="s">
        <v>939</v>
      </c>
      <c r="AJ2036">
        <v>1</v>
      </c>
      <c r="AK20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MIN(AJ2036/8, 1) +
  Merge1[[#This Row],[index_defensive_effort]],
  2
)</f>
        <v>0.73</v>
      </c>
    </row>
    <row r="2037" spans="1:37" x14ac:dyDescent="0.25">
      <c r="A2037" t="s">
        <v>596</v>
      </c>
      <c r="B2037" t="s">
        <v>597</v>
      </c>
      <c r="C2037">
        <v>25</v>
      </c>
      <c r="D2037" t="s">
        <v>56</v>
      </c>
      <c r="E2037">
        <v>69</v>
      </c>
      <c r="F2037">
        <v>190</v>
      </c>
      <c r="G2037" t="s">
        <v>424</v>
      </c>
      <c r="H2037">
        <v>2020</v>
      </c>
      <c r="I2037" t="s">
        <v>33</v>
      </c>
      <c r="J2037">
        <v>8</v>
      </c>
      <c r="K2037">
        <v>3</v>
      </c>
      <c r="L2037">
        <v>0</v>
      </c>
      <c r="M2037">
        <v>0</v>
      </c>
      <c r="N2037">
        <v>0</v>
      </c>
      <c r="O2037">
        <v>0</v>
      </c>
      <c r="P2037">
        <v>1</v>
      </c>
      <c r="Q2037">
        <v>2</v>
      </c>
      <c r="R2037">
        <v>0</v>
      </c>
      <c r="S2037">
        <v>71</v>
      </c>
      <c r="T2037">
        <v>61</v>
      </c>
      <c r="U2037" s="5">
        <f>IF(Merge1[[#This Row],[team_defense_snaps]]=0, "", Merge1[[#This Row],[defense_snaps]] / Merge1[[#This Row],[team_defense_snaps]])</f>
        <v>0.9838709677419355</v>
      </c>
      <c r="V2037">
        <v>62</v>
      </c>
      <c r="W2037">
        <v>10</v>
      </c>
      <c r="X2037" s="5" t="s">
        <v>123</v>
      </c>
      <c r="Y2037">
        <v>3</v>
      </c>
      <c r="Z2037">
        <v>0</v>
      </c>
      <c r="AA2037" t="s">
        <v>25</v>
      </c>
      <c r="AB2037" t="s">
        <v>26</v>
      </c>
      <c r="AC2037" t="s">
        <v>27</v>
      </c>
      <c r="AD2037" t="s">
        <v>42</v>
      </c>
      <c r="AE2037" t="s">
        <v>25</v>
      </c>
      <c r="AF20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0.18309859154929578</v>
      </c>
      <c r="AG2037" t="s">
        <v>942</v>
      </c>
      <c r="AH2037">
        <v>67.5</v>
      </c>
      <c r="AI2037" t="s">
        <v>939</v>
      </c>
      <c r="AJ2037">
        <v>2</v>
      </c>
      <c r="AK20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MIN(AJ2037/8, 1) +
  Merge1[[#This Row],[index_defensive_effort]],
  2
)</f>
        <v>0.93</v>
      </c>
    </row>
    <row r="2038" spans="1:37" x14ac:dyDescent="0.25">
      <c r="A2038" t="s">
        <v>596</v>
      </c>
      <c r="B2038" t="s">
        <v>597</v>
      </c>
      <c r="C2038">
        <v>25</v>
      </c>
      <c r="D2038" t="s">
        <v>56</v>
      </c>
      <c r="E2038">
        <v>69</v>
      </c>
      <c r="F2038">
        <v>190</v>
      </c>
      <c r="G2038" t="s">
        <v>424</v>
      </c>
      <c r="H2038">
        <v>2020</v>
      </c>
      <c r="I2038" t="s">
        <v>33</v>
      </c>
      <c r="J2038">
        <v>9</v>
      </c>
      <c r="K2038">
        <v>2</v>
      </c>
      <c r="L2038">
        <v>1</v>
      </c>
      <c r="M2038">
        <v>1</v>
      </c>
      <c r="N2038">
        <v>2</v>
      </c>
      <c r="O2038">
        <v>0</v>
      </c>
      <c r="P2038">
        <v>0</v>
      </c>
      <c r="Q2038">
        <v>0</v>
      </c>
      <c r="R2038">
        <v>0</v>
      </c>
      <c r="S2038">
        <v>63</v>
      </c>
      <c r="T2038">
        <v>56</v>
      </c>
      <c r="U2038" s="5">
        <f>IF(Merge1[[#This Row],[team_defense_snaps]]=0, "", Merge1[[#This Row],[defense_snaps]] / Merge1[[#This Row],[team_defense_snaps]])</f>
        <v>0.83582089552238803</v>
      </c>
      <c r="V2038">
        <v>67</v>
      </c>
      <c r="W2038">
        <v>7</v>
      </c>
      <c r="X2038" s="5" t="s">
        <v>113</v>
      </c>
      <c r="Y2038">
        <v>3</v>
      </c>
      <c r="Z2038">
        <v>0</v>
      </c>
      <c r="AA2038" t="s">
        <v>25</v>
      </c>
      <c r="AB2038" t="s">
        <v>26</v>
      </c>
      <c r="AC2038" t="s">
        <v>27</v>
      </c>
      <c r="AD2038" t="s">
        <v>42</v>
      </c>
      <c r="AE2038" t="s">
        <v>25</v>
      </c>
      <c r="AF20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4.7619047619047616E-2</v>
      </c>
      <c r="AG2038" t="s">
        <v>942</v>
      </c>
      <c r="AH2038">
        <v>69</v>
      </c>
      <c r="AI2038" t="s">
        <v>939</v>
      </c>
      <c r="AJ2038">
        <v>1</v>
      </c>
      <c r="AK20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MIN(AJ2038/8, 1) +
  Merge1[[#This Row],[index_defensive_effort]],
  2
)</f>
        <v>0.67</v>
      </c>
    </row>
    <row r="2039" spans="1:37" x14ac:dyDescent="0.25">
      <c r="A2039" t="s">
        <v>596</v>
      </c>
      <c r="B2039" t="s">
        <v>597</v>
      </c>
      <c r="C2039">
        <v>25</v>
      </c>
      <c r="D2039" t="s">
        <v>56</v>
      </c>
      <c r="E2039">
        <v>69</v>
      </c>
      <c r="F2039">
        <v>190</v>
      </c>
      <c r="G2039" t="s">
        <v>424</v>
      </c>
      <c r="H2039">
        <v>2020</v>
      </c>
      <c r="I2039" t="s">
        <v>33</v>
      </c>
      <c r="J2039">
        <v>11</v>
      </c>
      <c r="K2039">
        <v>10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60</v>
      </c>
      <c r="T2039">
        <v>60</v>
      </c>
      <c r="U2039" s="5">
        <f>IF(Merge1[[#This Row],[team_defense_snaps]]=0, "", Merge1[[#This Row],[defense_snaps]] / Merge1[[#This Row],[team_defense_snaps]])</f>
        <v>1</v>
      </c>
      <c r="V2039">
        <v>60</v>
      </c>
      <c r="W2039">
        <v>0</v>
      </c>
      <c r="X2039" s="5" t="s">
        <v>29</v>
      </c>
      <c r="Y2039">
        <v>3</v>
      </c>
      <c r="Z2039">
        <v>0</v>
      </c>
      <c r="AA2039" t="s">
        <v>25</v>
      </c>
      <c r="AB2039" t="s">
        <v>26</v>
      </c>
      <c r="AC2039" t="s">
        <v>27</v>
      </c>
      <c r="AD2039" t="s">
        <v>42</v>
      </c>
      <c r="AE2039" t="s">
        <v>25</v>
      </c>
      <c r="AF20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AG2039" t="s">
        <v>942</v>
      </c>
      <c r="AH2039">
        <v>72</v>
      </c>
      <c r="AI2039" t="s">
        <v>939</v>
      </c>
      <c r="AJ2039">
        <v>2</v>
      </c>
      <c r="AK20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MIN(AJ2039/8, 1) +
  Merge1[[#This Row],[index_defensive_effort]],
  2
)</f>
        <v>0.92</v>
      </c>
    </row>
    <row r="2040" spans="1:37" x14ac:dyDescent="0.25">
      <c r="A2040" t="s">
        <v>596</v>
      </c>
      <c r="B2040" t="s">
        <v>597</v>
      </c>
      <c r="C2040">
        <v>25</v>
      </c>
      <c r="D2040" t="s">
        <v>56</v>
      </c>
      <c r="E2040">
        <v>69</v>
      </c>
      <c r="F2040">
        <v>190</v>
      </c>
      <c r="G2040" t="s">
        <v>424</v>
      </c>
      <c r="H2040">
        <v>2020</v>
      </c>
      <c r="I2040" t="s">
        <v>33</v>
      </c>
      <c r="J2040">
        <v>12</v>
      </c>
      <c r="K2040">
        <v>3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74</v>
      </c>
      <c r="T2040">
        <v>71</v>
      </c>
      <c r="U2040" s="5">
        <f>IF(Merge1[[#This Row],[team_defense_snaps]]=0, "", Merge1[[#This Row],[defense_snaps]] / Merge1[[#This Row],[team_defense_snaps]])</f>
        <v>0.98611111111111116</v>
      </c>
      <c r="V2040">
        <v>72</v>
      </c>
      <c r="W2040">
        <v>3</v>
      </c>
      <c r="X2040" s="5" t="s">
        <v>38</v>
      </c>
      <c r="Y2040">
        <v>3</v>
      </c>
      <c r="Z2040">
        <v>0</v>
      </c>
      <c r="AA2040" t="s">
        <v>25</v>
      </c>
      <c r="AB2040" t="s">
        <v>26</v>
      </c>
      <c r="AC2040" t="s">
        <v>27</v>
      </c>
      <c r="AD2040" t="s">
        <v>42</v>
      </c>
      <c r="AE2040" t="s">
        <v>25</v>
      </c>
      <c r="AF20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4.0540540540540543E-2</v>
      </c>
      <c r="AG2040" t="s">
        <v>942</v>
      </c>
      <c r="AH2040">
        <v>52.5</v>
      </c>
      <c r="AI2040" t="s">
        <v>939</v>
      </c>
      <c r="AJ2040">
        <v>3</v>
      </c>
      <c r="AK20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MIN(AJ2040/8, 1) +
  Merge1[[#This Row],[index_defensive_effort]],
  2
)</f>
        <v>0.92</v>
      </c>
    </row>
    <row r="2041" spans="1:37" x14ac:dyDescent="0.25">
      <c r="A2041" t="s">
        <v>596</v>
      </c>
      <c r="B2041" t="s">
        <v>597</v>
      </c>
      <c r="C2041">
        <v>25</v>
      </c>
      <c r="D2041" t="s">
        <v>56</v>
      </c>
      <c r="E2041">
        <v>69</v>
      </c>
      <c r="F2041">
        <v>190</v>
      </c>
      <c r="G2041" t="s">
        <v>424</v>
      </c>
      <c r="H2041">
        <v>2020</v>
      </c>
      <c r="I2041" t="s">
        <v>33</v>
      </c>
      <c r="J2041">
        <v>13</v>
      </c>
      <c r="K2041">
        <v>8</v>
      </c>
      <c r="L2041">
        <v>2</v>
      </c>
      <c r="M2041">
        <v>0</v>
      </c>
      <c r="N2041">
        <v>2</v>
      </c>
      <c r="O2041">
        <v>0</v>
      </c>
      <c r="P2041">
        <v>2</v>
      </c>
      <c r="Q2041">
        <v>2</v>
      </c>
      <c r="R2041">
        <v>0</v>
      </c>
      <c r="S2041">
        <v>65</v>
      </c>
      <c r="T2041">
        <v>64</v>
      </c>
      <c r="U2041" s="5">
        <f>IF(Merge1[[#This Row],[team_defense_snaps]]=0, "", Merge1[[#This Row],[defense_snaps]] / Merge1[[#This Row],[team_defense_snaps]])</f>
        <v>1</v>
      </c>
      <c r="V2041">
        <v>64</v>
      </c>
      <c r="W2041">
        <v>1</v>
      </c>
      <c r="X2041" s="5" t="s">
        <v>193</v>
      </c>
      <c r="Y2041">
        <v>3</v>
      </c>
      <c r="Z2041">
        <v>0</v>
      </c>
      <c r="AA2041" t="s">
        <v>25</v>
      </c>
      <c r="AB2041" t="s">
        <v>26</v>
      </c>
      <c r="AC2041" t="s">
        <v>27</v>
      </c>
      <c r="AD2041" t="s">
        <v>42</v>
      </c>
      <c r="AE2041" t="s">
        <v>25</v>
      </c>
      <c r="AF20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0.32307692307692309</v>
      </c>
      <c r="AG2041" t="s">
        <v>942</v>
      </c>
      <c r="AH2041">
        <v>64.5</v>
      </c>
      <c r="AI2041" t="s">
        <v>939</v>
      </c>
      <c r="AJ2041">
        <v>4</v>
      </c>
      <c r="AK20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MIN(AJ2041/8, 1) +
  Merge1[[#This Row],[index_defensive_effort]],
  2
)</f>
        <v>1.32</v>
      </c>
    </row>
    <row r="2042" spans="1:37" x14ac:dyDescent="0.25">
      <c r="A2042" t="s">
        <v>596</v>
      </c>
      <c r="B2042" t="s">
        <v>597</v>
      </c>
      <c r="C2042">
        <v>25</v>
      </c>
      <c r="D2042" t="s">
        <v>56</v>
      </c>
      <c r="E2042">
        <v>69</v>
      </c>
      <c r="F2042">
        <v>190</v>
      </c>
      <c r="G2042" t="s">
        <v>424</v>
      </c>
      <c r="H2042">
        <v>2020</v>
      </c>
      <c r="I2042" t="s">
        <v>33</v>
      </c>
      <c r="J2042">
        <v>14</v>
      </c>
      <c r="K2042">
        <v>5</v>
      </c>
      <c r="L2042">
        <v>0</v>
      </c>
      <c r="M2042">
        <v>0</v>
      </c>
      <c r="N2042">
        <v>0</v>
      </c>
      <c r="O2042">
        <v>0</v>
      </c>
      <c r="P2042">
        <v>1</v>
      </c>
      <c r="Q2042">
        <v>2</v>
      </c>
      <c r="R2042">
        <v>2</v>
      </c>
      <c r="S2042">
        <v>58</v>
      </c>
      <c r="T2042">
        <v>57</v>
      </c>
      <c r="U2042" s="5">
        <f>IF(Merge1[[#This Row],[team_defense_snaps]]=0, "", Merge1[[#This Row],[defense_snaps]] / Merge1[[#This Row],[team_defense_snaps]])</f>
        <v>0.82608695652173914</v>
      </c>
      <c r="V2042">
        <v>69</v>
      </c>
      <c r="W2042">
        <v>1</v>
      </c>
      <c r="X2042" s="5" t="s">
        <v>303</v>
      </c>
      <c r="Y2042">
        <v>3</v>
      </c>
      <c r="Z2042">
        <v>0</v>
      </c>
      <c r="AA2042" t="s">
        <v>25</v>
      </c>
      <c r="AB2042" t="s">
        <v>26</v>
      </c>
      <c r="AC2042" t="s">
        <v>27</v>
      </c>
      <c r="AD2042" t="s">
        <v>42</v>
      </c>
      <c r="AE2042" t="s">
        <v>25</v>
      </c>
      <c r="AF20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0.32758620689655171</v>
      </c>
      <c r="AG2042" t="s">
        <v>942</v>
      </c>
      <c r="AH2042">
        <v>61.5</v>
      </c>
      <c r="AI2042" t="s">
        <v>939</v>
      </c>
      <c r="AJ2042">
        <v>5</v>
      </c>
      <c r="AK20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MIN(AJ2042/8, 1) +
  Merge1[[#This Row],[index_defensive_effort]],
  2
)</f>
        <v>1.45</v>
      </c>
    </row>
    <row r="2043" spans="1:37" x14ac:dyDescent="0.25">
      <c r="A2043" t="s">
        <v>596</v>
      </c>
      <c r="B2043" t="s">
        <v>597</v>
      </c>
      <c r="C2043">
        <v>25</v>
      </c>
      <c r="D2043" t="s">
        <v>56</v>
      </c>
      <c r="E2043">
        <v>69</v>
      </c>
      <c r="F2043">
        <v>190</v>
      </c>
      <c r="G2043" t="s">
        <v>424</v>
      </c>
      <c r="H2043">
        <v>2020</v>
      </c>
      <c r="I2043" t="s">
        <v>33</v>
      </c>
      <c r="J2043">
        <v>15</v>
      </c>
      <c r="K2043">
        <v>7</v>
      </c>
      <c r="L2043">
        <v>1</v>
      </c>
      <c r="M2043">
        <v>1</v>
      </c>
      <c r="N2043">
        <v>2</v>
      </c>
      <c r="O2043">
        <v>0</v>
      </c>
      <c r="P2043">
        <v>0</v>
      </c>
      <c r="Q2043">
        <v>0</v>
      </c>
      <c r="R2043">
        <v>0</v>
      </c>
      <c r="S2043">
        <v>69</v>
      </c>
      <c r="T2043">
        <v>69</v>
      </c>
      <c r="U2043" s="5">
        <f>IF(Merge1[[#This Row],[team_defense_snaps]]=0, "", Merge1[[#This Row],[defense_snaps]] / Merge1[[#This Row],[team_defense_snaps]])</f>
        <v>1</v>
      </c>
      <c r="V2043">
        <v>69</v>
      </c>
      <c r="W2043">
        <v>0</v>
      </c>
      <c r="X2043" s="5" t="s">
        <v>29</v>
      </c>
      <c r="Y2043">
        <v>3</v>
      </c>
      <c r="Z2043">
        <v>0</v>
      </c>
      <c r="AA2043" t="s">
        <v>25</v>
      </c>
      <c r="AB2043" t="s">
        <v>26</v>
      </c>
      <c r="AC2043" t="s">
        <v>27</v>
      </c>
      <c r="AD2043" t="s">
        <v>42</v>
      </c>
      <c r="AE2043" t="s">
        <v>25</v>
      </c>
      <c r="AF20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0.11594202898550725</v>
      </c>
      <c r="AG2043" t="s">
        <v>942</v>
      </c>
      <c r="AH2043">
        <v>51</v>
      </c>
      <c r="AI2043" t="s">
        <v>939</v>
      </c>
      <c r="AJ2043">
        <v>6</v>
      </c>
      <c r="AK20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MIN(AJ2043/8, 1) +
  Merge1[[#This Row],[index_defensive_effort]],
  2
)</f>
        <v>1.37</v>
      </c>
    </row>
    <row r="2044" spans="1:37" x14ac:dyDescent="0.25">
      <c r="A2044" t="s">
        <v>596</v>
      </c>
      <c r="B2044" t="s">
        <v>597</v>
      </c>
      <c r="C2044">
        <v>25</v>
      </c>
      <c r="D2044" t="s">
        <v>56</v>
      </c>
      <c r="E2044">
        <v>69</v>
      </c>
      <c r="F2044">
        <v>190</v>
      </c>
      <c r="G2044" t="s">
        <v>424</v>
      </c>
      <c r="H2044">
        <v>2020</v>
      </c>
      <c r="I2044" t="s">
        <v>33</v>
      </c>
      <c r="J2044">
        <v>16</v>
      </c>
      <c r="K2044">
        <v>4</v>
      </c>
      <c r="L2044">
        <v>2</v>
      </c>
      <c r="M2044">
        <v>0</v>
      </c>
      <c r="N2044">
        <v>2</v>
      </c>
      <c r="O2044">
        <v>0</v>
      </c>
      <c r="P2044">
        <v>0</v>
      </c>
      <c r="Q2044">
        <v>0</v>
      </c>
      <c r="R2044">
        <v>0</v>
      </c>
      <c r="S2044">
        <v>68</v>
      </c>
      <c r="T2044">
        <v>68</v>
      </c>
      <c r="U2044" s="5">
        <f>IF(Merge1[[#This Row],[team_defense_snaps]]=0, "", Merge1[[#This Row],[defense_snaps]] / Merge1[[#This Row],[team_defense_snaps]])</f>
        <v>1</v>
      </c>
      <c r="V2044">
        <v>68</v>
      </c>
      <c r="W2044">
        <v>0</v>
      </c>
      <c r="X2044" s="5" t="s">
        <v>29</v>
      </c>
      <c r="Y2044">
        <v>3</v>
      </c>
      <c r="Z2044">
        <v>0</v>
      </c>
      <c r="AA2044" t="s">
        <v>25</v>
      </c>
      <c r="AB2044" t="s">
        <v>26</v>
      </c>
      <c r="AC2044" t="s">
        <v>27</v>
      </c>
      <c r="AD2044" t="s">
        <v>42</v>
      </c>
      <c r="AE2044" t="s">
        <v>25</v>
      </c>
      <c r="AF20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7.3529411764705885E-2</v>
      </c>
      <c r="AG2044" t="s">
        <v>942</v>
      </c>
      <c r="AH2044">
        <v>60</v>
      </c>
      <c r="AI2044" t="s">
        <v>939</v>
      </c>
      <c r="AJ2044">
        <v>7</v>
      </c>
      <c r="AK20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MIN(AJ2044/8, 1) +
  Merge1[[#This Row],[index_defensive_effort]],
  2
)</f>
        <v>1.45</v>
      </c>
    </row>
    <row r="2045" spans="1:37" x14ac:dyDescent="0.25">
      <c r="A2045" t="s">
        <v>596</v>
      </c>
      <c r="B2045" t="s">
        <v>597</v>
      </c>
      <c r="C2045">
        <v>25</v>
      </c>
      <c r="D2045" t="s">
        <v>56</v>
      </c>
      <c r="E2045">
        <v>69</v>
      </c>
      <c r="F2045">
        <v>190</v>
      </c>
      <c r="G2045" t="s">
        <v>424</v>
      </c>
      <c r="H2045">
        <v>2020</v>
      </c>
      <c r="I2045" t="s">
        <v>33</v>
      </c>
      <c r="J2045">
        <v>17</v>
      </c>
      <c r="K2045">
        <v>8</v>
      </c>
      <c r="L2045">
        <v>3</v>
      </c>
      <c r="M2045">
        <v>3</v>
      </c>
      <c r="N2045">
        <v>6</v>
      </c>
      <c r="O2045">
        <v>3</v>
      </c>
      <c r="P2045">
        <v>5</v>
      </c>
      <c r="Q2045">
        <v>0</v>
      </c>
      <c r="R2045">
        <v>0</v>
      </c>
      <c r="S2045">
        <v>68</v>
      </c>
      <c r="T2045">
        <v>65</v>
      </c>
      <c r="U2045" s="5">
        <f>IF(Merge1[[#This Row],[team_defense_snaps]]=0, "", Merge1[[#This Row],[defense_snaps]] / Merge1[[#This Row],[team_defense_snaps]])</f>
        <v>1</v>
      </c>
      <c r="V2045">
        <v>65</v>
      </c>
      <c r="W2045">
        <v>3</v>
      </c>
      <c r="X2045" s="5" t="s">
        <v>35</v>
      </c>
      <c r="Y2045">
        <v>3</v>
      </c>
      <c r="Z2045">
        <v>0</v>
      </c>
      <c r="AA2045" t="s">
        <v>25</v>
      </c>
      <c r="AB2045" t="s">
        <v>26</v>
      </c>
      <c r="AC2045" t="s">
        <v>27</v>
      </c>
      <c r="AD2045" t="s">
        <v>42</v>
      </c>
      <c r="AE2045" t="s">
        <v>25</v>
      </c>
      <c r="AF20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0.44117647058823528</v>
      </c>
      <c r="AG2045" t="s">
        <v>942</v>
      </c>
      <c r="AH2045">
        <v>57</v>
      </c>
      <c r="AI2045" t="s">
        <v>939</v>
      </c>
      <c r="AJ2045">
        <v>8</v>
      </c>
      <c r="AK20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MIN(AJ2045/8, 1) +
  Merge1[[#This Row],[index_defensive_effort]],
  2
)</f>
        <v>1.94</v>
      </c>
    </row>
    <row r="2046" spans="1:37" x14ac:dyDescent="0.25">
      <c r="A2046" t="s">
        <v>596</v>
      </c>
      <c r="B2046" t="s">
        <v>597</v>
      </c>
      <c r="C2046">
        <v>25</v>
      </c>
      <c r="D2046" t="s">
        <v>56</v>
      </c>
      <c r="E2046">
        <v>69</v>
      </c>
      <c r="F2046">
        <v>190</v>
      </c>
      <c r="G2046" t="s">
        <v>424</v>
      </c>
      <c r="H2046">
        <v>2020</v>
      </c>
      <c r="I2046" t="s">
        <v>24</v>
      </c>
      <c r="J2046">
        <v>18</v>
      </c>
      <c r="K2046">
        <v>4</v>
      </c>
      <c r="L2046">
        <v>1</v>
      </c>
      <c r="M2046">
        <v>0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64</v>
      </c>
      <c r="T2046">
        <v>59</v>
      </c>
      <c r="U2046" s="5">
        <f>IF(Merge1[[#This Row],[team_defense_snaps]]=0, "", Merge1[[#This Row],[defense_snaps]] / Merge1[[#This Row],[team_defense_snaps]])</f>
        <v>0.95161290322580649</v>
      </c>
      <c r="V2046">
        <v>62</v>
      </c>
      <c r="W2046">
        <v>5</v>
      </c>
      <c r="X2046" s="5" t="s">
        <v>59</v>
      </c>
      <c r="Y2046">
        <v>3</v>
      </c>
      <c r="Z2046">
        <v>0</v>
      </c>
      <c r="AA2046" t="s">
        <v>25</v>
      </c>
      <c r="AB2046" t="s">
        <v>26</v>
      </c>
      <c r="AC2046" t="s">
        <v>27</v>
      </c>
      <c r="AD2046" t="s">
        <v>42</v>
      </c>
      <c r="AE2046" t="s">
        <v>25</v>
      </c>
      <c r="AF20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7.03125E-2</v>
      </c>
      <c r="AG2046" t="s">
        <v>942</v>
      </c>
      <c r="AH2046">
        <v>66</v>
      </c>
      <c r="AI2046" t="s">
        <v>939</v>
      </c>
      <c r="AJ2046">
        <v>1</v>
      </c>
      <c r="AK20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MIN(AJ2046/8, 1) +
  Merge1[[#This Row],[index_defensive_effort]],
  2
)</f>
        <v>0.9</v>
      </c>
    </row>
    <row r="2047" spans="1:37" x14ac:dyDescent="0.25">
      <c r="A2047" t="s">
        <v>612</v>
      </c>
      <c r="B2047" t="s">
        <v>613</v>
      </c>
      <c r="C2047">
        <v>29</v>
      </c>
      <c r="D2047" t="s">
        <v>22</v>
      </c>
      <c r="E2047">
        <v>72</v>
      </c>
      <c r="F2047">
        <v>214</v>
      </c>
      <c r="G2047" t="s">
        <v>130</v>
      </c>
      <c r="H2047">
        <v>2020</v>
      </c>
      <c r="I2047" t="s">
        <v>33</v>
      </c>
      <c r="J2047">
        <v>1</v>
      </c>
      <c r="K2047">
        <v>5</v>
      </c>
      <c r="L2047">
        <v>2</v>
      </c>
      <c r="M2047">
        <v>0</v>
      </c>
      <c r="N2047">
        <v>2</v>
      </c>
      <c r="O2047">
        <v>0</v>
      </c>
      <c r="P2047">
        <v>0</v>
      </c>
      <c r="Q2047">
        <v>0</v>
      </c>
      <c r="R2047">
        <v>0</v>
      </c>
      <c r="S2047">
        <v>59</v>
      </c>
      <c r="T2047">
        <v>59</v>
      </c>
      <c r="U2047" s="5">
        <f>IF(Merge1[[#This Row],[team_defense_snaps]]=0, "", Merge1[[#This Row],[defense_snaps]] / Merge1[[#This Row],[team_defense_snaps]])</f>
        <v>0.98333333333333328</v>
      </c>
      <c r="V2047">
        <v>60</v>
      </c>
      <c r="W2047">
        <v>0</v>
      </c>
      <c r="X2047" s="5" t="s">
        <v>29</v>
      </c>
      <c r="Y2047">
        <v>7</v>
      </c>
      <c r="Z2047">
        <v>0</v>
      </c>
      <c r="AA2047" t="s">
        <v>25</v>
      </c>
      <c r="AB2047" t="s">
        <v>26</v>
      </c>
      <c r="AC2047" t="s">
        <v>27</v>
      </c>
      <c r="AD2047" t="s">
        <v>42</v>
      </c>
      <c r="AE2047" t="s">
        <v>25</v>
      </c>
      <c r="AF20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0.10169491525423729</v>
      </c>
      <c r="AG2047" t="s">
        <v>941</v>
      </c>
      <c r="AH2047">
        <v>70.5</v>
      </c>
      <c r="AI2047" t="s">
        <v>939</v>
      </c>
      <c r="AJ2047">
        <v>2</v>
      </c>
      <c r="AK20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MIN(AJ2047/8, 1) +
  Merge1[[#This Row],[index_defensive_effort]],
  2
)</f>
        <v>0.95</v>
      </c>
    </row>
    <row r="2048" spans="1:37" x14ac:dyDescent="0.25">
      <c r="A2048" t="s">
        <v>612</v>
      </c>
      <c r="B2048" t="s">
        <v>613</v>
      </c>
      <c r="C2048">
        <v>29</v>
      </c>
      <c r="D2048" t="s">
        <v>22</v>
      </c>
      <c r="E2048">
        <v>72</v>
      </c>
      <c r="F2048">
        <v>214</v>
      </c>
      <c r="G2048" t="s">
        <v>130</v>
      </c>
      <c r="H2048">
        <v>2020</v>
      </c>
      <c r="I2048" t="s">
        <v>33</v>
      </c>
      <c r="J2048">
        <v>2</v>
      </c>
      <c r="K2048">
        <v>13</v>
      </c>
      <c r="L2048">
        <v>2</v>
      </c>
      <c r="M2048">
        <v>1</v>
      </c>
      <c r="N2048">
        <v>3</v>
      </c>
      <c r="O2048">
        <v>4</v>
      </c>
      <c r="P2048">
        <v>4</v>
      </c>
      <c r="Q2048">
        <v>0</v>
      </c>
      <c r="R2048">
        <v>0</v>
      </c>
      <c r="S2048">
        <v>75</v>
      </c>
      <c r="T2048">
        <v>75</v>
      </c>
      <c r="U2048" s="5">
        <f>IF(Merge1[[#This Row],[team_defense_snaps]]=0, "", Merge1[[#This Row],[defense_snaps]] / Merge1[[#This Row],[team_defense_snaps]])</f>
        <v>0.97402597402597402</v>
      </c>
      <c r="V2048">
        <v>77</v>
      </c>
      <c r="W2048">
        <v>0</v>
      </c>
      <c r="X2048" s="5" t="s">
        <v>29</v>
      </c>
      <c r="Y2048">
        <v>7</v>
      </c>
      <c r="Z2048">
        <v>0</v>
      </c>
      <c r="AA2048" t="s">
        <v>25</v>
      </c>
      <c r="AB2048" t="s">
        <v>26</v>
      </c>
      <c r="AC2048" t="s">
        <v>27</v>
      </c>
      <c r="AD2048" t="s">
        <v>42</v>
      </c>
      <c r="AE2048" t="s">
        <v>25</v>
      </c>
      <c r="AF20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0.46</v>
      </c>
      <c r="AG2048" t="s">
        <v>941</v>
      </c>
      <c r="AH2048">
        <v>67.5</v>
      </c>
      <c r="AI2048" t="s">
        <v>939</v>
      </c>
      <c r="AJ2048">
        <v>3</v>
      </c>
      <c r="AK20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MIN(AJ2048/8, 1) +
  Merge1[[#This Row],[index_defensive_effort]],
  2
)</f>
        <v>1.44</v>
      </c>
    </row>
    <row r="2049" spans="1:37" x14ac:dyDescent="0.25">
      <c r="A2049" t="s">
        <v>612</v>
      </c>
      <c r="B2049" t="s">
        <v>613</v>
      </c>
      <c r="C2049">
        <v>29</v>
      </c>
      <c r="D2049" t="s">
        <v>22</v>
      </c>
      <c r="E2049">
        <v>72</v>
      </c>
      <c r="F2049">
        <v>214</v>
      </c>
      <c r="G2049" t="s">
        <v>130</v>
      </c>
      <c r="H2049">
        <v>2020</v>
      </c>
      <c r="I2049" t="s">
        <v>33</v>
      </c>
      <c r="J2049">
        <v>3</v>
      </c>
      <c r="K2049">
        <v>4</v>
      </c>
      <c r="L2049">
        <v>1</v>
      </c>
      <c r="M2049">
        <v>0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65</v>
      </c>
      <c r="T2049">
        <v>65</v>
      </c>
      <c r="U2049" s="5">
        <f>IF(Merge1[[#This Row],[team_defense_snaps]]=0, "", Merge1[[#This Row],[defense_snaps]] / Merge1[[#This Row],[team_defense_snaps]])</f>
        <v>0.98484848484848486</v>
      </c>
      <c r="V2049">
        <v>66</v>
      </c>
      <c r="W2049">
        <v>0</v>
      </c>
      <c r="X2049" s="5" t="s">
        <v>29</v>
      </c>
      <c r="Y2049">
        <v>7</v>
      </c>
      <c r="Z2049">
        <v>0</v>
      </c>
      <c r="AA2049" t="s">
        <v>25</v>
      </c>
      <c r="AB2049" t="s">
        <v>26</v>
      </c>
      <c r="AC2049" t="s">
        <v>27</v>
      </c>
      <c r="AD2049" t="s">
        <v>42</v>
      </c>
      <c r="AE2049" t="s">
        <v>25</v>
      </c>
      <c r="AF20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6.9230769230769235E-2</v>
      </c>
      <c r="AG2049" t="s">
        <v>941</v>
      </c>
      <c r="AH2049">
        <v>75</v>
      </c>
      <c r="AI2049" t="s">
        <v>939</v>
      </c>
      <c r="AJ2049">
        <v>1</v>
      </c>
      <c r="AK20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MIN(AJ2049/8, 1) +
  Merge1[[#This Row],[index_defensive_effort]],
  2
)</f>
        <v>0.79</v>
      </c>
    </row>
    <row r="2050" spans="1:37" x14ac:dyDescent="0.25">
      <c r="A2050" t="s">
        <v>612</v>
      </c>
      <c r="B2050" t="s">
        <v>613</v>
      </c>
      <c r="C2050">
        <v>29</v>
      </c>
      <c r="D2050" t="s">
        <v>22</v>
      </c>
      <c r="E2050">
        <v>72</v>
      </c>
      <c r="F2050">
        <v>214</v>
      </c>
      <c r="G2050" t="s">
        <v>130</v>
      </c>
      <c r="H2050">
        <v>2020</v>
      </c>
      <c r="I2050" t="s">
        <v>33</v>
      </c>
      <c r="J2050">
        <v>5</v>
      </c>
      <c r="K2050">
        <v>5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65</v>
      </c>
      <c r="T2050">
        <v>65</v>
      </c>
      <c r="U2050" s="5">
        <f>IF(Merge1[[#This Row],[team_defense_snaps]]=0, "", Merge1[[#This Row],[defense_snaps]] / Merge1[[#This Row],[team_defense_snaps]])</f>
        <v>0.90277777777777779</v>
      </c>
      <c r="V2050">
        <v>72</v>
      </c>
      <c r="W2050">
        <v>0</v>
      </c>
      <c r="X2050" s="5" t="s">
        <v>29</v>
      </c>
      <c r="Y2050">
        <v>7</v>
      </c>
      <c r="Z2050">
        <v>0</v>
      </c>
      <c r="AA2050" t="s">
        <v>25</v>
      </c>
      <c r="AB2050" t="s">
        <v>26</v>
      </c>
      <c r="AC2050" t="s">
        <v>27</v>
      </c>
      <c r="AD2050" t="s">
        <v>42</v>
      </c>
      <c r="AE2050" t="s">
        <v>25</v>
      </c>
      <c r="AF20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7.6923076923076927E-2</v>
      </c>
      <c r="AG2050" t="s">
        <v>941</v>
      </c>
      <c r="AH2050">
        <v>78</v>
      </c>
      <c r="AI2050" t="s">
        <v>939</v>
      </c>
      <c r="AJ2050">
        <v>2</v>
      </c>
      <c r="AK20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MIN(AJ2050/8, 1) +
  Merge1[[#This Row],[index_defensive_effort]],
  2
)</f>
        <v>0.93</v>
      </c>
    </row>
    <row r="2051" spans="1:37" x14ac:dyDescent="0.25">
      <c r="A2051" t="s">
        <v>612</v>
      </c>
      <c r="B2051" t="s">
        <v>613</v>
      </c>
      <c r="C2051">
        <v>29</v>
      </c>
      <c r="D2051" t="s">
        <v>22</v>
      </c>
      <c r="E2051">
        <v>72</v>
      </c>
      <c r="F2051">
        <v>214</v>
      </c>
      <c r="G2051" t="s">
        <v>130</v>
      </c>
      <c r="H2051">
        <v>2020</v>
      </c>
      <c r="I2051" t="s">
        <v>33</v>
      </c>
      <c r="J2051">
        <v>6</v>
      </c>
      <c r="K2051">
        <v>2</v>
      </c>
      <c r="L2051">
        <v>6</v>
      </c>
      <c r="M2051">
        <v>6</v>
      </c>
      <c r="N2051">
        <v>12</v>
      </c>
      <c r="O2051">
        <v>0</v>
      </c>
      <c r="P2051">
        <v>0</v>
      </c>
      <c r="Q2051">
        <v>0</v>
      </c>
      <c r="R2051">
        <v>0</v>
      </c>
      <c r="S2051">
        <v>71</v>
      </c>
      <c r="T2051">
        <v>71</v>
      </c>
      <c r="U2051" s="5">
        <f>IF(Merge1[[#This Row],[team_defense_snaps]]=0, "", Merge1[[#This Row],[defense_snaps]] / Merge1[[#This Row],[team_defense_snaps]])</f>
        <v>1</v>
      </c>
      <c r="V2051">
        <v>71</v>
      </c>
      <c r="W2051">
        <v>0</v>
      </c>
      <c r="X2051" s="5" t="s">
        <v>29</v>
      </c>
      <c r="Y2051">
        <v>7</v>
      </c>
      <c r="Z2051">
        <v>0</v>
      </c>
      <c r="AA2051" t="s">
        <v>25</v>
      </c>
      <c r="AB2051" t="s">
        <v>26</v>
      </c>
      <c r="AC2051" t="s">
        <v>27</v>
      </c>
      <c r="AD2051" t="s">
        <v>42</v>
      </c>
      <c r="AE2051" t="s">
        <v>25</v>
      </c>
      <c r="AF20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0.11267605633802817</v>
      </c>
      <c r="AG2051" t="s">
        <v>941</v>
      </c>
      <c r="AH2051">
        <v>61.5</v>
      </c>
      <c r="AI2051" t="s">
        <v>939</v>
      </c>
      <c r="AJ2051">
        <v>3</v>
      </c>
      <c r="AK20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MIN(AJ2051/8, 1) +
  Merge1[[#This Row],[index_defensive_effort]],
  2
)</f>
        <v>1.0900000000000001</v>
      </c>
    </row>
    <row r="2052" spans="1:37" x14ac:dyDescent="0.25">
      <c r="A2052" t="s">
        <v>612</v>
      </c>
      <c r="B2052" t="s">
        <v>613</v>
      </c>
      <c r="C2052">
        <v>29</v>
      </c>
      <c r="D2052" t="s">
        <v>22</v>
      </c>
      <c r="E2052">
        <v>72</v>
      </c>
      <c r="F2052">
        <v>214</v>
      </c>
      <c r="G2052" t="s">
        <v>130</v>
      </c>
      <c r="H2052">
        <v>2020</v>
      </c>
      <c r="I2052" t="s">
        <v>33</v>
      </c>
      <c r="J2052">
        <v>7</v>
      </c>
      <c r="K2052">
        <v>3</v>
      </c>
      <c r="L2052">
        <v>1</v>
      </c>
      <c r="M2052">
        <v>1</v>
      </c>
      <c r="N2052">
        <v>2</v>
      </c>
      <c r="O2052">
        <v>0</v>
      </c>
      <c r="P2052">
        <v>0</v>
      </c>
      <c r="Q2052">
        <v>0</v>
      </c>
      <c r="R2052">
        <v>0</v>
      </c>
      <c r="S2052">
        <v>73</v>
      </c>
      <c r="T2052">
        <v>73</v>
      </c>
      <c r="U2052" s="5">
        <f>IF(Merge1[[#This Row],[team_defense_snaps]]=0, "", Merge1[[#This Row],[defense_snaps]] / Merge1[[#This Row],[team_defense_snaps]])</f>
        <v>0.73</v>
      </c>
      <c r="V2052">
        <v>100</v>
      </c>
      <c r="W2052">
        <v>0</v>
      </c>
      <c r="X2052" s="5" t="s">
        <v>29</v>
      </c>
      <c r="Y2052">
        <v>7</v>
      </c>
      <c r="Z2052">
        <v>0</v>
      </c>
      <c r="AA2052" t="s">
        <v>25</v>
      </c>
      <c r="AB2052" t="s">
        <v>26</v>
      </c>
      <c r="AC2052" t="s">
        <v>27</v>
      </c>
      <c r="AD2052" t="s">
        <v>42</v>
      </c>
      <c r="AE2052" t="s">
        <v>25</v>
      </c>
      <c r="AF20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5.4794520547945202E-2</v>
      </c>
      <c r="AG2052" t="s">
        <v>941</v>
      </c>
      <c r="AH2052">
        <v>76.5</v>
      </c>
      <c r="AI2052" t="s">
        <v>939</v>
      </c>
      <c r="AJ2052">
        <v>4</v>
      </c>
      <c r="AK20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MIN(AJ2052/8, 1) +
  Merge1[[#This Row],[index_defensive_effort]],
  2
)</f>
        <v>1.1499999999999999</v>
      </c>
    </row>
    <row r="2053" spans="1:37" x14ac:dyDescent="0.25">
      <c r="A2053" t="s">
        <v>612</v>
      </c>
      <c r="B2053" t="s">
        <v>613</v>
      </c>
      <c r="C2053">
        <v>29</v>
      </c>
      <c r="D2053" t="s">
        <v>22</v>
      </c>
      <c r="E2053">
        <v>72</v>
      </c>
      <c r="F2053">
        <v>214</v>
      </c>
      <c r="G2053" t="s">
        <v>130</v>
      </c>
      <c r="H2053">
        <v>2020</v>
      </c>
      <c r="I2053" t="s">
        <v>33</v>
      </c>
      <c r="J2053">
        <v>8</v>
      </c>
      <c r="K2053">
        <v>3</v>
      </c>
      <c r="L2053">
        <v>1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64</v>
      </c>
      <c r="T2053">
        <v>64</v>
      </c>
      <c r="U2053" s="5">
        <f>IF(Merge1[[#This Row],[team_defense_snaps]]=0, "", Merge1[[#This Row],[defense_snaps]] / Merge1[[#This Row],[team_defense_snaps]])</f>
        <v>0.86486486486486491</v>
      </c>
      <c r="V2053">
        <v>74</v>
      </c>
      <c r="W2053">
        <v>0</v>
      </c>
      <c r="X2053" s="5" t="s">
        <v>29</v>
      </c>
      <c r="Y2053">
        <v>7</v>
      </c>
      <c r="Z2053">
        <v>0</v>
      </c>
      <c r="AA2053" t="s">
        <v>25</v>
      </c>
      <c r="AB2053" t="s">
        <v>26</v>
      </c>
      <c r="AC2053" t="s">
        <v>27</v>
      </c>
      <c r="AD2053" t="s">
        <v>42</v>
      </c>
      <c r="AE2053" t="s">
        <v>25</v>
      </c>
      <c r="AF20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5.46875E-2</v>
      </c>
      <c r="AG2053" t="s">
        <v>941</v>
      </c>
      <c r="AH2053">
        <v>54</v>
      </c>
      <c r="AI2053" t="s">
        <v>939</v>
      </c>
      <c r="AJ2053">
        <v>5</v>
      </c>
      <c r="AK20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MIN(AJ2053/8, 1) +
  Merge1[[#This Row],[index_defensive_effort]],
  2
)</f>
        <v>1.28</v>
      </c>
    </row>
    <row r="2054" spans="1:37" x14ac:dyDescent="0.25">
      <c r="A2054" t="s">
        <v>612</v>
      </c>
      <c r="B2054" t="s">
        <v>613</v>
      </c>
      <c r="C2054">
        <v>29</v>
      </c>
      <c r="D2054" t="s">
        <v>22</v>
      </c>
      <c r="E2054">
        <v>72</v>
      </c>
      <c r="F2054">
        <v>214</v>
      </c>
      <c r="G2054" t="s">
        <v>130</v>
      </c>
      <c r="H2054">
        <v>2020</v>
      </c>
      <c r="I2054" t="s">
        <v>33</v>
      </c>
      <c r="J2054">
        <v>9</v>
      </c>
      <c r="K2054">
        <v>3</v>
      </c>
      <c r="L2054">
        <v>3</v>
      </c>
      <c r="M2054">
        <v>0</v>
      </c>
      <c r="N2054">
        <v>3</v>
      </c>
      <c r="O2054">
        <v>0</v>
      </c>
      <c r="P2054">
        <v>1</v>
      </c>
      <c r="Q2054">
        <v>0</v>
      </c>
      <c r="R2054">
        <v>0</v>
      </c>
      <c r="S2054">
        <v>77</v>
      </c>
      <c r="T2054">
        <v>77</v>
      </c>
      <c r="U2054" s="5">
        <f>IF(Merge1[[#This Row],[team_defense_snaps]]=0, "", Merge1[[#This Row],[defense_snaps]] / Merge1[[#This Row],[team_defense_snaps]])</f>
        <v>0.98717948717948723</v>
      </c>
      <c r="V2054">
        <v>78</v>
      </c>
      <c r="W2054">
        <v>0</v>
      </c>
      <c r="X2054" s="5" t="s">
        <v>29</v>
      </c>
      <c r="Y2054">
        <v>7</v>
      </c>
      <c r="Z2054">
        <v>0</v>
      </c>
      <c r="AA2054" t="s">
        <v>25</v>
      </c>
      <c r="AB2054" t="s">
        <v>26</v>
      </c>
      <c r="AC2054" t="s">
        <v>27</v>
      </c>
      <c r="AD2054" t="s">
        <v>42</v>
      </c>
      <c r="AE2054" t="s">
        <v>25</v>
      </c>
      <c r="AF20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8.4415584415584416E-2</v>
      </c>
      <c r="AG2054" t="s">
        <v>941</v>
      </c>
      <c r="AH2054">
        <v>72</v>
      </c>
      <c r="AI2054" t="s">
        <v>939</v>
      </c>
      <c r="AJ2054">
        <v>6</v>
      </c>
      <c r="AK20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MIN(AJ2054/8, 1) +
  Merge1[[#This Row],[index_defensive_effort]],
  2
)</f>
        <v>1.43</v>
      </c>
    </row>
    <row r="2055" spans="1:37" x14ac:dyDescent="0.25">
      <c r="A2055" t="s">
        <v>612</v>
      </c>
      <c r="B2055" t="s">
        <v>613</v>
      </c>
      <c r="C2055">
        <v>29</v>
      </c>
      <c r="D2055" t="s">
        <v>22</v>
      </c>
      <c r="E2055">
        <v>72</v>
      </c>
      <c r="F2055">
        <v>214</v>
      </c>
      <c r="G2055" t="s">
        <v>130</v>
      </c>
      <c r="H2055">
        <v>2020</v>
      </c>
      <c r="I2055" t="s">
        <v>33</v>
      </c>
      <c r="J2055">
        <v>10</v>
      </c>
      <c r="K2055">
        <v>3</v>
      </c>
      <c r="L2055">
        <v>5</v>
      </c>
      <c r="M2055">
        <v>3</v>
      </c>
      <c r="N2055">
        <v>8</v>
      </c>
      <c r="O2055">
        <v>0</v>
      </c>
      <c r="P2055">
        <v>0</v>
      </c>
      <c r="Q2055">
        <v>0</v>
      </c>
      <c r="R2055">
        <v>0</v>
      </c>
      <c r="S2055">
        <v>66</v>
      </c>
      <c r="T2055">
        <v>66</v>
      </c>
      <c r="U2055" s="5">
        <f>IF(Merge1[[#This Row],[team_defense_snaps]]=0, "", Merge1[[#This Row],[defense_snaps]] / Merge1[[#This Row],[team_defense_snaps]])</f>
        <v>0.94285714285714284</v>
      </c>
      <c r="V2055">
        <v>70</v>
      </c>
      <c r="W2055">
        <v>0</v>
      </c>
      <c r="X2055" s="5" t="s">
        <v>29</v>
      </c>
      <c r="Y2055">
        <v>7</v>
      </c>
      <c r="Z2055">
        <v>0</v>
      </c>
      <c r="AA2055" t="s">
        <v>25</v>
      </c>
      <c r="AB2055" t="s">
        <v>26</v>
      </c>
      <c r="AC2055" t="s">
        <v>27</v>
      </c>
      <c r="AD2055" t="s">
        <v>42</v>
      </c>
      <c r="AE2055" t="s">
        <v>25</v>
      </c>
      <c r="AF20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0.10606060606060606</v>
      </c>
      <c r="AG2055" t="s">
        <v>941</v>
      </c>
      <c r="AH2055">
        <v>69</v>
      </c>
      <c r="AI2055" t="s">
        <v>939</v>
      </c>
      <c r="AJ2055">
        <v>1</v>
      </c>
      <c r="AK20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MIN(AJ2055/8, 1) +
  Merge1[[#This Row],[index_defensive_effort]],
  2
)</f>
        <v>0.83</v>
      </c>
    </row>
    <row r="2056" spans="1:37" x14ac:dyDescent="0.25">
      <c r="A2056" t="s">
        <v>612</v>
      </c>
      <c r="B2056" t="s">
        <v>613</v>
      </c>
      <c r="C2056">
        <v>29</v>
      </c>
      <c r="D2056" t="s">
        <v>22</v>
      </c>
      <c r="E2056">
        <v>72</v>
      </c>
      <c r="F2056">
        <v>214</v>
      </c>
      <c r="G2056" t="s">
        <v>130</v>
      </c>
      <c r="H2056">
        <v>2020</v>
      </c>
      <c r="I2056" t="s">
        <v>33</v>
      </c>
      <c r="J2056">
        <v>12</v>
      </c>
      <c r="K2056">
        <v>6</v>
      </c>
      <c r="L2056">
        <v>3</v>
      </c>
      <c r="M2056">
        <v>2</v>
      </c>
      <c r="N2056">
        <v>5</v>
      </c>
      <c r="O2056">
        <v>0</v>
      </c>
      <c r="P2056">
        <v>1</v>
      </c>
      <c r="Q2056">
        <v>0</v>
      </c>
      <c r="R2056">
        <v>0</v>
      </c>
      <c r="S2056">
        <v>72</v>
      </c>
      <c r="T2056">
        <v>72</v>
      </c>
      <c r="U2056" s="5">
        <f>IF(Merge1[[#This Row],[team_defense_snaps]]=0, "", Merge1[[#This Row],[defense_snaps]] / Merge1[[#This Row],[team_defense_snaps]])</f>
        <v>0.96</v>
      </c>
      <c r="V2056">
        <v>75</v>
      </c>
      <c r="W2056">
        <v>0</v>
      </c>
      <c r="X2056" s="5" t="s">
        <v>29</v>
      </c>
      <c r="Y2056">
        <v>7</v>
      </c>
      <c r="Z2056">
        <v>0</v>
      </c>
      <c r="AA2056" t="s">
        <v>25</v>
      </c>
      <c r="AB2056" t="s">
        <v>26</v>
      </c>
      <c r="AC2056" t="s">
        <v>27</v>
      </c>
      <c r="AD2056" t="s">
        <v>42</v>
      </c>
      <c r="AE2056" t="s">
        <v>25</v>
      </c>
      <c r="AF20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0.14583333333333334</v>
      </c>
      <c r="AG2056" t="s">
        <v>941</v>
      </c>
      <c r="AH2056">
        <v>58</v>
      </c>
      <c r="AI2056" t="s">
        <v>939</v>
      </c>
      <c r="AJ2056">
        <v>2</v>
      </c>
      <c r="AK20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MIN(AJ2056/8, 1) +
  Merge1[[#This Row],[index_defensive_effort]],
  2
)</f>
        <v>1</v>
      </c>
    </row>
    <row r="2057" spans="1:37" x14ac:dyDescent="0.25">
      <c r="A2057" t="s">
        <v>612</v>
      </c>
      <c r="B2057" t="s">
        <v>613</v>
      </c>
      <c r="C2057">
        <v>29</v>
      </c>
      <c r="D2057" t="s">
        <v>22</v>
      </c>
      <c r="E2057">
        <v>72</v>
      </c>
      <c r="F2057">
        <v>214</v>
      </c>
      <c r="G2057" t="s">
        <v>130</v>
      </c>
      <c r="H2057">
        <v>2020</v>
      </c>
      <c r="I2057" t="s">
        <v>33</v>
      </c>
      <c r="J2057">
        <v>13</v>
      </c>
      <c r="K2057">
        <v>3</v>
      </c>
      <c r="L2057">
        <v>3</v>
      </c>
      <c r="M2057">
        <v>2</v>
      </c>
      <c r="N2057">
        <v>5</v>
      </c>
      <c r="O2057">
        <v>0</v>
      </c>
      <c r="P2057">
        <v>0</v>
      </c>
      <c r="Q2057">
        <v>0</v>
      </c>
      <c r="R2057">
        <v>0</v>
      </c>
      <c r="S2057">
        <v>62</v>
      </c>
      <c r="T2057">
        <v>62</v>
      </c>
      <c r="U2057" s="5">
        <f>IF(Merge1[[#This Row],[team_defense_snaps]]=0, "", Merge1[[#This Row],[defense_snaps]] / Merge1[[#This Row],[team_defense_snaps]])</f>
        <v>0.83783783783783783</v>
      </c>
      <c r="V2057">
        <v>74</v>
      </c>
      <c r="W2057">
        <v>0</v>
      </c>
      <c r="X2057" s="5" t="s">
        <v>29</v>
      </c>
      <c r="Y2057">
        <v>7</v>
      </c>
      <c r="Z2057">
        <v>0</v>
      </c>
      <c r="AA2057" t="s">
        <v>25</v>
      </c>
      <c r="AB2057" t="s">
        <v>26</v>
      </c>
      <c r="AC2057" t="s">
        <v>27</v>
      </c>
      <c r="AD2057" t="s">
        <v>42</v>
      </c>
      <c r="AE2057" t="s">
        <v>25</v>
      </c>
      <c r="AF20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8.8709677419354843E-2</v>
      </c>
      <c r="AG2057" t="s">
        <v>941</v>
      </c>
      <c r="AH2057">
        <v>60</v>
      </c>
      <c r="AI2057" t="s">
        <v>939</v>
      </c>
      <c r="AJ2057">
        <v>1</v>
      </c>
      <c r="AK20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MIN(AJ2057/8, 1) +
  Merge1[[#This Row],[index_defensive_effort]],
  2
)</f>
        <v>0.81</v>
      </c>
    </row>
    <row r="2058" spans="1:37" x14ac:dyDescent="0.25">
      <c r="A2058" t="s">
        <v>612</v>
      </c>
      <c r="B2058" t="s">
        <v>613</v>
      </c>
      <c r="C2058">
        <v>29</v>
      </c>
      <c r="D2058" t="s">
        <v>22</v>
      </c>
      <c r="E2058">
        <v>72</v>
      </c>
      <c r="F2058">
        <v>214</v>
      </c>
      <c r="G2058" t="s">
        <v>130</v>
      </c>
      <c r="H2058">
        <v>2020</v>
      </c>
      <c r="I2058" t="s">
        <v>33</v>
      </c>
      <c r="J2058">
        <v>16</v>
      </c>
      <c r="K2058">
        <v>5</v>
      </c>
      <c r="L2058">
        <v>2</v>
      </c>
      <c r="M2058">
        <v>0</v>
      </c>
      <c r="N2058">
        <v>2</v>
      </c>
      <c r="O2058">
        <v>0</v>
      </c>
      <c r="P2058">
        <v>0</v>
      </c>
      <c r="Q2058">
        <v>0</v>
      </c>
      <c r="R2058">
        <v>0</v>
      </c>
      <c r="S2058">
        <v>59</v>
      </c>
      <c r="T2058">
        <v>59</v>
      </c>
      <c r="U2058" s="5">
        <f>IF(Merge1[[#This Row],[team_defense_snaps]]=0, "", Merge1[[#This Row],[defense_snaps]] / Merge1[[#This Row],[team_defense_snaps]])</f>
        <v>0.88059701492537312</v>
      </c>
      <c r="V2058">
        <v>67</v>
      </c>
      <c r="W2058">
        <v>0</v>
      </c>
      <c r="X2058" s="5" t="s">
        <v>29</v>
      </c>
      <c r="Y2058">
        <v>7</v>
      </c>
      <c r="Z2058">
        <v>0</v>
      </c>
      <c r="AA2058" t="s">
        <v>25</v>
      </c>
      <c r="AB2058" t="s">
        <v>26</v>
      </c>
      <c r="AC2058" t="s">
        <v>27</v>
      </c>
      <c r="AD2058" t="s">
        <v>42</v>
      </c>
      <c r="AE2058" t="s">
        <v>25</v>
      </c>
      <c r="AF20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0.10169491525423729</v>
      </c>
      <c r="AG2058" t="s">
        <v>941</v>
      </c>
      <c r="AH2058">
        <v>55.5</v>
      </c>
      <c r="AI2058" t="s">
        <v>939</v>
      </c>
      <c r="AJ2058">
        <v>2</v>
      </c>
      <c r="AK20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MIN(AJ2058/8, 1) +
  Merge1[[#This Row],[index_defensive_effort]],
  2
)</f>
        <v>0.95</v>
      </c>
    </row>
    <row r="2059" spans="1:37" x14ac:dyDescent="0.25">
      <c r="A2059" t="s">
        <v>612</v>
      </c>
      <c r="B2059" t="s">
        <v>613</v>
      </c>
      <c r="C2059">
        <v>29</v>
      </c>
      <c r="D2059" t="s">
        <v>22</v>
      </c>
      <c r="E2059">
        <v>72</v>
      </c>
      <c r="F2059">
        <v>214</v>
      </c>
      <c r="G2059" t="s">
        <v>130</v>
      </c>
      <c r="H2059">
        <v>2020</v>
      </c>
      <c r="I2059" t="s">
        <v>33</v>
      </c>
      <c r="J2059">
        <v>17</v>
      </c>
      <c r="K2059">
        <v>4</v>
      </c>
      <c r="L2059">
        <v>3</v>
      </c>
      <c r="M2059">
        <v>1</v>
      </c>
      <c r="N2059">
        <v>4</v>
      </c>
      <c r="O2059">
        <v>0</v>
      </c>
      <c r="P2059">
        <v>0</v>
      </c>
      <c r="Q2059">
        <v>0</v>
      </c>
      <c r="R2059">
        <v>0</v>
      </c>
      <c r="S2059">
        <v>63</v>
      </c>
      <c r="T2059">
        <v>63</v>
      </c>
      <c r="U2059" s="5">
        <f>IF(Merge1[[#This Row],[team_defense_snaps]]=0, "", Merge1[[#This Row],[defense_snaps]] / Merge1[[#This Row],[team_defense_snaps]])</f>
        <v>0.984375</v>
      </c>
      <c r="V2059">
        <v>64</v>
      </c>
      <c r="W2059">
        <v>0</v>
      </c>
      <c r="X2059" s="5" t="s">
        <v>29</v>
      </c>
      <c r="Y2059">
        <v>7</v>
      </c>
      <c r="Z2059">
        <v>0</v>
      </c>
      <c r="AA2059" t="s">
        <v>25</v>
      </c>
      <c r="AB2059" t="s">
        <v>26</v>
      </c>
      <c r="AC2059" t="s">
        <v>27</v>
      </c>
      <c r="AD2059" t="s">
        <v>42</v>
      </c>
      <c r="AE2059" t="s">
        <v>25</v>
      </c>
      <c r="AF20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9.5238095238095233E-2</v>
      </c>
      <c r="AG2059" t="s">
        <v>941</v>
      </c>
      <c r="AH2059">
        <v>66</v>
      </c>
      <c r="AI2059" t="s">
        <v>939</v>
      </c>
      <c r="AJ2059">
        <v>3</v>
      </c>
      <c r="AK20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MIN(AJ2059/8, 1) +
  Merge1[[#This Row],[index_defensive_effort]],
  2
)</f>
        <v>1.07</v>
      </c>
    </row>
    <row r="2060" spans="1:37" x14ac:dyDescent="0.25">
      <c r="A2060" t="s">
        <v>612</v>
      </c>
      <c r="B2060" t="s">
        <v>613</v>
      </c>
      <c r="C2060">
        <v>29</v>
      </c>
      <c r="D2060" t="s">
        <v>22</v>
      </c>
      <c r="E2060">
        <v>72</v>
      </c>
      <c r="F2060">
        <v>214</v>
      </c>
      <c r="G2060" t="s">
        <v>130</v>
      </c>
      <c r="H2060">
        <v>2020</v>
      </c>
      <c r="I2060" t="s">
        <v>24</v>
      </c>
      <c r="J2060">
        <v>18</v>
      </c>
      <c r="K2060">
        <v>5</v>
      </c>
      <c r="L2060">
        <v>4</v>
      </c>
      <c r="M2060">
        <v>3</v>
      </c>
      <c r="N2060">
        <v>7</v>
      </c>
      <c r="O2060">
        <v>0</v>
      </c>
      <c r="P2060">
        <v>1</v>
      </c>
      <c r="Q2060">
        <v>0</v>
      </c>
      <c r="R2060">
        <v>0</v>
      </c>
      <c r="S2060">
        <v>65</v>
      </c>
      <c r="T2060">
        <v>65</v>
      </c>
      <c r="U2060" s="5">
        <f>IF(Merge1[[#This Row],[team_defense_snaps]]=0, "", Merge1[[#This Row],[defense_snaps]] / Merge1[[#This Row],[team_defense_snaps]])</f>
        <v>1</v>
      </c>
      <c r="V2060">
        <v>65</v>
      </c>
      <c r="W2060">
        <v>0</v>
      </c>
      <c r="X2060" s="5" t="s">
        <v>29</v>
      </c>
      <c r="Y2060">
        <v>7</v>
      </c>
      <c r="Z2060">
        <v>0</v>
      </c>
      <c r="AA2060" t="s">
        <v>25</v>
      </c>
      <c r="AB2060" t="s">
        <v>26</v>
      </c>
      <c r="AC2060" t="s">
        <v>27</v>
      </c>
      <c r="AD2060" t="s">
        <v>42</v>
      </c>
      <c r="AE2060" t="s">
        <v>25</v>
      </c>
      <c r="AF20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0.16153846153846155</v>
      </c>
      <c r="AG2060" t="s">
        <v>941</v>
      </c>
      <c r="AH2060">
        <v>64.5</v>
      </c>
      <c r="AI2060" t="s">
        <v>939</v>
      </c>
      <c r="AJ2060">
        <v>1</v>
      </c>
      <c r="AK20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MIN(AJ2060/8, 1) +
  Merge1[[#This Row],[index_defensive_effort]],
  2
)</f>
        <v>1.0900000000000001</v>
      </c>
    </row>
    <row r="2061" spans="1:37" x14ac:dyDescent="0.25">
      <c r="A2061" t="s">
        <v>566</v>
      </c>
      <c r="B2061" t="s">
        <v>567</v>
      </c>
      <c r="C2061">
        <v>27</v>
      </c>
      <c r="D2061" t="s">
        <v>22</v>
      </c>
      <c r="E2061">
        <v>71</v>
      </c>
      <c r="F2061">
        <v>212</v>
      </c>
      <c r="G2061" t="s">
        <v>130</v>
      </c>
      <c r="H2061">
        <v>2020</v>
      </c>
      <c r="I2061" t="s">
        <v>33</v>
      </c>
      <c r="J2061">
        <v>1</v>
      </c>
      <c r="K2061">
        <v>8</v>
      </c>
      <c r="L2061">
        <v>1</v>
      </c>
      <c r="M2061">
        <v>0</v>
      </c>
      <c r="N2061">
        <v>1</v>
      </c>
      <c r="O2061">
        <v>0</v>
      </c>
      <c r="P2061">
        <v>0</v>
      </c>
      <c r="Q2061">
        <v>0</v>
      </c>
      <c r="R2061">
        <v>2</v>
      </c>
      <c r="S2061">
        <v>61</v>
      </c>
      <c r="T2061">
        <v>59</v>
      </c>
      <c r="U2061" s="5">
        <f>IF(Merge1[[#This Row],[team_defense_snaps]]=0, "", Merge1[[#This Row],[defense_snaps]] / Merge1[[#This Row],[team_defense_snaps]])</f>
        <v>0.98333333333333328</v>
      </c>
      <c r="V2061">
        <v>60</v>
      </c>
      <c r="W2061">
        <v>2</v>
      </c>
      <c r="X2061" s="5" t="s">
        <v>167</v>
      </c>
      <c r="Y2061">
        <v>4</v>
      </c>
      <c r="Z2061">
        <v>0</v>
      </c>
      <c r="AA2061" t="s">
        <v>25</v>
      </c>
      <c r="AB2061" t="s">
        <v>26</v>
      </c>
      <c r="AC2061" t="s">
        <v>27</v>
      </c>
      <c r="AD2061" t="s">
        <v>42</v>
      </c>
      <c r="AE2061" t="s">
        <v>25</v>
      </c>
      <c r="AF20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0.20491803278688525</v>
      </c>
      <c r="AG2061" t="s">
        <v>941</v>
      </c>
      <c r="AH2061">
        <v>61.5</v>
      </c>
      <c r="AI2061" t="s">
        <v>939</v>
      </c>
      <c r="AJ2061">
        <v>2</v>
      </c>
      <c r="AK20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MIN(AJ2061/8, 1) +
  Merge1[[#This Row],[index_defensive_effort]],
  2
)</f>
        <v>1.05</v>
      </c>
    </row>
    <row r="2062" spans="1:37" x14ac:dyDescent="0.25">
      <c r="A2062" t="s">
        <v>566</v>
      </c>
      <c r="B2062" t="s">
        <v>567</v>
      </c>
      <c r="C2062">
        <v>27</v>
      </c>
      <c r="D2062" t="s">
        <v>22</v>
      </c>
      <c r="E2062">
        <v>71</v>
      </c>
      <c r="F2062">
        <v>212</v>
      </c>
      <c r="G2062" t="s">
        <v>130</v>
      </c>
      <c r="H2062">
        <v>2020</v>
      </c>
      <c r="I2062" t="s">
        <v>33</v>
      </c>
      <c r="J2062">
        <v>2</v>
      </c>
      <c r="K2062">
        <v>1</v>
      </c>
      <c r="L2062">
        <v>2</v>
      </c>
      <c r="M2062">
        <v>2</v>
      </c>
      <c r="N2062">
        <v>4</v>
      </c>
      <c r="O2062">
        <v>0</v>
      </c>
      <c r="P2062">
        <v>0</v>
      </c>
      <c r="Q2062">
        <v>0</v>
      </c>
      <c r="R2062">
        <v>0</v>
      </c>
      <c r="S2062">
        <v>81</v>
      </c>
      <c r="T2062">
        <v>76</v>
      </c>
      <c r="U2062" s="5">
        <f>IF(Merge1[[#This Row],[team_defense_snaps]]=0, "", Merge1[[#This Row],[defense_snaps]] / Merge1[[#This Row],[team_defense_snaps]])</f>
        <v>0.98701298701298701</v>
      </c>
      <c r="V2062">
        <v>77</v>
      </c>
      <c r="W2062">
        <v>5</v>
      </c>
      <c r="X2062" s="5" t="s">
        <v>181</v>
      </c>
      <c r="Y2062">
        <v>4</v>
      </c>
      <c r="Z2062">
        <v>0</v>
      </c>
      <c r="AA2062" t="s">
        <v>25</v>
      </c>
      <c r="AB2062" t="s">
        <v>26</v>
      </c>
      <c r="AC2062" t="s">
        <v>27</v>
      </c>
      <c r="AD2062" t="s">
        <v>42</v>
      </c>
      <c r="AE2062" t="s">
        <v>25</v>
      </c>
      <c r="AF20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3.7037037037037035E-2</v>
      </c>
      <c r="AG2062" t="s">
        <v>941</v>
      </c>
      <c r="AH2062">
        <v>69</v>
      </c>
      <c r="AI2062" t="s">
        <v>939</v>
      </c>
      <c r="AJ2062">
        <v>3</v>
      </c>
      <c r="AK20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MIN(AJ2062/8, 1) +
  Merge1[[#This Row],[index_defensive_effort]],
  2
)</f>
        <v>1.01</v>
      </c>
    </row>
    <row r="2063" spans="1:37" x14ac:dyDescent="0.25">
      <c r="A2063" t="s">
        <v>566</v>
      </c>
      <c r="B2063" t="s">
        <v>567</v>
      </c>
      <c r="C2063">
        <v>27</v>
      </c>
      <c r="D2063" t="s">
        <v>22</v>
      </c>
      <c r="E2063">
        <v>71</v>
      </c>
      <c r="F2063">
        <v>212</v>
      </c>
      <c r="G2063" t="s">
        <v>130</v>
      </c>
      <c r="H2063">
        <v>2020</v>
      </c>
      <c r="I2063" t="s">
        <v>33</v>
      </c>
      <c r="J2063">
        <v>3</v>
      </c>
      <c r="K2063">
        <v>2</v>
      </c>
      <c r="L2063">
        <v>3</v>
      </c>
      <c r="M2063">
        <v>0</v>
      </c>
      <c r="N2063">
        <v>3</v>
      </c>
      <c r="O2063">
        <v>0</v>
      </c>
      <c r="P2063">
        <v>1</v>
      </c>
      <c r="Q2063">
        <v>1</v>
      </c>
      <c r="R2063">
        <v>0</v>
      </c>
      <c r="S2063">
        <v>71</v>
      </c>
      <c r="T2063">
        <v>65</v>
      </c>
      <c r="U2063" s="5">
        <f>IF(Merge1[[#This Row],[team_defense_snaps]]=0, "", Merge1[[#This Row],[defense_snaps]] / Merge1[[#This Row],[team_defense_snaps]])</f>
        <v>0.98484848484848486</v>
      </c>
      <c r="V2063">
        <v>66</v>
      </c>
      <c r="W2063">
        <v>6</v>
      </c>
      <c r="X2063" s="5" t="s">
        <v>181</v>
      </c>
      <c r="Y2063">
        <v>4</v>
      </c>
      <c r="Z2063">
        <v>0</v>
      </c>
      <c r="AA2063" t="s">
        <v>25</v>
      </c>
      <c r="AB2063" t="s">
        <v>26</v>
      </c>
      <c r="AC2063" t="s">
        <v>27</v>
      </c>
      <c r="AD2063" t="s">
        <v>42</v>
      </c>
      <c r="AE2063" t="s">
        <v>25</v>
      </c>
      <c r="AF20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0.13380281690140844</v>
      </c>
      <c r="AG2063" t="s">
        <v>941</v>
      </c>
      <c r="AH2063">
        <v>67.5</v>
      </c>
      <c r="AI2063" t="s">
        <v>939</v>
      </c>
      <c r="AJ2063">
        <v>1</v>
      </c>
      <c r="AK20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MIN(AJ2063/8, 1) +
  Merge1[[#This Row],[index_defensive_effort]],
  2
)</f>
        <v>0.86</v>
      </c>
    </row>
    <row r="2064" spans="1:37" x14ac:dyDescent="0.25">
      <c r="A2064" t="s">
        <v>566</v>
      </c>
      <c r="B2064" t="s">
        <v>567</v>
      </c>
      <c r="C2064">
        <v>27</v>
      </c>
      <c r="D2064" t="s">
        <v>22</v>
      </c>
      <c r="E2064">
        <v>71</v>
      </c>
      <c r="F2064">
        <v>212</v>
      </c>
      <c r="G2064" t="s">
        <v>130</v>
      </c>
      <c r="H2064">
        <v>2020</v>
      </c>
      <c r="I2064" t="s">
        <v>33</v>
      </c>
      <c r="J2064">
        <v>5</v>
      </c>
      <c r="K2064">
        <v>2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67</v>
      </c>
      <c r="T2064">
        <v>65</v>
      </c>
      <c r="U2064" s="5">
        <f>IF(Merge1[[#This Row],[team_defense_snaps]]=0, "", Merge1[[#This Row],[defense_snaps]] / Merge1[[#This Row],[team_defense_snaps]])</f>
        <v>0.90277777777777779</v>
      </c>
      <c r="V2064">
        <v>72</v>
      </c>
      <c r="W2064">
        <v>2</v>
      </c>
      <c r="X2064" s="5" t="s">
        <v>167</v>
      </c>
      <c r="Y2064">
        <v>4</v>
      </c>
      <c r="Z2064">
        <v>0</v>
      </c>
      <c r="AA2064" t="s">
        <v>25</v>
      </c>
      <c r="AB2064" t="s">
        <v>26</v>
      </c>
      <c r="AC2064" t="s">
        <v>27</v>
      </c>
      <c r="AD2064" t="s">
        <v>42</v>
      </c>
      <c r="AE2064" t="s">
        <v>25</v>
      </c>
      <c r="AF20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2.9850746268656716E-2</v>
      </c>
      <c r="AG2064" t="s">
        <v>941</v>
      </c>
      <c r="AH2064">
        <v>76.5</v>
      </c>
      <c r="AI2064" t="s">
        <v>939</v>
      </c>
      <c r="AJ2064">
        <v>2</v>
      </c>
      <c r="AK20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MIN(AJ2064/8, 1) +
  Merge1[[#This Row],[index_defensive_effort]],
  2
)</f>
        <v>0.88</v>
      </c>
    </row>
    <row r="2065" spans="1:37" x14ac:dyDescent="0.25">
      <c r="A2065" t="s">
        <v>566</v>
      </c>
      <c r="B2065" t="s">
        <v>567</v>
      </c>
      <c r="C2065">
        <v>27</v>
      </c>
      <c r="D2065" t="s">
        <v>22</v>
      </c>
      <c r="E2065">
        <v>71</v>
      </c>
      <c r="F2065">
        <v>212</v>
      </c>
      <c r="G2065" t="s">
        <v>130</v>
      </c>
      <c r="H2065">
        <v>2020</v>
      </c>
      <c r="I2065" t="s">
        <v>33</v>
      </c>
      <c r="J2065">
        <v>6</v>
      </c>
      <c r="K2065">
        <v>6</v>
      </c>
      <c r="L2065">
        <v>2</v>
      </c>
      <c r="M2065">
        <v>1</v>
      </c>
      <c r="N2065">
        <v>3</v>
      </c>
      <c r="O2065">
        <v>0</v>
      </c>
      <c r="P2065">
        <v>0</v>
      </c>
      <c r="Q2065">
        <v>0</v>
      </c>
      <c r="R2065">
        <v>0</v>
      </c>
      <c r="S2065">
        <v>76</v>
      </c>
      <c r="T2065">
        <v>71</v>
      </c>
      <c r="U2065" s="5">
        <f>IF(Merge1[[#This Row],[team_defense_snaps]]=0, "", Merge1[[#This Row],[defense_snaps]] / Merge1[[#This Row],[team_defense_snaps]])</f>
        <v>1</v>
      </c>
      <c r="V2065">
        <v>71</v>
      </c>
      <c r="W2065">
        <v>5</v>
      </c>
      <c r="X2065" s="5" t="s">
        <v>124</v>
      </c>
      <c r="Y2065">
        <v>4</v>
      </c>
      <c r="Z2065">
        <v>0</v>
      </c>
      <c r="AA2065" t="s">
        <v>25</v>
      </c>
      <c r="AB2065" t="s">
        <v>26</v>
      </c>
      <c r="AC2065" t="s">
        <v>27</v>
      </c>
      <c r="AD2065" t="s">
        <v>42</v>
      </c>
      <c r="AE2065" t="s">
        <v>25</v>
      </c>
      <c r="AF20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9.8684210526315791E-2</v>
      </c>
      <c r="AG2065" t="s">
        <v>941</v>
      </c>
      <c r="AH2065">
        <v>58</v>
      </c>
      <c r="AI2065" t="s">
        <v>939</v>
      </c>
      <c r="AJ2065">
        <v>3</v>
      </c>
      <c r="AK20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MIN(AJ2065/8, 1) +
  Merge1[[#This Row],[index_defensive_effort]],
  2
)</f>
        <v>1.07</v>
      </c>
    </row>
    <row r="2066" spans="1:37" x14ac:dyDescent="0.25">
      <c r="A2066" t="s">
        <v>566</v>
      </c>
      <c r="B2066" t="s">
        <v>567</v>
      </c>
      <c r="C2066">
        <v>27</v>
      </c>
      <c r="D2066" t="s">
        <v>22</v>
      </c>
      <c r="E2066">
        <v>71</v>
      </c>
      <c r="F2066">
        <v>212</v>
      </c>
      <c r="G2066" t="s">
        <v>130</v>
      </c>
      <c r="H2066">
        <v>2020</v>
      </c>
      <c r="I2066" t="s">
        <v>33</v>
      </c>
      <c r="J2066">
        <v>7</v>
      </c>
      <c r="K2066">
        <v>4</v>
      </c>
      <c r="L2066">
        <v>2</v>
      </c>
      <c r="M2066">
        <v>2</v>
      </c>
      <c r="N2066">
        <v>4</v>
      </c>
      <c r="O2066">
        <v>0</v>
      </c>
      <c r="P2066">
        <v>0</v>
      </c>
      <c r="Q2066">
        <v>0</v>
      </c>
      <c r="R2066">
        <v>0</v>
      </c>
      <c r="S2066">
        <v>79</v>
      </c>
      <c r="T2066">
        <v>79</v>
      </c>
      <c r="U2066" s="5">
        <f>IF(Merge1[[#This Row],[team_defense_snaps]]=0, "", Merge1[[#This Row],[defense_snaps]] / Merge1[[#This Row],[team_defense_snaps]])</f>
        <v>0.79</v>
      </c>
      <c r="V2066">
        <v>100</v>
      </c>
      <c r="W2066">
        <v>0</v>
      </c>
      <c r="X2066" s="5" t="s">
        <v>29</v>
      </c>
      <c r="Y2066">
        <v>4</v>
      </c>
      <c r="Z2066">
        <v>0</v>
      </c>
      <c r="AA2066" t="s">
        <v>25</v>
      </c>
      <c r="AB2066" t="s">
        <v>26</v>
      </c>
      <c r="AC2066" t="s">
        <v>27</v>
      </c>
      <c r="AD2066" t="s">
        <v>42</v>
      </c>
      <c r="AE2066" t="s">
        <v>25</v>
      </c>
      <c r="AF20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7.5949367088607597E-2</v>
      </c>
      <c r="AG2066" t="s">
        <v>941</v>
      </c>
      <c r="AH2066">
        <v>63</v>
      </c>
      <c r="AI2066" t="s">
        <v>939</v>
      </c>
      <c r="AJ2066">
        <v>4</v>
      </c>
      <c r="AK20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MIN(AJ2066/8, 1) +
  Merge1[[#This Row],[index_defensive_effort]],
  2
)</f>
        <v>1.18</v>
      </c>
    </row>
    <row r="2067" spans="1:37" x14ac:dyDescent="0.25">
      <c r="A2067" t="s">
        <v>566</v>
      </c>
      <c r="B2067" t="s">
        <v>567</v>
      </c>
      <c r="C2067">
        <v>27</v>
      </c>
      <c r="D2067" t="s">
        <v>22</v>
      </c>
      <c r="E2067">
        <v>71</v>
      </c>
      <c r="F2067">
        <v>212</v>
      </c>
      <c r="G2067" t="s">
        <v>130</v>
      </c>
      <c r="H2067">
        <v>2020</v>
      </c>
      <c r="I2067" t="s">
        <v>33</v>
      </c>
      <c r="J2067">
        <v>8</v>
      </c>
      <c r="K2067">
        <v>4</v>
      </c>
      <c r="L2067">
        <v>3</v>
      </c>
      <c r="M2067">
        <v>0</v>
      </c>
      <c r="N2067">
        <v>3</v>
      </c>
      <c r="O2067">
        <v>0</v>
      </c>
      <c r="P2067">
        <v>1</v>
      </c>
      <c r="Q2067">
        <v>0</v>
      </c>
      <c r="R2067">
        <v>0</v>
      </c>
      <c r="S2067">
        <v>78</v>
      </c>
      <c r="T2067">
        <v>73</v>
      </c>
      <c r="U2067" s="5">
        <f>IF(Merge1[[#This Row],[team_defense_snaps]]=0, "", Merge1[[#This Row],[defense_snaps]] / Merge1[[#This Row],[team_defense_snaps]])</f>
        <v>0.98648648648648651</v>
      </c>
      <c r="V2067">
        <v>74</v>
      </c>
      <c r="W2067">
        <v>5</v>
      </c>
      <c r="X2067" s="5" t="s">
        <v>293</v>
      </c>
      <c r="Y2067">
        <v>4</v>
      </c>
      <c r="Z2067">
        <v>0</v>
      </c>
      <c r="AA2067" t="s">
        <v>25</v>
      </c>
      <c r="AB2067" t="s">
        <v>26</v>
      </c>
      <c r="AC2067" t="s">
        <v>27</v>
      </c>
      <c r="AD2067" t="s">
        <v>42</v>
      </c>
      <c r="AE2067" t="s">
        <v>25</v>
      </c>
      <c r="AF20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9.6153846153846159E-2</v>
      </c>
      <c r="AG2067" t="s">
        <v>941</v>
      </c>
      <c r="AH2067">
        <v>72</v>
      </c>
      <c r="AI2067" t="s">
        <v>939</v>
      </c>
      <c r="AJ2067">
        <v>5</v>
      </c>
      <c r="AK20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MIN(AJ2067/8, 1) +
  Merge1[[#This Row],[index_defensive_effort]],
  2
)</f>
        <v>1.32</v>
      </c>
    </row>
    <row r="2068" spans="1:37" x14ac:dyDescent="0.25">
      <c r="A2068" t="s">
        <v>566</v>
      </c>
      <c r="B2068" t="s">
        <v>567</v>
      </c>
      <c r="C2068">
        <v>27</v>
      </c>
      <c r="D2068" t="s">
        <v>22</v>
      </c>
      <c r="E2068">
        <v>71</v>
      </c>
      <c r="F2068">
        <v>212</v>
      </c>
      <c r="G2068" t="s">
        <v>130</v>
      </c>
      <c r="H2068">
        <v>2020</v>
      </c>
      <c r="I2068" t="s">
        <v>33</v>
      </c>
      <c r="J2068">
        <v>9</v>
      </c>
      <c r="K2068">
        <v>4</v>
      </c>
      <c r="L2068">
        <v>3</v>
      </c>
      <c r="M2068">
        <v>1</v>
      </c>
      <c r="N2068">
        <v>4</v>
      </c>
      <c r="O2068">
        <v>0</v>
      </c>
      <c r="P2068">
        <v>0</v>
      </c>
      <c r="Q2068">
        <v>0</v>
      </c>
      <c r="R2068">
        <v>0</v>
      </c>
      <c r="S2068">
        <v>82</v>
      </c>
      <c r="T2068">
        <v>77</v>
      </c>
      <c r="U2068" s="5">
        <f>IF(Merge1[[#This Row],[team_defense_snaps]]=0, "", Merge1[[#This Row],[defense_snaps]] / Merge1[[#This Row],[team_defense_snaps]])</f>
        <v>0.98717948717948723</v>
      </c>
      <c r="V2068">
        <v>78</v>
      </c>
      <c r="W2068">
        <v>5</v>
      </c>
      <c r="X2068" s="5" t="s">
        <v>159</v>
      </c>
      <c r="Y2068">
        <v>4</v>
      </c>
      <c r="Z2068">
        <v>0</v>
      </c>
      <c r="AA2068" t="s">
        <v>25</v>
      </c>
      <c r="AB2068" t="s">
        <v>26</v>
      </c>
      <c r="AC2068" t="s">
        <v>27</v>
      </c>
      <c r="AD2068" t="s">
        <v>42</v>
      </c>
      <c r="AE2068" t="s">
        <v>25</v>
      </c>
      <c r="AF20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7.3170731707317069E-2</v>
      </c>
      <c r="AG2068" t="s">
        <v>941</v>
      </c>
      <c r="AH2068">
        <v>70.5</v>
      </c>
      <c r="AI2068" t="s">
        <v>939</v>
      </c>
      <c r="AJ2068">
        <v>6</v>
      </c>
      <c r="AK20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MIN(AJ2068/8, 1) +
  Merge1[[#This Row],[index_defensive_effort]],
  2
)</f>
        <v>1.42</v>
      </c>
    </row>
    <row r="2069" spans="1:37" x14ac:dyDescent="0.25">
      <c r="A2069" t="s">
        <v>566</v>
      </c>
      <c r="B2069" t="s">
        <v>567</v>
      </c>
      <c r="C2069">
        <v>27</v>
      </c>
      <c r="D2069" t="s">
        <v>22</v>
      </c>
      <c r="E2069">
        <v>71</v>
      </c>
      <c r="F2069">
        <v>212</v>
      </c>
      <c r="G2069" t="s">
        <v>130</v>
      </c>
      <c r="H2069">
        <v>2020</v>
      </c>
      <c r="I2069" t="s">
        <v>33</v>
      </c>
      <c r="J2069">
        <v>10</v>
      </c>
      <c r="K2069">
        <v>6</v>
      </c>
      <c r="L2069">
        <v>4</v>
      </c>
      <c r="M2069">
        <v>2</v>
      </c>
      <c r="N2069">
        <v>6</v>
      </c>
      <c r="O2069">
        <v>0</v>
      </c>
      <c r="P2069">
        <v>0</v>
      </c>
      <c r="Q2069">
        <v>0</v>
      </c>
      <c r="R2069">
        <v>0</v>
      </c>
      <c r="S2069">
        <v>70</v>
      </c>
      <c r="T2069">
        <v>70</v>
      </c>
      <c r="U2069" s="5">
        <f>IF(Merge1[[#This Row],[team_defense_snaps]]=0, "", Merge1[[#This Row],[defense_snaps]] / Merge1[[#This Row],[team_defense_snaps]])</f>
        <v>1</v>
      </c>
      <c r="V2069">
        <v>70</v>
      </c>
      <c r="W2069">
        <v>0</v>
      </c>
      <c r="X2069" s="5" t="s">
        <v>29</v>
      </c>
      <c r="Y2069">
        <v>4</v>
      </c>
      <c r="Z2069">
        <v>0</v>
      </c>
      <c r="AA2069" t="s">
        <v>25</v>
      </c>
      <c r="AB2069" t="s">
        <v>26</v>
      </c>
      <c r="AC2069" t="s">
        <v>27</v>
      </c>
      <c r="AD2069" t="s">
        <v>42</v>
      </c>
      <c r="AE2069" t="s">
        <v>25</v>
      </c>
      <c r="AF20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0.12857142857142856</v>
      </c>
      <c r="AG2069" t="s">
        <v>941</v>
      </c>
      <c r="AH2069">
        <v>66</v>
      </c>
      <c r="AI2069" t="s">
        <v>939</v>
      </c>
      <c r="AJ2069">
        <v>7</v>
      </c>
      <c r="AK20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MIN(AJ2069/8, 1) +
  Merge1[[#This Row],[index_defensive_effort]],
  2
)</f>
        <v>1.6</v>
      </c>
    </row>
    <row r="2070" spans="1:37" x14ac:dyDescent="0.25">
      <c r="A2070" t="s">
        <v>566</v>
      </c>
      <c r="B2070" t="s">
        <v>567</v>
      </c>
      <c r="C2070">
        <v>27</v>
      </c>
      <c r="D2070" t="s">
        <v>22</v>
      </c>
      <c r="E2070">
        <v>71</v>
      </c>
      <c r="F2070">
        <v>212</v>
      </c>
      <c r="G2070" t="s">
        <v>130</v>
      </c>
      <c r="H2070">
        <v>2020</v>
      </c>
      <c r="I2070" t="s">
        <v>33</v>
      </c>
      <c r="J2070">
        <v>11</v>
      </c>
      <c r="K2070">
        <v>5</v>
      </c>
      <c r="L2070">
        <v>2</v>
      </c>
      <c r="M2070">
        <v>0</v>
      </c>
      <c r="N2070">
        <v>2</v>
      </c>
      <c r="O2070">
        <v>0</v>
      </c>
      <c r="P2070">
        <v>0</v>
      </c>
      <c r="Q2070">
        <v>0</v>
      </c>
      <c r="R2070">
        <v>0</v>
      </c>
      <c r="S2070">
        <v>65</v>
      </c>
      <c r="T2070">
        <v>65</v>
      </c>
      <c r="U2070" s="5">
        <f>IF(Merge1[[#This Row],[team_defense_snaps]]=0, "", Merge1[[#This Row],[defense_snaps]] / Merge1[[#This Row],[team_defense_snaps]])</f>
        <v>1</v>
      </c>
      <c r="V2070">
        <v>65</v>
      </c>
      <c r="W2070">
        <v>0</v>
      </c>
      <c r="X2070" s="5" t="s">
        <v>29</v>
      </c>
      <c r="Y2070">
        <v>4</v>
      </c>
      <c r="Z2070">
        <v>0</v>
      </c>
      <c r="AA2070" t="s">
        <v>25</v>
      </c>
      <c r="AB2070" t="s">
        <v>26</v>
      </c>
      <c r="AC2070" t="s">
        <v>27</v>
      </c>
      <c r="AD2070" t="s">
        <v>42</v>
      </c>
      <c r="AE2070" t="s">
        <v>25</v>
      </c>
      <c r="AF20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9.2307692307692313E-2</v>
      </c>
      <c r="AG2070" t="s">
        <v>941</v>
      </c>
      <c r="AH2070">
        <v>78</v>
      </c>
      <c r="AI2070" t="s">
        <v>939</v>
      </c>
      <c r="AJ2070">
        <v>8</v>
      </c>
      <c r="AK20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MIN(AJ2070/8, 1) +
  Merge1[[#This Row],[index_defensive_effort]],
  2
)</f>
        <v>1.69</v>
      </c>
    </row>
    <row r="2071" spans="1:37" x14ac:dyDescent="0.25">
      <c r="A2071" t="s">
        <v>566</v>
      </c>
      <c r="B2071" t="s">
        <v>567</v>
      </c>
      <c r="C2071">
        <v>27</v>
      </c>
      <c r="D2071" t="s">
        <v>22</v>
      </c>
      <c r="E2071">
        <v>71</v>
      </c>
      <c r="F2071">
        <v>212</v>
      </c>
      <c r="G2071" t="s">
        <v>130</v>
      </c>
      <c r="H2071">
        <v>2020</v>
      </c>
      <c r="I2071" t="s">
        <v>33</v>
      </c>
      <c r="J2071">
        <v>12</v>
      </c>
      <c r="K2071">
        <v>5</v>
      </c>
      <c r="L2071">
        <v>2</v>
      </c>
      <c r="M2071">
        <v>2</v>
      </c>
      <c r="N2071">
        <v>4</v>
      </c>
      <c r="O2071">
        <v>0</v>
      </c>
      <c r="P2071">
        <v>0</v>
      </c>
      <c r="Q2071">
        <v>0</v>
      </c>
      <c r="R2071">
        <v>0</v>
      </c>
      <c r="S2071">
        <v>75</v>
      </c>
      <c r="T2071">
        <v>74</v>
      </c>
      <c r="U2071" s="5">
        <f>IF(Merge1[[#This Row],[team_defense_snaps]]=0, "", Merge1[[#This Row],[defense_snaps]] / Merge1[[#This Row],[team_defense_snaps]])</f>
        <v>0.98666666666666669</v>
      </c>
      <c r="V2071">
        <v>75</v>
      </c>
      <c r="W2071">
        <v>1</v>
      </c>
      <c r="X2071" s="5" t="s">
        <v>303</v>
      </c>
      <c r="Y2071">
        <v>4</v>
      </c>
      <c r="Z2071">
        <v>0</v>
      </c>
      <c r="AA2071" t="s">
        <v>25</v>
      </c>
      <c r="AB2071" t="s">
        <v>26</v>
      </c>
      <c r="AC2071" t="s">
        <v>27</v>
      </c>
      <c r="AD2071" t="s">
        <v>42</v>
      </c>
      <c r="AE2071" t="s">
        <v>25</v>
      </c>
      <c r="AF20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9.3333333333333338E-2</v>
      </c>
      <c r="AG2071" t="s">
        <v>941</v>
      </c>
      <c r="AH2071">
        <v>54</v>
      </c>
      <c r="AI2071" t="s">
        <v>939</v>
      </c>
      <c r="AJ2071">
        <v>9</v>
      </c>
      <c r="AK20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MIN(AJ2071/8, 1) +
  Merge1[[#This Row],[index_defensive_effort]],
  2
)</f>
        <v>1.69</v>
      </c>
    </row>
    <row r="2072" spans="1:37" x14ac:dyDescent="0.25">
      <c r="A2072" t="s">
        <v>566</v>
      </c>
      <c r="B2072" t="s">
        <v>567</v>
      </c>
      <c r="C2072">
        <v>27</v>
      </c>
      <c r="D2072" t="s">
        <v>22</v>
      </c>
      <c r="E2072">
        <v>71</v>
      </c>
      <c r="F2072">
        <v>212</v>
      </c>
      <c r="G2072" t="s">
        <v>130</v>
      </c>
      <c r="H2072">
        <v>2020</v>
      </c>
      <c r="I2072" t="s">
        <v>33</v>
      </c>
      <c r="J2072">
        <v>13</v>
      </c>
      <c r="K2072">
        <v>4</v>
      </c>
      <c r="L2072">
        <v>2</v>
      </c>
      <c r="M2072">
        <v>1</v>
      </c>
      <c r="N2072">
        <v>3</v>
      </c>
      <c r="O2072">
        <v>0</v>
      </c>
      <c r="P2072">
        <v>0</v>
      </c>
      <c r="Q2072">
        <v>0</v>
      </c>
      <c r="R2072">
        <v>0</v>
      </c>
      <c r="S2072">
        <v>63</v>
      </c>
      <c r="T2072">
        <v>63</v>
      </c>
      <c r="U2072" s="5">
        <f>IF(Merge1[[#This Row],[team_defense_snaps]]=0, "", Merge1[[#This Row],[defense_snaps]] / Merge1[[#This Row],[team_defense_snaps]])</f>
        <v>0.85135135135135132</v>
      </c>
      <c r="V2072">
        <v>74</v>
      </c>
      <c r="W2072">
        <v>0</v>
      </c>
      <c r="X2072" s="5" t="s">
        <v>29</v>
      </c>
      <c r="Y2072">
        <v>4</v>
      </c>
      <c r="Z2072">
        <v>0</v>
      </c>
      <c r="AA2072" t="s">
        <v>25</v>
      </c>
      <c r="AB2072" t="s">
        <v>26</v>
      </c>
      <c r="AC2072" t="s">
        <v>27</v>
      </c>
      <c r="AD2072" t="s">
        <v>42</v>
      </c>
      <c r="AE2072" t="s">
        <v>25</v>
      </c>
      <c r="AF20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8.7301587301587297E-2</v>
      </c>
      <c r="AG2072" t="s">
        <v>941</v>
      </c>
      <c r="AH2072">
        <v>58.5</v>
      </c>
      <c r="AI2072" t="s">
        <v>939</v>
      </c>
      <c r="AJ2072">
        <v>10</v>
      </c>
      <c r="AK20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MIN(AJ2072/8, 1) +
  Merge1[[#This Row],[index_defensive_effort]],
  2
)</f>
        <v>1.69</v>
      </c>
    </row>
    <row r="2073" spans="1:37" x14ac:dyDescent="0.25">
      <c r="A2073" t="s">
        <v>566</v>
      </c>
      <c r="B2073" t="s">
        <v>567</v>
      </c>
      <c r="C2073">
        <v>27</v>
      </c>
      <c r="D2073" t="s">
        <v>22</v>
      </c>
      <c r="E2073">
        <v>71</v>
      </c>
      <c r="F2073">
        <v>212</v>
      </c>
      <c r="G2073" t="s">
        <v>130</v>
      </c>
      <c r="H2073">
        <v>2020</v>
      </c>
      <c r="I2073" t="s">
        <v>33</v>
      </c>
      <c r="J2073">
        <v>14</v>
      </c>
      <c r="K2073">
        <v>8</v>
      </c>
      <c r="L2073">
        <v>3</v>
      </c>
      <c r="M2073">
        <v>0</v>
      </c>
      <c r="N2073">
        <v>3</v>
      </c>
      <c r="O2073">
        <v>0</v>
      </c>
      <c r="P2073">
        <v>0</v>
      </c>
      <c r="Q2073">
        <v>0</v>
      </c>
      <c r="R2073">
        <v>0</v>
      </c>
      <c r="S2073">
        <v>71</v>
      </c>
      <c r="T2073">
        <v>71</v>
      </c>
      <c r="U2073" s="5">
        <f>IF(Merge1[[#This Row],[team_defense_snaps]]=0, "", Merge1[[#This Row],[defense_snaps]] / Merge1[[#This Row],[team_defense_snaps]])</f>
        <v>1</v>
      </c>
      <c r="V2073">
        <v>71</v>
      </c>
      <c r="W2073">
        <v>0</v>
      </c>
      <c r="X2073" s="5" t="s">
        <v>29</v>
      </c>
      <c r="Y2073">
        <v>4</v>
      </c>
      <c r="Z2073">
        <v>0</v>
      </c>
      <c r="AA2073" t="s">
        <v>25</v>
      </c>
      <c r="AB2073" t="s">
        <v>26</v>
      </c>
      <c r="AC2073" t="s">
        <v>27</v>
      </c>
      <c r="AD2073" t="s">
        <v>42</v>
      </c>
      <c r="AE2073" t="s">
        <v>25</v>
      </c>
      <c r="AF20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0.13380281690140844</v>
      </c>
      <c r="AG2073" t="s">
        <v>941</v>
      </c>
      <c r="AH2073">
        <v>57</v>
      </c>
      <c r="AI2073" t="s">
        <v>939</v>
      </c>
      <c r="AJ2073">
        <v>11</v>
      </c>
      <c r="AK20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MIN(AJ2073/8, 1) +
  Merge1[[#This Row],[index_defensive_effort]],
  2
)</f>
        <v>1.73</v>
      </c>
    </row>
    <row r="2074" spans="1:37" x14ac:dyDescent="0.25">
      <c r="A2074" t="s">
        <v>566</v>
      </c>
      <c r="B2074" t="s">
        <v>567</v>
      </c>
      <c r="C2074">
        <v>27</v>
      </c>
      <c r="D2074" t="s">
        <v>22</v>
      </c>
      <c r="E2074">
        <v>71</v>
      </c>
      <c r="F2074">
        <v>212</v>
      </c>
      <c r="G2074" t="s">
        <v>130</v>
      </c>
      <c r="H2074">
        <v>2020</v>
      </c>
      <c r="I2074" t="s">
        <v>33</v>
      </c>
      <c r="J2074">
        <v>15</v>
      </c>
      <c r="K2074">
        <v>3</v>
      </c>
      <c r="L2074">
        <v>9</v>
      </c>
      <c r="M2074">
        <v>8</v>
      </c>
      <c r="N2074">
        <v>17</v>
      </c>
      <c r="O2074">
        <v>0</v>
      </c>
      <c r="P2074">
        <v>2</v>
      </c>
      <c r="Q2074">
        <v>2</v>
      </c>
      <c r="R2074">
        <v>0</v>
      </c>
      <c r="S2074">
        <v>67</v>
      </c>
      <c r="T2074">
        <v>65</v>
      </c>
      <c r="U2074" s="5">
        <f>IF(Merge1[[#This Row],[team_defense_snaps]]=0, "", Merge1[[#This Row],[defense_snaps]] / Merge1[[#This Row],[team_defense_snaps]])</f>
        <v>1</v>
      </c>
      <c r="V2074">
        <v>65</v>
      </c>
      <c r="W2074">
        <v>2</v>
      </c>
      <c r="X2074" s="5" t="s">
        <v>167</v>
      </c>
      <c r="Y2074">
        <v>4</v>
      </c>
      <c r="Z2074">
        <v>0</v>
      </c>
      <c r="AA2074" t="s">
        <v>25</v>
      </c>
      <c r="AB2074" t="s">
        <v>26</v>
      </c>
      <c r="AC2074" t="s">
        <v>27</v>
      </c>
      <c r="AD2074" t="s">
        <v>42</v>
      </c>
      <c r="AE2074" t="s">
        <v>25</v>
      </c>
      <c r="AF20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0.35074626865671643</v>
      </c>
      <c r="AG2074" t="s">
        <v>941</v>
      </c>
      <c r="AH2074">
        <v>64.5</v>
      </c>
      <c r="AI2074" t="s">
        <v>939</v>
      </c>
      <c r="AJ2074">
        <v>12</v>
      </c>
      <c r="AK20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MIN(AJ2074/8, 1) +
  Merge1[[#This Row],[index_defensive_effort]],
  2
)</f>
        <v>1.95</v>
      </c>
    </row>
    <row r="2075" spans="1:37" x14ac:dyDescent="0.25">
      <c r="A2075" t="s">
        <v>566</v>
      </c>
      <c r="B2075" t="s">
        <v>567</v>
      </c>
      <c r="C2075">
        <v>27</v>
      </c>
      <c r="D2075" t="s">
        <v>22</v>
      </c>
      <c r="E2075">
        <v>71</v>
      </c>
      <c r="F2075">
        <v>212</v>
      </c>
      <c r="G2075" t="s">
        <v>130</v>
      </c>
      <c r="H2075">
        <v>2020</v>
      </c>
      <c r="I2075" t="s">
        <v>33</v>
      </c>
      <c r="J2075">
        <v>16</v>
      </c>
      <c r="K2075">
        <v>4</v>
      </c>
      <c r="L2075">
        <v>5</v>
      </c>
      <c r="M2075">
        <v>3</v>
      </c>
      <c r="N2075">
        <v>8</v>
      </c>
      <c r="O2075">
        <v>0</v>
      </c>
      <c r="P2075">
        <v>0</v>
      </c>
      <c r="Q2075">
        <v>0</v>
      </c>
      <c r="R2075">
        <v>0</v>
      </c>
      <c r="S2075">
        <v>66</v>
      </c>
      <c r="T2075">
        <v>66</v>
      </c>
      <c r="U2075" s="5">
        <f>IF(Merge1[[#This Row],[team_defense_snaps]]=0, "", Merge1[[#This Row],[defense_snaps]] / Merge1[[#This Row],[team_defense_snaps]])</f>
        <v>0.9850746268656716</v>
      </c>
      <c r="V2075">
        <v>67</v>
      </c>
      <c r="W2075">
        <v>0</v>
      </c>
      <c r="X2075" s="5" t="s">
        <v>29</v>
      </c>
      <c r="Y2075">
        <v>4</v>
      </c>
      <c r="Z2075">
        <v>0</v>
      </c>
      <c r="AA2075" t="s">
        <v>25</v>
      </c>
      <c r="AB2075" t="s">
        <v>26</v>
      </c>
      <c r="AC2075" t="s">
        <v>27</v>
      </c>
      <c r="AD2075" t="s">
        <v>42</v>
      </c>
      <c r="AE2075" t="s">
        <v>25</v>
      </c>
      <c r="AF20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0.12121212121212122</v>
      </c>
      <c r="AG2075" t="s">
        <v>941</v>
      </c>
      <c r="AH2075">
        <v>75</v>
      </c>
      <c r="AI2075" t="s">
        <v>939</v>
      </c>
      <c r="AJ2075">
        <v>13</v>
      </c>
      <c r="AK20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MIN(AJ2075/8, 1) +
  Merge1[[#This Row],[index_defensive_effort]],
  2
)</f>
        <v>1.72</v>
      </c>
    </row>
    <row r="2076" spans="1:37" x14ac:dyDescent="0.25">
      <c r="A2076" t="s">
        <v>566</v>
      </c>
      <c r="B2076" t="s">
        <v>567</v>
      </c>
      <c r="C2076">
        <v>27</v>
      </c>
      <c r="D2076" t="s">
        <v>22</v>
      </c>
      <c r="E2076">
        <v>71</v>
      </c>
      <c r="F2076">
        <v>212</v>
      </c>
      <c r="G2076" t="s">
        <v>130</v>
      </c>
      <c r="H2076">
        <v>2020</v>
      </c>
      <c r="I2076" t="s">
        <v>33</v>
      </c>
      <c r="J2076">
        <v>17</v>
      </c>
      <c r="K2076">
        <v>4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63</v>
      </c>
      <c r="T2076">
        <v>63</v>
      </c>
      <c r="U2076" s="5">
        <f>IF(Merge1[[#This Row],[team_defense_snaps]]=0, "", Merge1[[#This Row],[defense_snaps]] / Merge1[[#This Row],[team_defense_snaps]])</f>
        <v>0.984375</v>
      </c>
      <c r="V2076">
        <v>64</v>
      </c>
      <c r="W2076">
        <v>0</v>
      </c>
      <c r="X2076" s="5" t="s">
        <v>29</v>
      </c>
      <c r="Y2076">
        <v>4</v>
      </c>
      <c r="Z2076">
        <v>0</v>
      </c>
      <c r="AA2076" t="s">
        <v>25</v>
      </c>
      <c r="AB2076" t="s">
        <v>26</v>
      </c>
      <c r="AC2076" t="s">
        <v>27</v>
      </c>
      <c r="AD2076" t="s">
        <v>42</v>
      </c>
      <c r="AE2076" t="s">
        <v>25</v>
      </c>
      <c r="AF20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6.3492063492063489E-2</v>
      </c>
      <c r="AG2076" t="s">
        <v>941</v>
      </c>
      <c r="AH2076">
        <v>55.5</v>
      </c>
      <c r="AI2076" t="s">
        <v>939</v>
      </c>
      <c r="AJ2076">
        <v>14</v>
      </c>
      <c r="AK20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MIN(AJ2076/8, 1) +
  Merge1[[#This Row],[index_defensive_effort]],
  2
)</f>
        <v>1.66</v>
      </c>
    </row>
    <row r="2077" spans="1:37" x14ac:dyDescent="0.25">
      <c r="A2077" t="s">
        <v>566</v>
      </c>
      <c r="B2077" t="s">
        <v>567</v>
      </c>
      <c r="C2077">
        <v>27</v>
      </c>
      <c r="D2077" t="s">
        <v>22</v>
      </c>
      <c r="E2077">
        <v>71</v>
      </c>
      <c r="F2077">
        <v>212</v>
      </c>
      <c r="G2077" t="s">
        <v>130</v>
      </c>
      <c r="H2077">
        <v>2020</v>
      </c>
      <c r="I2077" t="s">
        <v>24</v>
      </c>
      <c r="J2077">
        <v>18</v>
      </c>
      <c r="K2077">
        <v>2</v>
      </c>
      <c r="L2077">
        <v>3</v>
      </c>
      <c r="M2077">
        <v>1</v>
      </c>
      <c r="N2077">
        <v>4</v>
      </c>
      <c r="O2077">
        <v>0</v>
      </c>
      <c r="P2077">
        <v>0</v>
      </c>
      <c r="Q2077">
        <v>0</v>
      </c>
      <c r="R2077">
        <v>0</v>
      </c>
      <c r="S2077">
        <v>66</v>
      </c>
      <c r="T2077">
        <v>65</v>
      </c>
      <c r="U2077" s="5">
        <f>IF(Merge1[[#This Row],[team_defense_snaps]]=0, "", Merge1[[#This Row],[defense_snaps]] / Merge1[[#This Row],[team_defense_snaps]])</f>
        <v>1</v>
      </c>
      <c r="V2077">
        <v>65</v>
      </c>
      <c r="W2077">
        <v>1</v>
      </c>
      <c r="X2077" s="5" t="s">
        <v>193</v>
      </c>
      <c r="Y2077">
        <v>4</v>
      </c>
      <c r="Z2077">
        <v>0</v>
      </c>
      <c r="AA2077" t="s">
        <v>25</v>
      </c>
      <c r="AB2077" t="s">
        <v>26</v>
      </c>
      <c r="AC2077" t="s">
        <v>27</v>
      </c>
      <c r="AD2077" t="s">
        <v>42</v>
      </c>
      <c r="AE2077" t="s">
        <v>25</v>
      </c>
      <c r="AF20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6.0606060606060608E-2</v>
      </c>
      <c r="AG2077" t="s">
        <v>941</v>
      </c>
      <c r="AH2077">
        <v>60</v>
      </c>
      <c r="AI2077" t="s">
        <v>939</v>
      </c>
      <c r="AJ2077">
        <v>1</v>
      </c>
      <c r="AK20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MIN(AJ2077/8, 1) +
  Merge1[[#This Row],[index_defensive_effort]],
  2
)</f>
        <v>0.99</v>
      </c>
    </row>
    <row r="2078" spans="1:37" x14ac:dyDescent="0.25">
      <c r="A2078" t="s">
        <v>590</v>
      </c>
      <c r="B2078" t="s">
        <v>591</v>
      </c>
      <c r="C2078">
        <v>28</v>
      </c>
      <c r="D2078" t="s">
        <v>56</v>
      </c>
      <c r="E2078">
        <v>72</v>
      </c>
      <c r="F2078">
        <v>185</v>
      </c>
      <c r="G2078" t="s">
        <v>47</v>
      </c>
      <c r="H2078">
        <v>2020</v>
      </c>
      <c r="I2078" t="s">
        <v>33</v>
      </c>
      <c r="J2078">
        <v>3</v>
      </c>
      <c r="K2078">
        <v>2</v>
      </c>
      <c r="L2078">
        <v>1</v>
      </c>
      <c r="M2078">
        <v>0</v>
      </c>
      <c r="N2078">
        <v>1</v>
      </c>
      <c r="O2078">
        <v>0</v>
      </c>
      <c r="P2078">
        <v>0</v>
      </c>
      <c r="Q2078">
        <v>0</v>
      </c>
      <c r="R2078">
        <v>2</v>
      </c>
      <c r="S2078">
        <v>46</v>
      </c>
      <c r="T2078">
        <v>37</v>
      </c>
      <c r="U2078" s="5">
        <f>IF(Merge1[[#This Row],[team_defense_snaps]]=0, "", Merge1[[#This Row],[defense_snaps]] / Merge1[[#This Row],[team_defense_snaps]])</f>
        <v>0.55223880597014929</v>
      </c>
      <c r="V2078">
        <v>67</v>
      </c>
      <c r="W2078">
        <v>9</v>
      </c>
      <c r="X2078" s="5" t="s">
        <v>108</v>
      </c>
      <c r="Y2078">
        <v>5</v>
      </c>
      <c r="Z2078">
        <v>0</v>
      </c>
      <c r="AA2078" t="s">
        <v>25</v>
      </c>
      <c r="AB2078" t="s">
        <v>26</v>
      </c>
      <c r="AC2078" t="s">
        <v>27</v>
      </c>
      <c r="AD2078" t="s">
        <v>28</v>
      </c>
      <c r="AE2078" t="s">
        <v>25</v>
      </c>
      <c r="AF20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0.14130434782608695</v>
      </c>
      <c r="AG2078" t="s">
        <v>941</v>
      </c>
      <c r="AH2078">
        <v>59.5</v>
      </c>
      <c r="AI2078" t="s">
        <v>939</v>
      </c>
      <c r="AJ2078">
        <v>1</v>
      </c>
      <c r="AK20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MIN(AJ2078/8, 1) +
  Merge1[[#This Row],[index_defensive_effort]],
  2
)</f>
        <v>0.77</v>
      </c>
    </row>
    <row r="2079" spans="1:37" x14ac:dyDescent="0.25">
      <c r="A2079" t="s">
        <v>590</v>
      </c>
      <c r="B2079" t="s">
        <v>591</v>
      </c>
      <c r="C2079">
        <v>28</v>
      </c>
      <c r="D2079" t="s">
        <v>56</v>
      </c>
      <c r="E2079">
        <v>72</v>
      </c>
      <c r="F2079">
        <v>185</v>
      </c>
      <c r="G2079" t="s">
        <v>47</v>
      </c>
      <c r="H2079">
        <v>2020</v>
      </c>
      <c r="I2079" t="s">
        <v>33</v>
      </c>
      <c r="J2079">
        <v>5</v>
      </c>
      <c r="K2079">
        <v>3</v>
      </c>
      <c r="L2079">
        <v>2</v>
      </c>
      <c r="M2079">
        <v>0</v>
      </c>
      <c r="N2079">
        <v>2</v>
      </c>
      <c r="O2079">
        <v>0</v>
      </c>
      <c r="P2079">
        <v>1</v>
      </c>
      <c r="Q2079">
        <v>0</v>
      </c>
      <c r="R2079">
        <v>0</v>
      </c>
      <c r="S2079">
        <v>48</v>
      </c>
      <c r="T2079">
        <v>41</v>
      </c>
      <c r="U2079" s="5">
        <f>IF(Merge1[[#This Row],[team_defense_snaps]]=0, "", Merge1[[#This Row],[defense_snaps]] / Merge1[[#This Row],[team_defense_snaps]])</f>
        <v>0.7321428571428571</v>
      </c>
      <c r="V2079">
        <v>56</v>
      </c>
      <c r="W2079">
        <v>7</v>
      </c>
      <c r="X2079" s="5" t="s">
        <v>135</v>
      </c>
      <c r="Y2079">
        <v>5</v>
      </c>
      <c r="Z2079">
        <v>0</v>
      </c>
      <c r="AA2079" t="s">
        <v>25</v>
      </c>
      <c r="AB2079" t="s">
        <v>26</v>
      </c>
      <c r="AC2079" t="s">
        <v>27</v>
      </c>
      <c r="AD2079" t="s">
        <v>42</v>
      </c>
      <c r="AE2079" t="s">
        <v>25</v>
      </c>
      <c r="AF20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2079" t="s">
        <v>941</v>
      </c>
      <c r="AH2079">
        <v>56.5</v>
      </c>
      <c r="AI2079" t="s">
        <v>939</v>
      </c>
      <c r="AJ2079">
        <v>2</v>
      </c>
      <c r="AK20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MIN(AJ2079/8, 1) +
  Merge1[[#This Row],[index_defensive_effort]],
  2
)</f>
        <v>0.88</v>
      </c>
    </row>
    <row r="2080" spans="1:37" x14ac:dyDescent="0.25">
      <c r="A2080" t="s">
        <v>590</v>
      </c>
      <c r="B2080" t="s">
        <v>591</v>
      </c>
      <c r="C2080">
        <v>28</v>
      </c>
      <c r="D2080" t="s">
        <v>56</v>
      </c>
      <c r="E2080">
        <v>72</v>
      </c>
      <c r="F2080">
        <v>185</v>
      </c>
      <c r="G2080" t="s">
        <v>47</v>
      </c>
      <c r="H2080">
        <v>2020</v>
      </c>
      <c r="I2080" t="s">
        <v>33</v>
      </c>
      <c r="J2080">
        <v>6</v>
      </c>
      <c r="K2080">
        <v>1</v>
      </c>
      <c r="L2080">
        <v>2</v>
      </c>
      <c r="M2080">
        <v>0</v>
      </c>
      <c r="N2080">
        <v>2</v>
      </c>
      <c r="O2080">
        <v>0</v>
      </c>
      <c r="P2080">
        <v>0</v>
      </c>
      <c r="Q2080">
        <v>0</v>
      </c>
      <c r="R2080">
        <v>0</v>
      </c>
      <c r="S2080">
        <v>42</v>
      </c>
      <c r="T2080">
        <v>42</v>
      </c>
      <c r="U2080" s="5">
        <f>IF(Merge1[[#This Row],[team_defense_snaps]]=0, "", Merge1[[#This Row],[defense_snaps]] / Merge1[[#This Row],[team_defense_snaps]])</f>
        <v>0.64615384615384619</v>
      </c>
      <c r="V2080">
        <v>65</v>
      </c>
      <c r="W2080">
        <v>0</v>
      </c>
      <c r="X2080" s="5" t="s">
        <v>29</v>
      </c>
      <c r="Y2080">
        <v>5</v>
      </c>
      <c r="Z2080">
        <v>0</v>
      </c>
      <c r="AA2080" t="s">
        <v>25</v>
      </c>
      <c r="AB2080" t="s">
        <v>26</v>
      </c>
      <c r="AC2080" t="s">
        <v>27</v>
      </c>
      <c r="AD2080" t="s">
        <v>28</v>
      </c>
      <c r="AE2080" t="s">
        <v>25</v>
      </c>
      <c r="AF20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4.7619047619047616E-2</v>
      </c>
      <c r="AG2080" t="s">
        <v>941</v>
      </c>
      <c r="AH2080">
        <v>50</v>
      </c>
      <c r="AI2080" t="s">
        <v>939</v>
      </c>
      <c r="AJ2080">
        <v>3</v>
      </c>
      <c r="AK20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MIN(AJ2080/8, 1) +
  Merge1[[#This Row],[index_defensive_effort]],
  2
)</f>
        <v>0.92</v>
      </c>
    </row>
    <row r="2081" spans="1:37" x14ac:dyDescent="0.25">
      <c r="A2081" t="s">
        <v>590</v>
      </c>
      <c r="B2081" t="s">
        <v>591</v>
      </c>
      <c r="C2081">
        <v>28</v>
      </c>
      <c r="D2081" t="s">
        <v>56</v>
      </c>
      <c r="E2081">
        <v>72</v>
      </c>
      <c r="F2081">
        <v>185</v>
      </c>
      <c r="G2081" t="s">
        <v>47</v>
      </c>
      <c r="H2081">
        <v>2020</v>
      </c>
      <c r="I2081" t="s">
        <v>33</v>
      </c>
      <c r="J2081">
        <v>7</v>
      </c>
      <c r="K2081">
        <v>0</v>
      </c>
      <c r="L2081">
        <v>6</v>
      </c>
      <c r="M2081">
        <v>1</v>
      </c>
      <c r="N2081">
        <v>7</v>
      </c>
      <c r="O2081">
        <v>3</v>
      </c>
      <c r="P2081">
        <v>3</v>
      </c>
      <c r="Q2081">
        <v>0</v>
      </c>
      <c r="R2081">
        <v>0</v>
      </c>
      <c r="S2081">
        <v>61</v>
      </c>
      <c r="T2081">
        <v>61</v>
      </c>
      <c r="U2081" s="5">
        <f>IF(Merge1[[#This Row],[team_defense_snaps]]=0, "", Merge1[[#This Row],[defense_snaps]] / Merge1[[#This Row],[team_defense_snaps]])</f>
        <v>0.80263157894736847</v>
      </c>
      <c r="V2081">
        <v>76</v>
      </c>
      <c r="W2081">
        <v>0</v>
      </c>
      <c r="X2081" s="5" t="s">
        <v>29</v>
      </c>
      <c r="Y2081">
        <v>5</v>
      </c>
      <c r="Z2081">
        <v>0</v>
      </c>
      <c r="AA2081" t="s">
        <v>25</v>
      </c>
      <c r="AB2081" t="s">
        <v>26</v>
      </c>
      <c r="AC2081" t="s">
        <v>27</v>
      </c>
      <c r="AD2081" t="s">
        <v>28</v>
      </c>
      <c r="AE2081" t="s">
        <v>25</v>
      </c>
      <c r="AF20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0.30327868852459017</v>
      </c>
      <c r="AG2081" t="s">
        <v>941</v>
      </c>
      <c r="AH2081">
        <v>47.5</v>
      </c>
      <c r="AI2081" t="s">
        <v>939</v>
      </c>
      <c r="AJ2081">
        <v>4</v>
      </c>
      <c r="AK20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MIN(AJ2081/8, 1) +
  Merge1[[#This Row],[index_defensive_effort]],
  2
)</f>
        <v>1.3</v>
      </c>
    </row>
    <row r="2082" spans="1:37" x14ac:dyDescent="0.25">
      <c r="A2082" t="s">
        <v>590</v>
      </c>
      <c r="B2082" t="s">
        <v>591</v>
      </c>
      <c r="C2082">
        <v>28</v>
      </c>
      <c r="D2082" t="s">
        <v>56</v>
      </c>
      <c r="E2082">
        <v>72</v>
      </c>
      <c r="F2082">
        <v>185</v>
      </c>
      <c r="G2082" t="s">
        <v>47</v>
      </c>
      <c r="H2082">
        <v>2020</v>
      </c>
      <c r="I2082" t="s">
        <v>33</v>
      </c>
      <c r="J2082">
        <v>8</v>
      </c>
      <c r="K2082">
        <v>3</v>
      </c>
      <c r="L2082">
        <v>1</v>
      </c>
      <c r="M2082">
        <v>1</v>
      </c>
      <c r="N2082">
        <v>2</v>
      </c>
      <c r="O2082">
        <v>0</v>
      </c>
      <c r="P2082">
        <v>0</v>
      </c>
      <c r="Q2082">
        <v>0</v>
      </c>
      <c r="R2082">
        <v>0</v>
      </c>
      <c r="S2082">
        <v>40</v>
      </c>
      <c r="T2082">
        <v>40</v>
      </c>
      <c r="U2082" s="5">
        <f>IF(Merge1[[#This Row],[team_defense_snaps]]=0, "", Merge1[[#This Row],[defense_snaps]] / Merge1[[#This Row],[team_defense_snaps]])</f>
        <v>0.53333333333333333</v>
      </c>
      <c r="V2082">
        <v>75</v>
      </c>
      <c r="W2082">
        <v>0</v>
      </c>
      <c r="X2082" s="5" t="s">
        <v>29</v>
      </c>
      <c r="Y2082">
        <v>5</v>
      </c>
      <c r="Z2082">
        <v>0</v>
      </c>
      <c r="AA2082" t="s">
        <v>25</v>
      </c>
      <c r="AB2082" t="s">
        <v>26</v>
      </c>
      <c r="AC2082" t="s">
        <v>27</v>
      </c>
      <c r="AD2082" t="s">
        <v>42</v>
      </c>
      <c r="AE2082" t="s">
        <v>25</v>
      </c>
      <c r="AF20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2082" t="s">
        <v>941</v>
      </c>
      <c r="AH2082">
        <v>64</v>
      </c>
      <c r="AI2082" t="s">
        <v>939</v>
      </c>
      <c r="AJ2082">
        <v>1</v>
      </c>
      <c r="AK20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MIN(AJ2082/8, 1) +
  Merge1[[#This Row],[index_defensive_effort]],
  2
)</f>
        <v>0.73</v>
      </c>
    </row>
    <row r="2083" spans="1:37" x14ac:dyDescent="0.25">
      <c r="A2083" t="s">
        <v>590</v>
      </c>
      <c r="B2083" t="s">
        <v>591</v>
      </c>
      <c r="C2083">
        <v>28</v>
      </c>
      <c r="D2083" t="s">
        <v>56</v>
      </c>
      <c r="E2083">
        <v>72</v>
      </c>
      <c r="F2083">
        <v>185</v>
      </c>
      <c r="G2083" t="s">
        <v>47</v>
      </c>
      <c r="H2083">
        <v>2020</v>
      </c>
      <c r="I2083" t="s">
        <v>33</v>
      </c>
      <c r="J2083">
        <v>10</v>
      </c>
      <c r="K2083">
        <v>2</v>
      </c>
      <c r="L2083">
        <v>1</v>
      </c>
      <c r="M2083">
        <v>0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42</v>
      </c>
      <c r="T2083">
        <v>39</v>
      </c>
      <c r="U2083" s="5">
        <f>IF(Merge1[[#This Row],[team_defense_snaps]]=0, "", Merge1[[#This Row],[defense_snaps]] / Merge1[[#This Row],[team_defense_snaps]])</f>
        <v>0.68421052631578949</v>
      </c>
      <c r="V2083">
        <v>57</v>
      </c>
      <c r="W2083">
        <v>3</v>
      </c>
      <c r="X2083" s="5" t="s">
        <v>181</v>
      </c>
      <c r="Y2083">
        <v>5</v>
      </c>
      <c r="Z2083">
        <v>0</v>
      </c>
      <c r="AA2083" t="s">
        <v>25</v>
      </c>
      <c r="AB2083" t="s">
        <v>26</v>
      </c>
      <c r="AC2083" t="s">
        <v>27</v>
      </c>
      <c r="AD2083" t="s">
        <v>28</v>
      </c>
      <c r="AE2083" t="s">
        <v>25</v>
      </c>
      <c r="AF20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5.9523809523809521E-2</v>
      </c>
      <c r="AG2083" t="s">
        <v>941</v>
      </c>
      <c r="AH2083">
        <v>53.5</v>
      </c>
      <c r="AI2083" t="s">
        <v>939</v>
      </c>
      <c r="AJ2083">
        <v>2</v>
      </c>
      <c r="AK20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MIN(AJ2083/8, 1) +
  Merge1[[#This Row],[index_defensive_effort]],
  2
)</f>
        <v>0.81</v>
      </c>
    </row>
    <row r="2084" spans="1:37" x14ac:dyDescent="0.25">
      <c r="A2084" t="s">
        <v>590</v>
      </c>
      <c r="B2084" t="s">
        <v>591</v>
      </c>
      <c r="C2084">
        <v>28</v>
      </c>
      <c r="D2084" t="s">
        <v>56</v>
      </c>
      <c r="E2084">
        <v>72</v>
      </c>
      <c r="F2084">
        <v>185</v>
      </c>
      <c r="G2084" t="s">
        <v>47</v>
      </c>
      <c r="H2084">
        <v>2020</v>
      </c>
      <c r="I2084" t="s">
        <v>33</v>
      </c>
      <c r="J2084">
        <v>11</v>
      </c>
      <c r="K2084">
        <v>2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53</v>
      </c>
      <c r="T2084">
        <v>47</v>
      </c>
      <c r="U2084" s="5">
        <f>IF(Merge1[[#This Row],[team_defense_snaps]]=0, "", Merge1[[#This Row],[defense_snaps]] / Merge1[[#This Row],[team_defense_snaps]])</f>
        <v>0.6811594202898551</v>
      </c>
      <c r="V2084">
        <v>69</v>
      </c>
      <c r="W2084">
        <v>6</v>
      </c>
      <c r="X2084" s="5" t="s">
        <v>293</v>
      </c>
      <c r="Y2084">
        <v>5</v>
      </c>
      <c r="Z2084">
        <v>0</v>
      </c>
      <c r="AA2084" t="s">
        <v>25</v>
      </c>
      <c r="AB2084" t="s">
        <v>26</v>
      </c>
      <c r="AC2084" t="s">
        <v>27</v>
      </c>
      <c r="AD2084" t="s">
        <v>28</v>
      </c>
      <c r="AE2084" t="s">
        <v>25</v>
      </c>
      <c r="AF20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3.7735849056603772E-2</v>
      </c>
      <c r="AG2084" t="s">
        <v>941</v>
      </c>
      <c r="AH2084">
        <v>67</v>
      </c>
      <c r="AI2084" t="s">
        <v>939</v>
      </c>
      <c r="AJ2084">
        <v>3</v>
      </c>
      <c r="AK20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MIN(AJ2084/8, 1) +
  Merge1[[#This Row],[index_defensive_effort]],
  2
)</f>
        <v>0.91</v>
      </c>
    </row>
    <row r="2085" spans="1:37" x14ac:dyDescent="0.25">
      <c r="A2085" t="s">
        <v>590</v>
      </c>
      <c r="B2085" t="s">
        <v>591</v>
      </c>
      <c r="C2085">
        <v>28</v>
      </c>
      <c r="D2085" t="s">
        <v>56</v>
      </c>
      <c r="E2085">
        <v>72</v>
      </c>
      <c r="F2085">
        <v>185</v>
      </c>
      <c r="G2085" t="s">
        <v>47</v>
      </c>
      <c r="H2085">
        <v>2020</v>
      </c>
      <c r="I2085" t="s">
        <v>33</v>
      </c>
      <c r="J2085">
        <v>12</v>
      </c>
      <c r="K2085">
        <v>3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59</v>
      </c>
      <c r="T2085">
        <v>59</v>
      </c>
      <c r="U2085" s="5">
        <f>IF(Merge1[[#This Row],[team_defense_snaps]]=0, "", Merge1[[#This Row],[defense_snaps]] / Merge1[[#This Row],[team_defense_snaps]])</f>
        <v>0.89393939393939392</v>
      </c>
      <c r="V2085">
        <v>66</v>
      </c>
      <c r="W2085">
        <v>0</v>
      </c>
      <c r="X2085" s="5" t="s">
        <v>29</v>
      </c>
      <c r="Y2085">
        <v>5</v>
      </c>
      <c r="Z2085">
        <v>0</v>
      </c>
      <c r="AA2085" t="s">
        <v>25</v>
      </c>
      <c r="AB2085" t="s">
        <v>26</v>
      </c>
      <c r="AC2085" t="s">
        <v>27</v>
      </c>
      <c r="AD2085" t="s">
        <v>42</v>
      </c>
      <c r="AE2085" t="s">
        <v>25</v>
      </c>
      <c r="AF20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5.0847457627118647E-2</v>
      </c>
      <c r="AG2085" t="s">
        <v>941</v>
      </c>
      <c r="AH2085">
        <v>61</v>
      </c>
      <c r="AI2085" t="s">
        <v>939</v>
      </c>
      <c r="AJ2085">
        <v>4</v>
      </c>
      <c r="AK20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MIN(AJ2085/8, 1) +
  Merge1[[#This Row],[index_defensive_effort]],
  2
)</f>
        <v>1.05</v>
      </c>
    </row>
    <row r="2086" spans="1:37" x14ac:dyDescent="0.25">
      <c r="A2086" t="s">
        <v>590</v>
      </c>
      <c r="B2086" t="s">
        <v>591</v>
      </c>
      <c r="C2086">
        <v>28</v>
      </c>
      <c r="D2086" t="s">
        <v>56</v>
      </c>
      <c r="E2086">
        <v>72</v>
      </c>
      <c r="F2086">
        <v>185</v>
      </c>
      <c r="G2086" t="s">
        <v>47</v>
      </c>
      <c r="H2086">
        <v>2020</v>
      </c>
      <c r="I2086" t="s">
        <v>33</v>
      </c>
      <c r="J2086">
        <v>13</v>
      </c>
      <c r="K2086">
        <v>2</v>
      </c>
      <c r="L2086">
        <v>1</v>
      </c>
      <c r="M2086">
        <v>0</v>
      </c>
      <c r="N2086">
        <v>1</v>
      </c>
      <c r="O2086">
        <v>0</v>
      </c>
      <c r="P2086">
        <v>1</v>
      </c>
      <c r="Q2086">
        <v>0</v>
      </c>
      <c r="R2086">
        <v>0</v>
      </c>
      <c r="S2086">
        <v>72</v>
      </c>
      <c r="T2086">
        <v>72</v>
      </c>
      <c r="U2086" s="5">
        <f>IF(Merge1[[#This Row],[team_defense_snaps]]=0, "", Merge1[[#This Row],[defense_snaps]] / Merge1[[#This Row],[team_defense_snaps]])</f>
        <v>0.98630136986301364</v>
      </c>
      <c r="V2086">
        <v>73</v>
      </c>
      <c r="W2086">
        <v>0</v>
      </c>
      <c r="X2086" s="5" t="s">
        <v>29</v>
      </c>
      <c r="Y2086">
        <v>5</v>
      </c>
      <c r="Z2086">
        <v>0</v>
      </c>
      <c r="AA2086" t="s">
        <v>25</v>
      </c>
      <c r="AB2086" t="s">
        <v>26</v>
      </c>
      <c r="AC2086" t="s">
        <v>27</v>
      </c>
      <c r="AD2086" t="s">
        <v>42</v>
      </c>
      <c r="AE2086" t="s">
        <v>25</v>
      </c>
      <c r="AF20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2086" t="s">
        <v>941</v>
      </c>
      <c r="AH2086">
        <v>50.5</v>
      </c>
      <c r="AI2086" t="s">
        <v>939</v>
      </c>
      <c r="AJ2086">
        <v>5</v>
      </c>
      <c r="AK20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MIN(AJ2086/8, 1) +
  Merge1[[#This Row],[index_defensive_effort]],
  2
)</f>
        <v>1.19</v>
      </c>
    </row>
    <row r="2087" spans="1:37" x14ac:dyDescent="0.25">
      <c r="A2087" t="s">
        <v>590</v>
      </c>
      <c r="B2087" t="s">
        <v>591</v>
      </c>
      <c r="C2087">
        <v>28</v>
      </c>
      <c r="D2087" t="s">
        <v>56</v>
      </c>
      <c r="E2087">
        <v>72</v>
      </c>
      <c r="F2087">
        <v>185</v>
      </c>
      <c r="G2087" t="s">
        <v>47</v>
      </c>
      <c r="H2087">
        <v>2020</v>
      </c>
      <c r="I2087" t="s">
        <v>33</v>
      </c>
      <c r="J2087">
        <v>14</v>
      </c>
      <c r="K2087">
        <v>1</v>
      </c>
      <c r="L2087">
        <v>1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61</v>
      </c>
      <c r="T2087">
        <v>59</v>
      </c>
      <c r="U2087" s="5">
        <f>IF(Merge1[[#This Row],[team_defense_snaps]]=0, "", Merge1[[#This Row],[defense_snaps]] / Merge1[[#This Row],[team_defense_snaps]])</f>
        <v>0.96721311475409832</v>
      </c>
      <c r="V2087">
        <v>61</v>
      </c>
      <c r="W2087">
        <v>2</v>
      </c>
      <c r="X2087" s="5" t="s">
        <v>114</v>
      </c>
      <c r="Y2087">
        <v>5</v>
      </c>
      <c r="Z2087">
        <v>0</v>
      </c>
      <c r="AA2087" t="s">
        <v>25</v>
      </c>
      <c r="AB2087" t="s">
        <v>26</v>
      </c>
      <c r="AC2087" t="s">
        <v>27</v>
      </c>
      <c r="AD2087" t="s">
        <v>42</v>
      </c>
      <c r="AE2087" t="s">
        <v>25</v>
      </c>
      <c r="AF20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2.4590163934426229E-2</v>
      </c>
      <c r="AG2087" t="s">
        <v>941</v>
      </c>
      <c r="AH2087">
        <v>49</v>
      </c>
      <c r="AI2087" t="s">
        <v>938</v>
      </c>
      <c r="AJ2087">
        <v>6</v>
      </c>
      <c r="AK20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MIN(AJ2087/8, 1) +
  Merge1[[#This Row],[index_defensive_effort]],
  2
)</f>
        <v>1.27</v>
      </c>
    </row>
    <row r="2088" spans="1:37" x14ac:dyDescent="0.25">
      <c r="A2088" t="s">
        <v>590</v>
      </c>
      <c r="B2088" t="s">
        <v>591</v>
      </c>
      <c r="C2088">
        <v>28</v>
      </c>
      <c r="D2088" t="s">
        <v>56</v>
      </c>
      <c r="E2088">
        <v>72</v>
      </c>
      <c r="F2088">
        <v>185</v>
      </c>
      <c r="G2088" t="s">
        <v>47</v>
      </c>
      <c r="H2088">
        <v>2020</v>
      </c>
      <c r="I2088" t="s">
        <v>33</v>
      </c>
      <c r="J2088">
        <v>15</v>
      </c>
      <c r="K2088">
        <v>2</v>
      </c>
      <c r="L2088">
        <v>0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32</v>
      </c>
      <c r="T2088">
        <v>32</v>
      </c>
      <c r="U2088" s="5">
        <f>IF(Merge1[[#This Row],[team_defense_snaps]]=0, "", Merge1[[#This Row],[defense_snaps]] / Merge1[[#This Row],[team_defense_snaps]])</f>
        <v>0.59259259259259256</v>
      </c>
      <c r="V2088">
        <v>54</v>
      </c>
      <c r="W2088">
        <v>0</v>
      </c>
      <c r="X2088" s="5" t="s">
        <v>29</v>
      </c>
      <c r="Y2088">
        <v>5</v>
      </c>
      <c r="Z2088">
        <v>0</v>
      </c>
      <c r="AA2088" t="s">
        <v>25</v>
      </c>
      <c r="AB2088" t="s">
        <v>36</v>
      </c>
      <c r="AC2088" t="s">
        <v>50</v>
      </c>
      <c r="AD2088" t="s">
        <v>28</v>
      </c>
      <c r="AE2088" t="s">
        <v>25</v>
      </c>
      <c r="AF20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2088" t="s">
        <v>941</v>
      </c>
      <c r="AH2088">
        <v>55</v>
      </c>
      <c r="AI2088" t="s">
        <v>939</v>
      </c>
      <c r="AJ2088">
        <v>7</v>
      </c>
      <c r="AK20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MIN(AJ2088/8, 1) +
  Merge1[[#This Row],[index_defensive_effort]],
  2
)</f>
        <v>1.5</v>
      </c>
    </row>
    <row r="2089" spans="1:37" x14ac:dyDescent="0.25">
      <c r="A2089" t="s">
        <v>590</v>
      </c>
      <c r="B2089" t="s">
        <v>591</v>
      </c>
      <c r="C2089">
        <v>28</v>
      </c>
      <c r="D2089" t="s">
        <v>56</v>
      </c>
      <c r="E2089">
        <v>72</v>
      </c>
      <c r="F2089">
        <v>185</v>
      </c>
      <c r="G2089" t="s">
        <v>47</v>
      </c>
      <c r="H2089">
        <v>2020</v>
      </c>
      <c r="I2089" t="s">
        <v>33</v>
      </c>
      <c r="J2089">
        <v>16</v>
      </c>
      <c r="K2089">
        <v>1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47</v>
      </c>
      <c r="T2089">
        <v>47</v>
      </c>
      <c r="U2089" s="5">
        <f>IF(Merge1[[#This Row],[team_defense_snaps]]=0, "", Merge1[[#This Row],[defense_snaps]] / Merge1[[#This Row],[team_defense_snaps]])</f>
        <v>0.6619718309859155</v>
      </c>
      <c r="V2089">
        <v>71</v>
      </c>
      <c r="W2089">
        <v>0</v>
      </c>
      <c r="X2089" s="5" t="s">
        <v>29</v>
      </c>
      <c r="Y2089">
        <v>5</v>
      </c>
      <c r="Z2089">
        <v>0</v>
      </c>
      <c r="AA2089" t="s">
        <v>25</v>
      </c>
      <c r="AB2089" t="s">
        <v>26</v>
      </c>
      <c r="AC2089" t="s">
        <v>27</v>
      </c>
      <c r="AD2089" t="s">
        <v>42</v>
      </c>
      <c r="AE2089" t="s">
        <v>25</v>
      </c>
      <c r="AF20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2.1276595744680851E-2</v>
      </c>
      <c r="AG2089" t="s">
        <v>941</v>
      </c>
      <c r="AH2089">
        <v>62.5</v>
      </c>
      <c r="AI2089" t="s">
        <v>939</v>
      </c>
      <c r="AJ2089">
        <v>1</v>
      </c>
      <c r="AK20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MIN(AJ2089/8, 1) +
  Merge1[[#This Row],[index_defensive_effort]],
  2
)</f>
        <v>0.65</v>
      </c>
    </row>
    <row r="2090" spans="1:37" x14ac:dyDescent="0.25">
      <c r="A2090" t="s">
        <v>590</v>
      </c>
      <c r="B2090" t="s">
        <v>591</v>
      </c>
      <c r="C2090">
        <v>28</v>
      </c>
      <c r="D2090" t="s">
        <v>56</v>
      </c>
      <c r="E2090">
        <v>72</v>
      </c>
      <c r="F2090">
        <v>185</v>
      </c>
      <c r="G2090" t="s">
        <v>47</v>
      </c>
      <c r="H2090">
        <v>2020</v>
      </c>
      <c r="I2090" t="s">
        <v>24</v>
      </c>
      <c r="J2090">
        <v>19</v>
      </c>
      <c r="K2090">
        <v>5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49</v>
      </c>
      <c r="T2090">
        <v>49</v>
      </c>
      <c r="U2090" s="5">
        <f>IF(Merge1[[#This Row],[team_defense_snaps]]=0, "", Merge1[[#This Row],[defense_snaps]] / Merge1[[#This Row],[team_defense_snaps]])</f>
        <v>0.73134328358208955</v>
      </c>
      <c r="V2090">
        <v>67</v>
      </c>
      <c r="W2090">
        <v>0</v>
      </c>
      <c r="X2090" s="5" t="s">
        <v>29</v>
      </c>
      <c r="Y2090">
        <v>5</v>
      </c>
      <c r="Z2090">
        <v>0</v>
      </c>
      <c r="AA2090" t="s">
        <v>25</v>
      </c>
      <c r="AB2090" t="s">
        <v>26</v>
      </c>
      <c r="AC2090" t="s">
        <v>27</v>
      </c>
      <c r="AD2090" t="s">
        <v>42</v>
      </c>
      <c r="AE2090" t="s">
        <v>25</v>
      </c>
      <c r="AF20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0.10204081632653061</v>
      </c>
      <c r="AG2090" t="s">
        <v>941</v>
      </c>
      <c r="AH2090">
        <v>52</v>
      </c>
      <c r="AI2090" t="s">
        <v>939</v>
      </c>
      <c r="AJ2090">
        <v>1</v>
      </c>
      <c r="AK20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MIN(AJ2090/8, 1) +
  Merge1[[#This Row],[index_defensive_effort]],
  2
)</f>
        <v>0.93</v>
      </c>
    </row>
    <row r="2091" spans="1:37" x14ac:dyDescent="0.25">
      <c r="A2091" t="s">
        <v>594</v>
      </c>
      <c r="B2091" t="s">
        <v>595</v>
      </c>
      <c r="C2091">
        <v>25</v>
      </c>
      <c r="D2091" t="s">
        <v>56</v>
      </c>
      <c r="E2091">
        <v>75</v>
      </c>
      <c r="F2091">
        <v>200</v>
      </c>
      <c r="G2091" t="s">
        <v>41</v>
      </c>
      <c r="H2091">
        <v>2020</v>
      </c>
      <c r="I2091" t="s">
        <v>33</v>
      </c>
      <c r="J2091">
        <v>1</v>
      </c>
      <c r="K2091">
        <v>4</v>
      </c>
      <c r="L2091">
        <v>1</v>
      </c>
      <c r="M2091">
        <v>0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51</v>
      </c>
      <c r="T2091">
        <v>51</v>
      </c>
      <c r="U2091" s="5">
        <f>IF(Merge1[[#This Row],[team_defense_snaps]]=0, "", Merge1[[#This Row],[defense_snaps]] / Merge1[[#This Row],[team_defense_snaps]])</f>
        <v>0.98076923076923073</v>
      </c>
      <c r="V2091">
        <v>52</v>
      </c>
      <c r="W2091">
        <v>0</v>
      </c>
      <c r="X2091" s="5" t="s">
        <v>29</v>
      </c>
      <c r="Y2091">
        <v>3</v>
      </c>
      <c r="Z2091">
        <v>0</v>
      </c>
      <c r="AA2091" t="s">
        <v>25</v>
      </c>
      <c r="AB2091" t="s">
        <v>26</v>
      </c>
      <c r="AC2091" t="s">
        <v>27</v>
      </c>
      <c r="AD2091" t="s">
        <v>42</v>
      </c>
      <c r="AE2091" t="s">
        <v>25</v>
      </c>
      <c r="AF20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8.8235294117647065E-2</v>
      </c>
      <c r="AG2091" t="s">
        <v>943</v>
      </c>
      <c r="AH2091">
        <v>62</v>
      </c>
      <c r="AI2091" t="s">
        <v>939</v>
      </c>
      <c r="AJ2091">
        <v>2</v>
      </c>
      <c r="AK20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MIN(AJ2091/8, 1) +
  Merge1[[#This Row],[index_defensive_effort]],
  2
)</f>
        <v>0.74</v>
      </c>
    </row>
    <row r="2092" spans="1:37" x14ac:dyDescent="0.25">
      <c r="A2092" t="s">
        <v>594</v>
      </c>
      <c r="B2092" t="s">
        <v>595</v>
      </c>
      <c r="C2092">
        <v>25</v>
      </c>
      <c r="D2092" t="s">
        <v>56</v>
      </c>
      <c r="E2092">
        <v>75</v>
      </c>
      <c r="F2092">
        <v>200</v>
      </c>
      <c r="G2092" t="s">
        <v>41</v>
      </c>
      <c r="H2092">
        <v>2020</v>
      </c>
      <c r="I2092" t="s">
        <v>33</v>
      </c>
      <c r="J2092">
        <v>2</v>
      </c>
      <c r="K2092">
        <v>3</v>
      </c>
      <c r="L2092">
        <v>1</v>
      </c>
      <c r="M2092">
        <v>0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54</v>
      </c>
      <c r="T2092">
        <v>53</v>
      </c>
      <c r="U2092" s="5">
        <f>IF(Merge1[[#This Row],[team_defense_snaps]]=0, "", Merge1[[#This Row],[defense_snaps]] / Merge1[[#This Row],[team_defense_snaps]])</f>
        <v>0.85483870967741937</v>
      </c>
      <c r="V2092">
        <v>62</v>
      </c>
      <c r="W2092">
        <v>1</v>
      </c>
      <c r="X2092" s="5" t="s">
        <v>303</v>
      </c>
      <c r="Y2092">
        <v>3</v>
      </c>
      <c r="Z2092">
        <v>0</v>
      </c>
      <c r="AA2092" t="s">
        <v>25</v>
      </c>
      <c r="AB2092" t="s">
        <v>26</v>
      </c>
      <c r="AC2092" t="s">
        <v>27</v>
      </c>
      <c r="AD2092" t="s">
        <v>42</v>
      </c>
      <c r="AE2092" t="s">
        <v>25</v>
      </c>
      <c r="AF20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6.4814814814814811E-2</v>
      </c>
      <c r="AG2092" t="s">
        <v>943</v>
      </c>
      <c r="AH2092">
        <v>48.5</v>
      </c>
      <c r="AI2092" t="s">
        <v>939</v>
      </c>
      <c r="AJ2092">
        <v>3</v>
      </c>
      <c r="AK20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MIN(AJ2092/8, 1) +
  Merge1[[#This Row],[index_defensive_effort]],
  2
)</f>
        <v>0.84</v>
      </c>
    </row>
    <row r="2093" spans="1:37" x14ac:dyDescent="0.25">
      <c r="A2093" t="s">
        <v>594</v>
      </c>
      <c r="B2093" t="s">
        <v>595</v>
      </c>
      <c r="C2093">
        <v>25</v>
      </c>
      <c r="D2093" t="s">
        <v>56</v>
      </c>
      <c r="E2093">
        <v>75</v>
      </c>
      <c r="F2093">
        <v>200</v>
      </c>
      <c r="G2093" t="s">
        <v>41</v>
      </c>
      <c r="H2093">
        <v>2020</v>
      </c>
      <c r="I2093" t="s">
        <v>33</v>
      </c>
      <c r="J2093">
        <v>3</v>
      </c>
      <c r="K2093">
        <v>3</v>
      </c>
      <c r="L2093">
        <v>1</v>
      </c>
      <c r="M2093">
        <v>0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63</v>
      </c>
      <c r="T2093">
        <v>61</v>
      </c>
      <c r="U2093" s="5">
        <f>IF(Merge1[[#This Row],[team_defense_snaps]]=0, "", Merge1[[#This Row],[defense_snaps]] / Merge1[[#This Row],[team_defense_snaps]])</f>
        <v>0.9838709677419355</v>
      </c>
      <c r="V2093">
        <v>62</v>
      </c>
      <c r="W2093">
        <v>2</v>
      </c>
      <c r="X2093" s="5" t="s">
        <v>114</v>
      </c>
      <c r="Y2093">
        <v>3</v>
      </c>
      <c r="Z2093">
        <v>0</v>
      </c>
      <c r="AA2093" t="s">
        <v>25</v>
      </c>
      <c r="AB2093" t="s">
        <v>26</v>
      </c>
      <c r="AC2093" t="s">
        <v>27</v>
      </c>
      <c r="AD2093" t="s">
        <v>42</v>
      </c>
      <c r="AE2093" t="s">
        <v>25</v>
      </c>
      <c r="AF20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2093" t="s">
        <v>943</v>
      </c>
      <c r="AH2093">
        <v>45.5</v>
      </c>
      <c r="AI2093" t="s">
        <v>939</v>
      </c>
      <c r="AJ2093">
        <v>4</v>
      </c>
      <c r="AK20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MIN(AJ2093/8, 1) +
  Merge1[[#This Row],[index_defensive_effort]],
  2
)</f>
        <v>0.96</v>
      </c>
    </row>
    <row r="2094" spans="1:37" x14ac:dyDescent="0.25">
      <c r="A2094" t="s">
        <v>594</v>
      </c>
      <c r="B2094" t="s">
        <v>595</v>
      </c>
      <c r="C2094">
        <v>25</v>
      </c>
      <c r="D2094" t="s">
        <v>56</v>
      </c>
      <c r="E2094">
        <v>75</v>
      </c>
      <c r="F2094">
        <v>200</v>
      </c>
      <c r="G2094" t="s">
        <v>41</v>
      </c>
      <c r="H2094">
        <v>2020</v>
      </c>
      <c r="I2094" t="s">
        <v>33</v>
      </c>
      <c r="J2094">
        <v>4</v>
      </c>
      <c r="K2094">
        <v>2</v>
      </c>
      <c r="L2094">
        <v>1</v>
      </c>
      <c r="M2094">
        <v>0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30</v>
      </c>
      <c r="T2094">
        <v>30</v>
      </c>
      <c r="U2094" s="5">
        <f>IF(Merge1[[#This Row],[team_defense_snaps]]=0, "", Merge1[[#This Row],[defense_snaps]] / Merge1[[#This Row],[team_defense_snaps]])</f>
        <v>0.4</v>
      </c>
      <c r="V2094">
        <v>75</v>
      </c>
      <c r="W2094">
        <v>0</v>
      </c>
      <c r="X2094" s="5" t="s">
        <v>29</v>
      </c>
      <c r="Y2094">
        <v>3</v>
      </c>
      <c r="Z2094">
        <v>0</v>
      </c>
      <c r="AA2094" t="s">
        <v>25</v>
      </c>
      <c r="AB2094" t="s">
        <v>26</v>
      </c>
      <c r="AC2094" t="s">
        <v>27</v>
      </c>
      <c r="AD2094" t="s">
        <v>42</v>
      </c>
      <c r="AE2094" t="s">
        <v>25</v>
      </c>
      <c r="AF20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2094" t="s">
        <v>943</v>
      </c>
      <c r="AH2094">
        <v>60.5</v>
      </c>
      <c r="AI2094" t="s">
        <v>939</v>
      </c>
      <c r="AJ2094">
        <v>1</v>
      </c>
      <c r="AK20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MIN(AJ2094/8, 1) +
  Merge1[[#This Row],[index_defensive_effort]],
  2
)</f>
        <v>0.61</v>
      </c>
    </row>
    <row r="2095" spans="1:37" x14ac:dyDescent="0.25">
      <c r="A2095" t="s">
        <v>594</v>
      </c>
      <c r="B2095" t="s">
        <v>595</v>
      </c>
      <c r="C2095">
        <v>25</v>
      </c>
      <c r="D2095" t="s">
        <v>56</v>
      </c>
      <c r="E2095">
        <v>75</v>
      </c>
      <c r="F2095">
        <v>200</v>
      </c>
      <c r="G2095" t="s">
        <v>41</v>
      </c>
      <c r="H2095">
        <v>2020</v>
      </c>
      <c r="I2095" t="s">
        <v>33</v>
      </c>
      <c r="J2095">
        <v>11</v>
      </c>
      <c r="K2095">
        <v>5</v>
      </c>
      <c r="L2095">
        <v>2</v>
      </c>
      <c r="M2095">
        <v>1</v>
      </c>
      <c r="N2095">
        <v>3</v>
      </c>
      <c r="O2095">
        <v>0</v>
      </c>
      <c r="P2095">
        <v>0</v>
      </c>
      <c r="Q2095">
        <v>0</v>
      </c>
      <c r="R2095">
        <v>0</v>
      </c>
      <c r="S2095">
        <v>84</v>
      </c>
      <c r="T2095">
        <v>84</v>
      </c>
      <c r="U2095" s="5">
        <f>IF(Merge1[[#This Row],[team_defense_snaps]]=0, "", Merge1[[#This Row],[defense_snaps]] / Merge1[[#This Row],[team_defense_snaps]])</f>
        <v>1</v>
      </c>
      <c r="V2095">
        <v>84</v>
      </c>
      <c r="W2095">
        <v>0</v>
      </c>
      <c r="X2095" s="5" t="s">
        <v>29</v>
      </c>
      <c r="Y2095">
        <v>3</v>
      </c>
      <c r="Z2095">
        <v>0</v>
      </c>
      <c r="AA2095" t="s">
        <v>25</v>
      </c>
      <c r="AB2095" t="s">
        <v>36</v>
      </c>
      <c r="AC2095" t="s">
        <v>539</v>
      </c>
      <c r="AD2095" t="s">
        <v>42</v>
      </c>
      <c r="AE2095" t="s">
        <v>25</v>
      </c>
      <c r="AF20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7.7380952380952384E-2</v>
      </c>
      <c r="AG2095" t="s">
        <v>943</v>
      </c>
      <c r="AH2095">
        <v>45</v>
      </c>
      <c r="AI2095" t="s">
        <v>939</v>
      </c>
      <c r="AJ2095">
        <v>2</v>
      </c>
      <c r="AK20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MIN(AJ2095/8, 1) +
  Merge1[[#This Row],[index_defensive_effort]],
  2
)</f>
        <v>0.73</v>
      </c>
    </row>
    <row r="2096" spans="1:37" x14ac:dyDescent="0.25">
      <c r="A2096" t="s">
        <v>594</v>
      </c>
      <c r="B2096" t="s">
        <v>595</v>
      </c>
      <c r="C2096">
        <v>25</v>
      </c>
      <c r="D2096" t="s">
        <v>56</v>
      </c>
      <c r="E2096">
        <v>75</v>
      </c>
      <c r="F2096">
        <v>200</v>
      </c>
      <c r="G2096" t="s">
        <v>41</v>
      </c>
      <c r="H2096">
        <v>2020</v>
      </c>
      <c r="I2096" t="s">
        <v>33</v>
      </c>
      <c r="J2096">
        <v>12</v>
      </c>
      <c r="K2096">
        <v>3</v>
      </c>
      <c r="L2096">
        <v>1</v>
      </c>
      <c r="M2096">
        <v>0</v>
      </c>
      <c r="N2096">
        <v>1</v>
      </c>
      <c r="O2096">
        <v>0</v>
      </c>
      <c r="P2096">
        <v>1</v>
      </c>
      <c r="Q2096">
        <v>0</v>
      </c>
      <c r="R2096">
        <v>0</v>
      </c>
      <c r="S2096">
        <v>66</v>
      </c>
      <c r="T2096">
        <v>66</v>
      </c>
      <c r="U2096" s="5">
        <f>IF(Merge1[[#This Row],[team_defense_snaps]]=0, "", Merge1[[#This Row],[defense_snaps]] / Merge1[[#This Row],[team_defense_snaps]])</f>
        <v>0.97058823529411764</v>
      </c>
      <c r="V2096">
        <v>68</v>
      </c>
      <c r="W2096">
        <v>0</v>
      </c>
      <c r="X2096" s="5" t="s">
        <v>29</v>
      </c>
      <c r="Y2096">
        <v>3</v>
      </c>
      <c r="Z2096">
        <v>0</v>
      </c>
      <c r="AA2096" t="s">
        <v>25</v>
      </c>
      <c r="AB2096" t="s">
        <v>36</v>
      </c>
      <c r="AC2096" t="s">
        <v>539</v>
      </c>
      <c r="AD2096" t="s">
        <v>42</v>
      </c>
      <c r="AE2096" t="s">
        <v>25</v>
      </c>
      <c r="AF20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2096" t="s">
        <v>943</v>
      </c>
      <c r="AH2096">
        <v>50</v>
      </c>
      <c r="AI2096" t="s">
        <v>939</v>
      </c>
      <c r="AJ2096">
        <v>3</v>
      </c>
      <c r="AK20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MIN(AJ2096/8, 1) +
  Merge1[[#This Row],[index_defensive_effort]],
  2
)</f>
        <v>0.86</v>
      </c>
    </row>
    <row r="2097" spans="1:37" x14ac:dyDescent="0.25">
      <c r="A2097" t="s">
        <v>594</v>
      </c>
      <c r="B2097" t="s">
        <v>595</v>
      </c>
      <c r="C2097">
        <v>25</v>
      </c>
      <c r="D2097" t="s">
        <v>56</v>
      </c>
      <c r="E2097">
        <v>75</v>
      </c>
      <c r="F2097">
        <v>200</v>
      </c>
      <c r="G2097" t="s">
        <v>41</v>
      </c>
      <c r="H2097">
        <v>2020</v>
      </c>
      <c r="I2097" t="s">
        <v>33</v>
      </c>
      <c r="J2097">
        <v>13</v>
      </c>
      <c r="K2097">
        <v>5</v>
      </c>
      <c r="L2097">
        <v>0</v>
      </c>
      <c r="M2097">
        <v>0</v>
      </c>
      <c r="N2097">
        <v>0</v>
      </c>
      <c r="O2097">
        <v>0</v>
      </c>
      <c r="P2097">
        <v>2</v>
      </c>
      <c r="Q2097">
        <v>0</v>
      </c>
      <c r="R2097">
        <v>0</v>
      </c>
      <c r="S2097">
        <v>60</v>
      </c>
      <c r="T2097">
        <v>59</v>
      </c>
      <c r="U2097" s="5">
        <f>IF(Merge1[[#This Row],[team_defense_snaps]]=0, "", Merge1[[#This Row],[defense_snaps]] / Merge1[[#This Row],[team_defense_snaps]])</f>
        <v>0.95161290322580649</v>
      </c>
      <c r="V2097">
        <v>62</v>
      </c>
      <c r="W2097">
        <v>1</v>
      </c>
      <c r="X2097" s="5" t="s">
        <v>193</v>
      </c>
      <c r="Y2097">
        <v>3</v>
      </c>
      <c r="Z2097">
        <v>0</v>
      </c>
      <c r="AA2097" t="s">
        <v>25</v>
      </c>
      <c r="AB2097" t="s">
        <v>26</v>
      </c>
      <c r="AC2097" t="s">
        <v>27</v>
      </c>
      <c r="AD2097" t="s">
        <v>42</v>
      </c>
      <c r="AE2097" t="s">
        <v>25</v>
      </c>
      <c r="AF20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</v>
      </c>
      <c r="AG2097" t="s">
        <v>943</v>
      </c>
      <c r="AH2097">
        <v>44</v>
      </c>
      <c r="AI2097" t="s">
        <v>939</v>
      </c>
      <c r="AJ2097">
        <v>4</v>
      </c>
      <c r="AK20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MIN(AJ2097/8, 1) +
  Merge1[[#This Row],[index_defensive_effort]],
  2
)</f>
        <v>1.05</v>
      </c>
    </row>
    <row r="2098" spans="1:37" x14ac:dyDescent="0.25">
      <c r="A2098" t="s">
        <v>594</v>
      </c>
      <c r="B2098" t="s">
        <v>595</v>
      </c>
      <c r="C2098">
        <v>25</v>
      </c>
      <c r="D2098" t="s">
        <v>56</v>
      </c>
      <c r="E2098">
        <v>75</v>
      </c>
      <c r="F2098">
        <v>200</v>
      </c>
      <c r="G2098" t="s">
        <v>41</v>
      </c>
      <c r="H2098">
        <v>2020</v>
      </c>
      <c r="I2098" t="s">
        <v>33</v>
      </c>
      <c r="J2098">
        <v>14</v>
      </c>
      <c r="K2098">
        <v>5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65</v>
      </c>
      <c r="T2098">
        <v>65</v>
      </c>
      <c r="U2098" s="5">
        <f>IF(Merge1[[#This Row],[team_defense_snaps]]=0, "", Merge1[[#This Row],[defense_snaps]] / Merge1[[#This Row],[team_defense_snaps]])</f>
        <v>0.95588235294117652</v>
      </c>
      <c r="V2098">
        <v>68</v>
      </c>
      <c r="W2098">
        <v>0</v>
      </c>
      <c r="X2098" s="5" t="s">
        <v>29</v>
      </c>
      <c r="Y2098">
        <v>3</v>
      </c>
      <c r="Z2098">
        <v>0</v>
      </c>
      <c r="AA2098" t="s">
        <v>25</v>
      </c>
      <c r="AB2098" t="s">
        <v>26</v>
      </c>
      <c r="AC2098" t="s">
        <v>27</v>
      </c>
      <c r="AD2098" t="s">
        <v>42</v>
      </c>
      <c r="AE2098" t="s">
        <v>25</v>
      </c>
      <c r="AF20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7.6923076923076927E-2</v>
      </c>
      <c r="AG2098" t="s">
        <v>943</v>
      </c>
      <c r="AH2098">
        <v>47</v>
      </c>
      <c r="AI2098" t="s">
        <v>939</v>
      </c>
      <c r="AJ2098">
        <v>5</v>
      </c>
      <c r="AK20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MIN(AJ2098/8, 1) +
  Merge1[[#This Row],[index_defensive_effort]],
  2
)</f>
        <v>1.1000000000000001</v>
      </c>
    </row>
    <row r="2099" spans="1:37" x14ac:dyDescent="0.25">
      <c r="A2099" t="s">
        <v>594</v>
      </c>
      <c r="B2099" t="s">
        <v>595</v>
      </c>
      <c r="C2099">
        <v>25</v>
      </c>
      <c r="D2099" t="s">
        <v>56</v>
      </c>
      <c r="E2099">
        <v>75</v>
      </c>
      <c r="F2099">
        <v>200</v>
      </c>
      <c r="G2099" t="s">
        <v>41</v>
      </c>
      <c r="H2099">
        <v>2020</v>
      </c>
      <c r="I2099" t="s">
        <v>33</v>
      </c>
      <c r="J2099">
        <v>15</v>
      </c>
      <c r="K2099">
        <v>6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2</v>
      </c>
      <c r="S2099">
        <v>71</v>
      </c>
      <c r="T2099">
        <v>69</v>
      </c>
      <c r="U2099" s="5">
        <f>IF(Merge1[[#This Row],[team_defense_snaps]]=0, "", Merge1[[#This Row],[defense_snaps]] / Merge1[[#This Row],[team_defense_snaps]])</f>
        <v>0.971830985915493</v>
      </c>
      <c r="V2099">
        <v>71</v>
      </c>
      <c r="W2099">
        <v>2</v>
      </c>
      <c r="X2099" s="5" t="s">
        <v>208</v>
      </c>
      <c r="Y2099">
        <v>3</v>
      </c>
      <c r="Z2099">
        <v>0</v>
      </c>
      <c r="AA2099" t="s">
        <v>25</v>
      </c>
      <c r="AB2099" t="s">
        <v>26</v>
      </c>
      <c r="AC2099" t="s">
        <v>27</v>
      </c>
      <c r="AD2099" t="s">
        <v>42</v>
      </c>
      <c r="AE2099" t="s">
        <v>25</v>
      </c>
      <c r="AF20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0.14084507042253522</v>
      </c>
      <c r="AG2099" t="s">
        <v>943</v>
      </c>
      <c r="AH2099">
        <v>41</v>
      </c>
      <c r="AI2099" t="s">
        <v>939</v>
      </c>
      <c r="AJ2099">
        <v>6</v>
      </c>
      <c r="AK20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MIN(AJ2099/8, 1) +
  Merge1[[#This Row],[index_defensive_effort]],
  2
)</f>
        <v>1.29</v>
      </c>
    </row>
    <row r="2100" spans="1:37" x14ac:dyDescent="0.25">
      <c r="A2100" t="s">
        <v>594</v>
      </c>
      <c r="B2100" t="s">
        <v>595</v>
      </c>
      <c r="C2100">
        <v>25</v>
      </c>
      <c r="D2100" t="s">
        <v>56</v>
      </c>
      <c r="E2100">
        <v>75</v>
      </c>
      <c r="F2100">
        <v>200</v>
      </c>
      <c r="G2100" t="s">
        <v>41</v>
      </c>
      <c r="H2100">
        <v>2020</v>
      </c>
      <c r="I2100" t="s">
        <v>33</v>
      </c>
      <c r="J2100">
        <v>16</v>
      </c>
      <c r="K2100">
        <v>1</v>
      </c>
      <c r="L2100">
        <v>3</v>
      </c>
      <c r="M2100">
        <v>2</v>
      </c>
      <c r="N2100">
        <v>5</v>
      </c>
      <c r="O2100">
        <v>0</v>
      </c>
      <c r="P2100">
        <v>1</v>
      </c>
      <c r="Q2100">
        <v>0</v>
      </c>
      <c r="R2100">
        <v>0</v>
      </c>
      <c r="S2100">
        <v>53</v>
      </c>
      <c r="T2100">
        <v>52</v>
      </c>
      <c r="U2100" s="5">
        <f>IF(Merge1[[#This Row],[team_defense_snaps]]=0, "", Merge1[[#This Row],[defense_snaps]] / Merge1[[#This Row],[team_defense_snaps]])</f>
        <v>0.94545454545454544</v>
      </c>
      <c r="V2100">
        <v>55</v>
      </c>
      <c r="W2100">
        <v>1</v>
      </c>
      <c r="X2100" s="5" t="s">
        <v>34</v>
      </c>
      <c r="Y2100">
        <v>3</v>
      </c>
      <c r="Z2100">
        <v>0</v>
      </c>
      <c r="AA2100" t="s">
        <v>25</v>
      </c>
      <c r="AB2100" t="s">
        <v>26</v>
      </c>
      <c r="AC2100" t="s">
        <v>27</v>
      </c>
      <c r="AD2100" t="s">
        <v>42</v>
      </c>
      <c r="AE2100" t="s">
        <v>25</v>
      </c>
      <c r="AF21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0.10377358490566038</v>
      </c>
      <c r="AG2100" t="s">
        <v>943</v>
      </c>
      <c r="AH2100">
        <v>65</v>
      </c>
      <c r="AI2100" t="s">
        <v>939</v>
      </c>
      <c r="AJ2100">
        <v>7</v>
      </c>
      <c r="AK21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MIN(AJ2100/8, 1) +
  Merge1[[#This Row],[index_defensive_effort]],
  2
)</f>
        <v>1.38</v>
      </c>
    </row>
    <row r="2101" spans="1:37" x14ac:dyDescent="0.25">
      <c r="A2101" t="s">
        <v>594</v>
      </c>
      <c r="B2101" t="s">
        <v>595</v>
      </c>
      <c r="C2101">
        <v>25</v>
      </c>
      <c r="D2101" t="s">
        <v>56</v>
      </c>
      <c r="E2101">
        <v>75</v>
      </c>
      <c r="F2101">
        <v>200</v>
      </c>
      <c r="G2101" t="s">
        <v>41</v>
      </c>
      <c r="H2101">
        <v>2020</v>
      </c>
      <c r="I2101" t="s">
        <v>33</v>
      </c>
      <c r="J2101">
        <v>17</v>
      </c>
      <c r="K2101">
        <v>7</v>
      </c>
      <c r="L2101">
        <v>3</v>
      </c>
      <c r="M2101">
        <v>0</v>
      </c>
      <c r="N2101">
        <v>3</v>
      </c>
      <c r="O2101">
        <v>0</v>
      </c>
      <c r="P2101">
        <v>0</v>
      </c>
      <c r="Q2101">
        <v>0</v>
      </c>
      <c r="R2101">
        <v>0</v>
      </c>
      <c r="S2101">
        <v>74</v>
      </c>
      <c r="T2101">
        <v>74</v>
      </c>
      <c r="U2101" s="5">
        <f>IF(Merge1[[#This Row],[team_defense_snaps]]=0, "", Merge1[[#This Row],[defense_snaps]] / Merge1[[#This Row],[team_defense_snaps]])</f>
        <v>0.98666666666666669</v>
      </c>
      <c r="V2101">
        <v>75</v>
      </c>
      <c r="W2101">
        <v>0</v>
      </c>
      <c r="X2101" s="5" t="s">
        <v>29</v>
      </c>
      <c r="Y2101">
        <v>3</v>
      </c>
      <c r="Z2101">
        <v>0</v>
      </c>
      <c r="AA2101" t="s">
        <v>25</v>
      </c>
      <c r="AB2101" t="s">
        <v>26</v>
      </c>
      <c r="AC2101" t="s">
        <v>27</v>
      </c>
      <c r="AD2101" t="s">
        <v>42</v>
      </c>
      <c r="AE2101" t="s">
        <v>25</v>
      </c>
      <c r="AF21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0.11486486486486487</v>
      </c>
      <c r="AG2101" t="s">
        <v>943</v>
      </c>
      <c r="AH2101">
        <v>45</v>
      </c>
      <c r="AI2101" t="s">
        <v>939</v>
      </c>
      <c r="AJ2101">
        <v>1</v>
      </c>
      <c r="AK21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MIN(AJ2101/8, 1) +
  Merge1[[#This Row],[index_defensive_effort]],
  2
)</f>
        <v>0.64</v>
      </c>
    </row>
    <row r="2102" spans="1:37" x14ac:dyDescent="0.25">
      <c r="A2102" t="s">
        <v>594</v>
      </c>
      <c r="B2102" t="s">
        <v>595</v>
      </c>
      <c r="C2102">
        <v>25</v>
      </c>
      <c r="D2102" t="s">
        <v>56</v>
      </c>
      <c r="E2102">
        <v>75</v>
      </c>
      <c r="F2102">
        <v>200</v>
      </c>
      <c r="G2102" t="s">
        <v>41</v>
      </c>
      <c r="H2102">
        <v>2020</v>
      </c>
      <c r="I2102" t="s">
        <v>24</v>
      </c>
      <c r="J2102">
        <v>19</v>
      </c>
      <c r="K2102">
        <v>5</v>
      </c>
      <c r="L2102">
        <v>3</v>
      </c>
      <c r="M2102">
        <v>0</v>
      </c>
      <c r="N2102">
        <v>3</v>
      </c>
      <c r="O2102">
        <v>0</v>
      </c>
      <c r="P2102">
        <v>1</v>
      </c>
      <c r="Q2102">
        <v>0</v>
      </c>
      <c r="R2102">
        <v>0</v>
      </c>
      <c r="S2102">
        <v>51</v>
      </c>
      <c r="T2102">
        <v>51</v>
      </c>
      <c r="U2102" s="5">
        <f>IF(Merge1[[#This Row],[team_defense_snaps]]=0, "", Merge1[[#This Row],[defense_snaps]] / Merge1[[#This Row],[team_defense_snaps]])</f>
        <v>1</v>
      </c>
      <c r="V2102">
        <v>51</v>
      </c>
      <c r="W2102">
        <v>0</v>
      </c>
      <c r="X2102" s="5" t="s">
        <v>29</v>
      </c>
      <c r="Y2102">
        <v>3</v>
      </c>
      <c r="Z2102">
        <v>0</v>
      </c>
      <c r="AA2102" t="s">
        <v>25</v>
      </c>
      <c r="AB2102" t="s">
        <v>26</v>
      </c>
      <c r="AC2102" t="s">
        <v>27</v>
      </c>
      <c r="AD2102" t="s">
        <v>42</v>
      </c>
      <c r="AE2102" t="s">
        <v>25</v>
      </c>
      <c r="AF21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AG2102" t="s">
        <v>943</v>
      </c>
      <c r="AH2102">
        <v>42.5</v>
      </c>
      <c r="AI2102" t="s">
        <v>939</v>
      </c>
      <c r="AJ2102">
        <v>2</v>
      </c>
      <c r="AK21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MIN(AJ2102/8, 1) +
  Merge1[[#This Row],[index_defensive_effort]],
  2
)</f>
        <v>1.02</v>
      </c>
    </row>
    <row r="2103" spans="1:37" x14ac:dyDescent="0.25">
      <c r="A2103" t="s">
        <v>594</v>
      </c>
      <c r="B2103" t="s">
        <v>595</v>
      </c>
      <c r="C2103">
        <v>25</v>
      </c>
      <c r="D2103" t="s">
        <v>56</v>
      </c>
      <c r="E2103">
        <v>75</v>
      </c>
      <c r="F2103">
        <v>200</v>
      </c>
      <c r="G2103" t="s">
        <v>41</v>
      </c>
      <c r="H2103">
        <v>2020</v>
      </c>
      <c r="I2103" t="s">
        <v>24</v>
      </c>
      <c r="J2103">
        <v>20</v>
      </c>
      <c r="K2103">
        <v>5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62</v>
      </c>
      <c r="T2103">
        <v>62</v>
      </c>
      <c r="U2103" s="5">
        <f>IF(Merge1[[#This Row],[team_defense_snaps]]=0, "", Merge1[[#This Row],[defense_snaps]] / Merge1[[#This Row],[team_defense_snaps]])</f>
        <v>0.9538461538461539</v>
      </c>
      <c r="V2103">
        <v>65</v>
      </c>
      <c r="W2103">
        <v>0</v>
      </c>
      <c r="X2103" s="5" t="s">
        <v>29</v>
      </c>
      <c r="Y2103">
        <v>3</v>
      </c>
      <c r="Z2103">
        <v>0</v>
      </c>
      <c r="AA2103" t="s">
        <v>25</v>
      </c>
      <c r="AB2103" t="s">
        <v>36</v>
      </c>
      <c r="AC2103" t="s">
        <v>163</v>
      </c>
      <c r="AD2103" t="s">
        <v>42</v>
      </c>
      <c r="AE2103" t="s">
        <v>25</v>
      </c>
      <c r="AF21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8.0645161290322578E-2</v>
      </c>
      <c r="AG2103" t="s">
        <v>943</v>
      </c>
      <c r="AH2103">
        <v>63.5</v>
      </c>
      <c r="AI2103" t="s">
        <v>939</v>
      </c>
      <c r="AJ2103">
        <v>1</v>
      </c>
      <c r="AK21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MIN(AJ2103/8, 1) +
  Merge1[[#This Row],[index_defensive_effort]],
  2
)</f>
        <v>0.81</v>
      </c>
    </row>
    <row r="2104" spans="1:37" x14ac:dyDescent="0.25">
      <c r="A2104" t="s">
        <v>604</v>
      </c>
      <c r="B2104" t="s">
        <v>605</v>
      </c>
      <c r="C2104">
        <v>26</v>
      </c>
      <c r="D2104" t="s">
        <v>56</v>
      </c>
      <c r="E2104">
        <v>71</v>
      </c>
      <c r="F2104">
        <v>185</v>
      </c>
      <c r="G2104" t="s">
        <v>153</v>
      </c>
      <c r="H2104">
        <v>2020</v>
      </c>
      <c r="I2104" t="s">
        <v>33</v>
      </c>
      <c r="J2104">
        <v>9</v>
      </c>
      <c r="K2104">
        <v>1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17</v>
      </c>
      <c r="T2104">
        <v>15</v>
      </c>
      <c r="U2104" s="5">
        <f>IF(Merge1[[#This Row],[team_defense_snaps]]=0, "", Merge1[[#This Row],[defense_snaps]] / Merge1[[#This Row],[team_defense_snaps]])</f>
        <v>0.24590163934426229</v>
      </c>
      <c r="V2104">
        <v>61</v>
      </c>
      <c r="W2104">
        <v>2</v>
      </c>
      <c r="X2104" s="5" t="s">
        <v>208</v>
      </c>
      <c r="Y2104">
        <v>4</v>
      </c>
      <c r="Z2104">
        <v>0</v>
      </c>
      <c r="AA2104" t="s">
        <v>25</v>
      </c>
      <c r="AB2104" t="s">
        <v>26</v>
      </c>
      <c r="AC2104" t="s">
        <v>27</v>
      </c>
      <c r="AD2104" t="s">
        <v>42</v>
      </c>
      <c r="AE2104" t="s">
        <v>25</v>
      </c>
      <c r="AF21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AG2104" t="s">
        <v>941</v>
      </c>
      <c r="AH2104">
        <v>72.5</v>
      </c>
      <c r="AI2104" t="s">
        <v>939</v>
      </c>
      <c r="AJ2104">
        <v>1</v>
      </c>
      <c r="AK21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MIN(AJ2104/8, 1) +
  Merge1[[#This Row],[index_defensive_effort]],
  2
)</f>
        <v>0.68</v>
      </c>
    </row>
    <row r="2105" spans="1:37" x14ac:dyDescent="0.25">
      <c r="A2105" t="s">
        <v>604</v>
      </c>
      <c r="B2105" t="s">
        <v>605</v>
      </c>
      <c r="C2105">
        <v>26</v>
      </c>
      <c r="D2105" t="s">
        <v>56</v>
      </c>
      <c r="E2105">
        <v>71</v>
      </c>
      <c r="F2105">
        <v>185</v>
      </c>
      <c r="G2105" t="s">
        <v>153</v>
      </c>
      <c r="H2105">
        <v>2020</v>
      </c>
      <c r="I2105" t="s">
        <v>33</v>
      </c>
      <c r="J2105">
        <v>16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28</v>
      </c>
      <c r="T2105">
        <v>19</v>
      </c>
      <c r="U2105" s="5">
        <f>IF(Merge1[[#This Row],[team_defense_snaps]]=0, "", Merge1[[#This Row],[defense_snaps]] / Merge1[[#This Row],[team_defense_snaps]])</f>
        <v>0.33333333333333331</v>
      </c>
      <c r="V2105">
        <v>57</v>
      </c>
      <c r="W2105">
        <v>9</v>
      </c>
      <c r="X2105" s="5" t="s">
        <v>158</v>
      </c>
      <c r="Y2105">
        <v>4</v>
      </c>
      <c r="Z2105">
        <v>0</v>
      </c>
      <c r="AA2105" t="s">
        <v>25</v>
      </c>
      <c r="AB2105" t="s">
        <v>26</v>
      </c>
      <c r="AC2105" t="s">
        <v>27</v>
      </c>
      <c r="AD2105" t="s">
        <v>28</v>
      </c>
      <c r="AE2105" t="s">
        <v>25</v>
      </c>
      <c r="AF21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105" t="s">
        <v>941</v>
      </c>
      <c r="AH2105">
        <v>83</v>
      </c>
      <c r="AI2105" t="s">
        <v>939</v>
      </c>
      <c r="AJ2105">
        <v>1</v>
      </c>
      <c r="AK21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MIN(AJ2105/8, 1) +
  Merge1[[#This Row],[index_defensive_effort]],
  2
)</f>
        <v>0.63</v>
      </c>
    </row>
    <row r="2106" spans="1:37" x14ac:dyDescent="0.25">
      <c r="A2106" t="s">
        <v>610</v>
      </c>
      <c r="B2106" t="s">
        <v>611</v>
      </c>
      <c r="C2106">
        <v>25</v>
      </c>
      <c r="D2106" t="s">
        <v>56</v>
      </c>
      <c r="E2106">
        <v>74</v>
      </c>
      <c r="F2106">
        <v>192</v>
      </c>
      <c r="G2106" t="s">
        <v>67</v>
      </c>
      <c r="H2106">
        <v>2020</v>
      </c>
      <c r="I2106" t="s">
        <v>33</v>
      </c>
      <c r="J2106">
        <v>9</v>
      </c>
      <c r="K2106">
        <v>2</v>
      </c>
      <c r="L2106">
        <v>1</v>
      </c>
      <c r="M2106">
        <v>0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22</v>
      </c>
      <c r="T2106">
        <v>17</v>
      </c>
      <c r="U2106" s="5">
        <f>IF(Merge1[[#This Row],[team_defense_snaps]]=0, "", Merge1[[#This Row],[defense_snaps]] / Merge1[[#This Row],[team_defense_snaps]])</f>
        <v>0.23943661971830985</v>
      </c>
      <c r="V2106">
        <v>71</v>
      </c>
      <c r="W2106">
        <v>5</v>
      </c>
      <c r="X2106" s="5" t="s">
        <v>168</v>
      </c>
      <c r="Y2106">
        <v>2</v>
      </c>
      <c r="Z2106">
        <v>0</v>
      </c>
      <c r="AA2106" t="s">
        <v>25</v>
      </c>
      <c r="AB2106" t="s">
        <v>26</v>
      </c>
      <c r="AC2106" t="s">
        <v>27</v>
      </c>
      <c r="AD2106" t="s">
        <v>28</v>
      </c>
      <c r="AE2106" t="s">
        <v>25</v>
      </c>
      <c r="AF21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0.11363636363636363</v>
      </c>
      <c r="AG2106" t="s">
        <v>941</v>
      </c>
      <c r="AH2106">
        <v>66</v>
      </c>
      <c r="AI2106" t="s">
        <v>939</v>
      </c>
      <c r="AJ2106">
        <v>1</v>
      </c>
      <c r="AK21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MIN(AJ2106/8, 1) +
  Merge1[[#This Row],[index_defensive_effort]],
  2
)</f>
        <v>0.64</v>
      </c>
    </row>
    <row r="2107" spans="1:37" x14ac:dyDescent="0.25">
      <c r="A2107" t="s">
        <v>606</v>
      </c>
      <c r="B2107" t="s">
        <v>607</v>
      </c>
      <c r="C2107">
        <v>27</v>
      </c>
      <c r="D2107" t="s">
        <v>56</v>
      </c>
      <c r="E2107">
        <v>72</v>
      </c>
      <c r="F2107">
        <v>185</v>
      </c>
      <c r="G2107" t="s">
        <v>150</v>
      </c>
      <c r="H2107">
        <v>2020</v>
      </c>
      <c r="I2107" t="s">
        <v>33</v>
      </c>
      <c r="J2107">
        <v>14</v>
      </c>
      <c r="K2107">
        <v>4</v>
      </c>
      <c r="L2107">
        <v>1</v>
      </c>
      <c r="M2107">
        <v>0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50</v>
      </c>
      <c r="T2107">
        <v>35</v>
      </c>
      <c r="U2107" s="5">
        <f>IF(Merge1[[#This Row],[team_defense_snaps]]=0, "", Merge1[[#This Row],[defense_snaps]] / Merge1[[#This Row],[team_defense_snaps]])</f>
        <v>0.55555555555555558</v>
      </c>
      <c r="V2107">
        <v>63</v>
      </c>
      <c r="W2107">
        <v>15</v>
      </c>
      <c r="X2107" s="5" t="s">
        <v>189</v>
      </c>
      <c r="Y2107">
        <v>4</v>
      </c>
      <c r="Z2107">
        <v>0</v>
      </c>
      <c r="AA2107" t="s">
        <v>25</v>
      </c>
      <c r="AB2107" t="s">
        <v>26</v>
      </c>
      <c r="AC2107" t="s">
        <v>27</v>
      </c>
      <c r="AD2107" t="s">
        <v>28</v>
      </c>
      <c r="AE2107" t="s">
        <v>25</v>
      </c>
      <c r="AF21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0.09</v>
      </c>
      <c r="AG2107" t="s">
        <v>943</v>
      </c>
      <c r="AH2107">
        <v>52</v>
      </c>
      <c r="AI2107" t="s">
        <v>939</v>
      </c>
      <c r="AJ2107">
        <v>2</v>
      </c>
      <c r="AK21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MIN(AJ2107/8, 1) +
  Merge1[[#This Row],[index_defensive_effort]],
  2
)</f>
        <v>0.84</v>
      </c>
    </row>
    <row r="2108" spans="1:37" x14ac:dyDescent="0.25">
      <c r="A2108" t="s">
        <v>606</v>
      </c>
      <c r="B2108" t="s">
        <v>607</v>
      </c>
      <c r="C2108">
        <v>27</v>
      </c>
      <c r="D2108" t="s">
        <v>56</v>
      </c>
      <c r="E2108">
        <v>72</v>
      </c>
      <c r="F2108">
        <v>185</v>
      </c>
      <c r="G2108" t="s">
        <v>150</v>
      </c>
      <c r="H2108">
        <v>2020</v>
      </c>
      <c r="I2108" t="s">
        <v>33</v>
      </c>
      <c r="J2108">
        <v>15</v>
      </c>
      <c r="K2108">
        <v>1</v>
      </c>
      <c r="L2108">
        <v>1</v>
      </c>
      <c r="M2108">
        <v>0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56</v>
      </c>
      <c r="T2108">
        <v>47</v>
      </c>
      <c r="U2108" s="5">
        <f>IF(Merge1[[#This Row],[team_defense_snaps]]=0, "", Merge1[[#This Row],[defense_snaps]] / Merge1[[#This Row],[team_defense_snaps]])</f>
        <v>0.69117647058823528</v>
      </c>
      <c r="V2108">
        <v>68</v>
      </c>
      <c r="W2108">
        <v>9</v>
      </c>
      <c r="X2108" s="5" t="s">
        <v>113</v>
      </c>
      <c r="Y2108">
        <v>4</v>
      </c>
      <c r="Z2108">
        <v>0</v>
      </c>
      <c r="AA2108" t="s">
        <v>25</v>
      </c>
      <c r="AB2108" t="s">
        <v>26</v>
      </c>
      <c r="AC2108" t="s">
        <v>27</v>
      </c>
      <c r="AD2108" t="s">
        <v>28</v>
      </c>
      <c r="AE2108" t="s">
        <v>25</v>
      </c>
      <c r="AF21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2.6785714285714284E-2</v>
      </c>
      <c r="AG2108" t="s">
        <v>943</v>
      </c>
      <c r="AH2108">
        <v>53.5</v>
      </c>
      <c r="AI2108" t="s">
        <v>939</v>
      </c>
      <c r="AJ2108">
        <v>1</v>
      </c>
      <c r="AK21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MIN(AJ2108/8, 1) +
  Merge1[[#This Row],[index_defensive_effort]],
  2
)</f>
        <v>0.65</v>
      </c>
    </row>
    <row r="2109" spans="1:37" x14ac:dyDescent="0.25">
      <c r="A2109" t="s">
        <v>574</v>
      </c>
      <c r="B2109" t="s">
        <v>575</v>
      </c>
      <c r="C2109">
        <v>22</v>
      </c>
      <c r="D2109" t="s">
        <v>56</v>
      </c>
      <c r="E2109">
        <v>68</v>
      </c>
      <c r="F2109">
        <v>188</v>
      </c>
      <c r="G2109" t="s">
        <v>32</v>
      </c>
      <c r="H2109">
        <v>2020</v>
      </c>
      <c r="I2109" t="s">
        <v>33</v>
      </c>
      <c r="J2109">
        <v>4</v>
      </c>
      <c r="K2109">
        <v>1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20</v>
      </c>
      <c r="T2109">
        <v>4</v>
      </c>
      <c r="U2109" s="5">
        <f>IF(Merge1[[#This Row],[team_defense_snaps]]=0, "", Merge1[[#This Row],[defense_snaps]] / Merge1[[#This Row],[team_defense_snaps]])</f>
        <v>5.6338028169014086E-2</v>
      </c>
      <c r="V2109">
        <v>71</v>
      </c>
      <c r="W2109">
        <v>16</v>
      </c>
      <c r="X2109" s="5" t="s">
        <v>102</v>
      </c>
      <c r="Y2109">
        <v>0</v>
      </c>
      <c r="Z2109">
        <v>0</v>
      </c>
      <c r="AA2109" t="s">
        <v>25</v>
      </c>
      <c r="AB2109" t="s">
        <v>26</v>
      </c>
      <c r="AC2109" t="s">
        <v>27</v>
      </c>
      <c r="AD2109" t="s">
        <v>28</v>
      </c>
      <c r="AE2109" t="s">
        <v>25</v>
      </c>
      <c r="AF21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2109" t="s">
        <v>941</v>
      </c>
      <c r="AH2109">
        <v>67.5</v>
      </c>
      <c r="AI2109" t="s">
        <v>939</v>
      </c>
      <c r="AJ2109">
        <v>1</v>
      </c>
      <c r="AK21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MIN(AJ2109/8, 1) +
  Merge1[[#This Row],[index_defensive_effort]],
  2
)</f>
        <v>0.68</v>
      </c>
    </row>
    <row r="2110" spans="1:37" x14ac:dyDescent="0.25">
      <c r="A2110" t="s">
        <v>620</v>
      </c>
      <c r="B2110" t="s">
        <v>621</v>
      </c>
      <c r="C2110">
        <v>24</v>
      </c>
      <c r="D2110" t="s">
        <v>22</v>
      </c>
      <c r="E2110">
        <v>71</v>
      </c>
      <c r="F2110">
        <v>217</v>
      </c>
      <c r="G2110" t="s">
        <v>424</v>
      </c>
      <c r="H2110">
        <v>2020</v>
      </c>
      <c r="I2110" t="s">
        <v>33</v>
      </c>
      <c r="J2110">
        <v>1</v>
      </c>
      <c r="K2110">
        <v>4</v>
      </c>
      <c r="L2110">
        <v>2</v>
      </c>
      <c r="M2110">
        <v>0</v>
      </c>
      <c r="N2110">
        <v>2</v>
      </c>
      <c r="O2110">
        <v>4</v>
      </c>
      <c r="P2110">
        <v>4</v>
      </c>
      <c r="Q2110">
        <v>0</v>
      </c>
      <c r="R2110">
        <v>0</v>
      </c>
      <c r="S2110">
        <v>50</v>
      </c>
      <c r="T2110">
        <v>50</v>
      </c>
      <c r="U2110" s="5">
        <f>IF(Merge1[[#This Row],[team_defense_snaps]]=0, "", Merge1[[#This Row],[defense_snaps]] / Merge1[[#This Row],[team_defense_snaps]])</f>
        <v>1</v>
      </c>
      <c r="V2110">
        <v>50</v>
      </c>
      <c r="W2110">
        <v>0</v>
      </c>
      <c r="X2110" s="5" t="s">
        <v>29</v>
      </c>
      <c r="Y2110">
        <v>1</v>
      </c>
      <c r="Z2110">
        <v>0</v>
      </c>
      <c r="AA2110" t="s">
        <v>25</v>
      </c>
      <c r="AB2110" t="s">
        <v>26</v>
      </c>
      <c r="AC2110" t="s">
        <v>27</v>
      </c>
      <c r="AD2110" t="s">
        <v>42</v>
      </c>
      <c r="AE2110" t="s">
        <v>25</v>
      </c>
      <c r="AF21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</v>
      </c>
      <c r="AG2110" t="s">
        <v>942</v>
      </c>
      <c r="AH2110">
        <v>67.5</v>
      </c>
      <c r="AI2110" t="s">
        <v>939</v>
      </c>
      <c r="AJ2110">
        <v>2</v>
      </c>
      <c r="AK21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MIN(AJ2110/8, 1) +
  Merge1[[#This Row],[index_defensive_effort]],
  2
)</f>
        <v>1.25</v>
      </c>
    </row>
    <row r="2111" spans="1:37" x14ac:dyDescent="0.25">
      <c r="A2111" t="s">
        <v>620</v>
      </c>
      <c r="B2111" t="s">
        <v>621</v>
      </c>
      <c r="C2111">
        <v>24</v>
      </c>
      <c r="D2111" t="s">
        <v>22</v>
      </c>
      <c r="E2111">
        <v>71</v>
      </c>
      <c r="F2111">
        <v>217</v>
      </c>
      <c r="G2111" t="s">
        <v>424</v>
      </c>
      <c r="H2111">
        <v>2020</v>
      </c>
      <c r="I2111" t="s">
        <v>33</v>
      </c>
      <c r="J2111">
        <v>2</v>
      </c>
      <c r="K2111">
        <v>2</v>
      </c>
      <c r="L2111">
        <v>3</v>
      </c>
      <c r="M2111">
        <v>3</v>
      </c>
      <c r="N2111">
        <v>6</v>
      </c>
      <c r="O2111">
        <v>0</v>
      </c>
      <c r="P2111">
        <v>0</v>
      </c>
      <c r="Q2111">
        <v>2</v>
      </c>
      <c r="R2111">
        <v>0</v>
      </c>
      <c r="S2111">
        <v>59</v>
      </c>
      <c r="T2111">
        <v>54</v>
      </c>
      <c r="U2111" s="5">
        <f>IF(Merge1[[#This Row],[team_defense_snaps]]=0, "", Merge1[[#This Row],[defense_snaps]] / Merge1[[#This Row],[team_defense_snaps]])</f>
        <v>0.98181818181818181</v>
      </c>
      <c r="V2111">
        <v>55</v>
      </c>
      <c r="W2111">
        <v>5</v>
      </c>
      <c r="X2111" s="5" t="s">
        <v>58</v>
      </c>
      <c r="Y2111">
        <v>1</v>
      </c>
      <c r="Z2111">
        <v>0</v>
      </c>
      <c r="AA2111" t="s">
        <v>25</v>
      </c>
      <c r="AB2111" t="s">
        <v>26</v>
      </c>
      <c r="AC2111" t="s">
        <v>27</v>
      </c>
      <c r="AD2111" t="s">
        <v>42</v>
      </c>
      <c r="AE2111" t="s">
        <v>25</v>
      </c>
      <c r="AF21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0.22033898305084745</v>
      </c>
      <c r="AG2111" t="s">
        <v>942</v>
      </c>
      <c r="AH2111">
        <v>72</v>
      </c>
      <c r="AI2111" t="s">
        <v>939</v>
      </c>
      <c r="AJ2111">
        <v>3</v>
      </c>
      <c r="AK21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MIN(AJ2111/8, 1) +
  Merge1[[#This Row],[index_defensive_effort]],
  2
)</f>
        <v>1.1000000000000001</v>
      </c>
    </row>
    <row r="2112" spans="1:37" x14ac:dyDescent="0.25">
      <c r="A2112" t="s">
        <v>620</v>
      </c>
      <c r="B2112" t="s">
        <v>621</v>
      </c>
      <c r="C2112">
        <v>24</v>
      </c>
      <c r="D2112" t="s">
        <v>22</v>
      </c>
      <c r="E2112">
        <v>71</v>
      </c>
      <c r="F2112">
        <v>217</v>
      </c>
      <c r="G2112" t="s">
        <v>424</v>
      </c>
      <c r="H2112">
        <v>2020</v>
      </c>
      <c r="I2112" t="s">
        <v>33</v>
      </c>
      <c r="J2112">
        <v>3</v>
      </c>
      <c r="K2112">
        <v>4</v>
      </c>
      <c r="L2112">
        <v>4</v>
      </c>
      <c r="M2112">
        <v>3</v>
      </c>
      <c r="N2112">
        <v>7</v>
      </c>
      <c r="O2112">
        <v>0</v>
      </c>
      <c r="P2112">
        <v>0</v>
      </c>
      <c r="Q2112">
        <v>0</v>
      </c>
      <c r="R2112">
        <v>0</v>
      </c>
      <c r="S2112">
        <v>61</v>
      </c>
      <c r="T2112">
        <v>57</v>
      </c>
      <c r="U2112" s="5">
        <f>IF(Merge1[[#This Row],[team_defense_snaps]]=0, "", Merge1[[#This Row],[defense_snaps]] / Merge1[[#This Row],[team_defense_snaps]])</f>
        <v>0.87692307692307692</v>
      </c>
      <c r="V2112">
        <v>65</v>
      </c>
      <c r="W2112">
        <v>4</v>
      </c>
      <c r="X2112" s="5" t="s">
        <v>168</v>
      </c>
      <c r="Y2112">
        <v>1</v>
      </c>
      <c r="Z2112">
        <v>0</v>
      </c>
      <c r="AA2112" t="s">
        <v>25</v>
      </c>
      <c r="AB2112" t="s">
        <v>26</v>
      </c>
      <c r="AC2112" t="s">
        <v>27</v>
      </c>
      <c r="AD2112" t="s">
        <v>42</v>
      </c>
      <c r="AE2112" t="s">
        <v>25</v>
      </c>
      <c r="AF21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0.12295081967213115</v>
      </c>
      <c r="AG2112" t="s">
        <v>942</v>
      </c>
      <c r="AH2112">
        <v>69</v>
      </c>
      <c r="AI2112" t="s">
        <v>939</v>
      </c>
      <c r="AJ2112">
        <v>4</v>
      </c>
      <c r="AK21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MIN(AJ2112/8, 1) +
  Merge1[[#This Row],[index_defensive_effort]],
  2
)</f>
        <v>1.1200000000000001</v>
      </c>
    </row>
    <row r="2113" spans="1:37" x14ac:dyDescent="0.25">
      <c r="A2113" t="s">
        <v>620</v>
      </c>
      <c r="B2113" t="s">
        <v>621</v>
      </c>
      <c r="C2113">
        <v>24</v>
      </c>
      <c r="D2113" t="s">
        <v>22</v>
      </c>
      <c r="E2113">
        <v>71</v>
      </c>
      <c r="F2113">
        <v>217</v>
      </c>
      <c r="G2113" t="s">
        <v>424</v>
      </c>
      <c r="H2113">
        <v>2020</v>
      </c>
      <c r="I2113" t="s">
        <v>33</v>
      </c>
      <c r="J2113">
        <v>4</v>
      </c>
      <c r="K2113">
        <v>3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68</v>
      </c>
      <c r="T2113">
        <v>62</v>
      </c>
      <c r="U2113" s="5">
        <f>IF(Merge1[[#This Row],[team_defense_snaps]]=0, "", Merge1[[#This Row],[defense_snaps]] / Merge1[[#This Row],[team_defense_snaps]])</f>
        <v>0.96875</v>
      </c>
      <c r="V2113">
        <v>64</v>
      </c>
      <c r="W2113">
        <v>6</v>
      </c>
      <c r="X2113" s="5" t="s">
        <v>139</v>
      </c>
      <c r="Y2113">
        <v>1</v>
      </c>
      <c r="Z2113">
        <v>0</v>
      </c>
      <c r="AA2113" t="s">
        <v>25</v>
      </c>
      <c r="AB2113" t="s">
        <v>26</v>
      </c>
      <c r="AC2113" t="s">
        <v>27</v>
      </c>
      <c r="AD2113" t="s">
        <v>42</v>
      </c>
      <c r="AE2113" t="s">
        <v>25</v>
      </c>
      <c r="AF21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4.4117647058823532E-2</v>
      </c>
      <c r="AG2113" t="s">
        <v>942</v>
      </c>
      <c r="AH2113">
        <v>70.5</v>
      </c>
      <c r="AI2113" t="s">
        <v>939</v>
      </c>
      <c r="AJ2113">
        <v>5</v>
      </c>
      <c r="AK21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MIN(AJ2113/8, 1) +
  Merge1[[#This Row],[index_defensive_effort]],
  2
)</f>
        <v>1.17</v>
      </c>
    </row>
    <row r="2114" spans="1:37" x14ac:dyDescent="0.25">
      <c r="A2114" t="s">
        <v>620</v>
      </c>
      <c r="B2114" t="s">
        <v>621</v>
      </c>
      <c r="C2114">
        <v>24</v>
      </c>
      <c r="D2114" t="s">
        <v>22</v>
      </c>
      <c r="E2114">
        <v>71</v>
      </c>
      <c r="F2114">
        <v>217</v>
      </c>
      <c r="G2114" t="s">
        <v>424</v>
      </c>
      <c r="H2114">
        <v>2020</v>
      </c>
      <c r="I2114" t="s">
        <v>33</v>
      </c>
      <c r="J2114">
        <v>5</v>
      </c>
      <c r="K2114">
        <v>0</v>
      </c>
      <c r="L2114">
        <v>3</v>
      </c>
      <c r="M2114">
        <v>0</v>
      </c>
      <c r="N2114">
        <v>3</v>
      </c>
      <c r="O2114">
        <v>0</v>
      </c>
      <c r="P2114">
        <v>0</v>
      </c>
      <c r="Q2114">
        <v>0</v>
      </c>
      <c r="R2114">
        <v>0</v>
      </c>
      <c r="S2114">
        <v>78</v>
      </c>
      <c r="T2114">
        <v>73</v>
      </c>
      <c r="U2114" s="5">
        <f>IF(Merge1[[#This Row],[team_defense_snaps]]=0, "", Merge1[[#This Row],[defense_snaps]] / Merge1[[#This Row],[team_defense_snaps]])</f>
        <v>0.97333333333333338</v>
      </c>
      <c r="V2114">
        <v>75</v>
      </c>
      <c r="W2114">
        <v>5</v>
      </c>
      <c r="X2114" s="5" t="s">
        <v>181</v>
      </c>
      <c r="Y2114">
        <v>1</v>
      </c>
      <c r="Z2114">
        <v>0</v>
      </c>
      <c r="AA2114" t="s">
        <v>25</v>
      </c>
      <c r="AB2114" t="s">
        <v>26</v>
      </c>
      <c r="AC2114" t="s">
        <v>27</v>
      </c>
      <c r="AD2114" t="s">
        <v>42</v>
      </c>
      <c r="AE2114" t="s">
        <v>25</v>
      </c>
      <c r="AF21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1.9230769230769232E-2</v>
      </c>
      <c r="AG2114" t="s">
        <v>942</v>
      </c>
      <c r="AH2114">
        <v>57</v>
      </c>
      <c r="AI2114" t="s">
        <v>939</v>
      </c>
      <c r="AJ2114">
        <v>6</v>
      </c>
      <c r="AK21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MIN(AJ2114/8, 1) +
  Merge1[[#This Row],[index_defensive_effort]],
  2
)</f>
        <v>1.27</v>
      </c>
    </row>
    <row r="2115" spans="1:37" x14ac:dyDescent="0.25">
      <c r="A2115" t="s">
        <v>620</v>
      </c>
      <c r="B2115" t="s">
        <v>621</v>
      </c>
      <c r="C2115">
        <v>24</v>
      </c>
      <c r="D2115" t="s">
        <v>22</v>
      </c>
      <c r="E2115">
        <v>71</v>
      </c>
      <c r="F2115">
        <v>217</v>
      </c>
      <c r="G2115" t="s">
        <v>424</v>
      </c>
      <c r="H2115">
        <v>2020</v>
      </c>
      <c r="I2115" t="s">
        <v>33</v>
      </c>
      <c r="J2115">
        <v>6</v>
      </c>
      <c r="K2115">
        <v>7</v>
      </c>
      <c r="L2115">
        <v>3</v>
      </c>
      <c r="M2115">
        <v>3</v>
      </c>
      <c r="N2115">
        <v>6</v>
      </c>
      <c r="O2115">
        <v>0</v>
      </c>
      <c r="P2115">
        <v>0</v>
      </c>
      <c r="Q2115">
        <v>0</v>
      </c>
      <c r="R2115">
        <v>0</v>
      </c>
      <c r="S2115">
        <v>76</v>
      </c>
      <c r="T2115">
        <v>73</v>
      </c>
      <c r="U2115" s="5">
        <f>IF(Merge1[[#This Row],[team_defense_snaps]]=0, "", Merge1[[#This Row],[defense_snaps]] / Merge1[[#This Row],[team_defense_snaps]])</f>
        <v>0.91249999999999998</v>
      </c>
      <c r="V2115">
        <v>80</v>
      </c>
      <c r="W2115">
        <v>3</v>
      </c>
      <c r="X2115" s="5" t="s">
        <v>38</v>
      </c>
      <c r="Y2115">
        <v>1</v>
      </c>
      <c r="Z2115">
        <v>0</v>
      </c>
      <c r="AA2115" t="s">
        <v>25</v>
      </c>
      <c r="AB2115" t="s">
        <v>26</v>
      </c>
      <c r="AC2115" t="s">
        <v>27</v>
      </c>
      <c r="AD2115" t="s">
        <v>42</v>
      </c>
      <c r="AE2115" t="s">
        <v>25</v>
      </c>
      <c r="AF21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0.13157894736842105</v>
      </c>
      <c r="AG2115" t="s">
        <v>942</v>
      </c>
      <c r="AH2115">
        <v>64.5</v>
      </c>
      <c r="AI2115" t="s">
        <v>939</v>
      </c>
      <c r="AJ2115">
        <v>1</v>
      </c>
      <c r="AK21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MIN(AJ2115/8, 1) +
  Merge1[[#This Row],[index_defensive_effort]],
  2
)</f>
        <v>0.76</v>
      </c>
    </row>
    <row r="2116" spans="1:37" x14ac:dyDescent="0.25">
      <c r="A2116" t="s">
        <v>620</v>
      </c>
      <c r="B2116" t="s">
        <v>621</v>
      </c>
      <c r="C2116">
        <v>24</v>
      </c>
      <c r="D2116" t="s">
        <v>22</v>
      </c>
      <c r="E2116">
        <v>71</v>
      </c>
      <c r="F2116">
        <v>217</v>
      </c>
      <c r="G2116" t="s">
        <v>424</v>
      </c>
      <c r="H2116">
        <v>2020</v>
      </c>
      <c r="I2116" t="s">
        <v>33</v>
      </c>
      <c r="J2116">
        <v>8</v>
      </c>
      <c r="K2116">
        <v>5</v>
      </c>
      <c r="L2116">
        <v>2</v>
      </c>
      <c r="M2116">
        <v>2</v>
      </c>
      <c r="N2116">
        <v>4</v>
      </c>
      <c r="O2116">
        <v>0</v>
      </c>
      <c r="P2116">
        <v>1</v>
      </c>
      <c r="Q2116">
        <v>0</v>
      </c>
      <c r="R2116">
        <v>0</v>
      </c>
      <c r="S2116">
        <v>66</v>
      </c>
      <c r="T2116">
        <v>61</v>
      </c>
      <c r="U2116" s="5">
        <f>IF(Merge1[[#This Row],[team_defense_snaps]]=0, "", Merge1[[#This Row],[defense_snaps]] / Merge1[[#This Row],[team_defense_snaps]])</f>
        <v>0.9838709677419355</v>
      </c>
      <c r="V2116">
        <v>62</v>
      </c>
      <c r="W2116">
        <v>5</v>
      </c>
      <c r="X2116" s="5" t="s">
        <v>124</v>
      </c>
      <c r="Y2116">
        <v>1</v>
      </c>
      <c r="Z2116">
        <v>0</v>
      </c>
      <c r="AA2116" t="s">
        <v>25</v>
      </c>
      <c r="AB2116" t="s">
        <v>26</v>
      </c>
      <c r="AC2116" t="s">
        <v>27</v>
      </c>
      <c r="AD2116" t="s">
        <v>42</v>
      </c>
      <c r="AE2116" t="s">
        <v>25</v>
      </c>
      <c r="AF21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0.13636363636363635</v>
      </c>
      <c r="AG2116" t="s">
        <v>942</v>
      </c>
      <c r="AH2116">
        <v>58.5</v>
      </c>
      <c r="AI2116" t="s">
        <v>939</v>
      </c>
      <c r="AJ2116">
        <v>2</v>
      </c>
      <c r="AK21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MIN(AJ2116/8, 1) +
  Merge1[[#This Row],[index_defensive_effort]],
  2
)</f>
        <v>0.89</v>
      </c>
    </row>
    <row r="2117" spans="1:37" x14ac:dyDescent="0.25">
      <c r="A2117" t="s">
        <v>620</v>
      </c>
      <c r="B2117" t="s">
        <v>621</v>
      </c>
      <c r="C2117">
        <v>24</v>
      </c>
      <c r="D2117" t="s">
        <v>22</v>
      </c>
      <c r="E2117">
        <v>71</v>
      </c>
      <c r="F2117">
        <v>217</v>
      </c>
      <c r="G2117" t="s">
        <v>424</v>
      </c>
      <c r="H2117">
        <v>2020</v>
      </c>
      <c r="I2117" t="s">
        <v>33</v>
      </c>
      <c r="J2117">
        <v>9</v>
      </c>
      <c r="K2117">
        <v>6</v>
      </c>
      <c r="L2117">
        <v>3</v>
      </c>
      <c r="M2117">
        <v>2</v>
      </c>
      <c r="N2117">
        <v>5</v>
      </c>
      <c r="O2117">
        <v>0</v>
      </c>
      <c r="P2117">
        <v>0</v>
      </c>
      <c r="Q2117">
        <v>0</v>
      </c>
      <c r="R2117">
        <v>0</v>
      </c>
      <c r="S2117">
        <v>68</v>
      </c>
      <c r="T2117">
        <v>64</v>
      </c>
      <c r="U2117" s="5">
        <f>IF(Merge1[[#This Row],[team_defense_snaps]]=0, "", Merge1[[#This Row],[defense_snaps]] / Merge1[[#This Row],[team_defense_snaps]])</f>
        <v>0.95522388059701491</v>
      </c>
      <c r="V2117">
        <v>67</v>
      </c>
      <c r="W2117">
        <v>4</v>
      </c>
      <c r="X2117" s="5" t="s">
        <v>124</v>
      </c>
      <c r="Y2117">
        <v>1</v>
      </c>
      <c r="Z2117">
        <v>0</v>
      </c>
      <c r="AA2117" t="s">
        <v>25</v>
      </c>
      <c r="AB2117" t="s">
        <v>26</v>
      </c>
      <c r="AC2117" t="s">
        <v>27</v>
      </c>
      <c r="AD2117" t="s">
        <v>42</v>
      </c>
      <c r="AE2117" t="s">
        <v>25</v>
      </c>
      <c r="AF21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2117" t="s">
        <v>942</v>
      </c>
      <c r="AH2117">
        <v>66</v>
      </c>
      <c r="AI2117" t="s">
        <v>939</v>
      </c>
      <c r="AJ2117">
        <v>3</v>
      </c>
      <c r="AK21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MIN(AJ2117/8, 1) +
  Merge1[[#This Row],[index_defensive_effort]],
  2
)</f>
        <v>1</v>
      </c>
    </row>
    <row r="2118" spans="1:37" x14ac:dyDescent="0.25">
      <c r="A2118" t="s">
        <v>620</v>
      </c>
      <c r="B2118" t="s">
        <v>621</v>
      </c>
      <c r="C2118">
        <v>24</v>
      </c>
      <c r="D2118" t="s">
        <v>22</v>
      </c>
      <c r="E2118">
        <v>71</v>
      </c>
      <c r="F2118">
        <v>217</v>
      </c>
      <c r="G2118" t="s">
        <v>424</v>
      </c>
      <c r="H2118">
        <v>2020</v>
      </c>
      <c r="I2118" t="s">
        <v>33</v>
      </c>
      <c r="J2118">
        <v>10</v>
      </c>
      <c r="K2118">
        <v>5</v>
      </c>
      <c r="L2118">
        <v>3</v>
      </c>
      <c r="M2118">
        <v>1</v>
      </c>
      <c r="N2118">
        <v>4</v>
      </c>
      <c r="O2118">
        <v>0</v>
      </c>
      <c r="P2118">
        <v>0</v>
      </c>
      <c r="Q2118">
        <v>0</v>
      </c>
      <c r="R2118">
        <v>0</v>
      </c>
      <c r="S2118">
        <v>62</v>
      </c>
      <c r="T2118">
        <v>61</v>
      </c>
      <c r="U2118" s="5">
        <f>IF(Merge1[[#This Row],[team_defense_snaps]]=0, "", Merge1[[#This Row],[defense_snaps]] / Merge1[[#This Row],[team_defense_snaps]])</f>
        <v>0.91044776119402981</v>
      </c>
      <c r="V2118">
        <v>67</v>
      </c>
      <c r="W2118">
        <v>1</v>
      </c>
      <c r="X2118" s="5" t="s">
        <v>193</v>
      </c>
      <c r="Y2118">
        <v>1</v>
      </c>
      <c r="Z2118">
        <v>0</v>
      </c>
      <c r="AA2118" t="s">
        <v>25</v>
      </c>
      <c r="AB2118" t="s">
        <v>26</v>
      </c>
      <c r="AC2118" t="s">
        <v>27</v>
      </c>
      <c r="AD2118" t="s">
        <v>42</v>
      </c>
      <c r="AE2118" t="s">
        <v>25</v>
      </c>
      <c r="AF21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0.11290322580645161</v>
      </c>
      <c r="AG2118" t="s">
        <v>942</v>
      </c>
      <c r="AH2118">
        <v>52</v>
      </c>
      <c r="AI2118" t="s">
        <v>939</v>
      </c>
      <c r="AJ2118">
        <v>4</v>
      </c>
      <c r="AK21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MIN(AJ2118/8, 1) +
  Merge1[[#This Row],[index_defensive_effort]],
  2
)</f>
        <v>1.1100000000000001</v>
      </c>
    </row>
    <row r="2119" spans="1:37" x14ac:dyDescent="0.25">
      <c r="A2119" t="s">
        <v>620</v>
      </c>
      <c r="B2119" t="s">
        <v>621</v>
      </c>
      <c r="C2119">
        <v>24</v>
      </c>
      <c r="D2119" t="s">
        <v>22</v>
      </c>
      <c r="E2119">
        <v>71</v>
      </c>
      <c r="F2119">
        <v>217</v>
      </c>
      <c r="G2119" t="s">
        <v>424</v>
      </c>
      <c r="H2119">
        <v>2020</v>
      </c>
      <c r="I2119" t="s">
        <v>33</v>
      </c>
      <c r="J2119">
        <v>11</v>
      </c>
      <c r="K2119">
        <v>3</v>
      </c>
      <c r="L2119">
        <v>1</v>
      </c>
      <c r="M2119">
        <v>1</v>
      </c>
      <c r="N2119">
        <v>2</v>
      </c>
      <c r="O2119">
        <v>0</v>
      </c>
      <c r="P2119">
        <v>0</v>
      </c>
      <c r="Q2119">
        <v>0</v>
      </c>
      <c r="R2119">
        <v>0</v>
      </c>
      <c r="S2119">
        <v>62</v>
      </c>
      <c r="T2119">
        <v>60</v>
      </c>
      <c r="U2119" s="5">
        <f>IF(Merge1[[#This Row],[team_defense_snaps]]=0, "", Merge1[[#This Row],[defense_snaps]] / Merge1[[#This Row],[team_defense_snaps]])</f>
        <v>1</v>
      </c>
      <c r="V2119">
        <v>60</v>
      </c>
      <c r="W2119">
        <v>2</v>
      </c>
      <c r="X2119" s="5" t="s">
        <v>114</v>
      </c>
      <c r="Y2119">
        <v>1</v>
      </c>
      <c r="Z2119">
        <v>0</v>
      </c>
      <c r="AA2119" t="s">
        <v>25</v>
      </c>
      <c r="AB2119" t="s">
        <v>26</v>
      </c>
      <c r="AC2119" t="s">
        <v>27</v>
      </c>
      <c r="AD2119" t="s">
        <v>42</v>
      </c>
      <c r="AE2119" t="s">
        <v>25</v>
      </c>
      <c r="AF21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6.4516129032258063E-2</v>
      </c>
      <c r="AG2119" t="s">
        <v>942</v>
      </c>
      <c r="AH2119">
        <v>55.5</v>
      </c>
      <c r="AI2119" t="s">
        <v>939</v>
      </c>
      <c r="AJ2119">
        <v>5</v>
      </c>
      <c r="AK21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MIN(AJ2119/8, 1) +
  Merge1[[#This Row],[index_defensive_effort]],
  2
)</f>
        <v>1.19</v>
      </c>
    </row>
    <row r="2120" spans="1:37" x14ac:dyDescent="0.25">
      <c r="A2120" t="s">
        <v>620</v>
      </c>
      <c r="B2120" t="s">
        <v>621</v>
      </c>
      <c r="C2120">
        <v>24</v>
      </c>
      <c r="D2120" t="s">
        <v>22</v>
      </c>
      <c r="E2120">
        <v>71</v>
      </c>
      <c r="F2120">
        <v>217</v>
      </c>
      <c r="G2120" t="s">
        <v>424</v>
      </c>
      <c r="H2120">
        <v>2020</v>
      </c>
      <c r="I2120" t="s">
        <v>33</v>
      </c>
      <c r="J2120">
        <v>12</v>
      </c>
      <c r="K2120">
        <v>4</v>
      </c>
      <c r="L2120">
        <v>1</v>
      </c>
      <c r="M2120">
        <v>0</v>
      </c>
      <c r="N2120">
        <v>1</v>
      </c>
      <c r="O2120">
        <v>0</v>
      </c>
      <c r="P2120">
        <v>1</v>
      </c>
      <c r="Q2120">
        <v>0</v>
      </c>
      <c r="R2120">
        <v>0</v>
      </c>
      <c r="S2120">
        <v>65</v>
      </c>
      <c r="T2120">
        <v>60</v>
      </c>
      <c r="U2120" s="5">
        <f>IF(Merge1[[#This Row],[team_defense_snaps]]=0, "", Merge1[[#This Row],[defense_snaps]] / Merge1[[#This Row],[team_defense_snaps]])</f>
        <v>0.83333333333333337</v>
      </c>
      <c r="V2120">
        <v>72</v>
      </c>
      <c r="W2120">
        <v>5</v>
      </c>
      <c r="X2120" s="5" t="s">
        <v>159</v>
      </c>
      <c r="Y2120">
        <v>1</v>
      </c>
      <c r="Z2120">
        <v>0</v>
      </c>
      <c r="AA2120" t="s">
        <v>25</v>
      </c>
      <c r="AB2120" t="s">
        <v>36</v>
      </c>
      <c r="AC2120" t="s">
        <v>622</v>
      </c>
      <c r="AD2120" t="s">
        <v>42</v>
      </c>
      <c r="AE2120" t="s">
        <v>25</v>
      </c>
      <c r="AF21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2120" t="s">
        <v>942</v>
      </c>
      <c r="AH2120">
        <v>51</v>
      </c>
      <c r="AI2120" t="s">
        <v>939</v>
      </c>
      <c r="AJ2120">
        <v>1</v>
      </c>
      <c r="AK21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MIN(AJ2120/8, 1) +
  Merge1[[#This Row],[index_defensive_effort]],
  2
)</f>
        <v>0.73</v>
      </c>
    </row>
    <row r="2121" spans="1:37" x14ac:dyDescent="0.25">
      <c r="A2121" t="s">
        <v>620</v>
      </c>
      <c r="B2121" t="s">
        <v>621</v>
      </c>
      <c r="C2121">
        <v>24</v>
      </c>
      <c r="D2121" t="s">
        <v>22</v>
      </c>
      <c r="E2121">
        <v>71</v>
      </c>
      <c r="F2121">
        <v>217</v>
      </c>
      <c r="G2121" t="s">
        <v>424</v>
      </c>
      <c r="H2121">
        <v>2020</v>
      </c>
      <c r="I2121" t="s">
        <v>33</v>
      </c>
      <c r="J2121">
        <v>14</v>
      </c>
      <c r="K2121">
        <v>5</v>
      </c>
      <c r="L2121">
        <v>1</v>
      </c>
      <c r="M2121">
        <v>0</v>
      </c>
      <c r="N2121">
        <v>1</v>
      </c>
      <c r="O2121">
        <v>0</v>
      </c>
      <c r="P2121">
        <v>0</v>
      </c>
      <c r="Q2121">
        <v>2</v>
      </c>
      <c r="R2121">
        <v>0</v>
      </c>
      <c r="S2121">
        <v>61</v>
      </c>
      <c r="T2121">
        <v>59</v>
      </c>
      <c r="U2121" s="5">
        <f>IF(Merge1[[#This Row],[team_defense_snaps]]=0, "", Merge1[[#This Row],[defense_snaps]] / Merge1[[#This Row],[team_defense_snaps]])</f>
        <v>0.85507246376811596</v>
      </c>
      <c r="V2121">
        <v>69</v>
      </c>
      <c r="W2121">
        <v>2</v>
      </c>
      <c r="X2121" s="5" t="s">
        <v>208</v>
      </c>
      <c r="Y2121">
        <v>1</v>
      </c>
      <c r="Z2121">
        <v>0</v>
      </c>
      <c r="AA2121" t="s">
        <v>25</v>
      </c>
      <c r="AB2121" t="s">
        <v>26</v>
      </c>
      <c r="AC2121" t="s">
        <v>27</v>
      </c>
      <c r="AD2121" t="s">
        <v>42</v>
      </c>
      <c r="AE2121" t="s">
        <v>25</v>
      </c>
      <c r="AF21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0.22131147540983606</v>
      </c>
      <c r="AG2121" t="s">
        <v>942</v>
      </c>
      <c r="AH2121">
        <v>52.5</v>
      </c>
      <c r="AI2121" t="s">
        <v>939</v>
      </c>
      <c r="AJ2121">
        <v>2</v>
      </c>
      <c r="AK21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MIN(AJ2121/8, 1) +
  Merge1[[#This Row],[index_defensive_effort]],
  2
)</f>
        <v>0.97</v>
      </c>
    </row>
    <row r="2122" spans="1:37" x14ac:dyDescent="0.25">
      <c r="A2122" t="s">
        <v>620</v>
      </c>
      <c r="B2122" t="s">
        <v>621</v>
      </c>
      <c r="C2122">
        <v>24</v>
      </c>
      <c r="D2122" t="s">
        <v>22</v>
      </c>
      <c r="E2122">
        <v>71</v>
      </c>
      <c r="F2122">
        <v>217</v>
      </c>
      <c r="G2122" t="s">
        <v>424</v>
      </c>
      <c r="H2122">
        <v>2020</v>
      </c>
      <c r="I2122" t="s">
        <v>33</v>
      </c>
      <c r="J2122">
        <v>15</v>
      </c>
      <c r="K2122">
        <v>6</v>
      </c>
      <c r="L2122">
        <v>3</v>
      </c>
      <c r="M2122">
        <v>2</v>
      </c>
      <c r="N2122">
        <v>5</v>
      </c>
      <c r="O2122">
        <v>0</v>
      </c>
      <c r="P2122">
        <v>0</v>
      </c>
      <c r="Q2122">
        <v>0</v>
      </c>
      <c r="R2122">
        <v>2</v>
      </c>
      <c r="S2122">
        <v>75</v>
      </c>
      <c r="T2122">
        <v>69</v>
      </c>
      <c r="U2122" s="5">
        <f>IF(Merge1[[#This Row],[team_defense_snaps]]=0, "", Merge1[[#This Row],[defense_snaps]] / Merge1[[#This Row],[team_defense_snaps]])</f>
        <v>1</v>
      </c>
      <c r="V2122">
        <v>69</v>
      </c>
      <c r="W2122">
        <v>6</v>
      </c>
      <c r="X2122" s="5" t="s">
        <v>137</v>
      </c>
      <c r="Y2122">
        <v>1</v>
      </c>
      <c r="Z2122">
        <v>0</v>
      </c>
      <c r="AA2122" t="s">
        <v>25</v>
      </c>
      <c r="AB2122" t="s">
        <v>26</v>
      </c>
      <c r="AC2122" t="s">
        <v>27</v>
      </c>
      <c r="AD2122" t="s">
        <v>42</v>
      </c>
      <c r="AE2122" t="s">
        <v>25</v>
      </c>
      <c r="AF21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AG2122" t="s">
        <v>942</v>
      </c>
      <c r="AH2122">
        <v>60</v>
      </c>
      <c r="AI2122" t="s">
        <v>939</v>
      </c>
      <c r="AJ2122">
        <v>3</v>
      </c>
      <c r="AK21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MIN(AJ2122/8, 1) +
  Merge1[[#This Row],[index_defensive_effort]],
  2
)</f>
        <v>1.04</v>
      </c>
    </row>
    <row r="2123" spans="1:37" x14ac:dyDescent="0.25">
      <c r="A2123" t="s">
        <v>620</v>
      </c>
      <c r="B2123" t="s">
        <v>621</v>
      </c>
      <c r="C2123">
        <v>24</v>
      </c>
      <c r="D2123" t="s">
        <v>22</v>
      </c>
      <c r="E2123">
        <v>71</v>
      </c>
      <c r="F2123">
        <v>217</v>
      </c>
      <c r="G2123" t="s">
        <v>424</v>
      </c>
      <c r="H2123">
        <v>2020</v>
      </c>
      <c r="I2123" t="s">
        <v>33</v>
      </c>
      <c r="J2123">
        <v>16</v>
      </c>
      <c r="K2123">
        <v>6</v>
      </c>
      <c r="L2123">
        <v>2</v>
      </c>
      <c r="M2123">
        <v>1</v>
      </c>
      <c r="N2123">
        <v>3</v>
      </c>
      <c r="O2123">
        <v>4</v>
      </c>
      <c r="P2123">
        <v>4</v>
      </c>
      <c r="Q2123">
        <v>0</v>
      </c>
      <c r="R2123">
        <v>0</v>
      </c>
      <c r="S2123">
        <v>43</v>
      </c>
      <c r="T2123">
        <v>39</v>
      </c>
      <c r="U2123" s="5">
        <f>IF(Merge1[[#This Row],[team_defense_snaps]]=0, "", Merge1[[#This Row],[defense_snaps]] / Merge1[[#This Row],[team_defense_snaps]])</f>
        <v>0.57352941176470584</v>
      </c>
      <c r="V2123">
        <v>68</v>
      </c>
      <c r="W2123">
        <v>4</v>
      </c>
      <c r="X2123" s="5" t="s">
        <v>212</v>
      </c>
      <c r="Y2123">
        <v>1</v>
      </c>
      <c r="Z2123">
        <v>0</v>
      </c>
      <c r="AA2123" t="s">
        <v>25</v>
      </c>
      <c r="AB2123" t="s">
        <v>26</v>
      </c>
      <c r="AC2123" t="s">
        <v>27</v>
      </c>
      <c r="AD2123" t="s">
        <v>42</v>
      </c>
      <c r="AE2123" t="s">
        <v>25</v>
      </c>
      <c r="AF21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0.63953488372093026</v>
      </c>
      <c r="AG2123" t="s">
        <v>942</v>
      </c>
      <c r="AH2123">
        <v>49.5</v>
      </c>
      <c r="AI2123" t="s">
        <v>939</v>
      </c>
      <c r="AJ2123">
        <v>1</v>
      </c>
      <c r="AK21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MIN(AJ2123/8, 1) +
  Merge1[[#This Row],[index_defensive_effort]],
  2
)</f>
        <v>1.26</v>
      </c>
    </row>
    <row r="2124" spans="1:37" x14ac:dyDescent="0.25">
      <c r="A2124" t="s">
        <v>620</v>
      </c>
      <c r="B2124" t="s">
        <v>621</v>
      </c>
      <c r="C2124">
        <v>24</v>
      </c>
      <c r="D2124" t="s">
        <v>22</v>
      </c>
      <c r="E2124">
        <v>71</v>
      </c>
      <c r="F2124">
        <v>217</v>
      </c>
      <c r="G2124" t="s">
        <v>424</v>
      </c>
      <c r="H2124">
        <v>2020</v>
      </c>
      <c r="I2124" t="s">
        <v>24</v>
      </c>
      <c r="J2124">
        <v>18</v>
      </c>
      <c r="K2124">
        <v>4</v>
      </c>
      <c r="L2124">
        <v>1</v>
      </c>
      <c r="M2124">
        <v>0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61</v>
      </c>
      <c r="T2124">
        <v>59</v>
      </c>
      <c r="U2124" s="5">
        <f>IF(Merge1[[#This Row],[team_defense_snaps]]=0, "", Merge1[[#This Row],[defense_snaps]] / Merge1[[#This Row],[team_defense_snaps]])</f>
        <v>0.95161290322580649</v>
      </c>
      <c r="V2124">
        <v>62</v>
      </c>
      <c r="W2124">
        <v>2</v>
      </c>
      <c r="X2124" s="5" t="s">
        <v>167</v>
      </c>
      <c r="Y2124">
        <v>1</v>
      </c>
      <c r="Z2124">
        <v>0</v>
      </c>
      <c r="AA2124" t="s">
        <v>25</v>
      </c>
      <c r="AB2124" t="s">
        <v>26</v>
      </c>
      <c r="AC2124" t="s">
        <v>27</v>
      </c>
      <c r="AD2124" t="s">
        <v>42</v>
      </c>
      <c r="AE2124" t="s">
        <v>25</v>
      </c>
      <c r="AF21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7.3770491803278687E-2</v>
      </c>
      <c r="AG2124" t="s">
        <v>942</v>
      </c>
      <c r="AH2124">
        <v>61.5</v>
      </c>
      <c r="AI2124" t="s">
        <v>939</v>
      </c>
      <c r="AJ2124">
        <v>1</v>
      </c>
      <c r="AK21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MIN(AJ2124/8, 1) +
  Merge1[[#This Row],[index_defensive_effort]],
  2
)</f>
        <v>0.9</v>
      </c>
    </row>
    <row r="2125" spans="1:37" x14ac:dyDescent="0.25">
      <c r="A2125" t="s">
        <v>614</v>
      </c>
      <c r="B2125" t="s">
        <v>615</v>
      </c>
      <c r="C2125">
        <v>23</v>
      </c>
      <c r="D2125" t="s">
        <v>56</v>
      </c>
      <c r="E2125">
        <v>71</v>
      </c>
      <c r="F2125">
        <v>183</v>
      </c>
      <c r="G2125" t="s">
        <v>228</v>
      </c>
      <c r="H2125">
        <v>2020</v>
      </c>
      <c r="I2125" t="s">
        <v>33</v>
      </c>
      <c r="J2125">
        <v>14</v>
      </c>
      <c r="K2125">
        <v>2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21</v>
      </c>
      <c r="T2125">
        <v>14</v>
      </c>
      <c r="U2125" s="5">
        <f>IF(Merge1[[#This Row],[team_defense_snaps]]=0, "", Merge1[[#This Row],[defense_snaps]] / Merge1[[#This Row],[team_defense_snaps]])</f>
        <v>0.20895522388059701</v>
      </c>
      <c r="V2125">
        <v>67</v>
      </c>
      <c r="W2125">
        <v>7</v>
      </c>
      <c r="X2125" s="5" t="s">
        <v>136</v>
      </c>
      <c r="Y2125">
        <v>0</v>
      </c>
      <c r="Z2125">
        <v>0</v>
      </c>
      <c r="AA2125" t="s">
        <v>25</v>
      </c>
      <c r="AB2125" t="s">
        <v>26</v>
      </c>
      <c r="AC2125" t="s">
        <v>27</v>
      </c>
      <c r="AD2125" t="s">
        <v>28</v>
      </c>
      <c r="AE2125" t="s">
        <v>25</v>
      </c>
      <c r="AF21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9.5238095238095233E-2</v>
      </c>
      <c r="AG2125" t="s">
        <v>941</v>
      </c>
      <c r="AH2125">
        <v>46</v>
      </c>
      <c r="AI2125" t="s">
        <v>939</v>
      </c>
      <c r="AJ2125">
        <v>2</v>
      </c>
      <c r="AK21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MIN(AJ2125/8, 1) +
  Merge1[[#This Row],[index_defensive_effort]],
  2
)</f>
        <v>0.75</v>
      </c>
    </row>
    <row r="2126" spans="1:37" x14ac:dyDescent="0.25">
      <c r="A2126" t="s">
        <v>614</v>
      </c>
      <c r="B2126" t="s">
        <v>615</v>
      </c>
      <c r="C2126">
        <v>23</v>
      </c>
      <c r="D2126" t="s">
        <v>56</v>
      </c>
      <c r="E2126">
        <v>71</v>
      </c>
      <c r="F2126">
        <v>183</v>
      </c>
      <c r="G2126" t="s">
        <v>228</v>
      </c>
      <c r="H2126">
        <v>2020</v>
      </c>
      <c r="I2126" t="s">
        <v>33</v>
      </c>
      <c r="J2126">
        <v>15</v>
      </c>
      <c r="K2126">
        <v>4</v>
      </c>
      <c r="L2126">
        <v>1</v>
      </c>
      <c r="M2126">
        <v>0</v>
      </c>
      <c r="N2126">
        <v>1</v>
      </c>
      <c r="O2126">
        <v>0</v>
      </c>
      <c r="P2126">
        <v>1</v>
      </c>
      <c r="Q2126">
        <v>0</v>
      </c>
      <c r="R2126">
        <v>0</v>
      </c>
      <c r="S2126">
        <v>37</v>
      </c>
      <c r="T2126">
        <v>30</v>
      </c>
      <c r="U2126" s="5">
        <f>IF(Merge1[[#This Row],[team_defense_snaps]]=0, "", Merge1[[#This Row],[defense_snaps]] / Merge1[[#This Row],[team_defense_snaps]])</f>
        <v>0.44117647058823528</v>
      </c>
      <c r="V2126">
        <v>68</v>
      </c>
      <c r="W2126">
        <v>7</v>
      </c>
      <c r="X2126" s="5" t="s">
        <v>133</v>
      </c>
      <c r="Y2126">
        <v>0</v>
      </c>
      <c r="Z2126">
        <v>0</v>
      </c>
      <c r="AA2126" t="s">
        <v>25</v>
      </c>
      <c r="AB2126" t="s">
        <v>26</v>
      </c>
      <c r="AC2126" t="s">
        <v>27</v>
      </c>
      <c r="AD2126" t="s">
        <v>28</v>
      </c>
      <c r="AE2126" t="s">
        <v>25</v>
      </c>
      <c r="AF21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0.17567567567567569</v>
      </c>
      <c r="AG2126" t="s">
        <v>941</v>
      </c>
      <c r="AH2126">
        <v>49</v>
      </c>
      <c r="AI2126" t="s">
        <v>939</v>
      </c>
      <c r="AJ2126">
        <v>3</v>
      </c>
      <c r="AK21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MIN(AJ2126/8, 1) +
  Merge1[[#This Row],[index_defensive_effort]],
  2
)</f>
        <v>0.95</v>
      </c>
    </row>
    <row r="2127" spans="1:37" x14ac:dyDescent="0.25">
      <c r="A2127" t="s">
        <v>614</v>
      </c>
      <c r="B2127" t="s">
        <v>615</v>
      </c>
      <c r="C2127">
        <v>23</v>
      </c>
      <c r="D2127" t="s">
        <v>56</v>
      </c>
      <c r="E2127">
        <v>71</v>
      </c>
      <c r="F2127">
        <v>183</v>
      </c>
      <c r="G2127" t="s">
        <v>228</v>
      </c>
      <c r="H2127">
        <v>2020</v>
      </c>
      <c r="I2127" t="s">
        <v>33</v>
      </c>
      <c r="J2127">
        <v>16</v>
      </c>
      <c r="K2127">
        <v>4</v>
      </c>
      <c r="L2127">
        <v>2</v>
      </c>
      <c r="M2127">
        <v>0</v>
      </c>
      <c r="N2127">
        <v>2</v>
      </c>
      <c r="O2127">
        <v>0</v>
      </c>
      <c r="P2127">
        <v>1</v>
      </c>
      <c r="Q2127">
        <v>0</v>
      </c>
      <c r="R2127">
        <v>0</v>
      </c>
      <c r="S2127">
        <v>63</v>
      </c>
      <c r="T2127">
        <v>55</v>
      </c>
      <c r="U2127" s="5">
        <f>IF(Merge1[[#This Row],[team_defense_snaps]]=0, "", Merge1[[#This Row],[defense_snaps]] / Merge1[[#This Row],[team_defense_snaps]])</f>
        <v>0.9821428571428571</v>
      </c>
      <c r="V2127">
        <v>56</v>
      </c>
      <c r="W2127">
        <v>8</v>
      </c>
      <c r="X2127" s="5" t="s">
        <v>137</v>
      </c>
      <c r="Y2127">
        <v>0</v>
      </c>
      <c r="Z2127">
        <v>0</v>
      </c>
      <c r="AA2127" t="s">
        <v>25</v>
      </c>
      <c r="AB2127" t="s">
        <v>26</v>
      </c>
      <c r="AC2127" t="s">
        <v>27</v>
      </c>
      <c r="AD2127" t="s">
        <v>42</v>
      </c>
      <c r="AE2127" t="s">
        <v>25</v>
      </c>
      <c r="AF21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0.1111111111111111</v>
      </c>
      <c r="AG2127" t="s">
        <v>941</v>
      </c>
      <c r="AH2127">
        <v>50</v>
      </c>
      <c r="AI2127" t="s">
        <v>939</v>
      </c>
      <c r="AJ2127">
        <v>4</v>
      </c>
      <c r="AK21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MIN(AJ2127/8, 1) +
  Merge1[[#This Row],[index_defensive_effort]],
  2
)</f>
        <v>1.01</v>
      </c>
    </row>
    <row r="2128" spans="1:37" x14ac:dyDescent="0.25">
      <c r="A2128" t="s">
        <v>614</v>
      </c>
      <c r="B2128" t="s">
        <v>615</v>
      </c>
      <c r="C2128">
        <v>23</v>
      </c>
      <c r="D2128" t="s">
        <v>56</v>
      </c>
      <c r="E2128">
        <v>71</v>
      </c>
      <c r="F2128">
        <v>183</v>
      </c>
      <c r="G2128" t="s">
        <v>228</v>
      </c>
      <c r="H2128">
        <v>2020</v>
      </c>
      <c r="I2128" t="s">
        <v>33</v>
      </c>
      <c r="J2128">
        <v>17</v>
      </c>
      <c r="K2128">
        <v>2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37</v>
      </c>
      <c r="T2128">
        <v>35</v>
      </c>
      <c r="U2128" s="5">
        <f>IF(Merge1[[#This Row],[team_defense_snaps]]=0, "", Merge1[[#This Row],[defense_snaps]] / Merge1[[#This Row],[team_defense_snaps]])</f>
        <v>0.76086956521739135</v>
      </c>
      <c r="V2128">
        <v>46</v>
      </c>
      <c r="W2128">
        <v>2</v>
      </c>
      <c r="X2128" s="5" t="s">
        <v>250</v>
      </c>
      <c r="Y2128">
        <v>0</v>
      </c>
      <c r="Z2128">
        <v>0</v>
      </c>
      <c r="AA2128" t="s">
        <v>25</v>
      </c>
      <c r="AB2128" t="s">
        <v>26</v>
      </c>
      <c r="AC2128" t="s">
        <v>27</v>
      </c>
      <c r="AD2128" t="s">
        <v>28</v>
      </c>
      <c r="AE2128" t="s">
        <v>25</v>
      </c>
      <c r="AF21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5.4054054054054057E-2</v>
      </c>
      <c r="AG2128" t="s">
        <v>941</v>
      </c>
      <c r="AH2128">
        <v>50.5</v>
      </c>
      <c r="AI2128" t="s">
        <v>939</v>
      </c>
      <c r="AJ2128">
        <v>5</v>
      </c>
      <c r="AK21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MIN(AJ2128/8, 1) +
  Merge1[[#This Row],[index_defensive_effort]],
  2
)</f>
        <v>1.08</v>
      </c>
    </row>
    <row r="2129" spans="1:37" x14ac:dyDescent="0.25">
      <c r="A2129" t="s">
        <v>614</v>
      </c>
      <c r="B2129" t="s">
        <v>615</v>
      </c>
      <c r="C2129">
        <v>23</v>
      </c>
      <c r="D2129" t="s">
        <v>56</v>
      </c>
      <c r="E2129">
        <v>71</v>
      </c>
      <c r="F2129">
        <v>183</v>
      </c>
      <c r="G2129" t="s">
        <v>228</v>
      </c>
      <c r="H2129">
        <v>2020</v>
      </c>
      <c r="I2129" t="s">
        <v>24</v>
      </c>
      <c r="J2129">
        <v>18</v>
      </c>
      <c r="K2129">
        <v>7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76</v>
      </c>
      <c r="T2129">
        <v>73</v>
      </c>
      <c r="U2129" s="5">
        <f>IF(Merge1[[#This Row],[team_defense_snaps]]=0, "", Merge1[[#This Row],[defense_snaps]] / Merge1[[#This Row],[team_defense_snaps]])</f>
        <v>0.94805194805194803</v>
      </c>
      <c r="V2129">
        <v>77</v>
      </c>
      <c r="W2129">
        <v>3</v>
      </c>
      <c r="X2129" s="5" t="s">
        <v>251</v>
      </c>
      <c r="Y2129">
        <v>0</v>
      </c>
      <c r="Z2129">
        <v>0</v>
      </c>
      <c r="AA2129" t="s">
        <v>25</v>
      </c>
      <c r="AB2129" t="s">
        <v>26</v>
      </c>
      <c r="AC2129" t="s">
        <v>27</v>
      </c>
      <c r="AD2129" t="s">
        <v>42</v>
      </c>
      <c r="AE2129" t="s">
        <v>25</v>
      </c>
      <c r="AF21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9.2105263157894732E-2</v>
      </c>
      <c r="AG2129" t="s">
        <v>941</v>
      </c>
      <c r="AH2129">
        <v>47.5</v>
      </c>
      <c r="AI2129" t="s">
        <v>939</v>
      </c>
      <c r="AJ2129">
        <v>1</v>
      </c>
      <c r="AK21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MIN(AJ2129/8, 1) +
  Merge1[[#This Row],[index_defensive_effort]],
  2
)</f>
        <v>0.82</v>
      </c>
    </row>
    <row r="2130" spans="1:37" x14ac:dyDescent="0.25">
      <c r="A2130" t="s">
        <v>564</v>
      </c>
      <c r="B2130" t="s">
        <v>565</v>
      </c>
      <c r="C2130">
        <v>24</v>
      </c>
      <c r="D2130" t="s">
        <v>56</v>
      </c>
      <c r="E2130">
        <v>71</v>
      </c>
      <c r="F2130">
        <v>200</v>
      </c>
      <c r="G2130" t="s">
        <v>117</v>
      </c>
      <c r="H2130">
        <v>2020</v>
      </c>
      <c r="I2130" t="s">
        <v>33</v>
      </c>
      <c r="J2130">
        <v>3</v>
      </c>
      <c r="K2130">
        <v>2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39</v>
      </c>
      <c r="T2130">
        <v>38</v>
      </c>
      <c r="U2130" s="5">
        <f>IF(Merge1[[#This Row],[team_defense_snaps]]=0, "", Merge1[[#This Row],[defense_snaps]] / Merge1[[#This Row],[team_defense_snaps]])</f>
        <v>0.50666666666666671</v>
      </c>
      <c r="V2130">
        <v>75</v>
      </c>
      <c r="W2130">
        <v>1</v>
      </c>
      <c r="X2130" s="5" t="s">
        <v>303</v>
      </c>
      <c r="Y2130">
        <v>1</v>
      </c>
      <c r="Z2130">
        <v>0</v>
      </c>
      <c r="AA2130" t="s">
        <v>25</v>
      </c>
      <c r="AB2130" t="s">
        <v>36</v>
      </c>
      <c r="AC2130" t="s">
        <v>147</v>
      </c>
      <c r="AD2130" t="s">
        <v>42</v>
      </c>
      <c r="AE2130" t="s">
        <v>25</v>
      </c>
      <c r="AF21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5.128205128205128E-2</v>
      </c>
      <c r="AG2130" t="s">
        <v>942</v>
      </c>
      <c r="AH2130">
        <v>53.5</v>
      </c>
      <c r="AI2130" t="s">
        <v>939</v>
      </c>
      <c r="AJ2130">
        <v>1</v>
      </c>
      <c r="AK21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MIN(AJ2130/8, 1) +
  Merge1[[#This Row],[index_defensive_effort]],
  2
)</f>
        <v>0.68</v>
      </c>
    </row>
    <row r="2131" spans="1:37" x14ac:dyDescent="0.25">
      <c r="A2131" t="s">
        <v>564</v>
      </c>
      <c r="B2131" t="s">
        <v>565</v>
      </c>
      <c r="C2131">
        <v>24</v>
      </c>
      <c r="D2131" t="s">
        <v>56</v>
      </c>
      <c r="E2131">
        <v>71</v>
      </c>
      <c r="F2131">
        <v>200</v>
      </c>
      <c r="G2131" t="s">
        <v>117</v>
      </c>
      <c r="H2131">
        <v>2020</v>
      </c>
      <c r="I2131" t="s">
        <v>33</v>
      </c>
      <c r="J2131">
        <v>8</v>
      </c>
      <c r="K2131">
        <v>1</v>
      </c>
      <c r="L2131">
        <v>1</v>
      </c>
      <c r="M2131">
        <v>1</v>
      </c>
      <c r="N2131">
        <v>2</v>
      </c>
      <c r="O2131">
        <v>0</v>
      </c>
      <c r="P2131">
        <v>0</v>
      </c>
      <c r="Q2131">
        <v>0</v>
      </c>
      <c r="R2131">
        <v>0</v>
      </c>
      <c r="S2131">
        <v>63</v>
      </c>
      <c r="T2131">
        <v>56</v>
      </c>
      <c r="U2131" s="5">
        <f>IF(Merge1[[#This Row],[team_defense_snaps]]=0, "", Merge1[[#This Row],[defense_snaps]] / Merge1[[#This Row],[team_defense_snaps]])</f>
        <v>0.7567567567567568</v>
      </c>
      <c r="V2131">
        <v>74</v>
      </c>
      <c r="W2131">
        <v>7</v>
      </c>
      <c r="X2131" s="5" t="s">
        <v>60</v>
      </c>
      <c r="Y2131">
        <v>1</v>
      </c>
      <c r="Z2131">
        <v>0</v>
      </c>
      <c r="AA2131" t="s">
        <v>25</v>
      </c>
      <c r="AB2131" t="s">
        <v>26</v>
      </c>
      <c r="AC2131" t="s">
        <v>27</v>
      </c>
      <c r="AD2131" t="s">
        <v>28</v>
      </c>
      <c r="AE2131" t="s">
        <v>25</v>
      </c>
      <c r="AF21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3.1746031746031744E-2</v>
      </c>
      <c r="AG2131" t="s">
        <v>942</v>
      </c>
      <c r="AH2131">
        <v>67</v>
      </c>
      <c r="AI2131" t="s">
        <v>939</v>
      </c>
      <c r="AJ2131">
        <v>2</v>
      </c>
      <c r="AK21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MIN(AJ2131/8, 1) +
  Merge1[[#This Row],[index_defensive_effort]],
  2
)</f>
        <v>0.78</v>
      </c>
    </row>
    <row r="2132" spans="1:37" x14ac:dyDescent="0.25">
      <c r="A2132" t="s">
        <v>564</v>
      </c>
      <c r="B2132" t="s">
        <v>565</v>
      </c>
      <c r="C2132">
        <v>24</v>
      </c>
      <c r="D2132" t="s">
        <v>56</v>
      </c>
      <c r="E2132">
        <v>71</v>
      </c>
      <c r="F2132">
        <v>200</v>
      </c>
      <c r="G2132" t="s">
        <v>117</v>
      </c>
      <c r="H2132">
        <v>2020</v>
      </c>
      <c r="I2132" t="s">
        <v>33</v>
      </c>
      <c r="J2132">
        <v>9</v>
      </c>
      <c r="K2132">
        <v>9</v>
      </c>
      <c r="L2132">
        <v>2</v>
      </c>
      <c r="M2132">
        <v>0</v>
      </c>
      <c r="N2132">
        <v>2</v>
      </c>
      <c r="O2132">
        <v>0</v>
      </c>
      <c r="P2132">
        <v>0</v>
      </c>
      <c r="Q2132">
        <v>0</v>
      </c>
      <c r="R2132">
        <v>2</v>
      </c>
      <c r="S2132">
        <v>79</v>
      </c>
      <c r="T2132">
        <v>74</v>
      </c>
      <c r="U2132" s="5">
        <f>IF(Merge1[[#This Row],[team_defense_snaps]]=0, "", Merge1[[#This Row],[defense_snaps]] / Merge1[[#This Row],[team_defense_snaps]])</f>
        <v>0.98666666666666669</v>
      </c>
      <c r="V2132">
        <v>75</v>
      </c>
      <c r="W2132">
        <v>5</v>
      </c>
      <c r="X2132" s="5" t="s">
        <v>181</v>
      </c>
      <c r="Y2132">
        <v>1</v>
      </c>
      <c r="Z2132">
        <v>0</v>
      </c>
      <c r="AA2132" t="s">
        <v>25</v>
      </c>
      <c r="AB2132" t="s">
        <v>26</v>
      </c>
      <c r="AC2132" t="s">
        <v>27</v>
      </c>
      <c r="AD2132" t="s">
        <v>42</v>
      </c>
      <c r="AE2132" t="s">
        <v>25</v>
      </c>
      <c r="AF21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0.17721518987341772</v>
      </c>
      <c r="AG2132" t="s">
        <v>942</v>
      </c>
      <c r="AH2132">
        <v>58</v>
      </c>
      <c r="AI2132" t="s">
        <v>939</v>
      </c>
      <c r="AJ2132">
        <v>3</v>
      </c>
      <c r="AK21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MIN(AJ2132/8, 1) +
  Merge1[[#This Row],[index_defensive_effort]],
  2
)</f>
        <v>1.05</v>
      </c>
    </row>
    <row r="2133" spans="1:37" x14ac:dyDescent="0.25">
      <c r="A2133" t="s">
        <v>564</v>
      </c>
      <c r="B2133" t="s">
        <v>565</v>
      </c>
      <c r="C2133">
        <v>24</v>
      </c>
      <c r="D2133" t="s">
        <v>56</v>
      </c>
      <c r="E2133">
        <v>71</v>
      </c>
      <c r="F2133">
        <v>200</v>
      </c>
      <c r="G2133" t="s">
        <v>117</v>
      </c>
      <c r="H2133">
        <v>2020</v>
      </c>
      <c r="I2133" t="s">
        <v>33</v>
      </c>
      <c r="J2133">
        <v>10</v>
      </c>
      <c r="K2133">
        <v>2</v>
      </c>
      <c r="L2133">
        <v>2</v>
      </c>
      <c r="M2133">
        <v>0</v>
      </c>
      <c r="N2133">
        <v>2</v>
      </c>
      <c r="O2133">
        <v>0</v>
      </c>
      <c r="P2133">
        <v>0</v>
      </c>
      <c r="Q2133">
        <v>0</v>
      </c>
      <c r="R2133">
        <v>0</v>
      </c>
      <c r="S2133">
        <v>60</v>
      </c>
      <c r="T2133">
        <v>50</v>
      </c>
      <c r="U2133" s="5">
        <f>IF(Merge1[[#This Row],[team_defense_snaps]]=0, "", Merge1[[#This Row],[defense_snaps]] / Merge1[[#This Row],[team_defense_snaps]])</f>
        <v>1</v>
      </c>
      <c r="V2133">
        <v>50</v>
      </c>
      <c r="W2133">
        <v>10</v>
      </c>
      <c r="X2133" s="5" t="s">
        <v>158</v>
      </c>
      <c r="Y2133">
        <v>1</v>
      </c>
      <c r="Z2133">
        <v>0</v>
      </c>
      <c r="AA2133" t="s">
        <v>25</v>
      </c>
      <c r="AB2133" t="s">
        <v>26</v>
      </c>
      <c r="AC2133" t="s">
        <v>27</v>
      </c>
      <c r="AD2133" t="s">
        <v>42</v>
      </c>
      <c r="AE2133" t="s">
        <v>25</v>
      </c>
      <c r="AF21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2133" t="s">
        <v>942</v>
      </c>
      <c r="AH2133">
        <v>59.5</v>
      </c>
      <c r="AI2133" t="s">
        <v>939</v>
      </c>
      <c r="AJ2133">
        <v>4</v>
      </c>
      <c r="AK21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MIN(AJ2133/8, 1) +
  Merge1[[#This Row],[index_defensive_effort]],
  2
)</f>
        <v>1.05</v>
      </c>
    </row>
    <row r="2134" spans="1:37" x14ac:dyDescent="0.25">
      <c r="A2134" t="s">
        <v>564</v>
      </c>
      <c r="B2134" t="s">
        <v>565</v>
      </c>
      <c r="C2134">
        <v>24</v>
      </c>
      <c r="D2134" t="s">
        <v>56</v>
      </c>
      <c r="E2134">
        <v>71</v>
      </c>
      <c r="F2134">
        <v>200</v>
      </c>
      <c r="G2134" t="s">
        <v>117</v>
      </c>
      <c r="H2134">
        <v>2020</v>
      </c>
      <c r="I2134" t="s">
        <v>33</v>
      </c>
      <c r="J2134">
        <v>11</v>
      </c>
      <c r="K2134">
        <v>2</v>
      </c>
      <c r="L2134">
        <v>1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60</v>
      </c>
      <c r="T2134">
        <v>49</v>
      </c>
      <c r="U2134" s="5">
        <f>IF(Merge1[[#This Row],[team_defense_snaps]]=0, "", Merge1[[#This Row],[defense_snaps]] / Merge1[[#This Row],[team_defense_snaps]])</f>
        <v>0.74242424242424243</v>
      </c>
      <c r="V2134">
        <v>66</v>
      </c>
      <c r="W2134">
        <v>11</v>
      </c>
      <c r="X2134" s="5" t="s">
        <v>210</v>
      </c>
      <c r="Y2134">
        <v>1</v>
      </c>
      <c r="Z2134">
        <v>0</v>
      </c>
      <c r="AA2134" t="s">
        <v>25</v>
      </c>
      <c r="AB2134" t="s">
        <v>26</v>
      </c>
      <c r="AC2134" t="s">
        <v>27</v>
      </c>
      <c r="AD2134" t="s">
        <v>42</v>
      </c>
      <c r="AE2134" t="s">
        <v>25</v>
      </c>
      <c r="AF21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2134" t="s">
        <v>942</v>
      </c>
      <c r="AH2134">
        <v>56.5</v>
      </c>
      <c r="AI2134" t="s">
        <v>939</v>
      </c>
      <c r="AJ2134">
        <v>5</v>
      </c>
      <c r="AK21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MIN(AJ2134/8, 1) +
  Merge1[[#This Row],[index_defensive_effort]],
  2
)</f>
        <v>1.17</v>
      </c>
    </row>
    <row r="2135" spans="1:37" x14ac:dyDescent="0.25">
      <c r="A2135" t="s">
        <v>564</v>
      </c>
      <c r="B2135" t="s">
        <v>565</v>
      </c>
      <c r="C2135">
        <v>24</v>
      </c>
      <c r="D2135" t="s">
        <v>56</v>
      </c>
      <c r="E2135">
        <v>71</v>
      </c>
      <c r="F2135">
        <v>200</v>
      </c>
      <c r="G2135" t="s">
        <v>117</v>
      </c>
      <c r="H2135">
        <v>2020</v>
      </c>
      <c r="I2135" t="s">
        <v>33</v>
      </c>
      <c r="J2135">
        <v>12</v>
      </c>
      <c r="K2135">
        <v>3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52</v>
      </c>
      <c r="T2135">
        <v>38</v>
      </c>
      <c r="U2135" s="5">
        <f>IF(Merge1[[#This Row],[team_defense_snaps]]=0, "", Merge1[[#This Row],[defense_snaps]] / Merge1[[#This Row],[team_defense_snaps]])</f>
        <v>0.5757575757575758</v>
      </c>
      <c r="V2135">
        <v>66</v>
      </c>
      <c r="W2135">
        <v>14</v>
      </c>
      <c r="X2135" s="5" t="s">
        <v>200</v>
      </c>
      <c r="Y2135">
        <v>1</v>
      </c>
      <c r="Z2135">
        <v>0</v>
      </c>
      <c r="AA2135" t="s">
        <v>25</v>
      </c>
      <c r="AB2135" t="s">
        <v>26</v>
      </c>
      <c r="AC2135" t="s">
        <v>27</v>
      </c>
      <c r="AD2135" t="s">
        <v>28</v>
      </c>
      <c r="AE2135" t="s">
        <v>25</v>
      </c>
      <c r="AF21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5.7692307692307696E-2</v>
      </c>
      <c r="AG2135" t="s">
        <v>942</v>
      </c>
      <c r="AH2135">
        <v>52</v>
      </c>
      <c r="AI2135" t="s">
        <v>939</v>
      </c>
      <c r="AJ2135">
        <v>6</v>
      </c>
      <c r="AK21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MIN(AJ2135/8, 1) +
  Merge1[[#This Row],[index_defensive_effort]],
  2
)</f>
        <v>1.31</v>
      </c>
    </row>
    <row r="2136" spans="1:37" x14ac:dyDescent="0.25">
      <c r="A2136" t="s">
        <v>564</v>
      </c>
      <c r="B2136" t="s">
        <v>565</v>
      </c>
      <c r="C2136">
        <v>24</v>
      </c>
      <c r="D2136" t="s">
        <v>56</v>
      </c>
      <c r="E2136">
        <v>71</v>
      </c>
      <c r="F2136">
        <v>200</v>
      </c>
      <c r="G2136" t="s">
        <v>117</v>
      </c>
      <c r="H2136">
        <v>2020</v>
      </c>
      <c r="I2136" t="s">
        <v>33</v>
      </c>
      <c r="J2136">
        <v>13</v>
      </c>
      <c r="K2136">
        <v>2</v>
      </c>
      <c r="L2136">
        <v>4</v>
      </c>
      <c r="M2136">
        <v>0</v>
      </c>
      <c r="N2136">
        <v>4</v>
      </c>
      <c r="O2136">
        <v>0</v>
      </c>
      <c r="P2136">
        <v>0</v>
      </c>
      <c r="Q2136">
        <v>0</v>
      </c>
      <c r="R2136">
        <v>0</v>
      </c>
      <c r="S2136">
        <v>56</v>
      </c>
      <c r="T2136">
        <v>35</v>
      </c>
      <c r="U2136" s="5">
        <f>IF(Merge1[[#This Row],[team_defense_snaps]]=0, "", Merge1[[#This Row],[defense_snaps]] / Merge1[[#This Row],[team_defense_snaps]])</f>
        <v>0.49295774647887325</v>
      </c>
      <c r="V2136">
        <v>71</v>
      </c>
      <c r="W2136">
        <v>21</v>
      </c>
      <c r="X2136" s="5" t="s">
        <v>256</v>
      </c>
      <c r="Y2136">
        <v>1</v>
      </c>
      <c r="Z2136">
        <v>0</v>
      </c>
      <c r="AA2136" t="s">
        <v>25</v>
      </c>
      <c r="AB2136" t="s">
        <v>26</v>
      </c>
      <c r="AC2136" t="s">
        <v>27</v>
      </c>
      <c r="AD2136" t="s">
        <v>42</v>
      </c>
      <c r="AE2136" t="s">
        <v>25</v>
      </c>
      <c r="AF21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2136" t="s">
        <v>942</v>
      </c>
      <c r="AH2136">
        <v>55</v>
      </c>
      <c r="AI2136" t="s">
        <v>939</v>
      </c>
      <c r="AJ2136">
        <v>1</v>
      </c>
      <c r="AK21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MIN(AJ2136/8, 1) +
  Merge1[[#This Row],[index_defensive_effort]],
  2
)</f>
        <v>0.7</v>
      </c>
    </row>
    <row r="2137" spans="1:37" x14ac:dyDescent="0.25">
      <c r="A2137" t="s">
        <v>584</v>
      </c>
      <c r="B2137" t="s">
        <v>585</v>
      </c>
      <c r="C2137">
        <v>22</v>
      </c>
      <c r="D2137" t="s">
        <v>56</v>
      </c>
      <c r="E2137">
        <v>71</v>
      </c>
      <c r="F2137">
        <v>197</v>
      </c>
      <c r="G2137" t="s">
        <v>130</v>
      </c>
      <c r="H2137">
        <v>2020</v>
      </c>
      <c r="I2137" t="s">
        <v>33</v>
      </c>
      <c r="J2137">
        <v>1</v>
      </c>
      <c r="K2137">
        <v>3</v>
      </c>
      <c r="L2137">
        <v>1</v>
      </c>
      <c r="M2137">
        <v>0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24</v>
      </c>
      <c r="T2137">
        <v>24</v>
      </c>
      <c r="U2137" s="5">
        <f>IF(Merge1[[#This Row],[team_defense_snaps]]=0, "", Merge1[[#This Row],[defense_snaps]] / Merge1[[#This Row],[team_defense_snaps]])</f>
        <v>0.4</v>
      </c>
      <c r="V2137">
        <v>60</v>
      </c>
      <c r="W2137">
        <v>0</v>
      </c>
      <c r="X2137" s="5" t="s">
        <v>29</v>
      </c>
      <c r="Y2137">
        <v>0</v>
      </c>
      <c r="Z2137">
        <v>0</v>
      </c>
      <c r="AA2137" t="s">
        <v>25</v>
      </c>
      <c r="AB2137" t="s">
        <v>26</v>
      </c>
      <c r="AC2137" t="s">
        <v>27</v>
      </c>
      <c r="AD2137" t="s">
        <v>28</v>
      </c>
      <c r="AE2137" t="s">
        <v>25</v>
      </c>
      <c r="AF21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0.14583333333333334</v>
      </c>
      <c r="AG2137" t="s">
        <v>941</v>
      </c>
      <c r="AH2137">
        <v>69</v>
      </c>
      <c r="AI2137" t="s">
        <v>939</v>
      </c>
      <c r="AJ2137">
        <v>2</v>
      </c>
      <c r="AK21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MIN(AJ2137/8, 1) +
  Merge1[[#This Row],[index_defensive_effort]],
  2
)</f>
        <v>0.9</v>
      </c>
    </row>
    <row r="2138" spans="1:37" x14ac:dyDescent="0.25">
      <c r="A2138" t="s">
        <v>584</v>
      </c>
      <c r="B2138" t="s">
        <v>585</v>
      </c>
      <c r="C2138">
        <v>22</v>
      </c>
      <c r="D2138" t="s">
        <v>56</v>
      </c>
      <c r="E2138">
        <v>71</v>
      </c>
      <c r="F2138">
        <v>197</v>
      </c>
      <c r="G2138" t="s">
        <v>130</v>
      </c>
      <c r="H2138">
        <v>2020</v>
      </c>
      <c r="I2138" t="s">
        <v>33</v>
      </c>
      <c r="J2138">
        <v>2</v>
      </c>
      <c r="K2138">
        <v>3</v>
      </c>
      <c r="L2138">
        <v>2</v>
      </c>
      <c r="M2138">
        <v>2</v>
      </c>
      <c r="N2138">
        <v>4</v>
      </c>
      <c r="O2138">
        <v>0</v>
      </c>
      <c r="P2138">
        <v>0</v>
      </c>
      <c r="Q2138">
        <v>2</v>
      </c>
      <c r="R2138">
        <v>0</v>
      </c>
      <c r="S2138">
        <v>44</v>
      </c>
      <c r="T2138">
        <v>44</v>
      </c>
      <c r="U2138" s="5">
        <f>IF(Merge1[[#This Row],[team_defense_snaps]]=0, "", Merge1[[#This Row],[defense_snaps]] / Merge1[[#This Row],[team_defense_snaps]])</f>
        <v>0.5714285714285714</v>
      </c>
      <c r="V2138">
        <v>77</v>
      </c>
      <c r="W2138">
        <v>0</v>
      </c>
      <c r="X2138" s="5" t="s">
        <v>29</v>
      </c>
      <c r="Y2138">
        <v>0</v>
      </c>
      <c r="Z2138">
        <v>0</v>
      </c>
      <c r="AA2138" t="s">
        <v>25</v>
      </c>
      <c r="AB2138" t="s">
        <v>26</v>
      </c>
      <c r="AC2138" t="s">
        <v>27</v>
      </c>
      <c r="AD2138" t="s">
        <v>28</v>
      </c>
      <c r="AE2138" t="s">
        <v>25</v>
      </c>
      <c r="AF21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0.29545454545454547</v>
      </c>
      <c r="AG2138" t="s">
        <v>941</v>
      </c>
      <c r="AH2138">
        <v>76.5</v>
      </c>
      <c r="AI2138" t="s">
        <v>939</v>
      </c>
      <c r="AJ2138">
        <v>3</v>
      </c>
      <c r="AK21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MIN(AJ2138/8, 1) +
  Merge1[[#This Row],[index_defensive_effort]],
  2
)</f>
        <v>1.17</v>
      </c>
    </row>
    <row r="2139" spans="1:37" x14ac:dyDescent="0.25">
      <c r="A2139" t="s">
        <v>584</v>
      </c>
      <c r="B2139" t="s">
        <v>585</v>
      </c>
      <c r="C2139">
        <v>22</v>
      </c>
      <c r="D2139" t="s">
        <v>56</v>
      </c>
      <c r="E2139">
        <v>71</v>
      </c>
      <c r="F2139">
        <v>197</v>
      </c>
      <c r="G2139" t="s">
        <v>130</v>
      </c>
      <c r="H2139">
        <v>2020</v>
      </c>
      <c r="I2139" t="s">
        <v>33</v>
      </c>
      <c r="J2139">
        <v>3</v>
      </c>
      <c r="K2139">
        <v>5</v>
      </c>
      <c r="L2139">
        <v>0</v>
      </c>
      <c r="M2139">
        <v>0</v>
      </c>
      <c r="N2139">
        <v>0</v>
      </c>
      <c r="O2139">
        <v>4</v>
      </c>
      <c r="P2139">
        <v>4</v>
      </c>
      <c r="Q2139">
        <v>0</v>
      </c>
      <c r="R2139">
        <v>0</v>
      </c>
      <c r="S2139">
        <v>25</v>
      </c>
      <c r="T2139">
        <v>25</v>
      </c>
      <c r="U2139" s="5">
        <f>IF(Merge1[[#This Row],[team_defense_snaps]]=0, "", Merge1[[#This Row],[defense_snaps]] / Merge1[[#This Row],[team_defense_snaps]])</f>
        <v>0.37878787878787878</v>
      </c>
      <c r="V2139">
        <v>66</v>
      </c>
      <c r="W2139">
        <v>0</v>
      </c>
      <c r="X2139" s="5" t="s">
        <v>29</v>
      </c>
      <c r="Y2139">
        <v>0</v>
      </c>
      <c r="Z2139">
        <v>0</v>
      </c>
      <c r="AA2139" t="s">
        <v>25</v>
      </c>
      <c r="AB2139" t="s">
        <v>26</v>
      </c>
      <c r="AC2139" t="s">
        <v>27</v>
      </c>
      <c r="AD2139" t="s">
        <v>28</v>
      </c>
      <c r="AE2139" t="s">
        <v>25</v>
      </c>
      <c r="AF21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2139" t="s">
        <v>941</v>
      </c>
      <c r="AH2139">
        <v>78</v>
      </c>
      <c r="AI2139" t="s">
        <v>939</v>
      </c>
      <c r="AJ2139">
        <v>1</v>
      </c>
      <c r="AK21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MIN(AJ2139/8, 1) +
  Merge1[[#This Row],[index_defensive_effort]],
  2
)</f>
        <v>1.63</v>
      </c>
    </row>
    <row r="2140" spans="1:37" x14ac:dyDescent="0.25">
      <c r="A2140" t="s">
        <v>584</v>
      </c>
      <c r="B2140" t="s">
        <v>585</v>
      </c>
      <c r="C2140">
        <v>22</v>
      </c>
      <c r="D2140" t="s">
        <v>56</v>
      </c>
      <c r="E2140">
        <v>71</v>
      </c>
      <c r="F2140">
        <v>197</v>
      </c>
      <c r="G2140" t="s">
        <v>130</v>
      </c>
      <c r="H2140">
        <v>2020</v>
      </c>
      <c r="I2140" t="s">
        <v>33</v>
      </c>
      <c r="J2140">
        <v>6</v>
      </c>
      <c r="K2140">
        <v>3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56</v>
      </c>
      <c r="T2140">
        <v>56</v>
      </c>
      <c r="U2140" s="5">
        <f>IF(Merge1[[#This Row],[team_defense_snaps]]=0, "", Merge1[[#This Row],[defense_snaps]] / Merge1[[#This Row],[team_defense_snaps]])</f>
        <v>0.78873239436619713</v>
      </c>
      <c r="V2140">
        <v>71</v>
      </c>
      <c r="W2140">
        <v>0</v>
      </c>
      <c r="X2140" s="5" t="s">
        <v>29</v>
      </c>
      <c r="Y2140">
        <v>0</v>
      </c>
      <c r="Z2140">
        <v>0</v>
      </c>
      <c r="AA2140" t="s">
        <v>25</v>
      </c>
      <c r="AB2140" t="s">
        <v>26</v>
      </c>
      <c r="AC2140" t="s">
        <v>27</v>
      </c>
      <c r="AD2140" t="s">
        <v>42</v>
      </c>
      <c r="AE2140" t="s">
        <v>25</v>
      </c>
      <c r="AF21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5.3571428571428568E-2</v>
      </c>
      <c r="AG2140" t="s">
        <v>941</v>
      </c>
      <c r="AH2140">
        <v>70.5</v>
      </c>
      <c r="AI2140" t="s">
        <v>939</v>
      </c>
      <c r="AJ2140">
        <v>2</v>
      </c>
      <c r="AK21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MIN(AJ2140/8, 1) +
  Merge1[[#This Row],[index_defensive_effort]],
  2
)</f>
        <v>0.8</v>
      </c>
    </row>
    <row r="2141" spans="1:37" x14ac:dyDescent="0.25">
      <c r="A2141" t="s">
        <v>584</v>
      </c>
      <c r="B2141" t="s">
        <v>585</v>
      </c>
      <c r="C2141">
        <v>22</v>
      </c>
      <c r="D2141" t="s">
        <v>56</v>
      </c>
      <c r="E2141">
        <v>71</v>
      </c>
      <c r="F2141">
        <v>197</v>
      </c>
      <c r="G2141" t="s">
        <v>130</v>
      </c>
      <c r="H2141">
        <v>2020</v>
      </c>
      <c r="I2141" t="s">
        <v>33</v>
      </c>
      <c r="J2141">
        <v>7</v>
      </c>
      <c r="K2141">
        <v>2</v>
      </c>
      <c r="L2141">
        <v>1</v>
      </c>
      <c r="M2141">
        <v>1</v>
      </c>
      <c r="N2141">
        <v>2</v>
      </c>
      <c r="O2141">
        <v>0</v>
      </c>
      <c r="P2141">
        <v>1</v>
      </c>
      <c r="Q2141">
        <v>0</v>
      </c>
      <c r="R2141">
        <v>0</v>
      </c>
      <c r="S2141">
        <v>37</v>
      </c>
      <c r="T2141">
        <v>37</v>
      </c>
      <c r="U2141" s="5">
        <f>IF(Merge1[[#This Row],[team_defense_snaps]]=0, "", Merge1[[#This Row],[defense_snaps]] / Merge1[[#This Row],[team_defense_snaps]])</f>
        <v>0.37</v>
      </c>
      <c r="V2141">
        <v>100</v>
      </c>
      <c r="W2141">
        <v>0</v>
      </c>
      <c r="X2141" s="5" t="s">
        <v>29</v>
      </c>
      <c r="Y2141">
        <v>0</v>
      </c>
      <c r="Z2141">
        <v>0</v>
      </c>
      <c r="AA2141" t="s">
        <v>25</v>
      </c>
      <c r="AB2141" t="s">
        <v>26</v>
      </c>
      <c r="AC2141" t="s">
        <v>27</v>
      </c>
      <c r="AD2141" t="s">
        <v>42</v>
      </c>
      <c r="AE2141" t="s">
        <v>25</v>
      </c>
      <c r="AF21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0.13513513513513514</v>
      </c>
      <c r="AG2141" t="s">
        <v>941</v>
      </c>
      <c r="AH2141">
        <v>54</v>
      </c>
      <c r="AI2141" t="s">
        <v>939</v>
      </c>
      <c r="AJ2141">
        <v>1</v>
      </c>
      <c r="AK21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MIN(AJ2141/8, 1) +
  Merge1[[#This Row],[index_defensive_effort]],
  2
)</f>
        <v>0.76</v>
      </c>
    </row>
    <row r="2142" spans="1:37" x14ac:dyDescent="0.25">
      <c r="A2142" t="s">
        <v>584</v>
      </c>
      <c r="B2142" t="s">
        <v>585</v>
      </c>
      <c r="C2142">
        <v>22</v>
      </c>
      <c r="D2142" t="s">
        <v>56</v>
      </c>
      <c r="E2142">
        <v>71</v>
      </c>
      <c r="F2142">
        <v>197</v>
      </c>
      <c r="G2142" t="s">
        <v>130</v>
      </c>
      <c r="H2142">
        <v>2020</v>
      </c>
      <c r="I2142" t="s">
        <v>33</v>
      </c>
      <c r="J2142">
        <v>17</v>
      </c>
      <c r="K2142">
        <v>1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18</v>
      </c>
      <c r="T2142">
        <v>16</v>
      </c>
      <c r="U2142" s="5">
        <f>IF(Merge1[[#This Row],[team_defense_snaps]]=0, "", Merge1[[#This Row],[defense_snaps]] / Merge1[[#This Row],[team_defense_snaps]])</f>
        <v>0.25</v>
      </c>
      <c r="V2142">
        <v>64</v>
      </c>
      <c r="W2142">
        <v>2</v>
      </c>
      <c r="X2142" s="5" t="s">
        <v>114</v>
      </c>
      <c r="Y2142">
        <v>0</v>
      </c>
      <c r="Z2142">
        <v>0</v>
      </c>
      <c r="AA2142" t="s">
        <v>25</v>
      </c>
      <c r="AB2142" t="s">
        <v>26</v>
      </c>
      <c r="AC2142" t="s">
        <v>27</v>
      </c>
      <c r="AD2142" t="s">
        <v>28</v>
      </c>
      <c r="AE2142" t="s">
        <v>25</v>
      </c>
      <c r="AF21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2142" t="s">
        <v>941</v>
      </c>
      <c r="AH2142">
        <v>75</v>
      </c>
      <c r="AI2142" t="s">
        <v>939</v>
      </c>
      <c r="AJ2142">
        <v>1</v>
      </c>
      <c r="AK21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MIN(AJ2142/8, 1) +
  Merge1[[#This Row],[index_defensive_effort]],
  2
)</f>
        <v>0.68</v>
      </c>
    </row>
    <row r="2143" spans="1:37" x14ac:dyDescent="0.25">
      <c r="A2143" t="s">
        <v>616</v>
      </c>
      <c r="B2143" t="s">
        <v>617</v>
      </c>
      <c r="C2143">
        <v>23</v>
      </c>
      <c r="D2143" t="s">
        <v>22</v>
      </c>
      <c r="E2143">
        <v>71</v>
      </c>
      <c r="F2143">
        <v>205</v>
      </c>
      <c r="G2143" t="s">
        <v>150</v>
      </c>
      <c r="H2143">
        <v>2020</v>
      </c>
      <c r="I2143" t="s">
        <v>33</v>
      </c>
      <c r="J2143">
        <v>4</v>
      </c>
      <c r="K2143">
        <v>2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38</v>
      </c>
      <c r="T2143">
        <v>27</v>
      </c>
      <c r="U2143" s="5">
        <f>IF(Merge1[[#This Row],[team_defense_snaps]]=0, "", Merge1[[#This Row],[defense_snaps]] / Merge1[[#This Row],[team_defense_snaps]])</f>
        <v>0.36486486486486486</v>
      </c>
      <c r="V2143">
        <v>74</v>
      </c>
      <c r="W2143">
        <v>11</v>
      </c>
      <c r="X2143" s="5" t="s">
        <v>260</v>
      </c>
      <c r="Y2143">
        <v>0</v>
      </c>
      <c r="Z2143">
        <v>0</v>
      </c>
      <c r="AA2143" t="s">
        <v>25</v>
      </c>
      <c r="AB2143" t="s">
        <v>26</v>
      </c>
      <c r="AC2143" t="s">
        <v>27</v>
      </c>
      <c r="AD2143" t="s">
        <v>42</v>
      </c>
      <c r="AE2143" t="s">
        <v>25</v>
      </c>
      <c r="AF21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5.2631578947368418E-2</v>
      </c>
      <c r="AG2143" t="s">
        <v>943</v>
      </c>
      <c r="AH2143">
        <v>52</v>
      </c>
      <c r="AI2143" t="s">
        <v>939</v>
      </c>
      <c r="AJ2143">
        <v>2</v>
      </c>
      <c r="AK21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MIN(AJ2143/8, 1) +
  Merge1[[#This Row],[index_defensive_effort]],
  2
)</f>
        <v>0.8</v>
      </c>
    </row>
    <row r="2144" spans="1:37" x14ac:dyDescent="0.25">
      <c r="A2144" t="s">
        <v>616</v>
      </c>
      <c r="B2144" t="s">
        <v>617</v>
      </c>
      <c r="C2144">
        <v>23</v>
      </c>
      <c r="D2144" t="s">
        <v>22</v>
      </c>
      <c r="E2144">
        <v>71</v>
      </c>
      <c r="F2144">
        <v>205</v>
      </c>
      <c r="G2144" t="s">
        <v>150</v>
      </c>
      <c r="H2144">
        <v>2020</v>
      </c>
      <c r="I2144" t="s">
        <v>33</v>
      </c>
      <c r="J2144">
        <v>5</v>
      </c>
      <c r="K2144">
        <v>1</v>
      </c>
      <c r="L2144">
        <v>2</v>
      </c>
      <c r="M2144">
        <v>1</v>
      </c>
      <c r="N2144">
        <v>3</v>
      </c>
      <c r="O2144">
        <v>0</v>
      </c>
      <c r="P2144">
        <v>0</v>
      </c>
      <c r="Q2144">
        <v>0</v>
      </c>
      <c r="R2144">
        <v>0</v>
      </c>
      <c r="S2144">
        <v>15</v>
      </c>
      <c r="T2144">
        <v>13</v>
      </c>
      <c r="U2144" s="5">
        <f>IF(Merge1[[#This Row],[team_defense_snaps]]=0, "", Merge1[[#This Row],[defense_snaps]] / Merge1[[#This Row],[team_defense_snaps]])</f>
        <v>0.16666666666666666</v>
      </c>
      <c r="V2144">
        <v>78</v>
      </c>
      <c r="W2144">
        <v>2</v>
      </c>
      <c r="X2144" s="5" t="s">
        <v>167</v>
      </c>
      <c r="Y2144">
        <v>0</v>
      </c>
      <c r="Z2144">
        <v>0</v>
      </c>
      <c r="AA2144" t="s">
        <v>25</v>
      </c>
      <c r="AB2144" t="s">
        <v>26</v>
      </c>
      <c r="AC2144" t="s">
        <v>27</v>
      </c>
      <c r="AD2144" t="s">
        <v>28</v>
      </c>
      <c r="AE2144" t="s">
        <v>25</v>
      </c>
      <c r="AF21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AG2144" t="s">
        <v>943</v>
      </c>
      <c r="AH2144">
        <v>68.5</v>
      </c>
      <c r="AI2144" t="s">
        <v>939</v>
      </c>
      <c r="AJ2144">
        <v>1</v>
      </c>
      <c r="AK21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MIN(AJ2144/8, 1) +
  Merge1[[#This Row],[index_defensive_effort]],
  2
)</f>
        <v>0.79</v>
      </c>
    </row>
    <row r="2145" spans="1:37" x14ac:dyDescent="0.25">
      <c r="A2145" t="s">
        <v>616</v>
      </c>
      <c r="B2145" t="s">
        <v>617</v>
      </c>
      <c r="C2145">
        <v>23</v>
      </c>
      <c r="D2145" t="s">
        <v>22</v>
      </c>
      <c r="E2145">
        <v>71</v>
      </c>
      <c r="F2145">
        <v>205</v>
      </c>
      <c r="G2145" t="s">
        <v>150</v>
      </c>
      <c r="H2145">
        <v>2020</v>
      </c>
      <c r="I2145" t="s">
        <v>33</v>
      </c>
      <c r="J2145">
        <v>13</v>
      </c>
      <c r="K2145">
        <v>1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35</v>
      </c>
      <c r="T2145">
        <v>16</v>
      </c>
      <c r="U2145" s="5">
        <f>IF(Merge1[[#This Row],[team_defense_snaps]]=0, "", Merge1[[#This Row],[defense_snaps]] / Merge1[[#This Row],[team_defense_snaps]])</f>
        <v>0.25806451612903225</v>
      </c>
      <c r="V2145">
        <v>62</v>
      </c>
      <c r="W2145">
        <v>19</v>
      </c>
      <c r="X2145" s="5" t="s">
        <v>61</v>
      </c>
      <c r="Y2145">
        <v>0</v>
      </c>
      <c r="Z2145">
        <v>0</v>
      </c>
      <c r="AA2145" t="s">
        <v>25</v>
      </c>
      <c r="AB2145" t="s">
        <v>26</v>
      </c>
      <c r="AC2145" t="s">
        <v>27</v>
      </c>
      <c r="AD2145" t="s">
        <v>28</v>
      </c>
      <c r="AE2145" t="s">
        <v>25</v>
      </c>
      <c r="AF21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2.8571428571428571E-2</v>
      </c>
      <c r="AG2145" t="s">
        <v>943</v>
      </c>
      <c r="AH2145">
        <v>50.5</v>
      </c>
      <c r="AI2145" t="s">
        <v>939</v>
      </c>
      <c r="AJ2145">
        <v>1</v>
      </c>
      <c r="AK21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MIN(AJ2145/8, 1) +
  Merge1[[#This Row],[index_defensive_effort]],
  2
)</f>
        <v>0.65</v>
      </c>
    </row>
    <row r="2146" spans="1:37" x14ac:dyDescent="0.25">
      <c r="A2146" t="s">
        <v>616</v>
      </c>
      <c r="B2146" t="s">
        <v>617</v>
      </c>
      <c r="C2146">
        <v>23</v>
      </c>
      <c r="D2146" t="s">
        <v>22</v>
      </c>
      <c r="E2146">
        <v>71</v>
      </c>
      <c r="F2146">
        <v>205</v>
      </c>
      <c r="G2146" t="s">
        <v>150</v>
      </c>
      <c r="H2146">
        <v>2020</v>
      </c>
      <c r="I2146" t="s">
        <v>33</v>
      </c>
      <c r="J2146">
        <v>15</v>
      </c>
      <c r="K2146">
        <v>1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42</v>
      </c>
      <c r="T2146">
        <v>23</v>
      </c>
      <c r="U2146" s="5">
        <f>IF(Merge1[[#This Row],[team_defense_snaps]]=0, "", Merge1[[#This Row],[defense_snaps]] / Merge1[[#This Row],[team_defense_snaps]])</f>
        <v>0.33823529411764708</v>
      </c>
      <c r="V2146">
        <v>68</v>
      </c>
      <c r="W2146">
        <v>19</v>
      </c>
      <c r="X2146" s="5" t="s">
        <v>125</v>
      </c>
      <c r="Y2146">
        <v>0</v>
      </c>
      <c r="Z2146">
        <v>0</v>
      </c>
      <c r="AA2146" t="s">
        <v>25</v>
      </c>
      <c r="AB2146" t="s">
        <v>26</v>
      </c>
      <c r="AC2146" t="s">
        <v>27</v>
      </c>
      <c r="AD2146" t="s">
        <v>42</v>
      </c>
      <c r="AE2146" t="s">
        <v>25</v>
      </c>
      <c r="AF21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2.3809523809523808E-2</v>
      </c>
      <c r="AG2146" t="s">
        <v>943</v>
      </c>
      <c r="AH2146">
        <v>67</v>
      </c>
      <c r="AI2146" t="s">
        <v>939</v>
      </c>
      <c r="AJ2146">
        <v>2</v>
      </c>
      <c r="AK21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MIN(AJ2146/8, 1) +
  Merge1[[#This Row],[index_defensive_effort]],
  2
)</f>
        <v>0.77</v>
      </c>
    </row>
    <row r="2147" spans="1:37" x14ac:dyDescent="0.25">
      <c r="A2147" t="s">
        <v>616</v>
      </c>
      <c r="B2147" t="s">
        <v>617</v>
      </c>
      <c r="C2147">
        <v>23</v>
      </c>
      <c r="D2147" t="s">
        <v>22</v>
      </c>
      <c r="E2147">
        <v>71</v>
      </c>
      <c r="F2147">
        <v>205</v>
      </c>
      <c r="G2147" t="s">
        <v>150</v>
      </c>
      <c r="H2147">
        <v>2020</v>
      </c>
      <c r="I2147" t="s">
        <v>33</v>
      </c>
      <c r="J2147">
        <v>16</v>
      </c>
      <c r="K2147">
        <v>2</v>
      </c>
      <c r="L2147">
        <v>1</v>
      </c>
      <c r="M2147">
        <v>0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39</v>
      </c>
      <c r="T2147">
        <v>19</v>
      </c>
      <c r="U2147" s="5">
        <f>IF(Merge1[[#This Row],[team_defense_snaps]]=0, "", Merge1[[#This Row],[defense_snaps]] / Merge1[[#This Row],[team_defense_snaps]])</f>
        <v>0.26760563380281688</v>
      </c>
      <c r="V2147">
        <v>71</v>
      </c>
      <c r="W2147">
        <v>20</v>
      </c>
      <c r="X2147" s="5" t="s">
        <v>281</v>
      </c>
      <c r="Y2147">
        <v>0</v>
      </c>
      <c r="Z2147">
        <v>0</v>
      </c>
      <c r="AA2147" t="s">
        <v>25</v>
      </c>
      <c r="AB2147" t="s">
        <v>26</v>
      </c>
      <c r="AC2147" t="s">
        <v>27</v>
      </c>
      <c r="AD2147" t="s">
        <v>28</v>
      </c>
      <c r="AE2147" t="s">
        <v>25</v>
      </c>
      <c r="AF21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0.11538461538461539</v>
      </c>
      <c r="AG2147" t="s">
        <v>943</v>
      </c>
      <c r="AH2147">
        <v>55</v>
      </c>
      <c r="AI2147" t="s">
        <v>939</v>
      </c>
      <c r="AJ2147">
        <v>3</v>
      </c>
      <c r="AK21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MIN(AJ2147/8, 1) +
  Merge1[[#This Row],[index_defensive_effort]],
  2
)</f>
        <v>0.99</v>
      </c>
    </row>
    <row r="2148" spans="1:37" x14ac:dyDescent="0.25">
      <c r="A2148" t="s">
        <v>616</v>
      </c>
      <c r="B2148" t="s">
        <v>617</v>
      </c>
      <c r="C2148">
        <v>23</v>
      </c>
      <c r="D2148" t="s">
        <v>22</v>
      </c>
      <c r="E2148">
        <v>71</v>
      </c>
      <c r="F2148">
        <v>205</v>
      </c>
      <c r="G2148" t="s">
        <v>150</v>
      </c>
      <c r="H2148">
        <v>2020</v>
      </c>
      <c r="I2148" t="s">
        <v>33</v>
      </c>
      <c r="J2148">
        <v>17</v>
      </c>
      <c r="K2148">
        <v>5</v>
      </c>
      <c r="L2148">
        <v>1</v>
      </c>
      <c r="M2148">
        <v>0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68</v>
      </c>
      <c r="T2148">
        <v>63</v>
      </c>
      <c r="U2148" s="5">
        <f>IF(Merge1[[#This Row],[team_defense_snaps]]=0, "", Merge1[[#This Row],[defense_snaps]] / Merge1[[#This Row],[team_defense_snaps]])</f>
        <v>1</v>
      </c>
      <c r="V2148">
        <v>63</v>
      </c>
      <c r="W2148">
        <v>5</v>
      </c>
      <c r="X2148" s="5" t="s">
        <v>58</v>
      </c>
      <c r="Y2148">
        <v>0</v>
      </c>
      <c r="Z2148">
        <v>0</v>
      </c>
      <c r="AA2148" t="s">
        <v>25</v>
      </c>
      <c r="AB2148" t="s">
        <v>26</v>
      </c>
      <c r="AC2148" t="s">
        <v>27</v>
      </c>
      <c r="AD2148" t="s">
        <v>42</v>
      </c>
      <c r="AE2148" t="s">
        <v>25</v>
      </c>
      <c r="AF21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8.0882352941176475E-2</v>
      </c>
      <c r="AG2148" t="s">
        <v>943</v>
      </c>
      <c r="AH2148">
        <v>49</v>
      </c>
      <c r="AI2148" t="s">
        <v>939</v>
      </c>
      <c r="AJ2148">
        <v>1</v>
      </c>
      <c r="AK21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MIN(AJ2148/8, 1) +
  Merge1[[#This Row],[index_defensive_effort]],
  2
)</f>
        <v>0.71</v>
      </c>
    </row>
    <row r="2149" spans="1:37" x14ac:dyDescent="0.25">
      <c r="A2149" t="s">
        <v>618</v>
      </c>
      <c r="B2149" t="s">
        <v>619</v>
      </c>
      <c r="C2149">
        <v>29</v>
      </c>
      <c r="D2149" t="s">
        <v>56</v>
      </c>
      <c r="E2149">
        <v>69</v>
      </c>
      <c r="F2149">
        <v>185</v>
      </c>
      <c r="G2149" t="s">
        <v>144</v>
      </c>
      <c r="H2149">
        <v>2020</v>
      </c>
      <c r="I2149" t="s">
        <v>33</v>
      </c>
      <c r="J2149">
        <v>1</v>
      </c>
      <c r="K2149">
        <v>2</v>
      </c>
      <c r="L2149">
        <v>1</v>
      </c>
      <c r="M2149">
        <v>0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48</v>
      </c>
      <c r="T2149">
        <v>47</v>
      </c>
      <c r="U2149" s="5">
        <f>IF(Merge1[[#This Row],[team_defense_snaps]]=0, "", Merge1[[#This Row],[defense_snaps]] / Merge1[[#This Row],[team_defense_snaps]])</f>
        <v>0.47</v>
      </c>
      <c r="V2149">
        <v>100</v>
      </c>
      <c r="W2149">
        <v>1</v>
      </c>
      <c r="X2149" s="5" t="s">
        <v>193</v>
      </c>
      <c r="Y2149">
        <v>6</v>
      </c>
      <c r="Z2149">
        <v>0</v>
      </c>
      <c r="AA2149" t="s">
        <v>25</v>
      </c>
      <c r="AB2149" t="s">
        <v>26</v>
      </c>
      <c r="AC2149" t="s">
        <v>27</v>
      </c>
      <c r="AD2149" t="s">
        <v>42</v>
      </c>
      <c r="AE2149" t="s">
        <v>25</v>
      </c>
      <c r="AF21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5.2083333333333336E-2</v>
      </c>
      <c r="AG2149" t="s">
        <v>941</v>
      </c>
      <c r="AH2149">
        <v>67.5</v>
      </c>
      <c r="AI2149" t="s">
        <v>939</v>
      </c>
      <c r="AJ2149">
        <v>2</v>
      </c>
      <c r="AK21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MIN(AJ2149/8, 1) +
  Merge1[[#This Row],[index_defensive_effort]],
  2
)</f>
        <v>0.9</v>
      </c>
    </row>
    <row r="2150" spans="1:37" x14ac:dyDescent="0.25">
      <c r="A2150" t="s">
        <v>618</v>
      </c>
      <c r="B2150" t="s">
        <v>619</v>
      </c>
      <c r="C2150">
        <v>29</v>
      </c>
      <c r="D2150" t="s">
        <v>56</v>
      </c>
      <c r="E2150">
        <v>69</v>
      </c>
      <c r="F2150">
        <v>185</v>
      </c>
      <c r="G2150" t="s">
        <v>144</v>
      </c>
      <c r="H2150">
        <v>2020</v>
      </c>
      <c r="I2150" t="s">
        <v>33</v>
      </c>
      <c r="J2150">
        <v>2</v>
      </c>
      <c r="K2150">
        <v>1</v>
      </c>
      <c r="L2150">
        <v>0</v>
      </c>
      <c r="M2150">
        <v>0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40</v>
      </c>
      <c r="T2150">
        <v>39</v>
      </c>
      <c r="U2150" s="5">
        <f>IF(Merge1[[#This Row],[team_defense_snaps]]=0, "", Merge1[[#This Row],[defense_snaps]] / Merge1[[#This Row],[team_defense_snaps]])</f>
        <v>0.58208955223880599</v>
      </c>
      <c r="V2150">
        <v>67</v>
      </c>
      <c r="W2150">
        <v>1</v>
      </c>
      <c r="X2150" s="5" t="s">
        <v>193</v>
      </c>
      <c r="Y2150">
        <v>6</v>
      </c>
      <c r="Z2150">
        <v>0</v>
      </c>
      <c r="AA2150" t="s">
        <v>25</v>
      </c>
      <c r="AB2150" t="s">
        <v>26</v>
      </c>
      <c r="AC2150" t="s">
        <v>27</v>
      </c>
      <c r="AD2150" t="s">
        <v>28</v>
      </c>
      <c r="AE2150" t="s">
        <v>25</v>
      </c>
      <c r="AF21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7.4999999999999997E-2</v>
      </c>
      <c r="AG2150" t="s">
        <v>941</v>
      </c>
      <c r="AH2150">
        <v>57</v>
      </c>
      <c r="AI2150" t="s">
        <v>939</v>
      </c>
      <c r="AJ2150">
        <v>3</v>
      </c>
      <c r="AK21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MIN(AJ2150/8, 1) +
  Merge1[[#This Row],[index_defensive_effort]],
  2
)</f>
        <v>1.05</v>
      </c>
    </row>
    <row r="2151" spans="1:37" x14ac:dyDescent="0.25">
      <c r="A2151" t="s">
        <v>618</v>
      </c>
      <c r="B2151" t="s">
        <v>619</v>
      </c>
      <c r="C2151">
        <v>29</v>
      </c>
      <c r="D2151" t="s">
        <v>56</v>
      </c>
      <c r="E2151">
        <v>69</v>
      </c>
      <c r="F2151">
        <v>185</v>
      </c>
      <c r="G2151" t="s">
        <v>144</v>
      </c>
      <c r="H2151">
        <v>2020</v>
      </c>
      <c r="I2151" t="s">
        <v>33</v>
      </c>
      <c r="J2151">
        <v>3</v>
      </c>
      <c r="K2151">
        <v>3</v>
      </c>
      <c r="L2151">
        <v>2</v>
      </c>
      <c r="M2151">
        <v>0</v>
      </c>
      <c r="N2151">
        <v>2</v>
      </c>
      <c r="O2151">
        <v>0</v>
      </c>
      <c r="P2151">
        <v>1</v>
      </c>
      <c r="Q2151">
        <v>0</v>
      </c>
      <c r="R2151">
        <v>0</v>
      </c>
      <c r="S2151">
        <v>33</v>
      </c>
      <c r="T2151">
        <v>33</v>
      </c>
      <c r="U2151" s="5">
        <f>IF(Merge1[[#This Row],[team_defense_snaps]]=0, "", Merge1[[#This Row],[defense_snaps]] / Merge1[[#This Row],[team_defense_snaps]])</f>
        <v>0.61111111111111116</v>
      </c>
      <c r="V2151">
        <v>54</v>
      </c>
      <c r="W2151">
        <v>0</v>
      </c>
      <c r="X2151" s="5" t="s">
        <v>29</v>
      </c>
      <c r="Y2151">
        <v>6</v>
      </c>
      <c r="Z2151">
        <v>0</v>
      </c>
      <c r="AA2151" t="s">
        <v>25</v>
      </c>
      <c r="AB2151" t="s">
        <v>26</v>
      </c>
      <c r="AC2151" t="s">
        <v>27</v>
      </c>
      <c r="AD2151" t="s">
        <v>42</v>
      </c>
      <c r="AE2151" t="s">
        <v>25</v>
      </c>
      <c r="AF21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0.18181818181818182</v>
      </c>
      <c r="AG2151" t="s">
        <v>941</v>
      </c>
      <c r="AH2151">
        <v>55.5</v>
      </c>
      <c r="AI2151" t="s">
        <v>938</v>
      </c>
      <c r="AJ2151">
        <v>4</v>
      </c>
      <c r="AK21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MIN(AJ2151/8, 1) +
  Merge1[[#This Row],[index_defensive_effort]],
  2
)</f>
        <v>1.28</v>
      </c>
    </row>
    <row r="2152" spans="1:37" x14ac:dyDescent="0.25">
      <c r="A2152" t="s">
        <v>618</v>
      </c>
      <c r="B2152" t="s">
        <v>619</v>
      </c>
      <c r="C2152">
        <v>29</v>
      </c>
      <c r="D2152" t="s">
        <v>56</v>
      </c>
      <c r="E2152">
        <v>69</v>
      </c>
      <c r="F2152">
        <v>185</v>
      </c>
      <c r="G2152" t="s">
        <v>144</v>
      </c>
      <c r="H2152">
        <v>2020</v>
      </c>
      <c r="I2152" t="s">
        <v>33</v>
      </c>
      <c r="J2152">
        <v>4</v>
      </c>
      <c r="K2152">
        <v>3</v>
      </c>
      <c r="L2152">
        <v>1</v>
      </c>
      <c r="M2152">
        <v>0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35</v>
      </c>
      <c r="T2152">
        <v>34</v>
      </c>
      <c r="U2152" s="5">
        <f>IF(Merge1[[#This Row],[team_defense_snaps]]=0, "", Merge1[[#This Row],[defense_snaps]] / Merge1[[#This Row],[team_defense_snaps]])</f>
        <v>0.54838709677419351</v>
      </c>
      <c r="V2152">
        <v>62</v>
      </c>
      <c r="W2152">
        <v>1</v>
      </c>
      <c r="X2152" s="5" t="s">
        <v>193</v>
      </c>
      <c r="Y2152">
        <v>6</v>
      </c>
      <c r="Z2152">
        <v>0</v>
      </c>
      <c r="AA2152" t="s">
        <v>25</v>
      </c>
      <c r="AB2152" t="s">
        <v>36</v>
      </c>
      <c r="AC2152" t="s">
        <v>371</v>
      </c>
      <c r="AD2152" t="s">
        <v>28</v>
      </c>
      <c r="AE2152" t="s">
        <v>25</v>
      </c>
      <c r="AF21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2152" t="s">
        <v>941</v>
      </c>
      <c r="AH2152">
        <v>76.5</v>
      </c>
      <c r="AI2152" t="s">
        <v>938</v>
      </c>
      <c r="AJ2152">
        <v>1</v>
      </c>
      <c r="AK21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MIN(AJ2152/8, 1) +
  Merge1[[#This Row],[index_defensive_effort]],
  2
)</f>
        <v>0.83</v>
      </c>
    </row>
    <row r="2153" spans="1:37" x14ac:dyDescent="0.25">
      <c r="A2153" t="s">
        <v>618</v>
      </c>
      <c r="B2153" t="s">
        <v>619</v>
      </c>
      <c r="C2153">
        <v>29</v>
      </c>
      <c r="D2153" t="s">
        <v>56</v>
      </c>
      <c r="E2153">
        <v>69</v>
      </c>
      <c r="F2153">
        <v>185</v>
      </c>
      <c r="G2153" t="s">
        <v>144</v>
      </c>
      <c r="H2153">
        <v>2020</v>
      </c>
      <c r="I2153" t="s">
        <v>33</v>
      </c>
      <c r="J2153">
        <v>8</v>
      </c>
      <c r="K2153">
        <v>6</v>
      </c>
      <c r="L2153">
        <v>0</v>
      </c>
      <c r="M2153">
        <v>0</v>
      </c>
      <c r="N2153">
        <v>0</v>
      </c>
      <c r="O2153">
        <v>4</v>
      </c>
      <c r="P2153">
        <v>4</v>
      </c>
      <c r="Q2153">
        <v>0</v>
      </c>
      <c r="R2153">
        <v>0</v>
      </c>
      <c r="S2153">
        <v>33</v>
      </c>
      <c r="T2153">
        <v>33</v>
      </c>
      <c r="U2153" s="5">
        <f>IF(Merge1[[#This Row],[team_defense_snaps]]=0, "", Merge1[[#This Row],[defense_snaps]] / Merge1[[#This Row],[team_defense_snaps]])</f>
        <v>0.48529411764705882</v>
      </c>
      <c r="V2153">
        <v>68</v>
      </c>
      <c r="W2153">
        <v>0</v>
      </c>
      <c r="X2153" s="5" t="s">
        <v>29</v>
      </c>
      <c r="Y2153">
        <v>6</v>
      </c>
      <c r="Z2153">
        <v>0</v>
      </c>
      <c r="AA2153" t="s">
        <v>25</v>
      </c>
      <c r="AB2153" t="s">
        <v>62</v>
      </c>
      <c r="AC2153" t="s">
        <v>27</v>
      </c>
      <c r="AD2153" t="s">
        <v>42</v>
      </c>
      <c r="AE2153" t="s">
        <v>25</v>
      </c>
      <c r="AF21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0.78787878787878785</v>
      </c>
      <c r="AG2153" t="s">
        <v>941</v>
      </c>
      <c r="AH2153">
        <v>75</v>
      </c>
      <c r="AI2153" t="s">
        <v>939</v>
      </c>
      <c r="AJ2153">
        <v>1</v>
      </c>
      <c r="AK21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MIN(AJ2153/8, 1) +
  Merge1[[#This Row],[index_defensive_effort]],
  2
)</f>
        <v>1.51</v>
      </c>
    </row>
    <row r="2154" spans="1:37" x14ac:dyDescent="0.25">
      <c r="A2154" t="s">
        <v>618</v>
      </c>
      <c r="B2154" t="s">
        <v>619</v>
      </c>
      <c r="C2154">
        <v>29</v>
      </c>
      <c r="D2154" t="s">
        <v>56</v>
      </c>
      <c r="E2154">
        <v>69</v>
      </c>
      <c r="F2154">
        <v>185</v>
      </c>
      <c r="G2154" t="s">
        <v>144</v>
      </c>
      <c r="H2154">
        <v>2020</v>
      </c>
      <c r="I2154" t="s">
        <v>33</v>
      </c>
      <c r="J2154">
        <v>15</v>
      </c>
      <c r="K2154">
        <v>2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40</v>
      </c>
      <c r="T2154">
        <v>37</v>
      </c>
      <c r="U2154" s="5">
        <f>IF(Merge1[[#This Row],[team_defense_snaps]]=0, "", Merge1[[#This Row],[defense_snaps]] / Merge1[[#This Row],[team_defense_snaps]])</f>
        <v>0.63793103448275867</v>
      </c>
      <c r="V2154">
        <v>58</v>
      </c>
      <c r="W2154">
        <v>3</v>
      </c>
      <c r="X2154" s="5" t="s">
        <v>167</v>
      </c>
      <c r="Y2154">
        <v>6</v>
      </c>
      <c r="Z2154">
        <v>0</v>
      </c>
      <c r="AA2154" t="s">
        <v>25</v>
      </c>
      <c r="AB2154" t="s">
        <v>36</v>
      </c>
      <c r="AC2154" t="s">
        <v>63</v>
      </c>
      <c r="AD2154" t="s">
        <v>42</v>
      </c>
      <c r="AE2154" t="s">
        <v>25</v>
      </c>
      <c r="AF21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2154" t="s">
        <v>941</v>
      </c>
      <c r="AH2154">
        <v>78</v>
      </c>
      <c r="AI2154" t="s">
        <v>939</v>
      </c>
      <c r="AJ2154">
        <v>2</v>
      </c>
      <c r="AK21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MIN(AJ2154/8, 1) +
  Merge1[[#This Row],[index_defensive_effort]],
  2
)</f>
        <v>0.9</v>
      </c>
    </row>
    <row r="2155" spans="1:37" x14ac:dyDescent="0.25">
      <c r="A2155" t="s">
        <v>618</v>
      </c>
      <c r="B2155" t="s">
        <v>619</v>
      </c>
      <c r="C2155">
        <v>29</v>
      </c>
      <c r="D2155" t="s">
        <v>56</v>
      </c>
      <c r="E2155">
        <v>69</v>
      </c>
      <c r="F2155">
        <v>185</v>
      </c>
      <c r="G2155" t="s">
        <v>144</v>
      </c>
      <c r="H2155">
        <v>2020</v>
      </c>
      <c r="I2155" t="s">
        <v>33</v>
      </c>
      <c r="J2155">
        <v>16</v>
      </c>
      <c r="K2155">
        <v>7</v>
      </c>
      <c r="L2155">
        <v>3</v>
      </c>
      <c r="M2155">
        <v>2</v>
      </c>
      <c r="N2155">
        <v>5</v>
      </c>
      <c r="O2155">
        <v>4</v>
      </c>
      <c r="P2155">
        <v>4</v>
      </c>
      <c r="Q2155">
        <v>0</v>
      </c>
      <c r="R2155">
        <v>2</v>
      </c>
      <c r="S2155">
        <v>57</v>
      </c>
      <c r="T2155">
        <v>57</v>
      </c>
      <c r="U2155" s="5">
        <f>IF(Merge1[[#This Row],[team_defense_snaps]]=0, "", Merge1[[#This Row],[defense_snaps]] / Merge1[[#This Row],[team_defense_snaps]])</f>
        <v>0.69512195121951215</v>
      </c>
      <c r="V2155">
        <v>82</v>
      </c>
      <c r="W2155">
        <v>0</v>
      </c>
      <c r="X2155" s="5" t="s">
        <v>29</v>
      </c>
      <c r="Y2155">
        <v>6</v>
      </c>
      <c r="Z2155">
        <v>0</v>
      </c>
      <c r="AA2155" t="s">
        <v>25</v>
      </c>
      <c r="AB2155" t="s">
        <v>26</v>
      </c>
      <c r="AC2155" t="s">
        <v>27</v>
      </c>
      <c r="AD2155" t="s">
        <v>28</v>
      </c>
      <c r="AE2155" t="s">
        <v>25</v>
      </c>
      <c r="AF21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0.58771929824561409</v>
      </c>
      <c r="AG2155" t="s">
        <v>941</v>
      </c>
      <c r="AH2155">
        <v>73.5</v>
      </c>
      <c r="AI2155" t="s">
        <v>939</v>
      </c>
      <c r="AJ2155">
        <v>1</v>
      </c>
      <c r="AK21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MIN(AJ2155/8, 1) +
  Merge1[[#This Row],[index_defensive_effort]],
  2
)</f>
        <v>1.31</v>
      </c>
    </row>
    <row r="2156" spans="1:37" x14ac:dyDescent="0.25">
      <c r="A2156" t="s">
        <v>576</v>
      </c>
      <c r="B2156" t="s">
        <v>577</v>
      </c>
      <c r="C2156">
        <v>24</v>
      </c>
      <c r="D2156" t="s">
        <v>22</v>
      </c>
      <c r="E2156">
        <v>73</v>
      </c>
      <c r="F2156">
        <v>216</v>
      </c>
      <c r="G2156" t="s">
        <v>99</v>
      </c>
      <c r="H2156">
        <v>2020</v>
      </c>
      <c r="I2156" t="s">
        <v>33</v>
      </c>
      <c r="J2156">
        <v>2</v>
      </c>
      <c r="K2156">
        <v>3</v>
      </c>
      <c r="L2156">
        <v>2</v>
      </c>
      <c r="M2156">
        <v>0</v>
      </c>
      <c r="N2156">
        <v>2</v>
      </c>
      <c r="O2156">
        <v>0</v>
      </c>
      <c r="P2156">
        <v>0</v>
      </c>
      <c r="Q2156">
        <v>0</v>
      </c>
      <c r="R2156">
        <v>0</v>
      </c>
      <c r="S2156">
        <v>48</v>
      </c>
      <c r="T2156">
        <v>34</v>
      </c>
      <c r="U2156" s="5">
        <f>IF(Merge1[[#This Row],[team_defense_snaps]]=0, "", Merge1[[#This Row],[defense_snaps]] / Merge1[[#This Row],[team_defense_snaps]])</f>
        <v>0.53968253968253965</v>
      </c>
      <c r="V2156">
        <v>63</v>
      </c>
      <c r="W2156">
        <v>14</v>
      </c>
      <c r="X2156" s="5" t="s">
        <v>275</v>
      </c>
      <c r="Y2156">
        <v>0</v>
      </c>
      <c r="Z2156">
        <v>0</v>
      </c>
      <c r="AA2156" t="s">
        <v>25</v>
      </c>
      <c r="AB2156" t="s">
        <v>26</v>
      </c>
      <c r="AC2156" t="s">
        <v>27</v>
      </c>
      <c r="AD2156" t="s">
        <v>28</v>
      </c>
      <c r="AE2156" t="s">
        <v>25</v>
      </c>
      <c r="AF21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2156" t="s">
        <v>942</v>
      </c>
      <c r="AH2156">
        <v>45.5</v>
      </c>
      <c r="AI2156" t="s">
        <v>938</v>
      </c>
      <c r="AJ2156">
        <v>2</v>
      </c>
      <c r="AK21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MIN(AJ2156/8, 1) +
  Merge1[[#This Row],[index_defensive_effort]],
  2
)</f>
        <v>0.83</v>
      </c>
    </row>
    <row r="2157" spans="1:37" x14ac:dyDescent="0.25">
      <c r="A2157" t="s">
        <v>576</v>
      </c>
      <c r="B2157" t="s">
        <v>577</v>
      </c>
      <c r="C2157">
        <v>24</v>
      </c>
      <c r="D2157" t="s">
        <v>22</v>
      </c>
      <c r="E2157">
        <v>73</v>
      </c>
      <c r="F2157">
        <v>216</v>
      </c>
      <c r="G2157" t="s">
        <v>99</v>
      </c>
      <c r="H2157">
        <v>2020</v>
      </c>
      <c r="I2157" t="s">
        <v>33</v>
      </c>
      <c r="J2157">
        <v>3</v>
      </c>
      <c r="K2157">
        <v>1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40</v>
      </c>
      <c r="T2157">
        <v>25</v>
      </c>
      <c r="U2157" s="5">
        <f>IF(Merge1[[#This Row],[team_defense_snaps]]=0, "", Merge1[[#This Row],[defense_snaps]] / Merge1[[#This Row],[team_defense_snaps]])</f>
        <v>0.41666666666666669</v>
      </c>
      <c r="V2157">
        <v>60</v>
      </c>
      <c r="W2157">
        <v>15</v>
      </c>
      <c r="X2157" s="5" t="s">
        <v>200</v>
      </c>
      <c r="Y2157">
        <v>0</v>
      </c>
      <c r="Z2157">
        <v>0</v>
      </c>
      <c r="AA2157" t="s">
        <v>25</v>
      </c>
      <c r="AB2157" t="s">
        <v>36</v>
      </c>
      <c r="AC2157" t="s">
        <v>190</v>
      </c>
      <c r="AD2157" t="s">
        <v>28</v>
      </c>
      <c r="AE2157" t="s">
        <v>25</v>
      </c>
      <c r="AF21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2.5000000000000001E-2</v>
      </c>
      <c r="AG2157" t="s">
        <v>942</v>
      </c>
      <c r="AH2157">
        <v>63.5</v>
      </c>
      <c r="AI2157" t="s">
        <v>939</v>
      </c>
      <c r="AJ2157">
        <v>3</v>
      </c>
      <c r="AK21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MIN(AJ2157/8, 1) +
  Merge1[[#This Row],[index_defensive_effort]],
  2
)</f>
        <v>0.9</v>
      </c>
    </row>
    <row r="2158" spans="1:37" x14ac:dyDescent="0.25">
      <c r="A2158" t="s">
        <v>576</v>
      </c>
      <c r="B2158" t="s">
        <v>577</v>
      </c>
      <c r="C2158">
        <v>24</v>
      </c>
      <c r="D2158" t="s">
        <v>22</v>
      </c>
      <c r="E2158">
        <v>73</v>
      </c>
      <c r="F2158">
        <v>216</v>
      </c>
      <c r="G2158" t="s">
        <v>99</v>
      </c>
      <c r="H2158">
        <v>2020</v>
      </c>
      <c r="I2158" t="s">
        <v>33</v>
      </c>
      <c r="J2158">
        <v>4</v>
      </c>
      <c r="K2158">
        <v>3</v>
      </c>
      <c r="L2158">
        <v>1</v>
      </c>
      <c r="M2158">
        <v>0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33</v>
      </c>
      <c r="T2158">
        <v>16</v>
      </c>
      <c r="U2158" s="5">
        <f>IF(Merge1[[#This Row],[team_defense_snaps]]=0, "", Merge1[[#This Row],[defense_snaps]] / Merge1[[#This Row],[team_defense_snaps]])</f>
        <v>0.2857142857142857</v>
      </c>
      <c r="V2158">
        <v>56</v>
      </c>
      <c r="W2158">
        <v>17</v>
      </c>
      <c r="X2158" s="5" t="s">
        <v>110</v>
      </c>
      <c r="Y2158">
        <v>0</v>
      </c>
      <c r="Z2158">
        <v>0</v>
      </c>
      <c r="AA2158" t="s">
        <v>25</v>
      </c>
      <c r="AB2158" t="s">
        <v>26</v>
      </c>
      <c r="AC2158" t="s">
        <v>27</v>
      </c>
      <c r="AD2158" t="s">
        <v>28</v>
      </c>
      <c r="AE2158" t="s">
        <v>25</v>
      </c>
      <c r="AF21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0.10606060606060606</v>
      </c>
      <c r="AG2158" t="s">
        <v>942</v>
      </c>
      <c r="AH2158">
        <v>47</v>
      </c>
      <c r="AI2158" t="s">
        <v>939</v>
      </c>
      <c r="AJ2158">
        <v>1</v>
      </c>
      <c r="AK21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MIN(AJ2158/8, 1) +
  Merge1[[#This Row],[index_defensive_effort]],
  2
)</f>
        <v>0.73</v>
      </c>
    </row>
    <row r="2159" spans="1:37" x14ac:dyDescent="0.25">
      <c r="A2159" t="s">
        <v>576</v>
      </c>
      <c r="B2159" t="s">
        <v>577</v>
      </c>
      <c r="C2159">
        <v>24</v>
      </c>
      <c r="D2159" t="s">
        <v>22</v>
      </c>
      <c r="E2159">
        <v>73</v>
      </c>
      <c r="F2159">
        <v>216</v>
      </c>
      <c r="G2159" t="s">
        <v>99</v>
      </c>
      <c r="H2159">
        <v>2020</v>
      </c>
      <c r="I2159" t="s">
        <v>33</v>
      </c>
      <c r="J2159">
        <v>6</v>
      </c>
      <c r="K2159">
        <v>4</v>
      </c>
      <c r="L2159">
        <v>1</v>
      </c>
      <c r="M2159">
        <v>0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45</v>
      </c>
      <c r="T2159">
        <v>27</v>
      </c>
      <c r="U2159" s="5">
        <f>IF(Merge1[[#This Row],[team_defense_snaps]]=0, "", Merge1[[#This Row],[defense_snaps]] / Merge1[[#This Row],[team_defense_snaps]])</f>
        <v>0.41538461538461541</v>
      </c>
      <c r="V2159">
        <v>65</v>
      </c>
      <c r="W2159">
        <v>18</v>
      </c>
      <c r="X2159" s="5" t="s">
        <v>81</v>
      </c>
      <c r="Y2159">
        <v>0</v>
      </c>
      <c r="Z2159">
        <v>0</v>
      </c>
      <c r="AA2159" t="s">
        <v>25</v>
      </c>
      <c r="AB2159" t="s">
        <v>26</v>
      </c>
      <c r="AC2159" t="s">
        <v>27</v>
      </c>
      <c r="AD2159" t="s">
        <v>28</v>
      </c>
      <c r="AE2159" t="s">
        <v>25</v>
      </c>
      <c r="AF21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2159" t="s">
        <v>942</v>
      </c>
      <c r="AH2159">
        <v>60.5</v>
      </c>
      <c r="AI2159" t="s">
        <v>938</v>
      </c>
      <c r="AJ2159">
        <v>1</v>
      </c>
      <c r="AK21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MIN(AJ2159/8, 1) +
  Merge1[[#This Row],[index_defensive_effort]],
  2
)</f>
        <v>0.73</v>
      </c>
    </row>
    <row r="2160" spans="1:37" x14ac:dyDescent="0.25">
      <c r="A2160" t="s">
        <v>576</v>
      </c>
      <c r="B2160" t="s">
        <v>577</v>
      </c>
      <c r="C2160">
        <v>24</v>
      </c>
      <c r="D2160" t="s">
        <v>22</v>
      </c>
      <c r="E2160">
        <v>73</v>
      </c>
      <c r="F2160">
        <v>216</v>
      </c>
      <c r="G2160" t="s">
        <v>99</v>
      </c>
      <c r="H2160">
        <v>2020</v>
      </c>
      <c r="I2160" t="s">
        <v>33</v>
      </c>
      <c r="J2160">
        <v>9</v>
      </c>
      <c r="K2160">
        <v>0</v>
      </c>
      <c r="L2160">
        <v>1</v>
      </c>
      <c r="M2160">
        <v>0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7</v>
      </c>
      <c r="T2160">
        <v>4</v>
      </c>
      <c r="U2160" s="5">
        <f>IF(Merge1[[#This Row],[team_defense_snaps]]=0, "", Merge1[[#This Row],[defense_snaps]] / Merge1[[#This Row],[team_defense_snaps]])</f>
        <v>8.6956521739130432E-2</v>
      </c>
      <c r="V2160">
        <v>46</v>
      </c>
      <c r="W2160">
        <v>3</v>
      </c>
      <c r="X2160" s="5" t="s">
        <v>35</v>
      </c>
      <c r="Y2160">
        <v>0</v>
      </c>
      <c r="Z2160">
        <v>0</v>
      </c>
      <c r="AA2160" t="s">
        <v>25</v>
      </c>
      <c r="AB2160" t="s">
        <v>36</v>
      </c>
      <c r="AC2160" t="s">
        <v>63</v>
      </c>
      <c r="AD2160" t="s">
        <v>28</v>
      </c>
      <c r="AE2160" t="s">
        <v>25</v>
      </c>
      <c r="AF21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2160" t="s">
        <v>942</v>
      </c>
      <c r="AH2160">
        <v>65</v>
      </c>
      <c r="AI2160" t="s">
        <v>939</v>
      </c>
      <c r="AJ2160">
        <v>2</v>
      </c>
      <c r="AK21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MIN(AJ2160/8, 1) +
  Merge1[[#This Row],[index_defensive_effort]],
  2
)</f>
        <v>0.82</v>
      </c>
    </row>
    <row r="2161" spans="1:37" x14ac:dyDescent="0.25">
      <c r="A2161" t="s">
        <v>576</v>
      </c>
      <c r="B2161" t="s">
        <v>577</v>
      </c>
      <c r="C2161">
        <v>24</v>
      </c>
      <c r="D2161" t="s">
        <v>22</v>
      </c>
      <c r="E2161">
        <v>73</v>
      </c>
      <c r="F2161">
        <v>216</v>
      </c>
      <c r="G2161" t="s">
        <v>99</v>
      </c>
      <c r="H2161">
        <v>2020</v>
      </c>
      <c r="I2161" t="s">
        <v>33</v>
      </c>
      <c r="J2161">
        <v>10</v>
      </c>
      <c r="K2161">
        <v>6</v>
      </c>
      <c r="L2161">
        <v>6</v>
      </c>
      <c r="M2161">
        <v>5</v>
      </c>
      <c r="N2161">
        <v>11</v>
      </c>
      <c r="O2161">
        <v>0</v>
      </c>
      <c r="P2161">
        <v>0</v>
      </c>
      <c r="Q2161">
        <v>0</v>
      </c>
      <c r="R2161">
        <v>0</v>
      </c>
      <c r="S2161">
        <v>70</v>
      </c>
      <c r="T2161">
        <v>56</v>
      </c>
      <c r="U2161" s="5">
        <f>IF(Merge1[[#This Row],[team_defense_snaps]]=0, "", Merge1[[#This Row],[defense_snaps]] / Merge1[[#This Row],[team_defense_snaps]])</f>
        <v>0.83582089552238803</v>
      </c>
      <c r="V2161">
        <v>67</v>
      </c>
      <c r="W2161">
        <v>14</v>
      </c>
      <c r="X2161" s="5" t="s">
        <v>125</v>
      </c>
      <c r="Y2161">
        <v>0</v>
      </c>
      <c r="Z2161">
        <v>0</v>
      </c>
      <c r="AA2161" t="s">
        <v>25</v>
      </c>
      <c r="AB2161" t="s">
        <v>36</v>
      </c>
      <c r="AC2161" t="s">
        <v>63</v>
      </c>
      <c r="AD2161" t="s">
        <v>42</v>
      </c>
      <c r="AE2161" t="s">
        <v>25</v>
      </c>
      <c r="AF21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0.16428571428571428</v>
      </c>
      <c r="AG2161" t="s">
        <v>942</v>
      </c>
      <c r="AH2161">
        <v>54.5</v>
      </c>
      <c r="AI2161" t="s">
        <v>939</v>
      </c>
      <c r="AJ2161">
        <v>3</v>
      </c>
      <c r="AK21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MIN(AJ2161/8, 1) +
  Merge1[[#This Row],[index_defensive_effort]],
  2
)</f>
        <v>1.04</v>
      </c>
    </row>
    <row r="2162" spans="1:37" x14ac:dyDescent="0.25">
      <c r="A2162" t="s">
        <v>576</v>
      </c>
      <c r="B2162" t="s">
        <v>577</v>
      </c>
      <c r="C2162">
        <v>24</v>
      </c>
      <c r="D2162" t="s">
        <v>22</v>
      </c>
      <c r="E2162">
        <v>73</v>
      </c>
      <c r="F2162">
        <v>216</v>
      </c>
      <c r="G2162" t="s">
        <v>99</v>
      </c>
      <c r="H2162">
        <v>2020</v>
      </c>
      <c r="I2162" t="s">
        <v>33</v>
      </c>
      <c r="J2162">
        <v>11</v>
      </c>
      <c r="K2162">
        <v>5</v>
      </c>
      <c r="L2162">
        <v>2</v>
      </c>
      <c r="M2162">
        <v>0</v>
      </c>
      <c r="N2162">
        <v>2</v>
      </c>
      <c r="O2162">
        <v>0</v>
      </c>
      <c r="P2162">
        <v>0</v>
      </c>
      <c r="Q2162">
        <v>0</v>
      </c>
      <c r="R2162">
        <v>0</v>
      </c>
      <c r="S2162">
        <v>63</v>
      </c>
      <c r="T2162">
        <v>46</v>
      </c>
      <c r="U2162" s="5">
        <f>IF(Merge1[[#This Row],[team_defense_snaps]]=0, "", Merge1[[#This Row],[defense_snaps]] / Merge1[[#This Row],[team_defense_snaps]])</f>
        <v>0.75409836065573765</v>
      </c>
      <c r="V2162">
        <v>61</v>
      </c>
      <c r="W2162">
        <v>17</v>
      </c>
      <c r="X2162" s="5" t="s">
        <v>215</v>
      </c>
      <c r="Y2162">
        <v>0</v>
      </c>
      <c r="Z2162">
        <v>0</v>
      </c>
      <c r="AA2162" t="s">
        <v>25</v>
      </c>
      <c r="AB2162" t="s">
        <v>26</v>
      </c>
      <c r="AC2162" t="s">
        <v>27</v>
      </c>
      <c r="AD2162" t="s">
        <v>42</v>
      </c>
      <c r="AE2162" t="s">
        <v>25</v>
      </c>
      <c r="AF21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9.5238095238095233E-2</v>
      </c>
      <c r="AG2162" t="s">
        <v>942</v>
      </c>
      <c r="AH2162">
        <v>53</v>
      </c>
      <c r="AI2162" t="s">
        <v>939</v>
      </c>
      <c r="AJ2162">
        <v>4</v>
      </c>
      <c r="AK21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MIN(AJ2162/8, 1) +
  Merge1[[#This Row],[index_defensive_effort]],
  2
)</f>
        <v>1.1000000000000001</v>
      </c>
    </row>
    <row r="2163" spans="1:37" x14ac:dyDescent="0.25">
      <c r="A2163" t="s">
        <v>576</v>
      </c>
      <c r="B2163" t="s">
        <v>577</v>
      </c>
      <c r="C2163">
        <v>24</v>
      </c>
      <c r="D2163" t="s">
        <v>22</v>
      </c>
      <c r="E2163">
        <v>73</v>
      </c>
      <c r="F2163">
        <v>216</v>
      </c>
      <c r="G2163" t="s">
        <v>99</v>
      </c>
      <c r="H2163">
        <v>2020</v>
      </c>
      <c r="I2163" t="s">
        <v>33</v>
      </c>
      <c r="J2163">
        <v>12</v>
      </c>
      <c r="K2163">
        <v>3</v>
      </c>
      <c r="L2163">
        <v>1</v>
      </c>
      <c r="M2163">
        <v>1</v>
      </c>
      <c r="N2163">
        <v>2</v>
      </c>
      <c r="O2163">
        <v>0</v>
      </c>
      <c r="P2163">
        <v>0</v>
      </c>
      <c r="Q2163">
        <v>0</v>
      </c>
      <c r="R2163">
        <v>0</v>
      </c>
      <c r="S2163">
        <v>56</v>
      </c>
      <c r="T2163">
        <v>53</v>
      </c>
      <c r="U2163" s="5">
        <f>IF(Merge1[[#This Row],[team_defense_snaps]]=0, "", Merge1[[#This Row],[defense_snaps]] / Merge1[[#This Row],[team_defense_snaps]])</f>
        <v>0.71621621621621623</v>
      </c>
      <c r="V2163">
        <v>74</v>
      </c>
      <c r="W2163">
        <v>3</v>
      </c>
      <c r="X2163" s="5" t="s">
        <v>212</v>
      </c>
      <c r="Y2163">
        <v>0</v>
      </c>
      <c r="Z2163">
        <v>0</v>
      </c>
      <c r="AA2163" t="s">
        <v>25</v>
      </c>
      <c r="AB2163" t="s">
        <v>36</v>
      </c>
      <c r="AC2163" t="s">
        <v>342</v>
      </c>
      <c r="AD2163" t="s">
        <v>42</v>
      </c>
      <c r="AE2163" t="s">
        <v>25</v>
      </c>
      <c r="AF21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2163" t="s">
        <v>942</v>
      </c>
      <c r="AH2163">
        <v>66.5</v>
      </c>
      <c r="AI2163" t="s">
        <v>939</v>
      </c>
      <c r="AJ2163">
        <v>5</v>
      </c>
      <c r="AK21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MIN(AJ2163/8, 1) +
  Merge1[[#This Row],[index_defensive_effort]],
  2
)</f>
        <v>1.2</v>
      </c>
    </row>
    <row r="2164" spans="1:37" x14ac:dyDescent="0.25">
      <c r="A2164" t="s">
        <v>576</v>
      </c>
      <c r="B2164" t="s">
        <v>577</v>
      </c>
      <c r="C2164">
        <v>24</v>
      </c>
      <c r="D2164" t="s">
        <v>22</v>
      </c>
      <c r="E2164">
        <v>73</v>
      </c>
      <c r="F2164">
        <v>216</v>
      </c>
      <c r="G2164" t="s">
        <v>99</v>
      </c>
      <c r="H2164">
        <v>2020</v>
      </c>
      <c r="I2164" t="s">
        <v>33</v>
      </c>
      <c r="J2164">
        <v>13</v>
      </c>
      <c r="K2164">
        <v>3</v>
      </c>
      <c r="L2164">
        <v>2</v>
      </c>
      <c r="M2164">
        <v>0</v>
      </c>
      <c r="N2164">
        <v>2</v>
      </c>
      <c r="O2164">
        <v>0</v>
      </c>
      <c r="P2164">
        <v>1</v>
      </c>
      <c r="Q2164">
        <v>0</v>
      </c>
      <c r="R2164">
        <v>0</v>
      </c>
      <c r="S2164">
        <v>69</v>
      </c>
      <c r="T2164">
        <v>56</v>
      </c>
      <c r="U2164" s="5">
        <f>IF(Merge1[[#This Row],[team_defense_snaps]]=0, "", Merge1[[#This Row],[defense_snaps]] / Merge1[[#This Row],[team_defense_snaps]])</f>
        <v>0.76712328767123283</v>
      </c>
      <c r="V2164">
        <v>73</v>
      </c>
      <c r="W2164">
        <v>13</v>
      </c>
      <c r="X2164" s="5" t="s">
        <v>275</v>
      </c>
      <c r="Y2164">
        <v>0</v>
      </c>
      <c r="Z2164">
        <v>0</v>
      </c>
      <c r="AA2164" t="s">
        <v>25</v>
      </c>
      <c r="AB2164" t="s">
        <v>36</v>
      </c>
      <c r="AC2164" t="s">
        <v>342</v>
      </c>
      <c r="AD2164" t="s">
        <v>42</v>
      </c>
      <c r="AE2164" t="s">
        <v>25</v>
      </c>
      <c r="AF21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8.6956521739130432E-2</v>
      </c>
      <c r="AG2164" t="s">
        <v>942</v>
      </c>
      <c r="AH2164">
        <v>50</v>
      </c>
      <c r="AI2164" t="s">
        <v>939</v>
      </c>
      <c r="AJ2164">
        <v>6</v>
      </c>
      <c r="AK21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MIN(AJ2164/8, 1) +
  Merge1[[#This Row],[index_defensive_effort]],
  2
)</f>
        <v>1.34</v>
      </c>
    </row>
    <row r="2165" spans="1:37" x14ac:dyDescent="0.25">
      <c r="A2165" t="s">
        <v>576</v>
      </c>
      <c r="B2165" t="s">
        <v>577</v>
      </c>
      <c r="C2165">
        <v>24</v>
      </c>
      <c r="D2165" t="s">
        <v>22</v>
      </c>
      <c r="E2165">
        <v>73</v>
      </c>
      <c r="F2165">
        <v>216</v>
      </c>
      <c r="G2165" t="s">
        <v>99</v>
      </c>
      <c r="H2165">
        <v>2020</v>
      </c>
      <c r="I2165" t="s">
        <v>33</v>
      </c>
      <c r="J2165">
        <v>14</v>
      </c>
      <c r="K2165">
        <v>1</v>
      </c>
      <c r="L2165">
        <v>2</v>
      </c>
      <c r="M2165">
        <v>1</v>
      </c>
      <c r="N2165">
        <v>3</v>
      </c>
      <c r="O2165">
        <v>0</v>
      </c>
      <c r="P2165">
        <v>0</v>
      </c>
      <c r="Q2165">
        <v>0</v>
      </c>
      <c r="R2165">
        <v>0</v>
      </c>
      <c r="S2165">
        <v>60</v>
      </c>
      <c r="T2165">
        <v>46</v>
      </c>
      <c r="U2165" s="5">
        <f>IF(Merge1[[#This Row],[team_defense_snaps]]=0, "", Merge1[[#This Row],[defense_snaps]] / Merge1[[#This Row],[team_defense_snaps]])</f>
        <v>0.71875</v>
      </c>
      <c r="V2165">
        <v>64</v>
      </c>
      <c r="W2165">
        <v>14</v>
      </c>
      <c r="X2165" s="5" t="s">
        <v>189</v>
      </c>
      <c r="Y2165">
        <v>0</v>
      </c>
      <c r="Z2165">
        <v>0</v>
      </c>
      <c r="AA2165" t="s">
        <v>25</v>
      </c>
      <c r="AB2165" t="s">
        <v>36</v>
      </c>
      <c r="AC2165" t="s">
        <v>342</v>
      </c>
      <c r="AD2165" t="s">
        <v>42</v>
      </c>
      <c r="AE2165" t="s">
        <v>25</v>
      </c>
      <c r="AF21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2165" t="s">
        <v>942</v>
      </c>
      <c r="AH2165">
        <v>44</v>
      </c>
      <c r="AI2165" t="s">
        <v>939</v>
      </c>
      <c r="AJ2165">
        <v>7</v>
      </c>
      <c r="AK21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MIN(AJ2165/8, 1) +
  Merge1[[#This Row],[index_defensive_effort]],
  2
)</f>
        <v>1.42</v>
      </c>
    </row>
    <row r="2166" spans="1:37" x14ac:dyDescent="0.25">
      <c r="A2166" t="s">
        <v>576</v>
      </c>
      <c r="B2166" t="s">
        <v>577</v>
      </c>
      <c r="C2166">
        <v>24</v>
      </c>
      <c r="D2166" t="s">
        <v>22</v>
      </c>
      <c r="E2166">
        <v>73</v>
      </c>
      <c r="F2166">
        <v>216</v>
      </c>
      <c r="G2166" t="s">
        <v>99</v>
      </c>
      <c r="H2166">
        <v>2020</v>
      </c>
      <c r="I2166" t="s">
        <v>33</v>
      </c>
      <c r="J2166">
        <v>15</v>
      </c>
      <c r="K2166">
        <v>3</v>
      </c>
      <c r="L2166">
        <v>1</v>
      </c>
      <c r="M2166">
        <v>0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53</v>
      </c>
      <c r="T2166">
        <v>38</v>
      </c>
      <c r="U2166" s="5">
        <f>IF(Merge1[[#This Row],[team_defense_snaps]]=0, "", Merge1[[#This Row],[defense_snaps]] / Merge1[[#This Row],[team_defense_snaps]])</f>
        <v>0.52054794520547942</v>
      </c>
      <c r="V2166">
        <v>73</v>
      </c>
      <c r="W2166">
        <v>15</v>
      </c>
      <c r="X2166" s="5" t="s">
        <v>176</v>
      </c>
      <c r="Y2166">
        <v>0</v>
      </c>
      <c r="Z2166">
        <v>0</v>
      </c>
      <c r="AA2166" t="s">
        <v>25</v>
      </c>
      <c r="AB2166" t="s">
        <v>26</v>
      </c>
      <c r="AC2166" t="s">
        <v>27</v>
      </c>
      <c r="AD2166" t="s">
        <v>42</v>
      </c>
      <c r="AE2166" t="s">
        <v>25</v>
      </c>
      <c r="AF21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6.6037735849056603E-2</v>
      </c>
      <c r="AG2166" t="s">
        <v>942</v>
      </c>
      <c r="AH2166">
        <v>51.5</v>
      </c>
      <c r="AI2166" t="s">
        <v>939</v>
      </c>
      <c r="AJ2166">
        <v>8</v>
      </c>
      <c r="AK21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MIN(AJ2166/8, 1) +
  Merge1[[#This Row],[index_defensive_effort]],
  2
)</f>
        <v>1.57</v>
      </c>
    </row>
    <row r="2167" spans="1:37" x14ac:dyDescent="0.25">
      <c r="A2167" t="s">
        <v>576</v>
      </c>
      <c r="B2167" t="s">
        <v>577</v>
      </c>
      <c r="C2167">
        <v>24</v>
      </c>
      <c r="D2167" t="s">
        <v>22</v>
      </c>
      <c r="E2167">
        <v>73</v>
      </c>
      <c r="F2167">
        <v>216</v>
      </c>
      <c r="G2167" t="s">
        <v>99</v>
      </c>
      <c r="H2167">
        <v>2020</v>
      </c>
      <c r="I2167" t="s">
        <v>33</v>
      </c>
      <c r="J2167">
        <v>16</v>
      </c>
      <c r="K2167">
        <v>2</v>
      </c>
      <c r="L2167">
        <v>2</v>
      </c>
      <c r="M2167">
        <v>2</v>
      </c>
      <c r="N2167">
        <v>4</v>
      </c>
      <c r="O2167">
        <v>0</v>
      </c>
      <c r="P2167">
        <v>0</v>
      </c>
      <c r="Q2167">
        <v>0</v>
      </c>
      <c r="R2167">
        <v>0</v>
      </c>
      <c r="S2167">
        <v>56</v>
      </c>
      <c r="T2167">
        <v>43</v>
      </c>
      <c r="U2167" s="5">
        <f>IF(Merge1[[#This Row],[team_defense_snaps]]=0, "", Merge1[[#This Row],[defense_snaps]] / Merge1[[#This Row],[team_defense_snaps]])</f>
        <v>0.59722222222222221</v>
      </c>
      <c r="V2167">
        <v>72</v>
      </c>
      <c r="W2167">
        <v>13</v>
      </c>
      <c r="X2167" s="5" t="s">
        <v>260</v>
      </c>
      <c r="Y2167">
        <v>0</v>
      </c>
      <c r="Z2167">
        <v>0</v>
      </c>
      <c r="AA2167" t="s">
        <v>25</v>
      </c>
      <c r="AB2167" t="s">
        <v>26</v>
      </c>
      <c r="AC2167" t="s">
        <v>27</v>
      </c>
      <c r="AD2167" t="s">
        <v>28</v>
      </c>
      <c r="AE2167" t="s">
        <v>25</v>
      </c>
      <c r="AF21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2167" t="s">
        <v>942</v>
      </c>
      <c r="AH2167">
        <v>48.5</v>
      </c>
      <c r="AI2167" t="s">
        <v>939</v>
      </c>
      <c r="AJ2167">
        <v>9</v>
      </c>
      <c r="AK21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MIN(AJ2167/8, 1) +
  Merge1[[#This Row],[index_defensive_effort]],
  2
)</f>
        <v>1.57</v>
      </c>
    </row>
    <row r="2168" spans="1:37" x14ac:dyDescent="0.25">
      <c r="A2168" t="s">
        <v>576</v>
      </c>
      <c r="B2168" t="s">
        <v>577</v>
      </c>
      <c r="C2168">
        <v>24</v>
      </c>
      <c r="D2168" t="s">
        <v>22</v>
      </c>
      <c r="E2168">
        <v>73</v>
      </c>
      <c r="F2168">
        <v>216</v>
      </c>
      <c r="G2168" t="s">
        <v>99</v>
      </c>
      <c r="H2168">
        <v>2020</v>
      </c>
      <c r="I2168" t="s">
        <v>33</v>
      </c>
      <c r="J2168">
        <v>17</v>
      </c>
      <c r="K2168">
        <v>4</v>
      </c>
      <c r="L2168">
        <v>1</v>
      </c>
      <c r="M2168">
        <v>1</v>
      </c>
      <c r="N2168">
        <v>2</v>
      </c>
      <c r="O2168">
        <v>0</v>
      </c>
      <c r="P2168">
        <v>0</v>
      </c>
      <c r="Q2168">
        <v>0</v>
      </c>
      <c r="R2168">
        <v>0</v>
      </c>
      <c r="S2168">
        <v>80</v>
      </c>
      <c r="T2168">
        <v>63</v>
      </c>
      <c r="U2168" s="5">
        <f>IF(Merge1[[#This Row],[team_defense_snaps]]=0, "", Merge1[[#This Row],[defense_snaps]] / Merge1[[#This Row],[team_defense_snaps]])</f>
        <v>0.94029850746268662</v>
      </c>
      <c r="V2168">
        <v>67</v>
      </c>
      <c r="W2168">
        <v>17</v>
      </c>
      <c r="X2168" s="5" t="s">
        <v>176</v>
      </c>
      <c r="Y2168">
        <v>0</v>
      </c>
      <c r="Z2168">
        <v>0</v>
      </c>
      <c r="AA2168" t="s">
        <v>25</v>
      </c>
      <c r="AB2168" t="s">
        <v>26</v>
      </c>
      <c r="AC2168" t="s">
        <v>27</v>
      </c>
      <c r="AD2168" t="s">
        <v>42</v>
      </c>
      <c r="AE2168" t="s">
        <v>25</v>
      </c>
      <c r="AF21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2168" t="s">
        <v>942</v>
      </c>
      <c r="AH2168">
        <v>56</v>
      </c>
      <c r="AI2168" t="s">
        <v>939</v>
      </c>
      <c r="AJ2168">
        <v>1</v>
      </c>
      <c r="AK21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MIN(AJ2168/8, 1) +
  Merge1[[#This Row],[index_defensive_effort]],
  2
)</f>
        <v>0.69</v>
      </c>
    </row>
    <row r="2169" spans="1:37" x14ac:dyDescent="0.25">
      <c r="A2169" t="s">
        <v>580</v>
      </c>
      <c r="B2169" t="s">
        <v>581</v>
      </c>
      <c r="C2169">
        <v>28</v>
      </c>
      <c r="D2169" t="s">
        <v>56</v>
      </c>
      <c r="E2169">
        <v>71</v>
      </c>
      <c r="F2169">
        <v>190</v>
      </c>
      <c r="G2169" t="s">
        <v>228</v>
      </c>
      <c r="H2169">
        <v>2020</v>
      </c>
      <c r="I2169" t="s">
        <v>33</v>
      </c>
      <c r="J2169">
        <v>1</v>
      </c>
      <c r="K2169">
        <v>4</v>
      </c>
      <c r="L2169">
        <v>2</v>
      </c>
      <c r="M2169">
        <v>2</v>
      </c>
      <c r="N2169">
        <v>4</v>
      </c>
      <c r="O2169">
        <v>0</v>
      </c>
      <c r="P2169">
        <v>1</v>
      </c>
      <c r="Q2169">
        <v>2</v>
      </c>
      <c r="R2169">
        <v>0</v>
      </c>
      <c r="S2169">
        <v>86</v>
      </c>
      <c r="T2169">
        <v>78</v>
      </c>
      <c r="U2169" s="5">
        <f>IF(Merge1[[#This Row],[team_defense_snaps]]=0, "", Merge1[[#This Row],[defense_snaps]] / Merge1[[#This Row],[team_defense_snaps]])</f>
        <v>1</v>
      </c>
      <c r="V2169">
        <v>78</v>
      </c>
      <c r="W2169">
        <v>8</v>
      </c>
      <c r="X2169" s="5" t="s">
        <v>135</v>
      </c>
      <c r="Y2169">
        <v>6</v>
      </c>
      <c r="Z2169">
        <v>0</v>
      </c>
      <c r="AA2169" t="s">
        <v>25</v>
      </c>
      <c r="AB2169" t="s">
        <v>26</v>
      </c>
      <c r="AC2169" t="s">
        <v>27</v>
      </c>
      <c r="AD2169" t="s">
        <v>42</v>
      </c>
      <c r="AE2169" t="s">
        <v>25</v>
      </c>
      <c r="AF21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0.18604651162790697</v>
      </c>
      <c r="AG2169" t="s">
        <v>941</v>
      </c>
      <c r="AH2169">
        <v>52</v>
      </c>
      <c r="AI2169" t="s">
        <v>939</v>
      </c>
      <c r="AJ2169">
        <v>1</v>
      </c>
      <c r="AK21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MIN(AJ2169/8, 1) +
  Merge1[[#This Row],[index_defensive_effort]],
  2
)</f>
        <v>0.81</v>
      </c>
    </row>
    <row r="2170" spans="1:37" x14ac:dyDescent="0.25">
      <c r="A2170" t="s">
        <v>580</v>
      </c>
      <c r="B2170" t="s">
        <v>581</v>
      </c>
      <c r="C2170">
        <v>28</v>
      </c>
      <c r="D2170" t="s">
        <v>56</v>
      </c>
      <c r="E2170">
        <v>71</v>
      </c>
      <c r="F2170">
        <v>190</v>
      </c>
      <c r="G2170" t="s">
        <v>228</v>
      </c>
      <c r="H2170">
        <v>2020</v>
      </c>
      <c r="I2170" t="s">
        <v>33</v>
      </c>
      <c r="J2170">
        <v>1</v>
      </c>
      <c r="K2170">
        <v>4</v>
      </c>
      <c r="L2170">
        <v>2</v>
      </c>
      <c r="M2170">
        <v>2</v>
      </c>
      <c r="N2170">
        <v>4</v>
      </c>
      <c r="O2170">
        <v>0</v>
      </c>
      <c r="P2170">
        <v>1</v>
      </c>
      <c r="Q2170">
        <v>2</v>
      </c>
      <c r="R2170">
        <v>0</v>
      </c>
      <c r="S2170">
        <v>78</v>
      </c>
      <c r="T2170">
        <v>78</v>
      </c>
      <c r="U2170" s="5">
        <f>IF(Merge1[[#This Row],[team_defense_snaps]]=0, "", Merge1[[#This Row],[defense_snaps]] / Merge1[[#This Row],[team_defense_snaps]])</f>
        <v>1</v>
      </c>
      <c r="V2170">
        <v>78</v>
      </c>
      <c r="W2170">
        <v>0</v>
      </c>
      <c r="X2170" s="5" t="s">
        <v>29</v>
      </c>
      <c r="Y2170">
        <v>6</v>
      </c>
      <c r="Z2170">
        <v>0</v>
      </c>
      <c r="AA2170" t="s">
        <v>25</v>
      </c>
      <c r="AB2170" t="s">
        <v>26</v>
      </c>
      <c r="AC2170" t="s">
        <v>27</v>
      </c>
      <c r="AD2170" t="s">
        <v>204</v>
      </c>
      <c r="AE2170" t="s">
        <v>25</v>
      </c>
      <c r="AF21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0.20512820512820512</v>
      </c>
      <c r="AG2170" t="s">
        <v>941</v>
      </c>
      <c r="AH2170">
        <v>64</v>
      </c>
      <c r="AI2170" t="s">
        <v>939</v>
      </c>
      <c r="AJ2170">
        <v>2</v>
      </c>
      <c r="AK21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MIN(AJ2170/8, 1) +
  Merge1[[#This Row],[index_defensive_effort]],
  2
)</f>
        <v>0.96</v>
      </c>
    </row>
    <row r="2171" spans="1:37" x14ac:dyDescent="0.25">
      <c r="A2171" t="s">
        <v>580</v>
      </c>
      <c r="B2171" t="s">
        <v>581</v>
      </c>
      <c r="C2171">
        <v>28</v>
      </c>
      <c r="D2171" t="s">
        <v>56</v>
      </c>
      <c r="E2171">
        <v>71</v>
      </c>
      <c r="F2171">
        <v>190</v>
      </c>
      <c r="G2171" t="s">
        <v>228</v>
      </c>
      <c r="H2171">
        <v>2020</v>
      </c>
      <c r="I2171" t="s">
        <v>33</v>
      </c>
      <c r="J2171">
        <v>2</v>
      </c>
      <c r="K2171">
        <v>5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68</v>
      </c>
      <c r="T2171">
        <v>63</v>
      </c>
      <c r="U2171" s="5">
        <f>IF(Merge1[[#This Row],[team_defense_snaps]]=0, "", Merge1[[#This Row],[defense_snaps]] / Merge1[[#This Row],[team_defense_snaps]])</f>
        <v>0.95454545454545459</v>
      </c>
      <c r="V2171">
        <v>66</v>
      </c>
      <c r="W2171">
        <v>5</v>
      </c>
      <c r="X2171" s="5" t="s">
        <v>132</v>
      </c>
      <c r="Y2171">
        <v>6</v>
      </c>
      <c r="Z2171">
        <v>0</v>
      </c>
      <c r="AA2171" t="s">
        <v>25</v>
      </c>
      <c r="AB2171" t="s">
        <v>26</v>
      </c>
      <c r="AC2171" t="s">
        <v>27</v>
      </c>
      <c r="AD2171" t="s">
        <v>42</v>
      </c>
      <c r="AE2171" t="s">
        <v>25</v>
      </c>
      <c r="AF21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7.3529411764705885E-2</v>
      </c>
      <c r="AG2171" t="s">
        <v>941</v>
      </c>
      <c r="AH2171">
        <v>53.5</v>
      </c>
      <c r="AI2171" t="s">
        <v>939</v>
      </c>
      <c r="AJ2171">
        <v>1</v>
      </c>
      <c r="AK21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MIN(AJ2171/8, 1) +
  Merge1[[#This Row],[index_defensive_effort]],
  2
)</f>
        <v>0.7</v>
      </c>
    </row>
    <row r="2172" spans="1:37" x14ac:dyDescent="0.25">
      <c r="A2172" t="s">
        <v>580</v>
      </c>
      <c r="B2172" t="s">
        <v>581</v>
      </c>
      <c r="C2172">
        <v>28</v>
      </c>
      <c r="D2172" t="s">
        <v>56</v>
      </c>
      <c r="E2172">
        <v>71</v>
      </c>
      <c r="F2172">
        <v>190</v>
      </c>
      <c r="G2172" t="s">
        <v>228</v>
      </c>
      <c r="H2172">
        <v>2020</v>
      </c>
      <c r="I2172" t="s">
        <v>33</v>
      </c>
      <c r="J2172">
        <v>2</v>
      </c>
      <c r="K2172">
        <v>5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63</v>
      </c>
      <c r="T2172">
        <v>63</v>
      </c>
      <c r="U2172" s="5">
        <f>IF(Merge1[[#This Row],[team_defense_snaps]]=0, "", Merge1[[#This Row],[defense_snaps]] / Merge1[[#This Row],[team_defense_snaps]])</f>
        <v>0.95454545454545459</v>
      </c>
      <c r="V2172">
        <v>66</v>
      </c>
      <c r="W2172">
        <v>0</v>
      </c>
      <c r="X2172" s="5" t="s">
        <v>29</v>
      </c>
      <c r="Y2172">
        <v>6</v>
      </c>
      <c r="Z2172">
        <v>0</v>
      </c>
      <c r="AA2172" t="s">
        <v>25</v>
      </c>
      <c r="AB2172" t="s">
        <v>26</v>
      </c>
      <c r="AC2172" t="s">
        <v>27</v>
      </c>
      <c r="AD2172" t="s">
        <v>204</v>
      </c>
      <c r="AE2172" t="s">
        <v>25</v>
      </c>
      <c r="AF21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7.9365079365079361E-2</v>
      </c>
      <c r="AG2172" t="s">
        <v>941</v>
      </c>
      <c r="AH2172">
        <v>49</v>
      </c>
      <c r="AI2172" t="s">
        <v>939</v>
      </c>
      <c r="AJ2172">
        <v>2</v>
      </c>
      <c r="AK21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MIN(AJ2172/8, 1) +
  Merge1[[#This Row],[index_defensive_effort]],
  2
)</f>
        <v>0.83</v>
      </c>
    </row>
    <row r="2173" spans="1:37" x14ac:dyDescent="0.25">
      <c r="A2173" t="s">
        <v>580</v>
      </c>
      <c r="B2173" t="s">
        <v>581</v>
      </c>
      <c r="C2173">
        <v>28</v>
      </c>
      <c r="D2173" t="s">
        <v>56</v>
      </c>
      <c r="E2173">
        <v>71</v>
      </c>
      <c r="F2173">
        <v>190</v>
      </c>
      <c r="G2173" t="s">
        <v>228</v>
      </c>
      <c r="H2173">
        <v>2020</v>
      </c>
      <c r="I2173" t="s">
        <v>33</v>
      </c>
      <c r="J2173">
        <v>3</v>
      </c>
      <c r="K2173">
        <v>3</v>
      </c>
      <c r="L2173">
        <v>1</v>
      </c>
      <c r="M2173">
        <v>1</v>
      </c>
      <c r="N2173">
        <v>2</v>
      </c>
      <c r="O2173">
        <v>0</v>
      </c>
      <c r="P2173">
        <v>0</v>
      </c>
      <c r="Q2173">
        <v>0</v>
      </c>
      <c r="R2173">
        <v>0</v>
      </c>
      <c r="S2173">
        <v>73</v>
      </c>
      <c r="T2173">
        <v>66</v>
      </c>
      <c r="U2173" s="5">
        <f>IF(Merge1[[#This Row],[team_defense_snaps]]=0, "", Merge1[[#This Row],[defense_snaps]] / Merge1[[#This Row],[team_defense_snaps]])</f>
        <v>0.97058823529411764</v>
      </c>
      <c r="V2173">
        <v>68</v>
      </c>
      <c r="W2173">
        <v>7</v>
      </c>
      <c r="X2173" s="5" t="s">
        <v>293</v>
      </c>
      <c r="Y2173">
        <v>6</v>
      </c>
      <c r="Z2173">
        <v>0</v>
      </c>
      <c r="AA2173" t="s">
        <v>25</v>
      </c>
      <c r="AB2173" t="s">
        <v>26</v>
      </c>
      <c r="AC2173" t="s">
        <v>27</v>
      </c>
      <c r="AD2173" t="s">
        <v>42</v>
      </c>
      <c r="AE2173" t="s">
        <v>25</v>
      </c>
      <c r="AF21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5.4794520547945202E-2</v>
      </c>
      <c r="AG2173" t="s">
        <v>941</v>
      </c>
      <c r="AH2173">
        <v>61</v>
      </c>
      <c r="AI2173" t="s">
        <v>939</v>
      </c>
      <c r="AJ2173">
        <v>1</v>
      </c>
      <c r="AK21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MIN(AJ2173/8, 1) +
  Merge1[[#This Row],[index_defensive_effort]],
  2
)</f>
        <v>0.68</v>
      </c>
    </row>
    <row r="2174" spans="1:37" x14ac:dyDescent="0.25">
      <c r="A2174" t="s">
        <v>580</v>
      </c>
      <c r="B2174" t="s">
        <v>581</v>
      </c>
      <c r="C2174">
        <v>28</v>
      </c>
      <c r="D2174" t="s">
        <v>56</v>
      </c>
      <c r="E2174">
        <v>71</v>
      </c>
      <c r="F2174">
        <v>190</v>
      </c>
      <c r="G2174" t="s">
        <v>228</v>
      </c>
      <c r="H2174">
        <v>2020</v>
      </c>
      <c r="I2174" t="s">
        <v>33</v>
      </c>
      <c r="J2174">
        <v>3</v>
      </c>
      <c r="K2174">
        <v>3</v>
      </c>
      <c r="L2174">
        <v>1</v>
      </c>
      <c r="M2174">
        <v>1</v>
      </c>
      <c r="N2174">
        <v>2</v>
      </c>
      <c r="O2174">
        <v>0</v>
      </c>
      <c r="P2174">
        <v>0</v>
      </c>
      <c r="Q2174">
        <v>0</v>
      </c>
      <c r="R2174">
        <v>0</v>
      </c>
      <c r="S2174">
        <v>66</v>
      </c>
      <c r="T2174">
        <v>66</v>
      </c>
      <c r="U2174" s="5">
        <f>IF(Merge1[[#This Row],[team_defense_snaps]]=0, "", Merge1[[#This Row],[defense_snaps]] / Merge1[[#This Row],[team_defense_snaps]])</f>
        <v>0.97058823529411764</v>
      </c>
      <c r="V2174">
        <v>68</v>
      </c>
      <c r="W2174">
        <v>0</v>
      </c>
      <c r="X2174" s="5" t="s">
        <v>29</v>
      </c>
      <c r="Y2174">
        <v>6</v>
      </c>
      <c r="Z2174">
        <v>0</v>
      </c>
      <c r="AA2174" t="s">
        <v>25</v>
      </c>
      <c r="AB2174" t="s">
        <v>26</v>
      </c>
      <c r="AC2174" t="s">
        <v>27</v>
      </c>
      <c r="AD2174" t="s">
        <v>28</v>
      </c>
      <c r="AE2174" t="s">
        <v>25</v>
      </c>
      <c r="AF21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6.0606060606060608E-2</v>
      </c>
      <c r="AG2174" t="s">
        <v>941</v>
      </c>
      <c r="AH2174">
        <v>65.5</v>
      </c>
      <c r="AI2174" t="s">
        <v>939</v>
      </c>
      <c r="AJ2174">
        <v>2</v>
      </c>
      <c r="AK21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MIN(AJ2174/8, 1) +
  Merge1[[#This Row],[index_defensive_effort]],
  2
)</f>
        <v>0.81</v>
      </c>
    </row>
    <row r="2175" spans="1:37" x14ac:dyDescent="0.25">
      <c r="A2175" t="s">
        <v>580</v>
      </c>
      <c r="B2175" t="s">
        <v>581</v>
      </c>
      <c r="C2175">
        <v>28</v>
      </c>
      <c r="D2175" t="s">
        <v>56</v>
      </c>
      <c r="E2175">
        <v>71</v>
      </c>
      <c r="F2175">
        <v>190</v>
      </c>
      <c r="G2175" t="s">
        <v>228</v>
      </c>
      <c r="H2175">
        <v>2020</v>
      </c>
      <c r="I2175" t="s">
        <v>33</v>
      </c>
      <c r="J2175">
        <v>4</v>
      </c>
      <c r="K2175">
        <v>2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77</v>
      </c>
      <c r="T2175">
        <v>72</v>
      </c>
      <c r="U2175" s="5">
        <f>IF(Merge1[[#This Row],[team_defense_snaps]]=0, "", Merge1[[#This Row],[defense_snaps]] / Merge1[[#This Row],[team_defense_snaps]])</f>
        <v>1</v>
      </c>
      <c r="V2175">
        <v>72</v>
      </c>
      <c r="W2175">
        <v>5</v>
      </c>
      <c r="X2175" s="5" t="s">
        <v>59</v>
      </c>
      <c r="Y2175">
        <v>6</v>
      </c>
      <c r="Z2175">
        <v>0</v>
      </c>
      <c r="AA2175" t="s">
        <v>25</v>
      </c>
      <c r="AB2175" t="s">
        <v>26</v>
      </c>
      <c r="AC2175" t="s">
        <v>27</v>
      </c>
      <c r="AD2175" t="s">
        <v>42</v>
      </c>
      <c r="AE2175" t="s">
        <v>25</v>
      </c>
      <c r="AF21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2.5974025974025976E-2</v>
      </c>
      <c r="AG2175" t="s">
        <v>941</v>
      </c>
      <c r="AH2175">
        <v>58</v>
      </c>
      <c r="AI2175" t="s">
        <v>939</v>
      </c>
      <c r="AJ2175">
        <v>1</v>
      </c>
      <c r="AK21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MIN(AJ2175/8, 1) +
  Merge1[[#This Row],[index_defensive_effort]],
  2
)</f>
        <v>0.65</v>
      </c>
    </row>
    <row r="2176" spans="1:37" x14ac:dyDescent="0.25">
      <c r="A2176" t="s">
        <v>580</v>
      </c>
      <c r="B2176" t="s">
        <v>581</v>
      </c>
      <c r="C2176">
        <v>28</v>
      </c>
      <c r="D2176" t="s">
        <v>56</v>
      </c>
      <c r="E2176">
        <v>71</v>
      </c>
      <c r="F2176">
        <v>190</v>
      </c>
      <c r="G2176" t="s">
        <v>228</v>
      </c>
      <c r="H2176">
        <v>2020</v>
      </c>
      <c r="I2176" t="s">
        <v>33</v>
      </c>
      <c r="J2176">
        <v>4</v>
      </c>
      <c r="K2176">
        <v>2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72</v>
      </c>
      <c r="T2176">
        <v>72</v>
      </c>
      <c r="U2176" s="5">
        <f>IF(Merge1[[#This Row],[team_defense_snaps]]=0, "", Merge1[[#This Row],[defense_snaps]] / Merge1[[#This Row],[team_defense_snaps]])</f>
        <v>1</v>
      </c>
      <c r="V2176">
        <v>72</v>
      </c>
      <c r="W2176">
        <v>0</v>
      </c>
      <c r="X2176" s="5" t="s">
        <v>29</v>
      </c>
      <c r="Y2176">
        <v>6</v>
      </c>
      <c r="Z2176">
        <v>0</v>
      </c>
      <c r="AA2176" t="s">
        <v>25</v>
      </c>
      <c r="AB2176" t="s">
        <v>26</v>
      </c>
      <c r="AC2176" t="s">
        <v>27</v>
      </c>
      <c r="AD2176" t="s">
        <v>28</v>
      </c>
      <c r="AE2176" t="s">
        <v>25</v>
      </c>
      <c r="AF21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2.7777777777777776E-2</v>
      </c>
      <c r="AG2176" t="s">
        <v>941</v>
      </c>
      <c r="AH2176">
        <v>62.5</v>
      </c>
      <c r="AI2176" t="s">
        <v>939</v>
      </c>
      <c r="AJ2176">
        <v>2</v>
      </c>
      <c r="AK21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MIN(AJ2176/8, 1) +
  Merge1[[#This Row],[index_defensive_effort]],
  2
)</f>
        <v>0.78</v>
      </c>
    </row>
    <row r="2177" spans="1:37" x14ac:dyDescent="0.25">
      <c r="A2177" t="s">
        <v>580</v>
      </c>
      <c r="B2177" t="s">
        <v>581</v>
      </c>
      <c r="C2177">
        <v>28</v>
      </c>
      <c r="D2177" t="s">
        <v>56</v>
      </c>
      <c r="E2177">
        <v>71</v>
      </c>
      <c r="F2177">
        <v>190</v>
      </c>
      <c r="G2177" t="s">
        <v>228</v>
      </c>
      <c r="H2177">
        <v>2020</v>
      </c>
      <c r="I2177" t="s">
        <v>33</v>
      </c>
      <c r="J2177">
        <v>5</v>
      </c>
      <c r="K2177">
        <v>6</v>
      </c>
      <c r="L2177">
        <v>0</v>
      </c>
      <c r="M2177">
        <v>0</v>
      </c>
      <c r="N2177">
        <v>0</v>
      </c>
      <c r="O2177">
        <v>0</v>
      </c>
      <c r="P2177">
        <v>1</v>
      </c>
      <c r="Q2177">
        <v>0</v>
      </c>
      <c r="R2177">
        <v>2</v>
      </c>
      <c r="S2177">
        <v>75</v>
      </c>
      <c r="T2177">
        <v>70</v>
      </c>
      <c r="U2177" s="5">
        <f>IF(Merge1[[#This Row],[team_defense_snaps]]=0, "", Merge1[[#This Row],[defense_snaps]] / Merge1[[#This Row],[team_defense_snaps]])</f>
        <v>0.9859154929577465</v>
      </c>
      <c r="V2177">
        <v>71</v>
      </c>
      <c r="W2177">
        <v>5</v>
      </c>
      <c r="X2177" s="5" t="s">
        <v>181</v>
      </c>
      <c r="Y2177">
        <v>6</v>
      </c>
      <c r="Z2177">
        <v>0</v>
      </c>
      <c r="AA2177" t="s">
        <v>25</v>
      </c>
      <c r="AB2177" t="s">
        <v>26</v>
      </c>
      <c r="AC2177" t="s">
        <v>27</v>
      </c>
      <c r="AD2177" t="s">
        <v>42</v>
      </c>
      <c r="AE2177" t="s">
        <v>25</v>
      </c>
      <c r="AF21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</v>
      </c>
      <c r="AG2177" t="s">
        <v>941</v>
      </c>
      <c r="AH2177">
        <v>50</v>
      </c>
      <c r="AI2177" t="s">
        <v>939</v>
      </c>
      <c r="AJ2177">
        <v>1</v>
      </c>
      <c r="AK21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MIN(AJ2177/8, 1) +
  Merge1[[#This Row],[index_defensive_effort]],
  2
)</f>
        <v>0.79</v>
      </c>
    </row>
    <row r="2178" spans="1:37" x14ac:dyDescent="0.25">
      <c r="A2178" t="s">
        <v>580</v>
      </c>
      <c r="B2178" t="s">
        <v>581</v>
      </c>
      <c r="C2178">
        <v>28</v>
      </c>
      <c r="D2178" t="s">
        <v>56</v>
      </c>
      <c r="E2178">
        <v>71</v>
      </c>
      <c r="F2178">
        <v>190</v>
      </c>
      <c r="G2178" t="s">
        <v>228</v>
      </c>
      <c r="H2178">
        <v>2020</v>
      </c>
      <c r="I2178" t="s">
        <v>33</v>
      </c>
      <c r="J2178">
        <v>5</v>
      </c>
      <c r="K2178">
        <v>6</v>
      </c>
      <c r="L2178">
        <v>0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2</v>
      </c>
      <c r="S2178">
        <v>70</v>
      </c>
      <c r="T2178">
        <v>70</v>
      </c>
      <c r="U2178" s="5">
        <f>IF(Merge1[[#This Row],[team_defense_snaps]]=0, "", Merge1[[#This Row],[defense_snaps]] / Merge1[[#This Row],[team_defense_snaps]])</f>
        <v>0.9859154929577465</v>
      </c>
      <c r="V2178">
        <v>71</v>
      </c>
      <c r="W2178">
        <v>0</v>
      </c>
      <c r="X2178" s="5" t="s">
        <v>29</v>
      </c>
      <c r="Y2178">
        <v>6</v>
      </c>
      <c r="Z2178">
        <v>0</v>
      </c>
      <c r="AA2178" t="s">
        <v>25</v>
      </c>
      <c r="AB2178" t="s">
        <v>26</v>
      </c>
      <c r="AC2178" t="s">
        <v>27</v>
      </c>
      <c r="AD2178" t="s">
        <v>28</v>
      </c>
      <c r="AE2178" t="s">
        <v>25</v>
      </c>
      <c r="AF21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0.17142857142857143</v>
      </c>
      <c r="AG2178" t="s">
        <v>941</v>
      </c>
      <c r="AH2178">
        <v>47.5</v>
      </c>
      <c r="AI2178" t="s">
        <v>939</v>
      </c>
      <c r="AJ2178">
        <v>2</v>
      </c>
      <c r="AK21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MIN(AJ2178/8, 1) +
  Merge1[[#This Row],[index_defensive_effort]],
  2
)</f>
        <v>0.92</v>
      </c>
    </row>
    <row r="2179" spans="1:37" x14ac:dyDescent="0.25">
      <c r="A2179" t="s">
        <v>580</v>
      </c>
      <c r="B2179" t="s">
        <v>581</v>
      </c>
      <c r="C2179">
        <v>28</v>
      </c>
      <c r="D2179" t="s">
        <v>56</v>
      </c>
      <c r="E2179">
        <v>71</v>
      </c>
      <c r="F2179">
        <v>190</v>
      </c>
      <c r="G2179" t="s">
        <v>228</v>
      </c>
      <c r="H2179">
        <v>2020</v>
      </c>
      <c r="I2179" t="s">
        <v>33</v>
      </c>
      <c r="J2179">
        <v>6</v>
      </c>
      <c r="K2179">
        <v>3</v>
      </c>
      <c r="L2179">
        <v>1</v>
      </c>
      <c r="M2179">
        <v>0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73</v>
      </c>
      <c r="T2179">
        <v>68</v>
      </c>
      <c r="U2179" s="5">
        <f>IF(Merge1[[#This Row],[team_defense_snaps]]=0, "", Merge1[[#This Row],[defense_snaps]] / Merge1[[#This Row],[team_defense_snaps]])</f>
        <v>0.98550724637681164</v>
      </c>
      <c r="V2179">
        <v>69</v>
      </c>
      <c r="W2179">
        <v>5</v>
      </c>
      <c r="X2179" s="5" t="s">
        <v>59</v>
      </c>
      <c r="Y2179">
        <v>6</v>
      </c>
      <c r="Z2179">
        <v>0</v>
      </c>
      <c r="AA2179" t="s">
        <v>25</v>
      </c>
      <c r="AB2179" t="s">
        <v>26</v>
      </c>
      <c r="AC2179" t="s">
        <v>27</v>
      </c>
      <c r="AD2179" t="s">
        <v>42</v>
      </c>
      <c r="AE2179" t="s">
        <v>25</v>
      </c>
      <c r="AF21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4.7945205479452052E-2</v>
      </c>
      <c r="AG2179" t="s">
        <v>941</v>
      </c>
      <c r="AH2179">
        <v>46</v>
      </c>
      <c r="AI2179" t="s">
        <v>939</v>
      </c>
      <c r="AJ2179">
        <v>3</v>
      </c>
      <c r="AK21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MIN(AJ2179/8, 1) +
  Merge1[[#This Row],[index_defensive_effort]],
  2
)</f>
        <v>0.92</v>
      </c>
    </row>
    <row r="2180" spans="1:37" x14ac:dyDescent="0.25">
      <c r="A2180" t="s">
        <v>580</v>
      </c>
      <c r="B2180" t="s">
        <v>581</v>
      </c>
      <c r="C2180">
        <v>28</v>
      </c>
      <c r="D2180" t="s">
        <v>56</v>
      </c>
      <c r="E2180">
        <v>71</v>
      </c>
      <c r="F2180">
        <v>190</v>
      </c>
      <c r="G2180" t="s">
        <v>228</v>
      </c>
      <c r="H2180">
        <v>2020</v>
      </c>
      <c r="I2180" t="s">
        <v>33</v>
      </c>
      <c r="J2180">
        <v>7</v>
      </c>
      <c r="K2180">
        <v>4</v>
      </c>
      <c r="L2180">
        <v>1</v>
      </c>
      <c r="M2180">
        <v>0</v>
      </c>
      <c r="N2180">
        <v>1</v>
      </c>
      <c r="O2180">
        <v>0</v>
      </c>
      <c r="P2180">
        <v>1</v>
      </c>
      <c r="Q2180">
        <v>0</v>
      </c>
      <c r="R2180">
        <v>0</v>
      </c>
      <c r="S2180">
        <v>79</v>
      </c>
      <c r="T2180">
        <v>72</v>
      </c>
      <c r="U2180" s="5">
        <f>IF(Merge1[[#This Row],[team_defense_snaps]]=0, "", Merge1[[#This Row],[defense_snaps]] / Merge1[[#This Row],[team_defense_snaps]])</f>
        <v>1</v>
      </c>
      <c r="V2180">
        <v>72</v>
      </c>
      <c r="W2180">
        <v>7</v>
      </c>
      <c r="X2180" s="5" t="s">
        <v>261</v>
      </c>
      <c r="Y2180">
        <v>6</v>
      </c>
      <c r="Z2180">
        <v>0</v>
      </c>
      <c r="AA2180" t="s">
        <v>25</v>
      </c>
      <c r="AB2180" t="s">
        <v>26</v>
      </c>
      <c r="AC2180" t="s">
        <v>27</v>
      </c>
      <c r="AD2180" t="s">
        <v>42</v>
      </c>
      <c r="AE2180" t="s">
        <v>25</v>
      </c>
      <c r="AF21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8.2278481012658222E-2</v>
      </c>
      <c r="AG2180" t="s">
        <v>941</v>
      </c>
      <c r="AH2180">
        <v>59.5</v>
      </c>
      <c r="AI2180" t="s">
        <v>939</v>
      </c>
      <c r="AJ2180">
        <v>1</v>
      </c>
      <c r="AK21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MIN(AJ2180/8, 1) +
  Merge1[[#This Row],[index_defensive_effort]],
  2
)</f>
        <v>0.71</v>
      </c>
    </row>
    <row r="2181" spans="1:37" x14ac:dyDescent="0.25">
      <c r="A2181" t="s">
        <v>580</v>
      </c>
      <c r="B2181" t="s">
        <v>581</v>
      </c>
      <c r="C2181">
        <v>28</v>
      </c>
      <c r="D2181" t="s">
        <v>56</v>
      </c>
      <c r="E2181">
        <v>71</v>
      </c>
      <c r="F2181">
        <v>190</v>
      </c>
      <c r="G2181" t="s">
        <v>228</v>
      </c>
      <c r="H2181">
        <v>2020</v>
      </c>
      <c r="I2181" t="s">
        <v>33</v>
      </c>
      <c r="J2181">
        <v>7</v>
      </c>
      <c r="K2181">
        <v>4</v>
      </c>
      <c r="L2181">
        <v>1</v>
      </c>
      <c r="M2181">
        <v>0</v>
      </c>
      <c r="N2181">
        <v>1</v>
      </c>
      <c r="O2181">
        <v>0</v>
      </c>
      <c r="P2181">
        <v>1</v>
      </c>
      <c r="Q2181">
        <v>0</v>
      </c>
      <c r="R2181">
        <v>0</v>
      </c>
      <c r="S2181">
        <v>72</v>
      </c>
      <c r="T2181">
        <v>72</v>
      </c>
      <c r="U2181" s="5">
        <f>IF(Merge1[[#This Row],[team_defense_snaps]]=0, "", Merge1[[#This Row],[defense_snaps]] / Merge1[[#This Row],[team_defense_snaps]])</f>
        <v>1</v>
      </c>
      <c r="V2181">
        <v>72</v>
      </c>
      <c r="W2181">
        <v>0</v>
      </c>
      <c r="X2181" s="5" t="s">
        <v>29</v>
      </c>
      <c r="Y2181">
        <v>6</v>
      </c>
      <c r="Z2181">
        <v>0</v>
      </c>
      <c r="AA2181" t="s">
        <v>25</v>
      </c>
      <c r="AB2181" t="s">
        <v>26</v>
      </c>
      <c r="AC2181" t="s">
        <v>27</v>
      </c>
      <c r="AD2181" t="s">
        <v>28</v>
      </c>
      <c r="AE2181" t="s">
        <v>25</v>
      </c>
      <c r="AF21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9.0277777777777776E-2</v>
      </c>
      <c r="AG2181" t="s">
        <v>941</v>
      </c>
      <c r="AH2181">
        <v>50.5</v>
      </c>
      <c r="AI2181" t="s">
        <v>939</v>
      </c>
      <c r="AJ2181">
        <v>2</v>
      </c>
      <c r="AK21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MIN(AJ2181/8, 1) +
  Merge1[[#This Row],[index_defensive_effort]],
  2
)</f>
        <v>0.84</v>
      </c>
    </row>
    <row r="2182" spans="1:37" x14ac:dyDescent="0.25">
      <c r="A2182" t="s">
        <v>580</v>
      </c>
      <c r="B2182" t="s">
        <v>581</v>
      </c>
      <c r="C2182">
        <v>28</v>
      </c>
      <c r="D2182" t="s">
        <v>56</v>
      </c>
      <c r="E2182">
        <v>71</v>
      </c>
      <c r="F2182">
        <v>190</v>
      </c>
      <c r="G2182" t="s">
        <v>228</v>
      </c>
      <c r="H2182">
        <v>2020</v>
      </c>
      <c r="I2182" t="s">
        <v>33</v>
      </c>
      <c r="J2182">
        <v>8</v>
      </c>
      <c r="K2182">
        <v>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82</v>
      </c>
      <c r="T2182">
        <v>74</v>
      </c>
      <c r="U2182" s="5">
        <f>IF(Merge1[[#This Row],[team_defense_snaps]]=0, "", Merge1[[#This Row],[defense_snaps]] / Merge1[[#This Row],[team_defense_snaps]])</f>
        <v>1</v>
      </c>
      <c r="V2182">
        <v>74</v>
      </c>
      <c r="W2182">
        <v>8</v>
      </c>
      <c r="X2182" s="5" t="s">
        <v>133</v>
      </c>
      <c r="Y2182">
        <v>6</v>
      </c>
      <c r="Z2182">
        <v>0</v>
      </c>
      <c r="AA2182" t="s">
        <v>25</v>
      </c>
      <c r="AB2182" t="s">
        <v>26</v>
      </c>
      <c r="AC2182" t="s">
        <v>27</v>
      </c>
      <c r="AD2182" t="s">
        <v>42</v>
      </c>
      <c r="AE2182" t="s">
        <v>25</v>
      </c>
      <c r="AF21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1.2195121951219513E-2</v>
      </c>
      <c r="AG2182" t="s">
        <v>941</v>
      </c>
      <c r="AH2182">
        <v>70</v>
      </c>
      <c r="AI2182" t="s">
        <v>939</v>
      </c>
      <c r="AJ2182">
        <v>1</v>
      </c>
      <c r="AK21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MIN(AJ2182/8, 1) +
  Merge1[[#This Row],[index_defensive_effort]],
  2
)</f>
        <v>0.64</v>
      </c>
    </row>
    <row r="2183" spans="1:37" x14ac:dyDescent="0.25">
      <c r="A2183" t="s">
        <v>580</v>
      </c>
      <c r="B2183" t="s">
        <v>581</v>
      </c>
      <c r="C2183">
        <v>28</v>
      </c>
      <c r="D2183" t="s">
        <v>56</v>
      </c>
      <c r="E2183">
        <v>71</v>
      </c>
      <c r="F2183">
        <v>190</v>
      </c>
      <c r="G2183" t="s">
        <v>228</v>
      </c>
      <c r="H2183">
        <v>2020</v>
      </c>
      <c r="I2183" t="s">
        <v>33</v>
      </c>
      <c r="J2183">
        <v>8</v>
      </c>
      <c r="K2183">
        <v>1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80</v>
      </c>
      <c r="T2183">
        <v>74</v>
      </c>
      <c r="U2183" s="5">
        <f>IF(Merge1[[#This Row],[team_defense_snaps]]=0, "", Merge1[[#This Row],[defense_snaps]] / Merge1[[#This Row],[team_defense_snaps]])</f>
        <v>1</v>
      </c>
      <c r="V2183">
        <v>74</v>
      </c>
      <c r="W2183">
        <v>6</v>
      </c>
      <c r="X2183" s="5" t="s">
        <v>293</v>
      </c>
      <c r="Y2183">
        <v>6</v>
      </c>
      <c r="Z2183">
        <v>0</v>
      </c>
      <c r="AA2183" t="s">
        <v>25</v>
      </c>
      <c r="AB2183" t="s">
        <v>26</v>
      </c>
      <c r="AC2183" t="s">
        <v>27</v>
      </c>
      <c r="AD2183" t="s">
        <v>28</v>
      </c>
      <c r="AE2183" t="s">
        <v>25</v>
      </c>
      <c r="AF21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1.2500000000000001E-2</v>
      </c>
      <c r="AG2183" t="s">
        <v>941</v>
      </c>
      <c r="AH2183">
        <v>67</v>
      </c>
      <c r="AI2183" t="s">
        <v>939</v>
      </c>
      <c r="AJ2183">
        <v>2</v>
      </c>
      <c r="AK21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MIN(AJ2183/8, 1) +
  Merge1[[#This Row],[index_defensive_effort]],
  2
)</f>
        <v>0.76</v>
      </c>
    </row>
    <row r="2184" spans="1:37" x14ac:dyDescent="0.25">
      <c r="A2184" t="s">
        <v>580</v>
      </c>
      <c r="B2184" t="s">
        <v>581</v>
      </c>
      <c r="C2184">
        <v>28</v>
      </c>
      <c r="D2184" t="s">
        <v>56</v>
      </c>
      <c r="E2184">
        <v>71</v>
      </c>
      <c r="F2184">
        <v>190</v>
      </c>
      <c r="G2184" t="s">
        <v>228</v>
      </c>
      <c r="H2184">
        <v>2020</v>
      </c>
      <c r="I2184" t="s">
        <v>33</v>
      </c>
      <c r="J2184">
        <v>9</v>
      </c>
      <c r="K2184">
        <v>0</v>
      </c>
      <c r="L2184">
        <v>2</v>
      </c>
      <c r="M2184">
        <v>1</v>
      </c>
      <c r="N2184">
        <v>3</v>
      </c>
      <c r="O2184">
        <v>0</v>
      </c>
      <c r="P2184">
        <v>0</v>
      </c>
      <c r="Q2184">
        <v>0</v>
      </c>
      <c r="R2184">
        <v>0</v>
      </c>
      <c r="S2184">
        <v>59</v>
      </c>
      <c r="T2184">
        <v>55</v>
      </c>
      <c r="U2184" s="5">
        <f>IF(Merge1[[#This Row],[team_defense_snaps]]=0, "", Merge1[[#This Row],[defense_snaps]] / Merge1[[#This Row],[team_defense_snaps]])</f>
        <v>1</v>
      </c>
      <c r="V2184">
        <v>55</v>
      </c>
      <c r="W2184">
        <v>4</v>
      </c>
      <c r="X2184" s="5" t="s">
        <v>251</v>
      </c>
      <c r="Y2184">
        <v>6</v>
      </c>
      <c r="Z2184">
        <v>0</v>
      </c>
      <c r="AA2184" t="s">
        <v>25</v>
      </c>
      <c r="AB2184" t="s">
        <v>26</v>
      </c>
      <c r="AC2184" t="s">
        <v>27</v>
      </c>
      <c r="AD2184" t="s">
        <v>42</v>
      </c>
      <c r="AE2184" t="s">
        <v>25</v>
      </c>
      <c r="AF21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2.5423728813559324E-2</v>
      </c>
      <c r="AG2184" t="s">
        <v>941</v>
      </c>
      <c r="AH2184">
        <v>68.5</v>
      </c>
      <c r="AI2184" t="s">
        <v>939</v>
      </c>
      <c r="AJ2184">
        <v>1</v>
      </c>
      <c r="AK21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MIN(AJ2184/8, 1) +
  Merge1[[#This Row],[index_defensive_effort]],
  2
)</f>
        <v>0.65</v>
      </c>
    </row>
    <row r="2185" spans="1:37" x14ac:dyDescent="0.25">
      <c r="A2185" t="s">
        <v>580</v>
      </c>
      <c r="B2185" t="s">
        <v>581</v>
      </c>
      <c r="C2185">
        <v>28</v>
      </c>
      <c r="D2185" t="s">
        <v>56</v>
      </c>
      <c r="E2185">
        <v>71</v>
      </c>
      <c r="F2185">
        <v>190</v>
      </c>
      <c r="G2185" t="s">
        <v>228</v>
      </c>
      <c r="H2185">
        <v>2020</v>
      </c>
      <c r="I2185" t="s">
        <v>33</v>
      </c>
      <c r="J2185">
        <v>9</v>
      </c>
      <c r="K2185">
        <v>0</v>
      </c>
      <c r="L2185">
        <v>2</v>
      </c>
      <c r="M2185">
        <v>1</v>
      </c>
      <c r="N2185">
        <v>3</v>
      </c>
      <c r="O2185">
        <v>0</v>
      </c>
      <c r="P2185">
        <v>0</v>
      </c>
      <c r="Q2185">
        <v>0</v>
      </c>
      <c r="R2185">
        <v>0</v>
      </c>
      <c r="S2185">
        <v>61</v>
      </c>
      <c r="T2185">
        <v>55</v>
      </c>
      <c r="U2185" s="5">
        <f>IF(Merge1[[#This Row],[team_defense_snaps]]=0, "", Merge1[[#This Row],[defense_snaps]] / Merge1[[#This Row],[team_defense_snaps]])</f>
        <v>1</v>
      </c>
      <c r="V2185">
        <v>55</v>
      </c>
      <c r="W2185">
        <v>6</v>
      </c>
      <c r="X2185" s="5" t="s">
        <v>181</v>
      </c>
      <c r="Y2185">
        <v>6</v>
      </c>
      <c r="Z2185">
        <v>0</v>
      </c>
      <c r="AA2185" t="s">
        <v>25</v>
      </c>
      <c r="AB2185" t="s">
        <v>26</v>
      </c>
      <c r="AC2185" t="s">
        <v>27</v>
      </c>
      <c r="AD2185" t="s">
        <v>28</v>
      </c>
      <c r="AE2185" t="s">
        <v>25</v>
      </c>
      <c r="AF21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2.4590163934426229E-2</v>
      </c>
      <c r="AG2185" t="s">
        <v>941</v>
      </c>
      <c r="AH2185">
        <v>56.5</v>
      </c>
      <c r="AI2185" t="s">
        <v>939</v>
      </c>
      <c r="AJ2185">
        <v>2</v>
      </c>
      <c r="AK21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MIN(AJ2185/8, 1) +
  Merge1[[#This Row],[index_defensive_effort]],
  2
)</f>
        <v>0.77</v>
      </c>
    </row>
    <row r="2186" spans="1:37" x14ac:dyDescent="0.25">
      <c r="A2186" t="s">
        <v>580</v>
      </c>
      <c r="B2186" t="s">
        <v>581</v>
      </c>
      <c r="C2186">
        <v>28</v>
      </c>
      <c r="D2186" t="s">
        <v>56</v>
      </c>
      <c r="E2186">
        <v>71</v>
      </c>
      <c r="F2186">
        <v>190</v>
      </c>
      <c r="G2186" t="s">
        <v>228</v>
      </c>
      <c r="H2186">
        <v>2020</v>
      </c>
      <c r="I2186" t="s">
        <v>33</v>
      </c>
      <c r="J2186">
        <v>10</v>
      </c>
      <c r="K2186">
        <v>1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79</v>
      </c>
      <c r="T2186">
        <v>74</v>
      </c>
      <c r="U2186" s="5">
        <f>IF(Merge1[[#This Row],[team_defense_snaps]]=0, "", Merge1[[#This Row],[defense_snaps]] / Merge1[[#This Row],[team_defense_snaps]])</f>
        <v>1</v>
      </c>
      <c r="V2186">
        <v>74</v>
      </c>
      <c r="W2186">
        <v>5</v>
      </c>
      <c r="X2186" s="5" t="s">
        <v>59</v>
      </c>
      <c r="Y2186">
        <v>6</v>
      </c>
      <c r="Z2186">
        <v>0</v>
      </c>
      <c r="AA2186" t="s">
        <v>25</v>
      </c>
      <c r="AB2186" t="s">
        <v>26</v>
      </c>
      <c r="AC2186" t="s">
        <v>27</v>
      </c>
      <c r="AD2186" t="s">
        <v>42</v>
      </c>
      <c r="AE2186" t="s">
        <v>25</v>
      </c>
      <c r="AF21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1.2658227848101266E-2</v>
      </c>
      <c r="AG2186" t="s">
        <v>941</v>
      </c>
      <c r="AH2186">
        <v>46</v>
      </c>
      <c r="AI2186" t="s">
        <v>939</v>
      </c>
      <c r="AJ2186">
        <v>1</v>
      </c>
      <c r="AK21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MIN(AJ2186/8, 1) +
  Merge1[[#This Row],[index_defensive_effort]],
  2
)</f>
        <v>0.64</v>
      </c>
    </row>
    <row r="2187" spans="1:37" x14ac:dyDescent="0.25">
      <c r="A2187" t="s">
        <v>580</v>
      </c>
      <c r="B2187" t="s">
        <v>581</v>
      </c>
      <c r="C2187">
        <v>28</v>
      </c>
      <c r="D2187" t="s">
        <v>56</v>
      </c>
      <c r="E2187">
        <v>71</v>
      </c>
      <c r="F2187">
        <v>190</v>
      </c>
      <c r="G2187" t="s">
        <v>228</v>
      </c>
      <c r="H2187">
        <v>2020</v>
      </c>
      <c r="I2187" t="s">
        <v>33</v>
      </c>
      <c r="J2187">
        <v>10</v>
      </c>
      <c r="K2187">
        <v>1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74</v>
      </c>
      <c r="T2187">
        <v>74</v>
      </c>
      <c r="U2187" s="5">
        <f>IF(Merge1[[#This Row],[team_defense_snaps]]=0, "", Merge1[[#This Row],[defense_snaps]] / Merge1[[#This Row],[team_defense_snaps]])</f>
        <v>1</v>
      </c>
      <c r="V2187">
        <v>74</v>
      </c>
      <c r="W2187">
        <v>0</v>
      </c>
      <c r="X2187" s="5" t="s">
        <v>29</v>
      </c>
      <c r="Y2187">
        <v>6</v>
      </c>
      <c r="Z2187">
        <v>0</v>
      </c>
      <c r="AA2187" t="s">
        <v>25</v>
      </c>
      <c r="AB2187" t="s">
        <v>26</v>
      </c>
      <c r="AC2187" t="s">
        <v>27</v>
      </c>
      <c r="AD2187" t="s">
        <v>42</v>
      </c>
      <c r="AE2187" t="s">
        <v>25</v>
      </c>
      <c r="AF21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1.3513513513513514E-2</v>
      </c>
      <c r="AG2187" t="s">
        <v>941</v>
      </c>
      <c r="AH2187">
        <v>68.5</v>
      </c>
      <c r="AI2187" t="s">
        <v>939</v>
      </c>
      <c r="AJ2187">
        <v>1</v>
      </c>
      <c r="AK21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MIN(AJ2187/8, 1) +
  Merge1[[#This Row],[index_defensive_effort]],
  2
)</f>
        <v>0.64</v>
      </c>
    </row>
    <row r="2188" spans="1:37" x14ac:dyDescent="0.25">
      <c r="A2188" t="s">
        <v>580</v>
      </c>
      <c r="B2188" t="s">
        <v>581</v>
      </c>
      <c r="C2188">
        <v>28</v>
      </c>
      <c r="D2188" t="s">
        <v>56</v>
      </c>
      <c r="E2188">
        <v>71</v>
      </c>
      <c r="F2188">
        <v>190</v>
      </c>
      <c r="G2188" t="s">
        <v>228</v>
      </c>
      <c r="H2188">
        <v>2020</v>
      </c>
      <c r="I2188" t="s">
        <v>33</v>
      </c>
      <c r="J2188">
        <v>12</v>
      </c>
      <c r="K2188">
        <v>5</v>
      </c>
      <c r="L2188">
        <v>3</v>
      </c>
      <c r="M2188">
        <v>1</v>
      </c>
      <c r="N2188">
        <v>4</v>
      </c>
      <c r="O2188">
        <v>0</v>
      </c>
      <c r="P2188">
        <v>0</v>
      </c>
      <c r="Q2188">
        <v>0</v>
      </c>
      <c r="R2188">
        <v>0</v>
      </c>
      <c r="S2188">
        <v>77</v>
      </c>
      <c r="T2188">
        <v>71</v>
      </c>
      <c r="U2188" s="5">
        <f>IF(Merge1[[#This Row],[team_defense_snaps]]=0, "", Merge1[[#This Row],[defense_snaps]] / Merge1[[#This Row],[team_defense_snaps]])</f>
        <v>0.94666666666666666</v>
      </c>
      <c r="V2188">
        <v>75</v>
      </c>
      <c r="W2188">
        <v>6</v>
      </c>
      <c r="X2188" s="5" t="s">
        <v>133</v>
      </c>
      <c r="Y2188">
        <v>6</v>
      </c>
      <c r="Z2188">
        <v>0</v>
      </c>
      <c r="AA2188" t="s">
        <v>25</v>
      </c>
      <c r="AB2188" t="s">
        <v>26</v>
      </c>
      <c r="AC2188" t="s">
        <v>27</v>
      </c>
      <c r="AD2188" t="s">
        <v>42</v>
      </c>
      <c r="AE2188" t="s">
        <v>25</v>
      </c>
      <c r="AF21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9.0909090909090912E-2</v>
      </c>
      <c r="AG2188" t="s">
        <v>941</v>
      </c>
      <c r="AH2188">
        <v>67</v>
      </c>
      <c r="AI2188" t="s">
        <v>938</v>
      </c>
      <c r="AJ2188">
        <v>1</v>
      </c>
      <c r="AK21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MIN(AJ2188/8, 1) +
  Merge1[[#This Row],[index_defensive_effort]],
  2
)</f>
        <v>0.72</v>
      </c>
    </row>
    <row r="2189" spans="1:37" x14ac:dyDescent="0.25">
      <c r="A2189" t="s">
        <v>580</v>
      </c>
      <c r="B2189" t="s">
        <v>581</v>
      </c>
      <c r="C2189">
        <v>28</v>
      </c>
      <c r="D2189" t="s">
        <v>56</v>
      </c>
      <c r="E2189">
        <v>71</v>
      </c>
      <c r="F2189">
        <v>190</v>
      </c>
      <c r="G2189" t="s">
        <v>228</v>
      </c>
      <c r="H2189">
        <v>2020</v>
      </c>
      <c r="I2189" t="s">
        <v>33</v>
      </c>
      <c r="J2189">
        <v>12</v>
      </c>
      <c r="K2189">
        <v>5</v>
      </c>
      <c r="L2189">
        <v>3</v>
      </c>
      <c r="M2189">
        <v>1</v>
      </c>
      <c r="N2189">
        <v>4</v>
      </c>
      <c r="O2189">
        <v>0</v>
      </c>
      <c r="P2189">
        <v>0</v>
      </c>
      <c r="Q2189">
        <v>0</v>
      </c>
      <c r="R2189">
        <v>0</v>
      </c>
      <c r="S2189">
        <v>72</v>
      </c>
      <c r="T2189">
        <v>71</v>
      </c>
      <c r="U2189" s="5">
        <f>IF(Merge1[[#This Row],[team_defense_snaps]]=0, "", Merge1[[#This Row],[defense_snaps]] / Merge1[[#This Row],[team_defense_snaps]])</f>
        <v>0.94666666666666666</v>
      </c>
      <c r="V2189">
        <v>75</v>
      </c>
      <c r="W2189">
        <v>1</v>
      </c>
      <c r="X2189" s="5" t="s">
        <v>193</v>
      </c>
      <c r="Y2189">
        <v>6</v>
      </c>
      <c r="Z2189">
        <v>0</v>
      </c>
      <c r="AA2189" t="s">
        <v>25</v>
      </c>
      <c r="AB2189" t="s">
        <v>36</v>
      </c>
      <c r="AC2189" t="s">
        <v>63</v>
      </c>
      <c r="AD2189" t="s">
        <v>28</v>
      </c>
      <c r="AE2189" t="s">
        <v>25</v>
      </c>
      <c r="AF21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9.7222222222222224E-2</v>
      </c>
      <c r="AG2189" t="s">
        <v>941</v>
      </c>
      <c r="AH2189">
        <v>50</v>
      </c>
      <c r="AI2189" t="s">
        <v>939</v>
      </c>
      <c r="AJ2189">
        <v>2</v>
      </c>
      <c r="AK21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MIN(AJ2189/8, 1) +
  Merge1[[#This Row],[index_defensive_effort]],
  2
)</f>
        <v>0.85</v>
      </c>
    </row>
    <row r="2190" spans="1:37" x14ac:dyDescent="0.25">
      <c r="A2190" t="s">
        <v>580</v>
      </c>
      <c r="B2190" t="s">
        <v>581</v>
      </c>
      <c r="C2190">
        <v>28</v>
      </c>
      <c r="D2190" t="s">
        <v>56</v>
      </c>
      <c r="E2190">
        <v>71</v>
      </c>
      <c r="F2190">
        <v>190</v>
      </c>
      <c r="G2190" t="s">
        <v>228</v>
      </c>
      <c r="H2190">
        <v>2020</v>
      </c>
      <c r="I2190" t="s">
        <v>33</v>
      </c>
      <c r="J2190">
        <v>13</v>
      </c>
      <c r="K2190">
        <v>6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74</v>
      </c>
      <c r="T2190">
        <v>68</v>
      </c>
      <c r="U2190" s="5">
        <f>IF(Merge1[[#This Row],[team_defense_snaps]]=0, "", Merge1[[#This Row],[defense_snaps]] / Merge1[[#This Row],[team_defense_snaps]])</f>
        <v>0.90666666666666662</v>
      </c>
      <c r="V2190">
        <v>75</v>
      </c>
      <c r="W2190">
        <v>6</v>
      </c>
      <c r="X2190" s="5" t="s">
        <v>58</v>
      </c>
      <c r="Y2190">
        <v>6</v>
      </c>
      <c r="Z2190">
        <v>0</v>
      </c>
      <c r="AA2190" t="s">
        <v>25</v>
      </c>
      <c r="AB2190" t="s">
        <v>26</v>
      </c>
      <c r="AC2190" t="s">
        <v>27</v>
      </c>
      <c r="AD2190" t="s">
        <v>42</v>
      </c>
      <c r="AE2190" t="s">
        <v>25</v>
      </c>
      <c r="AF21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8.1081081081081086E-2</v>
      </c>
      <c r="AG2190" t="s">
        <v>941</v>
      </c>
      <c r="AH2190">
        <v>70</v>
      </c>
      <c r="AI2190" t="s">
        <v>938</v>
      </c>
      <c r="AJ2190">
        <v>1</v>
      </c>
      <c r="AK21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MIN(AJ2190/8, 1) +
  Merge1[[#This Row],[index_defensive_effort]],
  2
)</f>
        <v>0.71</v>
      </c>
    </row>
    <row r="2191" spans="1:37" x14ac:dyDescent="0.25">
      <c r="A2191" t="s">
        <v>580</v>
      </c>
      <c r="B2191" t="s">
        <v>581</v>
      </c>
      <c r="C2191">
        <v>28</v>
      </c>
      <c r="D2191" t="s">
        <v>56</v>
      </c>
      <c r="E2191">
        <v>71</v>
      </c>
      <c r="F2191">
        <v>190</v>
      </c>
      <c r="G2191" t="s">
        <v>228</v>
      </c>
      <c r="H2191">
        <v>2020</v>
      </c>
      <c r="I2191" t="s">
        <v>33</v>
      </c>
      <c r="J2191">
        <v>13</v>
      </c>
      <c r="K2191">
        <v>6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69</v>
      </c>
      <c r="T2191">
        <v>68</v>
      </c>
      <c r="U2191" s="5">
        <f>IF(Merge1[[#This Row],[team_defense_snaps]]=0, "", Merge1[[#This Row],[defense_snaps]] / Merge1[[#This Row],[team_defense_snaps]])</f>
        <v>0.90666666666666662</v>
      </c>
      <c r="V2191">
        <v>75</v>
      </c>
      <c r="W2191">
        <v>1</v>
      </c>
      <c r="X2191" s="5" t="s">
        <v>193</v>
      </c>
      <c r="Y2191">
        <v>6</v>
      </c>
      <c r="Z2191">
        <v>0</v>
      </c>
      <c r="AA2191" t="s">
        <v>25</v>
      </c>
      <c r="AB2191" t="s">
        <v>36</v>
      </c>
      <c r="AC2191" t="s">
        <v>63</v>
      </c>
      <c r="AD2191" t="s">
        <v>28</v>
      </c>
      <c r="AE2191" t="s">
        <v>25</v>
      </c>
      <c r="AF21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8.6956521739130432E-2</v>
      </c>
      <c r="AG2191" t="s">
        <v>941</v>
      </c>
      <c r="AH2191">
        <v>53.5</v>
      </c>
      <c r="AI2191" t="s">
        <v>939</v>
      </c>
      <c r="AJ2191">
        <v>2</v>
      </c>
      <c r="AK21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MIN(AJ2191/8, 1) +
  Merge1[[#This Row],[index_defensive_effort]],
  2
)</f>
        <v>0.84</v>
      </c>
    </row>
    <row r="2192" spans="1:37" x14ac:dyDescent="0.25">
      <c r="A2192" t="s">
        <v>580</v>
      </c>
      <c r="B2192" t="s">
        <v>581</v>
      </c>
      <c r="C2192">
        <v>28</v>
      </c>
      <c r="D2192" t="s">
        <v>56</v>
      </c>
      <c r="E2192">
        <v>71</v>
      </c>
      <c r="F2192">
        <v>190</v>
      </c>
      <c r="G2192" t="s">
        <v>228</v>
      </c>
      <c r="H2192">
        <v>2020</v>
      </c>
      <c r="I2192" t="s">
        <v>33</v>
      </c>
      <c r="J2192">
        <v>14</v>
      </c>
      <c r="K2192">
        <v>3</v>
      </c>
      <c r="L2192">
        <v>2</v>
      </c>
      <c r="M2192">
        <v>0</v>
      </c>
      <c r="N2192">
        <v>2</v>
      </c>
      <c r="O2192">
        <v>0</v>
      </c>
      <c r="P2192">
        <v>0</v>
      </c>
      <c r="Q2192">
        <v>0</v>
      </c>
      <c r="R2192">
        <v>0</v>
      </c>
      <c r="S2192">
        <v>68</v>
      </c>
      <c r="T2192">
        <v>66</v>
      </c>
      <c r="U2192" s="5">
        <f>IF(Merge1[[#This Row],[team_defense_snaps]]=0, "", Merge1[[#This Row],[defense_snaps]] / Merge1[[#This Row],[team_defense_snaps]])</f>
        <v>0.9850746268656716</v>
      </c>
      <c r="V2192">
        <v>67</v>
      </c>
      <c r="W2192">
        <v>2</v>
      </c>
      <c r="X2192" s="5" t="s">
        <v>167</v>
      </c>
      <c r="Y2192">
        <v>6</v>
      </c>
      <c r="Z2192">
        <v>0</v>
      </c>
      <c r="AA2192" t="s">
        <v>25</v>
      </c>
      <c r="AB2192" t="s">
        <v>26</v>
      </c>
      <c r="AC2192" t="s">
        <v>27</v>
      </c>
      <c r="AD2192" t="s">
        <v>42</v>
      </c>
      <c r="AE2192" t="s">
        <v>25</v>
      </c>
      <c r="AF21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AG2192" t="s">
        <v>941</v>
      </c>
      <c r="AH2192">
        <v>59.5</v>
      </c>
      <c r="AI2192" t="s">
        <v>939</v>
      </c>
      <c r="AJ2192">
        <v>1</v>
      </c>
      <c r="AK21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MIN(AJ2192/8, 1) +
  Merge1[[#This Row],[index_defensive_effort]],
  2
)</f>
        <v>0.68</v>
      </c>
    </row>
    <row r="2193" spans="1:37" x14ac:dyDescent="0.25">
      <c r="A2193" t="s">
        <v>580</v>
      </c>
      <c r="B2193" t="s">
        <v>581</v>
      </c>
      <c r="C2193">
        <v>28</v>
      </c>
      <c r="D2193" t="s">
        <v>56</v>
      </c>
      <c r="E2193">
        <v>71</v>
      </c>
      <c r="F2193">
        <v>190</v>
      </c>
      <c r="G2193" t="s">
        <v>228</v>
      </c>
      <c r="H2193">
        <v>2020</v>
      </c>
      <c r="I2193" t="s">
        <v>33</v>
      </c>
      <c r="J2193">
        <v>14</v>
      </c>
      <c r="K2193">
        <v>3</v>
      </c>
      <c r="L2193">
        <v>2</v>
      </c>
      <c r="M2193">
        <v>0</v>
      </c>
      <c r="N2193">
        <v>2</v>
      </c>
      <c r="O2193">
        <v>0</v>
      </c>
      <c r="P2193">
        <v>0</v>
      </c>
      <c r="Q2193">
        <v>0</v>
      </c>
      <c r="R2193">
        <v>0</v>
      </c>
      <c r="S2193">
        <v>70</v>
      </c>
      <c r="T2193">
        <v>66</v>
      </c>
      <c r="U2193" s="5">
        <f>IF(Merge1[[#This Row],[team_defense_snaps]]=0, "", Merge1[[#This Row],[defense_snaps]] / Merge1[[#This Row],[team_defense_snaps]])</f>
        <v>0.9850746268656716</v>
      </c>
      <c r="V2193">
        <v>67</v>
      </c>
      <c r="W2193">
        <v>4</v>
      </c>
      <c r="X2193" s="5" t="s">
        <v>212</v>
      </c>
      <c r="Y2193">
        <v>6</v>
      </c>
      <c r="Z2193">
        <v>0</v>
      </c>
      <c r="AA2193" t="s">
        <v>25</v>
      </c>
      <c r="AB2193" t="s">
        <v>26</v>
      </c>
      <c r="AC2193" t="s">
        <v>27</v>
      </c>
      <c r="AD2193" t="s">
        <v>28</v>
      </c>
      <c r="AE2193" t="s">
        <v>25</v>
      </c>
      <c r="AF21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5.7142857142857141E-2</v>
      </c>
      <c r="AG2193" t="s">
        <v>941</v>
      </c>
      <c r="AH2193">
        <v>65.5</v>
      </c>
      <c r="AI2193" t="s">
        <v>939</v>
      </c>
      <c r="AJ2193">
        <v>2</v>
      </c>
      <c r="AK21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MIN(AJ2193/8, 1) +
  Merge1[[#This Row],[index_defensive_effort]],
  2
)</f>
        <v>0.81</v>
      </c>
    </row>
    <row r="2194" spans="1:37" x14ac:dyDescent="0.25">
      <c r="A2194" t="s">
        <v>580</v>
      </c>
      <c r="B2194" t="s">
        <v>581</v>
      </c>
      <c r="C2194">
        <v>28</v>
      </c>
      <c r="D2194" t="s">
        <v>56</v>
      </c>
      <c r="E2194">
        <v>71</v>
      </c>
      <c r="F2194">
        <v>190</v>
      </c>
      <c r="G2194" t="s">
        <v>228</v>
      </c>
      <c r="H2194">
        <v>2020</v>
      </c>
      <c r="I2194" t="s">
        <v>33</v>
      </c>
      <c r="J2194">
        <v>15</v>
      </c>
      <c r="K2194">
        <v>3</v>
      </c>
      <c r="L2194">
        <v>1</v>
      </c>
      <c r="M2194">
        <v>1</v>
      </c>
      <c r="N2194">
        <v>2</v>
      </c>
      <c r="O2194">
        <v>0</v>
      </c>
      <c r="P2194">
        <v>0</v>
      </c>
      <c r="Q2194">
        <v>0</v>
      </c>
      <c r="R2194">
        <v>0</v>
      </c>
      <c r="S2194">
        <v>72</v>
      </c>
      <c r="T2194">
        <v>67</v>
      </c>
      <c r="U2194" s="5">
        <f>IF(Merge1[[#This Row],[team_defense_snaps]]=0, "", Merge1[[#This Row],[defense_snaps]] / Merge1[[#This Row],[team_defense_snaps]])</f>
        <v>0.98529411764705888</v>
      </c>
      <c r="V2194">
        <v>68</v>
      </c>
      <c r="W2194">
        <v>5</v>
      </c>
      <c r="X2194" s="5" t="s">
        <v>124</v>
      </c>
      <c r="Y2194">
        <v>6</v>
      </c>
      <c r="Z2194">
        <v>0</v>
      </c>
      <c r="AA2194" t="s">
        <v>25</v>
      </c>
      <c r="AB2194" t="s">
        <v>26</v>
      </c>
      <c r="AC2194" t="s">
        <v>27</v>
      </c>
      <c r="AD2194" t="s">
        <v>42</v>
      </c>
      <c r="AE2194" t="s">
        <v>25</v>
      </c>
      <c r="AF21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2194" t="s">
        <v>941</v>
      </c>
      <c r="AH2194">
        <v>50.5</v>
      </c>
      <c r="AI2194" t="s">
        <v>939</v>
      </c>
      <c r="AJ2194">
        <v>1</v>
      </c>
      <c r="AK21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MIN(AJ2194/8, 1) +
  Merge1[[#This Row],[index_defensive_effort]],
  2
)</f>
        <v>0.68</v>
      </c>
    </row>
    <row r="2195" spans="1:37" x14ac:dyDescent="0.25">
      <c r="A2195" t="s">
        <v>580</v>
      </c>
      <c r="B2195" t="s">
        <v>581</v>
      </c>
      <c r="C2195">
        <v>28</v>
      </c>
      <c r="D2195" t="s">
        <v>56</v>
      </c>
      <c r="E2195">
        <v>71</v>
      </c>
      <c r="F2195">
        <v>190</v>
      </c>
      <c r="G2195" t="s">
        <v>228</v>
      </c>
      <c r="H2195">
        <v>2020</v>
      </c>
      <c r="I2195" t="s">
        <v>33</v>
      </c>
      <c r="J2195">
        <v>15</v>
      </c>
      <c r="K2195">
        <v>3</v>
      </c>
      <c r="L2195">
        <v>1</v>
      </c>
      <c r="M2195">
        <v>1</v>
      </c>
      <c r="N2195">
        <v>2</v>
      </c>
      <c r="O2195">
        <v>0</v>
      </c>
      <c r="P2195">
        <v>0</v>
      </c>
      <c r="Q2195">
        <v>0</v>
      </c>
      <c r="R2195">
        <v>0</v>
      </c>
      <c r="S2195">
        <v>69</v>
      </c>
      <c r="T2195">
        <v>67</v>
      </c>
      <c r="U2195" s="5">
        <f>IF(Merge1[[#This Row],[team_defense_snaps]]=0, "", Merge1[[#This Row],[defense_snaps]] / Merge1[[#This Row],[team_defense_snaps]])</f>
        <v>0.98529411764705888</v>
      </c>
      <c r="V2195">
        <v>68</v>
      </c>
      <c r="W2195">
        <v>2</v>
      </c>
      <c r="X2195" s="5" t="s">
        <v>250</v>
      </c>
      <c r="Y2195">
        <v>6</v>
      </c>
      <c r="Z2195">
        <v>0</v>
      </c>
      <c r="AA2195" t="s">
        <v>25</v>
      </c>
      <c r="AB2195" t="s">
        <v>26</v>
      </c>
      <c r="AC2195" t="s">
        <v>27</v>
      </c>
      <c r="AD2195" t="s">
        <v>28</v>
      </c>
      <c r="AE2195" t="s">
        <v>25</v>
      </c>
      <c r="AF21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5.7971014492753624E-2</v>
      </c>
      <c r="AG2195" t="s">
        <v>941</v>
      </c>
      <c r="AH2195">
        <v>58</v>
      </c>
      <c r="AI2195" t="s">
        <v>939</v>
      </c>
      <c r="AJ2195">
        <v>2</v>
      </c>
      <c r="AK21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MIN(AJ2195/8, 1) +
  Merge1[[#This Row],[index_defensive_effort]],
  2
)</f>
        <v>0.81</v>
      </c>
    </row>
    <row r="2196" spans="1:37" x14ac:dyDescent="0.25">
      <c r="A2196" t="s">
        <v>580</v>
      </c>
      <c r="B2196" t="s">
        <v>581</v>
      </c>
      <c r="C2196">
        <v>28</v>
      </c>
      <c r="D2196" t="s">
        <v>56</v>
      </c>
      <c r="E2196">
        <v>71</v>
      </c>
      <c r="F2196">
        <v>190</v>
      </c>
      <c r="G2196" t="s">
        <v>228</v>
      </c>
      <c r="H2196">
        <v>2020</v>
      </c>
      <c r="I2196" t="s">
        <v>33</v>
      </c>
      <c r="J2196">
        <v>16</v>
      </c>
      <c r="K2196">
        <v>2</v>
      </c>
      <c r="L2196">
        <v>2</v>
      </c>
      <c r="M2196">
        <v>0</v>
      </c>
      <c r="N2196">
        <v>2</v>
      </c>
      <c r="O2196">
        <v>0</v>
      </c>
      <c r="P2196">
        <v>0</v>
      </c>
      <c r="Q2196">
        <v>0</v>
      </c>
      <c r="R2196">
        <v>0</v>
      </c>
      <c r="S2196">
        <v>53</v>
      </c>
      <c r="T2196">
        <v>50</v>
      </c>
      <c r="U2196" s="5">
        <f>IF(Merge1[[#This Row],[team_defense_snaps]]=0, "", Merge1[[#This Row],[defense_snaps]] / Merge1[[#This Row],[team_defense_snaps]])</f>
        <v>0.8928571428571429</v>
      </c>
      <c r="V2196">
        <v>56</v>
      </c>
      <c r="W2196">
        <v>3</v>
      </c>
      <c r="X2196" s="5" t="s">
        <v>38</v>
      </c>
      <c r="Y2196">
        <v>6</v>
      </c>
      <c r="Z2196">
        <v>0</v>
      </c>
      <c r="AA2196" t="s">
        <v>25</v>
      </c>
      <c r="AB2196" t="s">
        <v>26</v>
      </c>
      <c r="AC2196" t="s">
        <v>27</v>
      </c>
      <c r="AD2196" t="s">
        <v>42</v>
      </c>
      <c r="AE2196" t="s">
        <v>25</v>
      </c>
      <c r="AF21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5.6603773584905662E-2</v>
      </c>
      <c r="AG2196" t="s">
        <v>941</v>
      </c>
      <c r="AH2196">
        <v>61</v>
      </c>
      <c r="AI2196" t="s">
        <v>939</v>
      </c>
      <c r="AJ2196">
        <v>1</v>
      </c>
      <c r="AK21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MIN(AJ2196/8, 1) +
  Merge1[[#This Row],[index_defensive_effort]],
  2
)</f>
        <v>0.68</v>
      </c>
    </row>
    <row r="2197" spans="1:37" x14ac:dyDescent="0.25">
      <c r="A2197" t="s">
        <v>580</v>
      </c>
      <c r="B2197" t="s">
        <v>581</v>
      </c>
      <c r="C2197">
        <v>28</v>
      </c>
      <c r="D2197" t="s">
        <v>56</v>
      </c>
      <c r="E2197">
        <v>71</v>
      </c>
      <c r="F2197">
        <v>190</v>
      </c>
      <c r="G2197" t="s">
        <v>228</v>
      </c>
      <c r="H2197">
        <v>2020</v>
      </c>
      <c r="I2197" t="s">
        <v>33</v>
      </c>
      <c r="J2197">
        <v>16</v>
      </c>
      <c r="K2197">
        <v>2</v>
      </c>
      <c r="L2197">
        <v>2</v>
      </c>
      <c r="M2197">
        <v>0</v>
      </c>
      <c r="N2197">
        <v>2</v>
      </c>
      <c r="O2197">
        <v>0</v>
      </c>
      <c r="P2197">
        <v>0</v>
      </c>
      <c r="Q2197">
        <v>0</v>
      </c>
      <c r="R2197">
        <v>0</v>
      </c>
      <c r="S2197">
        <v>54</v>
      </c>
      <c r="T2197">
        <v>50</v>
      </c>
      <c r="U2197" s="5">
        <f>IF(Merge1[[#This Row],[team_defense_snaps]]=0, "", Merge1[[#This Row],[defense_snaps]] / Merge1[[#This Row],[team_defense_snaps]])</f>
        <v>0.8928571428571429</v>
      </c>
      <c r="V2197">
        <v>56</v>
      </c>
      <c r="W2197">
        <v>4</v>
      </c>
      <c r="X2197" s="5" t="s">
        <v>168</v>
      </c>
      <c r="Y2197">
        <v>6</v>
      </c>
      <c r="Z2197">
        <v>0</v>
      </c>
      <c r="AA2197" t="s">
        <v>25</v>
      </c>
      <c r="AB2197" t="s">
        <v>26</v>
      </c>
      <c r="AC2197" t="s">
        <v>27</v>
      </c>
      <c r="AD2197" t="s">
        <v>28</v>
      </c>
      <c r="AE2197" t="s">
        <v>25</v>
      </c>
      <c r="AF21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2197" t="s">
        <v>941</v>
      </c>
      <c r="AH2197">
        <v>47.5</v>
      </c>
      <c r="AI2197" t="s">
        <v>939</v>
      </c>
      <c r="AJ2197">
        <v>2</v>
      </c>
      <c r="AK21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MIN(AJ2197/8, 1) +
  Merge1[[#This Row],[index_defensive_effort]],
  2
)</f>
        <v>0.81</v>
      </c>
    </row>
    <row r="2198" spans="1:37" x14ac:dyDescent="0.25">
      <c r="A2198" t="s">
        <v>580</v>
      </c>
      <c r="B2198" t="s">
        <v>581</v>
      </c>
      <c r="C2198">
        <v>28</v>
      </c>
      <c r="D2198" t="s">
        <v>56</v>
      </c>
      <c r="E2198">
        <v>71</v>
      </c>
      <c r="F2198">
        <v>190</v>
      </c>
      <c r="G2198" t="s">
        <v>228</v>
      </c>
      <c r="H2198">
        <v>2020</v>
      </c>
      <c r="I2198" t="s">
        <v>33</v>
      </c>
      <c r="J2198">
        <v>17</v>
      </c>
      <c r="K2198">
        <v>3</v>
      </c>
      <c r="L2198">
        <v>1</v>
      </c>
      <c r="M2198">
        <v>0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52</v>
      </c>
      <c r="T2198">
        <v>46</v>
      </c>
      <c r="U2198" s="5">
        <f>IF(Merge1[[#This Row],[team_defense_snaps]]=0, "", Merge1[[#This Row],[defense_snaps]] / Merge1[[#This Row],[team_defense_snaps]])</f>
        <v>1</v>
      </c>
      <c r="V2198">
        <v>46</v>
      </c>
      <c r="W2198">
        <v>6</v>
      </c>
      <c r="X2198" s="5" t="s">
        <v>137</v>
      </c>
      <c r="Y2198">
        <v>6</v>
      </c>
      <c r="Z2198">
        <v>0</v>
      </c>
      <c r="AA2198" t="s">
        <v>25</v>
      </c>
      <c r="AB2198" t="s">
        <v>26</v>
      </c>
      <c r="AC2198" t="s">
        <v>27</v>
      </c>
      <c r="AD2198" t="s">
        <v>42</v>
      </c>
      <c r="AE2198" t="s">
        <v>25</v>
      </c>
      <c r="AF21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6.7307692307692304E-2</v>
      </c>
      <c r="AG2198" t="s">
        <v>941</v>
      </c>
      <c r="AH2198">
        <v>49</v>
      </c>
      <c r="AI2198" t="s">
        <v>939</v>
      </c>
      <c r="AJ2198">
        <v>1</v>
      </c>
      <c r="AK21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MIN(AJ2198/8, 1) +
  Merge1[[#This Row],[index_defensive_effort]],
  2
)</f>
        <v>0.69</v>
      </c>
    </row>
    <row r="2199" spans="1:37" x14ac:dyDescent="0.25">
      <c r="A2199" t="s">
        <v>580</v>
      </c>
      <c r="B2199" t="s">
        <v>581</v>
      </c>
      <c r="C2199">
        <v>28</v>
      </c>
      <c r="D2199" t="s">
        <v>56</v>
      </c>
      <c r="E2199">
        <v>71</v>
      </c>
      <c r="F2199">
        <v>190</v>
      </c>
      <c r="G2199" t="s">
        <v>228</v>
      </c>
      <c r="H2199">
        <v>2020</v>
      </c>
      <c r="I2199" t="s">
        <v>33</v>
      </c>
      <c r="J2199">
        <v>17</v>
      </c>
      <c r="K2199">
        <v>3</v>
      </c>
      <c r="L2199">
        <v>1</v>
      </c>
      <c r="M2199">
        <v>0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46</v>
      </c>
      <c r="T2199">
        <v>46</v>
      </c>
      <c r="U2199" s="5">
        <f>IF(Merge1[[#This Row],[team_defense_snaps]]=0, "", Merge1[[#This Row],[defense_snaps]] / Merge1[[#This Row],[team_defense_snaps]])</f>
        <v>1</v>
      </c>
      <c r="V2199">
        <v>46</v>
      </c>
      <c r="W2199">
        <v>0</v>
      </c>
      <c r="X2199" s="5" t="s">
        <v>29</v>
      </c>
      <c r="Y2199">
        <v>6</v>
      </c>
      <c r="Z2199">
        <v>0</v>
      </c>
      <c r="AA2199" t="s">
        <v>25</v>
      </c>
      <c r="AB2199" t="s">
        <v>26</v>
      </c>
      <c r="AC2199" t="s">
        <v>27</v>
      </c>
      <c r="AD2199" t="s">
        <v>28</v>
      </c>
      <c r="AE2199" t="s">
        <v>25</v>
      </c>
      <c r="AF21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7.6086956521739135E-2</v>
      </c>
      <c r="AG2199" t="s">
        <v>941</v>
      </c>
      <c r="AH2199">
        <v>56.5</v>
      </c>
      <c r="AI2199" t="s">
        <v>939</v>
      </c>
      <c r="AJ2199">
        <v>2</v>
      </c>
      <c r="AK21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MIN(AJ2199/8, 1) +
  Merge1[[#This Row],[index_defensive_effort]],
  2
)</f>
        <v>0.83</v>
      </c>
    </row>
    <row r="2200" spans="1:37" x14ac:dyDescent="0.25">
      <c r="A2200" t="s">
        <v>580</v>
      </c>
      <c r="B2200" t="s">
        <v>581</v>
      </c>
      <c r="C2200">
        <v>28</v>
      </c>
      <c r="D2200" t="s">
        <v>56</v>
      </c>
      <c r="E2200">
        <v>71</v>
      </c>
      <c r="F2200">
        <v>190</v>
      </c>
      <c r="G2200" t="s">
        <v>228</v>
      </c>
      <c r="H2200">
        <v>2020</v>
      </c>
      <c r="I2200" t="s">
        <v>24</v>
      </c>
      <c r="J2200">
        <v>18</v>
      </c>
      <c r="K2200">
        <v>3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80</v>
      </c>
      <c r="T2200">
        <v>73</v>
      </c>
      <c r="U2200" s="5">
        <f>IF(Merge1[[#This Row],[team_defense_snaps]]=0, "", Merge1[[#This Row],[defense_snaps]] / Merge1[[#This Row],[team_defense_snaps]])</f>
        <v>0.94805194805194803</v>
      </c>
      <c r="V2200">
        <v>77</v>
      </c>
      <c r="W2200">
        <v>7</v>
      </c>
      <c r="X2200" s="5" t="s">
        <v>113</v>
      </c>
      <c r="Y2200">
        <v>6</v>
      </c>
      <c r="Z2200">
        <v>0</v>
      </c>
      <c r="AA2200" t="s">
        <v>25</v>
      </c>
      <c r="AB2200" t="s">
        <v>26</v>
      </c>
      <c r="AC2200" t="s">
        <v>27</v>
      </c>
      <c r="AD2200" t="s">
        <v>42</v>
      </c>
      <c r="AE2200" t="s">
        <v>25</v>
      </c>
      <c r="AF22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3.7499999999999999E-2</v>
      </c>
      <c r="AG2200" t="s">
        <v>941</v>
      </c>
      <c r="AH2200">
        <v>64</v>
      </c>
      <c r="AI2200" t="s">
        <v>939</v>
      </c>
      <c r="AJ2200">
        <v>1</v>
      </c>
      <c r="AK22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MIN(AJ2200/8, 1) +
  Merge1[[#This Row],[index_defensive_effort]],
  2
)</f>
        <v>0.86</v>
      </c>
    </row>
    <row r="2201" spans="1:37" x14ac:dyDescent="0.25">
      <c r="A2201" t="s">
        <v>580</v>
      </c>
      <c r="B2201" t="s">
        <v>581</v>
      </c>
      <c r="C2201">
        <v>28</v>
      </c>
      <c r="D2201" t="s">
        <v>56</v>
      </c>
      <c r="E2201">
        <v>71</v>
      </c>
      <c r="F2201">
        <v>190</v>
      </c>
      <c r="G2201" t="s">
        <v>228</v>
      </c>
      <c r="H2201">
        <v>2020</v>
      </c>
      <c r="I2201" t="s">
        <v>24</v>
      </c>
      <c r="J2201">
        <v>18</v>
      </c>
      <c r="K2201">
        <v>3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77</v>
      </c>
      <c r="T2201">
        <v>73</v>
      </c>
      <c r="U2201" s="5">
        <f>IF(Merge1[[#This Row],[team_defense_snaps]]=0, "", Merge1[[#This Row],[defense_snaps]] / Merge1[[#This Row],[team_defense_snaps]])</f>
        <v>0.94805194805194803</v>
      </c>
      <c r="V2201">
        <v>77</v>
      </c>
      <c r="W2201">
        <v>4</v>
      </c>
      <c r="X2201" s="5" t="s">
        <v>35</v>
      </c>
      <c r="Y2201">
        <v>6</v>
      </c>
      <c r="Z2201">
        <v>0</v>
      </c>
      <c r="AA2201" t="s">
        <v>25</v>
      </c>
      <c r="AB2201" t="s">
        <v>26</v>
      </c>
      <c r="AC2201" t="s">
        <v>27</v>
      </c>
      <c r="AD2201" t="s">
        <v>28</v>
      </c>
      <c r="AE2201" t="s">
        <v>25</v>
      </c>
      <c r="AF22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3.896103896103896E-2</v>
      </c>
      <c r="AG2201" t="s">
        <v>941</v>
      </c>
      <c r="AH2201">
        <v>52</v>
      </c>
      <c r="AI2201" t="s">
        <v>939</v>
      </c>
      <c r="AJ2201">
        <v>1</v>
      </c>
      <c r="AK22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MIN(AJ2201/8, 1) +
  Merge1[[#This Row],[index_defensive_effort]],
  2
)</f>
        <v>0.86</v>
      </c>
    </row>
    <row r="2202" spans="1:37" x14ac:dyDescent="0.25">
      <c r="A2202" t="s">
        <v>625</v>
      </c>
      <c r="B2202" t="s">
        <v>626</v>
      </c>
      <c r="C2202">
        <v>22</v>
      </c>
      <c r="D2202" t="s">
        <v>56</v>
      </c>
      <c r="E2202">
        <v>74</v>
      </c>
      <c r="F2202">
        <v>208</v>
      </c>
      <c r="G2202" t="s">
        <v>107</v>
      </c>
      <c r="H2202">
        <v>2020</v>
      </c>
      <c r="I2202" t="s">
        <v>33</v>
      </c>
      <c r="J2202">
        <v>4</v>
      </c>
      <c r="K2202">
        <v>3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59</v>
      </c>
      <c r="T2202">
        <v>59</v>
      </c>
      <c r="U2202" s="5">
        <f>IF(Merge1[[#This Row],[team_defense_snaps]]=0, "", Merge1[[#This Row],[defense_snaps]] / Merge1[[#This Row],[team_defense_snaps]])</f>
        <v>0.84285714285714286</v>
      </c>
      <c r="V2202">
        <v>70</v>
      </c>
      <c r="W2202">
        <v>0</v>
      </c>
      <c r="X2202" s="5" t="s">
        <v>29</v>
      </c>
      <c r="Y2202">
        <v>0</v>
      </c>
      <c r="Z2202">
        <v>0</v>
      </c>
      <c r="AA2202" t="s">
        <v>25</v>
      </c>
      <c r="AB2202" t="s">
        <v>26</v>
      </c>
      <c r="AC2202" t="s">
        <v>27</v>
      </c>
      <c r="AD2202" t="s">
        <v>42</v>
      </c>
      <c r="AE2202" t="s">
        <v>25</v>
      </c>
      <c r="AF22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5.0847457627118647E-2</v>
      </c>
      <c r="AG2202" t="s">
        <v>942</v>
      </c>
      <c r="AH2202">
        <v>54</v>
      </c>
      <c r="AI2202" t="s">
        <v>939</v>
      </c>
      <c r="AJ2202">
        <v>1</v>
      </c>
      <c r="AK22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MIN(AJ2202/8, 1) +
  Merge1[[#This Row],[index_defensive_effort]],
  2
)</f>
        <v>0.57999999999999996</v>
      </c>
    </row>
    <row r="2203" spans="1:37" x14ac:dyDescent="0.25">
      <c r="A2203" t="s">
        <v>625</v>
      </c>
      <c r="B2203" t="s">
        <v>626</v>
      </c>
      <c r="C2203">
        <v>22</v>
      </c>
      <c r="D2203" t="s">
        <v>56</v>
      </c>
      <c r="E2203">
        <v>74</v>
      </c>
      <c r="F2203">
        <v>208</v>
      </c>
      <c r="G2203" t="s">
        <v>107</v>
      </c>
      <c r="H2203">
        <v>2020</v>
      </c>
      <c r="I2203" t="s">
        <v>33</v>
      </c>
      <c r="J2203">
        <v>4</v>
      </c>
      <c r="K2203">
        <v>3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72</v>
      </c>
      <c r="T2203">
        <v>59</v>
      </c>
      <c r="U2203" s="5">
        <f>IF(Merge1[[#This Row],[team_defense_snaps]]=0, "", Merge1[[#This Row],[defense_snaps]] / Merge1[[#This Row],[team_defense_snaps]])</f>
        <v>0.84285714285714286</v>
      </c>
      <c r="V2203">
        <v>70</v>
      </c>
      <c r="W2203">
        <v>13</v>
      </c>
      <c r="X2203" s="5" t="s">
        <v>158</v>
      </c>
      <c r="Y2203">
        <v>0</v>
      </c>
      <c r="Z2203">
        <v>0</v>
      </c>
      <c r="AA2203" t="s">
        <v>25</v>
      </c>
      <c r="AB2203" t="s">
        <v>26</v>
      </c>
      <c r="AC2203" t="s">
        <v>27</v>
      </c>
      <c r="AD2203" t="s">
        <v>28</v>
      </c>
      <c r="AE2203" t="s">
        <v>25</v>
      </c>
      <c r="AF22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2203" t="s">
        <v>942</v>
      </c>
      <c r="AH2203">
        <v>64.5</v>
      </c>
      <c r="AI2203" t="s">
        <v>939</v>
      </c>
      <c r="AJ2203">
        <v>2</v>
      </c>
      <c r="AK22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MIN(AJ2203/8, 1) +
  Merge1[[#This Row],[index_defensive_effort]],
  2
)</f>
        <v>0.69</v>
      </c>
    </row>
    <row r="2204" spans="1:37" x14ac:dyDescent="0.25">
      <c r="A2204" t="s">
        <v>625</v>
      </c>
      <c r="B2204" t="s">
        <v>626</v>
      </c>
      <c r="C2204">
        <v>22</v>
      </c>
      <c r="D2204" t="s">
        <v>56</v>
      </c>
      <c r="E2204">
        <v>74</v>
      </c>
      <c r="F2204">
        <v>208</v>
      </c>
      <c r="G2204" t="s">
        <v>107</v>
      </c>
      <c r="H2204">
        <v>2020</v>
      </c>
      <c r="I2204" t="s">
        <v>33</v>
      </c>
      <c r="J2204">
        <v>5</v>
      </c>
      <c r="K2204">
        <v>6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76</v>
      </c>
      <c r="T2204">
        <v>76</v>
      </c>
      <c r="U2204" s="5">
        <f>IF(Merge1[[#This Row],[team_defense_snaps]]=0, "", Merge1[[#This Row],[defense_snaps]] / Merge1[[#This Row],[team_defense_snaps]])</f>
        <v>1</v>
      </c>
      <c r="V2204">
        <v>76</v>
      </c>
      <c r="W2204">
        <v>0</v>
      </c>
      <c r="X2204" s="5" t="s">
        <v>29</v>
      </c>
      <c r="Y2204">
        <v>0</v>
      </c>
      <c r="Z2204">
        <v>0</v>
      </c>
      <c r="AA2204" t="s">
        <v>25</v>
      </c>
      <c r="AB2204" t="s">
        <v>36</v>
      </c>
      <c r="AC2204" t="s">
        <v>247</v>
      </c>
      <c r="AD2204" t="s">
        <v>42</v>
      </c>
      <c r="AE2204" t="s">
        <v>25</v>
      </c>
      <c r="AF22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7.8947368421052627E-2</v>
      </c>
      <c r="AG2204" t="s">
        <v>942</v>
      </c>
      <c r="AH2204">
        <v>67.5</v>
      </c>
      <c r="AI2204" t="s">
        <v>939</v>
      </c>
      <c r="AJ2204">
        <v>1</v>
      </c>
      <c r="AK22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MIN(AJ2204/8, 1) +
  Merge1[[#This Row],[index_defensive_effort]],
  2
)</f>
        <v>0.6</v>
      </c>
    </row>
    <row r="2205" spans="1:37" x14ac:dyDescent="0.25">
      <c r="A2205" t="s">
        <v>625</v>
      </c>
      <c r="B2205" t="s">
        <v>626</v>
      </c>
      <c r="C2205">
        <v>22</v>
      </c>
      <c r="D2205" t="s">
        <v>56</v>
      </c>
      <c r="E2205">
        <v>74</v>
      </c>
      <c r="F2205">
        <v>208</v>
      </c>
      <c r="G2205" t="s">
        <v>107</v>
      </c>
      <c r="H2205">
        <v>2020</v>
      </c>
      <c r="I2205" t="s">
        <v>33</v>
      </c>
      <c r="J2205">
        <v>5</v>
      </c>
      <c r="K2205">
        <v>6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84</v>
      </c>
      <c r="T2205">
        <v>76</v>
      </c>
      <c r="U2205" s="5">
        <f>IF(Merge1[[#This Row],[team_defense_snaps]]=0, "", Merge1[[#This Row],[defense_snaps]] / Merge1[[#This Row],[team_defense_snaps]])</f>
        <v>1</v>
      </c>
      <c r="V2205">
        <v>76</v>
      </c>
      <c r="W2205">
        <v>8</v>
      </c>
      <c r="X2205" s="5" t="s">
        <v>108</v>
      </c>
      <c r="Y2205">
        <v>0</v>
      </c>
      <c r="Z2205">
        <v>0</v>
      </c>
      <c r="AA2205" t="s">
        <v>25</v>
      </c>
      <c r="AB2205" t="s">
        <v>26</v>
      </c>
      <c r="AC2205" t="s">
        <v>27</v>
      </c>
      <c r="AD2205" t="s">
        <v>42</v>
      </c>
      <c r="AE2205" t="s">
        <v>25</v>
      </c>
      <c r="AF22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2205" t="s">
        <v>942</v>
      </c>
      <c r="AH2205">
        <v>55.5</v>
      </c>
      <c r="AI2205" t="s">
        <v>939</v>
      </c>
      <c r="AJ2205">
        <v>2</v>
      </c>
      <c r="AK22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MIN(AJ2205/8, 1) +
  Merge1[[#This Row],[index_defensive_effort]],
  2
)</f>
        <v>0.72</v>
      </c>
    </row>
    <row r="2206" spans="1:37" x14ac:dyDescent="0.25">
      <c r="A2206" t="s">
        <v>625</v>
      </c>
      <c r="B2206" t="s">
        <v>626</v>
      </c>
      <c r="C2206">
        <v>22</v>
      </c>
      <c r="D2206" t="s">
        <v>56</v>
      </c>
      <c r="E2206">
        <v>74</v>
      </c>
      <c r="F2206">
        <v>208</v>
      </c>
      <c r="G2206" t="s">
        <v>107</v>
      </c>
      <c r="H2206">
        <v>2020</v>
      </c>
      <c r="I2206" t="s">
        <v>33</v>
      </c>
      <c r="J2206">
        <v>6</v>
      </c>
      <c r="K2206">
        <v>1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18</v>
      </c>
      <c r="T2206">
        <v>18</v>
      </c>
      <c r="U2206" s="5">
        <f>IF(Merge1[[#This Row],[team_defense_snaps]]=0, "", Merge1[[#This Row],[defense_snaps]] / Merge1[[#This Row],[team_defense_snaps]])</f>
        <v>0.32142857142857145</v>
      </c>
      <c r="V2206">
        <v>56</v>
      </c>
      <c r="W2206">
        <v>0</v>
      </c>
      <c r="X2206" s="5" t="s">
        <v>29</v>
      </c>
      <c r="Y2206">
        <v>0</v>
      </c>
      <c r="Z2206">
        <v>0</v>
      </c>
      <c r="AA2206" t="s">
        <v>25</v>
      </c>
      <c r="AB2206" t="s">
        <v>26</v>
      </c>
      <c r="AC2206" t="s">
        <v>27</v>
      </c>
      <c r="AD2206" t="s">
        <v>42</v>
      </c>
      <c r="AE2206" t="s">
        <v>25</v>
      </c>
      <c r="AF22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2206" t="s">
        <v>942</v>
      </c>
      <c r="AH2206">
        <v>48</v>
      </c>
      <c r="AI2206" t="s">
        <v>939</v>
      </c>
      <c r="AJ2206">
        <v>1</v>
      </c>
      <c r="AK22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MIN(AJ2206/8, 1) +
  Merge1[[#This Row],[index_defensive_effort]],
  2
)</f>
        <v>0.57999999999999996</v>
      </c>
    </row>
    <row r="2207" spans="1:37" x14ac:dyDescent="0.25">
      <c r="A2207" t="s">
        <v>625</v>
      </c>
      <c r="B2207" t="s">
        <v>626</v>
      </c>
      <c r="C2207">
        <v>22</v>
      </c>
      <c r="D2207" t="s">
        <v>56</v>
      </c>
      <c r="E2207">
        <v>74</v>
      </c>
      <c r="F2207">
        <v>208</v>
      </c>
      <c r="G2207" t="s">
        <v>107</v>
      </c>
      <c r="H2207">
        <v>2020</v>
      </c>
      <c r="I2207" t="s">
        <v>33</v>
      </c>
      <c r="J2207">
        <v>6</v>
      </c>
      <c r="K2207">
        <v>1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25</v>
      </c>
      <c r="T2207">
        <v>18</v>
      </c>
      <c r="U2207" s="5">
        <f>IF(Merge1[[#This Row],[team_defense_snaps]]=0, "", Merge1[[#This Row],[defense_snaps]] / Merge1[[#This Row],[team_defense_snaps]])</f>
        <v>0.32142857142857145</v>
      </c>
      <c r="V2207">
        <v>56</v>
      </c>
      <c r="W2207">
        <v>7</v>
      </c>
      <c r="X2207" s="5" t="s">
        <v>135</v>
      </c>
      <c r="Y2207">
        <v>0</v>
      </c>
      <c r="Z2207">
        <v>0</v>
      </c>
      <c r="AA2207" t="s">
        <v>25</v>
      </c>
      <c r="AB2207" t="s">
        <v>26</v>
      </c>
      <c r="AC2207" t="s">
        <v>27</v>
      </c>
      <c r="AD2207" t="s">
        <v>42</v>
      </c>
      <c r="AE2207" t="s">
        <v>25</v>
      </c>
      <c r="AF22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0.04</v>
      </c>
      <c r="AG2207" t="s">
        <v>942</v>
      </c>
      <c r="AH2207">
        <v>57</v>
      </c>
      <c r="AI2207" t="s">
        <v>939</v>
      </c>
      <c r="AJ2207">
        <v>1</v>
      </c>
      <c r="AK22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MIN(AJ2207/8, 1) +
  Merge1[[#This Row],[index_defensive_effort]],
  2
)</f>
        <v>0.56999999999999995</v>
      </c>
    </row>
    <row r="2208" spans="1:37" x14ac:dyDescent="0.25">
      <c r="A2208" t="s">
        <v>625</v>
      </c>
      <c r="B2208" t="s">
        <v>626</v>
      </c>
      <c r="C2208">
        <v>22</v>
      </c>
      <c r="D2208" t="s">
        <v>56</v>
      </c>
      <c r="E2208">
        <v>74</v>
      </c>
      <c r="F2208">
        <v>208</v>
      </c>
      <c r="G2208" t="s">
        <v>107</v>
      </c>
      <c r="H2208">
        <v>2020</v>
      </c>
      <c r="I2208" t="s">
        <v>33</v>
      </c>
      <c r="J2208">
        <v>11</v>
      </c>
      <c r="K2208">
        <v>3</v>
      </c>
      <c r="L2208">
        <v>1</v>
      </c>
      <c r="M2208">
        <v>0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81</v>
      </c>
      <c r="T2208">
        <v>81</v>
      </c>
      <c r="U2208" s="5">
        <f>IF(Merge1[[#This Row],[team_defense_snaps]]=0, "", Merge1[[#This Row],[defense_snaps]] / Merge1[[#This Row],[team_defense_snaps]])</f>
        <v>0.98780487804878048</v>
      </c>
      <c r="V2208">
        <v>82</v>
      </c>
      <c r="W2208">
        <v>0</v>
      </c>
      <c r="X2208" s="5" t="s">
        <v>29</v>
      </c>
      <c r="Y2208">
        <v>0</v>
      </c>
      <c r="Z2208">
        <v>0</v>
      </c>
      <c r="AA2208" t="s">
        <v>25</v>
      </c>
      <c r="AB2208" t="s">
        <v>26</v>
      </c>
      <c r="AC2208" t="s">
        <v>27</v>
      </c>
      <c r="AD2208" t="s">
        <v>42</v>
      </c>
      <c r="AE2208" t="s">
        <v>25</v>
      </c>
      <c r="AF22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4.3209876543209874E-2</v>
      </c>
      <c r="AG2208" t="s">
        <v>942</v>
      </c>
      <c r="AH2208">
        <v>66</v>
      </c>
      <c r="AI2208" t="s">
        <v>939</v>
      </c>
      <c r="AJ2208">
        <v>1</v>
      </c>
      <c r="AK22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MIN(AJ2208/8, 1) +
  Merge1[[#This Row],[index_defensive_effort]],
  2
)</f>
        <v>0.56999999999999995</v>
      </c>
    </row>
    <row r="2209" spans="1:37" x14ac:dyDescent="0.25">
      <c r="A2209" t="s">
        <v>625</v>
      </c>
      <c r="B2209" t="s">
        <v>626</v>
      </c>
      <c r="C2209">
        <v>22</v>
      </c>
      <c r="D2209" t="s">
        <v>56</v>
      </c>
      <c r="E2209">
        <v>74</v>
      </c>
      <c r="F2209">
        <v>208</v>
      </c>
      <c r="G2209" t="s">
        <v>107</v>
      </c>
      <c r="H2209">
        <v>2020</v>
      </c>
      <c r="I2209" t="s">
        <v>33</v>
      </c>
      <c r="J2209">
        <v>11</v>
      </c>
      <c r="K2209">
        <v>3</v>
      </c>
      <c r="L2209">
        <v>1</v>
      </c>
      <c r="M2209">
        <v>0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93</v>
      </c>
      <c r="T2209">
        <v>81</v>
      </c>
      <c r="U2209" s="5">
        <f>IF(Merge1[[#This Row],[team_defense_snaps]]=0, "", Merge1[[#This Row],[defense_snaps]] / Merge1[[#This Row],[team_defense_snaps]])</f>
        <v>0.98780487804878048</v>
      </c>
      <c r="V2209">
        <v>82</v>
      </c>
      <c r="W2209">
        <v>12</v>
      </c>
      <c r="X2209" s="5" t="s">
        <v>221</v>
      </c>
      <c r="Y2209">
        <v>0</v>
      </c>
      <c r="Z2209">
        <v>0</v>
      </c>
      <c r="AA2209" t="s">
        <v>25</v>
      </c>
      <c r="AB2209" t="s">
        <v>26</v>
      </c>
      <c r="AC2209" t="s">
        <v>27</v>
      </c>
      <c r="AD2209" t="s">
        <v>42</v>
      </c>
      <c r="AE2209" t="s">
        <v>25</v>
      </c>
      <c r="AF22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3.7634408602150539E-2</v>
      </c>
      <c r="AG2209" t="s">
        <v>942</v>
      </c>
      <c r="AH2209">
        <v>66</v>
      </c>
      <c r="AI2209" t="s">
        <v>939</v>
      </c>
      <c r="AJ2209">
        <v>1</v>
      </c>
      <c r="AK22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MIN(AJ2209/8, 1) +
  Merge1[[#This Row],[index_defensive_effort]],
  2
)</f>
        <v>0.56000000000000005</v>
      </c>
    </row>
    <row r="2210" spans="1:37" x14ac:dyDescent="0.25">
      <c r="A2210" t="s">
        <v>625</v>
      </c>
      <c r="B2210" t="s">
        <v>626</v>
      </c>
      <c r="C2210">
        <v>22</v>
      </c>
      <c r="D2210" t="s">
        <v>56</v>
      </c>
      <c r="E2210">
        <v>74</v>
      </c>
      <c r="F2210">
        <v>208</v>
      </c>
      <c r="G2210" t="s">
        <v>107</v>
      </c>
      <c r="H2210">
        <v>2020</v>
      </c>
      <c r="I2210" t="s">
        <v>33</v>
      </c>
      <c r="J2210">
        <v>12</v>
      </c>
      <c r="K2210">
        <v>5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71</v>
      </c>
      <c r="T2210">
        <v>71</v>
      </c>
      <c r="U2210" s="5">
        <f>IF(Merge1[[#This Row],[team_defense_snaps]]=0, "", Merge1[[#This Row],[defense_snaps]] / Merge1[[#This Row],[team_defense_snaps]])</f>
        <v>1</v>
      </c>
      <c r="V2210">
        <v>71</v>
      </c>
      <c r="W2210">
        <v>0</v>
      </c>
      <c r="X2210" s="5" t="s">
        <v>29</v>
      </c>
      <c r="Y2210">
        <v>0</v>
      </c>
      <c r="Z2210">
        <v>0</v>
      </c>
      <c r="AA2210" t="s">
        <v>25</v>
      </c>
      <c r="AB2210" t="s">
        <v>26</v>
      </c>
      <c r="AC2210" t="s">
        <v>27</v>
      </c>
      <c r="AD2210" t="s">
        <v>28</v>
      </c>
      <c r="AE2210" t="s">
        <v>25</v>
      </c>
      <c r="AF22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7.0422535211267609E-2</v>
      </c>
      <c r="AG2210" t="s">
        <v>942</v>
      </c>
      <c r="AH2210">
        <v>54</v>
      </c>
      <c r="AI2210" t="s">
        <v>939</v>
      </c>
      <c r="AJ2210">
        <v>1</v>
      </c>
      <c r="AK22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MIN(AJ2210/8, 1) +
  Merge1[[#This Row],[index_defensive_effort]],
  2
)</f>
        <v>0.6</v>
      </c>
    </row>
    <row r="2211" spans="1:37" x14ac:dyDescent="0.25">
      <c r="A2211" t="s">
        <v>625</v>
      </c>
      <c r="B2211" t="s">
        <v>626</v>
      </c>
      <c r="C2211">
        <v>22</v>
      </c>
      <c r="D2211" t="s">
        <v>56</v>
      </c>
      <c r="E2211">
        <v>74</v>
      </c>
      <c r="F2211">
        <v>208</v>
      </c>
      <c r="G2211" t="s">
        <v>107</v>
      </c>
      <c r="H2211">
        <v>2020</v>
      </c>
      <c r="I2211" t="s">
        <v>33</v>
      </c>
      <c r="J2211">
        <v>12</v>
      </c>
      <c r="K2211">
        <v>5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82</v>
      </c>
      <c r="T2211">
        <v>71</v>
      </c>
      <c r="U2211" s="5">
        <f>IF(Merge1[[#This Row],[team_defense_snaps]]=0, "", Merge1[[#This Row],[defense_snaps]] / Merge1[[#This Row],[team_defense_snaps]])</f>
        <v>1</v>
      </c>
      <c r="V2211">
        <v>71</v>
      </c>
      <c r="W2211">
        <v>11</v>
      </c>
      <c r="X2211" s="5" t="s">
        <v>200</v>
      </c>
      <c r="Y2211">
        <v>0</v>
      </c>
      <c r="Z2211">
        <v>0</v>
      </c>
      <c r="AA2211" t="s">
        <v>25</v>
      </c>
      <c r="AB2211" t="s">
        <v>26</v>
      </c>
      <c r="AC2211" t="s">
        <v>27</v>
      </c>
      <c r="AD2211" t="s">
        <v>42</v>
      </c>
      <c r="AE2211" t="s">
        <v>25</v>
      </c>
      <c r="AF22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6.097560975609756E-2</v>
      </c>
      <c r="AG2211" t="s">
        <v>942</v>
      </c>
      <c r="AH2211">
        <v>67.5</v>
      </c>
      <c r="AI2211" t="s">
        <v>939</v>
      </c>
      <c r="AJ2211">
        <v>1</v>
      </c>
      <c r="AK22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MIN(AJ2211/8, 1) +
  Merge1[[#This Row],[index_defensive_effort]],
  2
)</f>
        <v>0.59</v>
      </c>
    </row>
    <row r="2212" spans="1:37" x14ac:dyDescent="0.25">
      <c r="A2212" t="s">
        <v>625</v>
      </c>
      <c r="B2212" t="s">
        <v>626</v>
      </c>
      <c r="C2212">
        <v>22</v>
      </c>
      <c r="D2212" t="s">
        <v>56</v>
      </c>
      <c r="E2212">
        <v>74</v>
      </c>
      <c r="F2212">
        <v>208</v>
      </c>
      <c r="G2212" t="s">
        <v>107</v>
      </c>
      <c r="H2212">
        <v>2020</v>
      </c>
      <c r="I2212" t="s">
        <v>33</v>
      </c>
      <c r="J2212">
        <v>13</v>
      </c>
      <c r="K2212">
        <v>3</v>
      </c>
      <c r="L2212">
        <v>1</v>
      </c>
      <c r="M2212">
        <v>1</v>
      </c>
      <c r="N2212">
        <v>2</v>
      </c>
      <c r="O2212">
        <v>0</v>
      </c>
      <c r="P2212">
        <v>0</v>
      </c>
      <c r="Q2212">
        <v>0</v>
      </c>
      <c r="R2212">
        <v>0</v>
      </c>
      <c r="S2212">
        <v>78</v>
      </c>
      <c r="T2212">
        <v>78</v>
      </c>
      <c r="U2212" s="5">
        <f>IF(Merge1[[#This Row],[team_defense_snaps]]=0, "", Merge1[[#This Row],[defense_snaps]] / Merge1[[#This Row],[team_defense_snaps]])</f>
        <v>0.98734177215189878</v>
      </c>
      <c r="V2212">
        <v>79</v>
      </c>
      <c r="W2212">
        <v>0</v>
      </c>
      <c r="X2212" s="5" t="s">
        <v>29</v>
      </c>
      <c r="Y2212">
        <v>0</v>
      </c>
      <c r="Z2212">
        <v>0</v>
      </c>
      <c r="AA2212" t="s">
        <v>25</v>
      </c>
      <c r="AB2212" t="s">
        <v>26</v>
      </c>
      <c r="AC2212" t="s">
        <v>27</v>
      </c>
      <c r="AD2212" t="s">
        <v>42</v>
      </c>
      <c r="AE2212" t="s">
        <v>25</v>
      </c>
      <c r="AF22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5.128205128205128E-2</v>
      </c>
      <c r="AG2212" t="s">
        <v>942</v>
      </c>
      <c r="AH2212">
        <v>55.5</v>
      </c>
      <c r="AI2212" t="s">
        <v>939</v>
      </c>
      <c r="AJ2212">
        <v>2</v>
      </c>
      <c r="AK22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MIN(AJ2212/8, 1) +
  Merge1[[#This Row],[index_defensive_effort]],
  2
)</f>
        <v>0.7</v>
      </c>
    </row>
    <row r="2213" spans="1:37" x14ac:dyDescent="0.25">
      <c r="A2213" t="s">
        <v>625</v>
      </c>
      <c r="B2213" t="s">
        <v>626</v>
      </c>
      <c r="C2213">
        <v>22</v>
      </c>
      <c r="D2213" t="s">
        <v>56</v>
      </c>
      <c r="E2213">
        <v>74</v>
      </c>
      <c r="F2213">
        <v>208</v>
      </c>
      <c r="G2213" t="s">
        <v>107</v>
      </c>
      <c r="H2213">
        <v>2020</v>
      </c>
      <c r="I2213" t="s">
        <v>33</v>
      </c>
      <c r="J2213">
        <v>13</v>
      </c>
      <c r="K2213">
        <v>3</v>
      </c>
      <c r="L2213">
        <v>1</v>
      </c>
      <c r="M2213">
        <v>1</v>
      </c>
      <c r="N2213">
        <v>2</v>
      </c>
      <c r="O2213">
        <v>0</v>
      </c>
      <c r="P2213">
        <v>0</v>
      </c>
      <c r="Q2213">
        <v>0</v>
      </c>
      <c r="R2213">
        <v>0</v>
      </c>
      <c r="S2213">
        <v>79</v>
      </c>
      <c r="T2213">
        <v>78</v>
      </c>
      <c r="U2213" s="5">
        <f>IF(Merge1[[#This Row],[team_defense_snaps]]=0, "", Merge1[[#This Row],[defense_snaps]] / Merge1[[#This Row],[team_defense_snaps]])</f>
        <v>0.98734177215189878</v>
      </c>
      <c r="V2213">
        <v>79</v>
      </c>
      <c r="W2213">
        <v>1</v>
      </c>
      <c r="X2213" s="5" t="s">
        <v>193</v>
      </c>
      <c r="Y2213">
        <v>0</v>
      </c>
      <c r="Z2213">
        <v>0</v>
      </c>
      <c r="AA2213" t="s">
        <v>25</v>
      </c>
      <c r="AB2213" t="s">
        <v>26</v>
      </c>
      <c r="AC2213" t="s">
        <v>27</v>
      </c>
      <c r="AD2213" t="s">
        <v>42</v>
      </c>
      <c r="AE2213" t="s">
        <v>25</v>
      </c>
      <c r="AF22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5.0632911392405063E-2</v>
      </c>
      <c r="AG2213" t="s">
        <v>942</v>
      </c>
      <c r="AH2213">
        <v>57</v>
      </c>
      <c r="AI2213" t="s">
        <v>939</v>
      </c>
      <c r="AJ2213">
        <v>1</v>
      </c>
      <c r="AK22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MIN(AJ2213/8, 1) +
  Merge1[[#This Row],[index_defensive_effort]],
  2
)</f>
        <v>0.57999999999999996</v>
      </c>
    </row>
    <row r="2214" spans="1:37" x14ac:dyDescent="0.25">
      <c r="A2214" t="s">
        <v>625</v>
      </c>
      <c r="B2214" t="s">
        <v>626</v>
      </c>
      <c r="C2214">
        <v>22</v>
      </c>
      <c r="D2214" t="s">
        <v>56</v>
      </c>
      <c r="E2214">
        <v>74</v>
      </c>
      <c r="F2214">
        <v>208</v>
      </c>
      <c r="G2214" t="s">
        <v>107</v>
      </c>
      <c r="H2214">
        <v>2020</v>
      </c>
      <c r="I2214" t="s">
        <v>33</v>
      </c>
      <c r="J2214">
        <v>17</v>
      </c>
      <c r="K2214">
        <v>4</v>
      </c>
      <c r="L2214">
        <v>1</v>
      </c>
      <c r="M2214">
        <v>1</v>
      </c>
      <c r="N2214">
        <v>2</v>
      </c>
      <c r="O2214">
        <v>0</v>
      </c>
      <c r="P2214">
        <v>0</v>
      </c>
      <c r="Q2214">
        <v>0</v>
      </c>
      <c r="R2214">
        <v>0</v>
      </c>
      <c r="S2214">
        <v>65</v>
      </c>
      <c r="T2214">
        <v>65</v>
      </c>
      <c r="U2214" s="5">
        <f>IF(Merge1[[#This Row],[team_defense_snaps]]=0, "", Merge1[[#This Row],[defense_snaps]] / Merge1[[#This Row],[team_defense_snaps]])</f>
        <v>1</v>
      </c>
      <c r="V2214">
        <v>65</v>
      </c>
      <c r="W2214">
        <v>0</v>
      </c>
      <c r="X2214" s="5" t="s">
        <v>29</v>
      </c>
      <c r="Y2214">
        <v>0</v>
      </c>
      <c r="Z2214">
        <v>0</v>
      </c>
      <c r="AA2214" t="s">
        <v>25</v>
      </c>
      <c r="AB2214" t="s">
        <v>26</v>
      </c>
      <c r="AC2214" t="s">
        <v>27</v>
      </c>
      <c r="AD2214" t="s">
        <v>42</v>
      </c>
      <c r="AE2214" t="s">
        <v>25</v>
      </c>
      <c r="AF22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7.6923076923076927E-2</v>
      </c>
      <c r="AG2214" t="s">
        <v>942</v>
      </c>
      <c r="AH2214">
        <v>48</v>
      </c>
      <c r="AI2214" t="s">
        <v>939</v>
      </c>
      <c r="AJ2214">
        <v>1</v>
      </c>
      <c r="AK22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MIN(AJ2214/8, 1) +
  Merge1[[#This Row],[index_defensive_effort]],
  2
)</f>
        <v>0.6</v>
      </c>
    </row>
    <row r="2215" spans="1:37" x14ac:dyDescent="0.25">
      <c r="A2215" t="s">
        <v>625</v>
      </c>
      <c r="B2215" t="s">
        <v>626</v>
      </c>
      <c r="C2215">
        <v>22</v>
      </c>
      <c r="D2215" t="s">
        <v>56</v>
      </c>
      <c r="E2215">
        <v>74</v>
      </c>
      <c r="F2215">
        <v>208</v>
      </c>
      <c r="G2215" t="s">
        <v>107</v>
      </c>
      <c r="H2215">
        <v>2020</v>
      </c>
      <c r="I2215" t="s">
        <v>33</v>
      </c>
      <c r="J2215">
        <v>17</v>
      </c>
      <c r="K2215">
        <v>4</v>
      </c>
      <c r="L2215">
        <v>1</v>
      </c>
      <c r="M2215">
        <v>1</v>
      </c>
      <c r="N2215">
        <v>2</v>
      </c>
      <c r="O2215">
        <v>0</v>
      </c>
      <c r="P2215">
        <v>0</v>
      </c>
      <c r="Q2215">
        <v>0</v>
      </c>
      <c r="R2215">
        <v>0</v>
      </c>
      <c r="S2215">
        <v>68</v>
      </c>
      <c r="T2215">
        <v>65</v>
      </c>
      <c r="U2215" s="5">
        <f>IF(Merge1[[#This Row],[team_defense_snaps]]=0, "", Merge1[[#This Row],[defense_snaps]] / Merge1[[#This Row],[team_defense_snaps]])</f>
        <v>1</v>
      </c>
      <c r="V2215">
        <v>65</v>
      </c>
      <c r="W2215">
        <v>3</v>
      </c>
      <c r="X2215" s="5" t="s">
        <v>251</v>
      </c>
      <c r="Y2215">
        <v>0</v>
      </c>
      <c r="Z2215">
        <v>0</v>
      </c>
      <c r="AA2215" t="s">
        <v>25</v>
      </c>
      <c r="AB2215" t="s">
        <v>26</v>
      </c>
      <c r="AC2215" t="s">
        <v>27</v>
      </c>
      <c r="AD2215" t="s">
        <v>42</v>
      </c>
      <c r="AE2215" t="s">
        <v>25</v>
      </c>
      <c r="AF22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7.3529411764705885E-2</v>
      </c>
      <c r="AG2215" t="s">
        <v>942</v>
      </c>
      <c r="AH2215">
        <v>64.5</v>
      </c>
      <c r="AI2215" t="s">
        <v>939</v>
      </c>
      <c r="AJ2215">
        <v>1</v>
      </c>
      <c r="AK22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MIN(AJ2215/8, 1) +
  Merge1[[#This Row],[index_defensive_effort]],
  2
)</f>
        <v>0.6</v>
      </c>
    </row>
    <row r="2216" spans="1:37" x14ac:dyDescent="0.25">
      <c r="A2216" t="s">
        <v>629</v>
      </c>
      <c r="B2216" t="s">
        <v>630</v>
      </c>
      <c r="C2216">
        <v>30</v>
      </c>
      <c r="D2216" t="s">
        <v>22</v>
      </c>
      <c r="E2216">
        <v>68</v>
      </c>
      <c r="F2216">
        <v>185</v>
      </c>
      <c r="G2216" t="s">
        <v>166</v>
      </c>
      <c r="H2216">
        <v>2020</v>
      </c>
      <c r="I2216" t="s">
        <v>33</v>
      </c>
      <c r="J2216">
        <v>1</v>
      </c>
      <c r="K2216">
        <v>3</v>
      </c>
      <c r="L2216">
        <v>1</v>
      </c>
      <c r="M2216">
        <v>0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60</v>
      </c>
      <c r="T2216">
        <v>60</v>
      </c>
      <c r="U2216" s="5">
        <f>IF(Merge1[[#This Row],[team_defense_snaps]]=0, "", Merge1[[#This Row],[defense_snaps]] / Merge1[[#This Row],[team_defense_snaps]])</f>
        <v>0.89552238805970152</v>
      </c>
      <c r="V2216">
        <v>67</v>
      </c>
      <c r="W2216">
        <v>0</v>
      </c>
      <c r="X2216" s="5" t="s">
        <v>29</v>
      </c>
      <c r="Y2216">
        <v>6</v>
      </c>
      <c r="Z2216">
        <v>0</v>
      </c>
      <c r="AA2216" t="s">
        <v>25</v>
      </c>
      <c r="AB2216" t="s">
        <v>26</v>
      </c>
      <c r="AC2216" t="s">
        <v>27</v>
      </c>
      <c r="AD2216" t="s">
        <v>28</v>
      </c>
      <c r="AE2216" t="s">
        <v>25</v>
      </c>
      <c r="AF22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5.8333333333333334E-2</v>
      </c>
      <c r="AG2216" t="s">
        <v>941</v>
      </c>
      <c r="AH2216">
        <v>95</v>
      </c>
      <c r="AI2216" t="s">
        <v>939</v>
      </c>
      <c r="AJ2216">
        <v>1</v>
      </c>
      <c r="AK22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MIN(AJ2216/8, 1) +
  Merge1[[#This Row],[index_defensive_effort]],
  2
)</f>
        <v>0.78</v>
      </c>
    </row>
    <row r="2217" spans="1:37" x14ac:dyDescent="0.25">
      <c r="A2217" t="s">
        <v>629</v>
      </c>
      <c r="B2217" t="s">
        <v>630</v>
      </c>
      <c r="C2217">
        <v>30</v>
      </c>
      <c r="D2217" t="s">
        <v>22</v>
      </c>
      <c r="E2217">
        <v>68</v>
      </c>
      <c r="F2217">
        <v>185</v>
      </c>
      <c r="G2217" t="s">
        <v>166</v>
      </c>
      <c r="H2217">
        <v>2020</v>
      </c>
      <c r="I2217" t="s">
        <v>33</v>
      </c>
      <c r="J2217">
        <v>2</v>
      </c>
      <c r="K2217">
        <v>6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55</v>
      </c>
      <c r="T2217">
        <v>55</v>
      </c>
      <c r="U2217" s="5">
        <f>IF(Merge1[[#This Row],[team_defense_snaps]]=0, "", Merge1[[#This Row],[defense_snaps]] / Merge1[[#This Row],[team_defense_snaps]])</f>
        <v>0.91666666666666663</v>
      </c>
      <c r="V2217">
        <v>60</v>
      </c>
      <c r="W2217">
        <v>0</v>
      </c>
      <c r="X2217" s="5" t="s">
        <v>29</v>
      </c>
      <c r="Y2217">
        <v>6</v>
      </c>
      <c r="Z2217">
        <v>0</v>
      </c>
      <c r="AA2217" t="s">
        <v>25</v>
      </c>
      <c r="AB2217" t="s">
        <v>26</v>
      </c>
      <c r="AC2217" t="s">
        <v>27</v>
      </c>
      <c r="AD2217" t="s">
        <v>42</v>
      </c>
      <c r="AE2217" t="s">
        <v>25</v>
      </c>
      <c r="AF22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0.10909090909090909</v>
      </c>
      <c r="AG2217" t="s">
        <v>941</v>
      </c>
      <c r="AH2217">
        <v>71</v>
      </c>
      <c r="AI2217" t="s">
        <v>939</v>
      </c>
      <c r="AJ2217">
        <v>2</v>
      </c>
      <c r="AK22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MIN(AJ2217/8, 1) +
  Merge1[[#This Row],[index_defensive_effort]],
  2
)</f>
        <v>0.96</v>
      </c>
    </row>
    <row r="2218" spans="1:37" x14ac:dyDescent="0.25">
      <c r="A2218" t="s">
        <v>629</v>
      </c>
      <c r="B2218" t="s">
        <v>630</v>
      </c>
      <c r="C2218">
        <v>30</v>
      </c>
      <c r="D2218" t="s">
        <v>22</v>
      </c>
      <c r="E2218">
        <v>68</v>
      </c>
      <c r="F2218">
        <v>185</v>
      </c>
      <c r="G2218" t="s">
        <v>166</v>
      </c>
      <c r="H2218">
        <v>2020</v>
      </c>
      <c r="I2218" t="s">
        <v>33</v>
      </c>
      <c r="J2218">
        <v>3</v>
      </c>
      <c r="K2218">
        <v>7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45</v>
      </c>
      <c r="T2218">
        <v>45</v>
      </c>
      <c r="U2218" s="5">
        <f>IF(Merge1[[#This Row],[team_defense_snaps]]=0, "", Merge1[[#This Row],[defense_snaps]] / Merge1[[#This Row],[team_defense_snaps]])</f>
        <v>0.65217391304347827</v>
      </c>
      <c r="V2218">
        <v>69</v>
      </c>
      <c r="W2218">
        <v>0</v>
      </c>
      <c r="X2218" s="5" t="s">
        <v>29</v>
      </c>
      <c r="Y2218">
        <v>6</v>
      </c>
      <c r="Z2218">
        <v>0</v>
      </c>
      <c r="AA2218" t="s">
        <v>25</v>
      </c>
      <c r="AB2218" t="s">
        <v>26</v>
      </c>
      <c r="AC2218" t="s">
        <v>27</v>
      </c>
      <c r="AD2218" t="s">
        <v>28</v>
      </c>
      <c r="AE2218" t="s">
        <v>25</v>
      </c>
      <c r="AF22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0.15555555555555556</v>
      </c>
      <c r="AG2218" t="s">
        <v>941</v>
      </c>
      <c r="AH2218">
        <v>77</v>
      </c>
      <c r="AI2218" t="s">
        <v>939</v>
      </c>
      <c r="AJ2218">
        <v>3</v>
      </c>
      <c r="AK22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MIN(AJ2218/8, 1) +
  Merge1[[#This Row],[index_defensive_effort]],
  2
)</f>
        <v>1.1299999999999999</v>
      </c>
    </row>
    <row r="2219" spans="1:37" x14ac:dyDescent="0.25">
      <c r="A2219" t="s">
        <v>629</v>
      </c>
      <c r="B2219" t="s">
        <v>630</v>
      </c>
      <c r="C2219">
        <v>30</v>
      </c>
      <c r="D2219" t="s">
        <v>22</v>
      </c>
      <c r="E2219">
        <v>68</v>
      </c>
      <c r="F2219">
        <v>185</v>
      </c>
      <c r="G2219" t="s">
        <v>166</v>
      </c>
      <c r="H2219">
        <v>2020</v>
      </c>
      <c r="I2219" t="s">
        <v>33</v>
      </c>
      <c r="J2219">
        <v>4</v>
      </c>
      <c r="K2219">
        <v>6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49</v>
      </c>
      <c r="T2219">
        <v>49</v>
      </c>
      <c r="U2219" s="5">
        <f>IF(Merge1[[#This Row],[team_defense_snaps]]=0, "", Merge1[[#This Row],[defense_snaps]] / Merge1[[#This Row],[team_defense_snaps]])</f>
        <v>0.79032258064516125</v>
      </c>
      <c r="V2219">
        <v>62</v>
      </c>
      <c r="W2219">
        <v>0</v>
      </c>
      <c r="X2219" s="5" t="s">
        <v>29</v>
      </c>
      <c r="Y2219">
        <v>6</v>
      </c>
      <c r="Z2219">
        <v>0</v>
      </c>
      <c r="AA2219" t="s">
        <v>25</v>
      </c>
      <c r="AB2219" t="s">
        <v>26</v>
      </c>
      <c r="AC2219" t="s">
        <v>27</v>
      </c>
      <c r="AD2219" t="s">
        <v>42</v>
      </c>
      <c r="AE2219" t="s">
        <v>25</v>
      </c>
      <c r="AF22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0.12244897959183673</v>
      </c>
      <c r="AG2219" t="s">
        <v>941</v>
      </c>
      <c r="AH2219">
        <v>84.5</v>
      </c>
      <c r="AI2219" t="s">
        <v>939</v>
      </c>
      <c r="AJ2219">
        <v>4</v>
      </c>
      <c r="AK22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MIN(AJ2219/8, 1) +
  Merge1[[#This Row],[index_defensive_effort]],
  2
)</f>
        <v>1.22</v>
      </c>
    </row>
    <row r="2220" spans="1:37" x14ac:dyDescent="0.25">
      <c r="A2220" t="s">
        <v>629</v>
      </c>
      <c r="B2220" t="s">
        <v>630</v>
      </c>
      <c r="C2220">
        <v>30</v>
      </c>
      <c r="D2220" t="s">
        <v>22</v>
      </c>
      <c r="E2220">
        <v>68</v>
      </c>
      <c r="F2220">
        <v>185</v>
      </c>
      <c r="G2220" t="s">
        <v>166</v>
      </c>
      <c r="H2220">
        <v>2020</v>
      </c>
      <c r="I2220" t="s">
        <v>33</v>
      </c>
      <c r="J2220">
        <v>5</v>
      </c>
      <c r="K2220">
        <v>1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56</v>
      </c>
      <c r="T2220">
        <v>56</v>
      </c>
      <c r="U2220" s="5">
        <f>IF(Merge1[[#This Row],[team_defense_snaps]]=0, "", Merge1[[#This Row],[defense_snaps]] / Merge1[[#This Row],[team_defense_snaps]])</f>
        <v>0.7567567567567568</v>
      </c>
      <c r="V2220">
        <v>74</v>
      </c>
      <c r="W2220">
        <v>0</v>
      </c>
      <c r="X2220" s="5" t="s">
        <v>29</v>
      </c>
      <c r="Y2220">
        <v>6</v>
      </c>
      <c r="Z2220">
        <v>0</v>
      </c>
      <c r="AA2220" t="s">
        <v>25</v>
      </c>
      <c r="AB2220" t="s">
        <v>26</v>
      </c>
      <c r="AC2220" t="s">
        <v>27</v>
      </c>
      <c r="AD2220" t="s">
        <v>42</v>
      </c>
      <c r="AE2220" t="s">
        <v>25</v>
      </c>
      <c r="AF22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1.7857142857142856E-2</v>
      </c>
      <c r="AG2220" t="s">
        <v>941</v>
      </c>
      <c r="AH2220">
        <v>72.5</v>
      </c>
      <c r="AI2220" t="s">
        <v>939</v>
      </c>
      <c r="AJ2220">
        <v>5</v>
      </c>
      <c r="AK22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MIN(AJ2220/8, 1) +
  Merge1[[#This Row],[index_defensive_effort]],
  2
)</f>
        <v>1.24</v>
      </c>
    </row>
    <row r="2221" spans="1:37" x14ac:dyDescent="0.25">
      <c r="A2221" t="s">
        <v>629</v>
      </c>
      <c r="B2221" t="s">
        <v>630</v>
      </c>
      <c r="C2221">
        <v>30</v>
      </c>
      <c r="D2221" t="s">
        <v>22</v>
      </c>
      <c r="E2221">
        <v>68</v>
      </c>
      <c r="F2221">
        <v>185</v>
      </c>
      <c r="G2221" t="s">
        <v>166</v>
      </c>
      <c r="H2221">
        <v>2020</v>
      </c>
      <c r="I2221" t="s">
        <v>33</v>
      </c>
      <c r="J2221">
        <v>7</v>
      </c>
      <c r="K2221">
        <v>4</v>
      </c>
      <c r="L2221">
        <v>3</v>
      </c>
      <c r="M2221">
        <v>2</v>
      </c>
      <c r="N2221">
        <v>5</v>
      </c>
      <c r="O2221">
        <v>0</v>
      </c>
      <c r="P2221">
        <v>0</v>
      </c>
      <c r="Q2221">
        <v>0</v>
      </c>
      <c r="R2221">
        <v>0</v>
      </c>
      <c r="S2221">
        <v>53</v>
      </c>
      <c r="T2221">
        <v>53</v>
      </c>
      <c r="U2221" s="5">
        <f>IF(Merge1[[#This Row],[team_defense_snaps]]=0, "", Merge1[[#This Row],[defense_snaps]] / Merge1[[#This Row],[team_defense_snaps]])</f>
        <v>0.73611111111111116</v>
      </c>
      <c r="V2221">
        <v>72</v>
      </c>
      <c r="W2221">
        <v>0</v>
      </c>
      <c r="X2221" s="5" t="s">
        <v>29</v>
      </c>
      <c r="Y2221">
        <v>6</v>
      </c>
      <c r="Z2221">
        <v>0</v>
      </c>
      <c r="AA2221" t="s">
        <v>25</v>
      </c>
      <c r="AB2221" t="s">
        <v>26</v>
      </c>
      <c r="AC2221" t="s">
        <v>27</v>
      </c>
      <c r="AD2221" t="s">
        <v>28</v>
      </c>
      <c r="AE2221" t="s">
        <v>25</v>
      </c>
      <c r="AF22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0.12264150943396226</v>
      </c>
      <c r="AG2221" t="s">
        <v>941</v>
      </c>
      <c r="AH2221">
        <v>81.5</v>
      </c>
      <c r="AI2221" t="s">
        <v>939</v>
      </c>
      <c r="AJ2221">
        <v>1</v>
      </c>
      <c r="AK22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MIN(AJ2221/8, 1) +
  Merge1[[#This Row],[index_defensive_effort]],
  2
)</f>
        <v>0.85</v>
      </c>
    </row>
    <row r="2222" spans="1:37" x14ac:dyDescent="0.25">
      <c r="A2222" t="s">
        <v>629</v>
      </c>
      <c r="B2222" t="s">
        <v>630</v>
      </c>
      <c r="C2222">
        <v>30</v>
      </c>
      <c r="D2222" t="s">
        <v>22</v>
      </c>
      <c r="E2222">
        <v>68</v>
      </c>
      <c r="F2222">
        <v>185</v>
      </c>
      <c r="G2222" t="s">
        <v>166</v>
      </c>
      <c r="H2222">
        <v>2020</v>
      </c>
      <c r="I2222" t="s">
        <v>33</v>
      </c>
      <c r="J2222">
        <v>8</v>
      </c>
      <c r="K2222">
        <v>2</v>
      </c>
      <c r="L2222">
        <v>1</v>
      </c>
      <c r="M2222">
        <v>0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28</v>
      </c>
      <c r="T2222">
        <v>28</v>
      </c>
      <c r="U2222" s="5">
        <f>IF(Merge1[[#This Row],[team_defense_snaps]]=0, "", Merge1[[#This Row],[defense_snaps]] / Merge1[[#This Row],[team_defense_snaps]])</f>
        <v>0.5714285714285714</v>
      </c>
      <c r="V2222">
        <v>49</v>
      </c>
      <c r="W2222">
        <v>0</v>
      </c>
      <c r="X2222" s="5" t="s">
        <v>29</v>
      </c>
      <c r="Y2222">
        <v>6</v>
      </c>
      <c r="Z2222">
        <v>0</v>
      </c>
      <c r="AA2222" t="s">
        <v>25</v>
      </c>
      <c r="AB2222" t="s">
        <v>26</v>
      </c>
      <c r="AC2222" t="s">
        <v>27</v>
      </c>
      <c r="AD2222" t="s">
        <v>28</v>
      </c>
      <c r="AE2222" t="s">
        <v>25</v>
      </c>
      <c r="AF22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8.9285714285714288E-2</v>
      </c>
      <c r="AG2222" t="s">
        <v>941</v>
      </c>
      <c r="AH2222">
        <v>75.5</v>
      </c>
      <c r="AI2222" t="s">
        <v>939</v>
      </c>
      <c r="AJ2222">
        <v>2</v>
      </c>
      <c r="AK22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MIN(AJ2222/8, 1) +
  Merge1[[#This Row],[index_defensive_effort]],
  2
)</f>
        <v>0.94</v>
      </c>
    </row>
    <row r="2223" spans="1:37" x14ac:dyDescent="0.25">
      <c r="A2223" t="s">
        <v>629</v>
      </c>
      <c r="B2223" t="s">
        <v>630</v>
      </c>
      <c r="C2223">
        <v>30</v>
      </c>
      <c r="D2223" t="s">
        <v>22</v>
      </c>
      <c r="E2223">
        <v>68</v>
      </c>
      <c r="F2223">
        <v>185</v>
      </c>
      <c r="G2223" t="s">
        <v>166</v>
      </c>
      <c r="H2223">
        <v>2020</v>
      </c>
      <c r="I2223" t="s">
        <v>33</v>
      </c>
      <c r="J2223">
        <v>9</v>
      </c>
      <c r="K2223">
        <v>5</v>
      </c>
      <c r="L2223">
        <v>7</v>
      </c>
      <c r="M2223">
        <v>2</v>
      </c>
      <c r="N2223">
        <v>9</v>
      </c>
      <c r="O2223">
        <v>0</v>
      </c>
      <c r="P2223">
        <v>0</v>
      </c>
      <c r="Q2223">
        <v>0</v>
      </c>
      <c r="R2223">
        <v>0</v>
      </c>
      <c r="S2223">
        <v>70</v>
      </c>
      <c r="T2223">
        <v>70</v>
      </c>
      <c r="U2223" s="5">
        <f>IF(Merge1[[#This Row],[team_defense_snaps]]=0, "", Merge1[[#This Row],[defense_snaps]] / Merge1[[#This Row],[team_defense_snaps]])</f>
        <v>0.88607594936708856</v>
      </c>
      <c r="V2223">
        <v>79</v>
      </c>
      <c r="W2223">
        <v>0</v>
      </c>
      <c r="X2223" s="5" t="s">
        <v>29</v>
      </c>
      <c r="Y2223">
        <v>6</v>
      </c>
      <c r="Z2223">
        <v>0</v>
      </c>
      <c r="AA2223" t="s">
        <v>25</v>
      </c>
      <c r="AB2223" t="s">
        <v>26</v>
      </c>
      <c r="AC2223" t="s">
        <v>27</v>
      </c>
      <c r="AD2223" t="s">
        <v>42</v>
      </c>
      <c r="AE2223" t="s">
        <v>25</v>
      </c>
      <c r="AF22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0.1357142857142857</v>
      </c>
      <c r="AG2223" t="s">
        <v>941</v>
      </c>
      <c r="AH2223">
        <v>93.5</v>
      </c>
      <c r="AI2223" t="s">
        <v>939</v>
      </c>
      <c r="AJ2223">
        <v>3</v>
      </c>
      <c r="AK22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MIN(AJ2223/8, 1) +
  Merge1[[#This Row],[index_defensive_effort]],
  2
)</f>
        <v>1.1100000000000001</v>
      </c>
    </row>
    <row r="2224" spans="1:37" x14ac:dyDescent="0.25">
      <c r="A2224" t="s">
        <v>629</v>
      </c>
      <c r="B2224" t="s">
        <v>630</v>
      </c>
      <c r="C2224">
        <v>30</v>
      </c>
      <c r="D2224" t="s">
        <v>22</v>
      </c>
      <c r="E2224">
        <v>68</v>
      </c>
      <c r="F2224">
        <v>185</v>
      </c>
      <c r="G2224" t="s">
        <v>166</v>
      </c>
      <c r="H2224">
        <v>2020</v>
      </c>
      <c r="I2224" t="s">
        <v>33</v>
      </c>
      <c r="J2224">
        <v>10</v>
      </c>
      <c r="K2224">
        <v>4</v>
      </c>
      <c r="L2224">
        <v>1</v>
      </c>
      <c r="M2224">
        <v>0</v>
      </c>
      <c r="N2224">
        <v>1</v>
      </c>
      <c r="O2224">
        <v>0</v>
      </c>
      <c r="P2224">
        <v>1</v>
      </c>
      <c r="Q2224">
        <v>0</v>
      </c>
      <c r="R2224">
        <v>0</v>
      </c>
      <c r="S2224">
        <v>53</v>
      </c>
      <c r="T2224">
        <v>53</v>
      </c>
      <c r="U2224" s="5">
        <f>IF(Merge1[[#This Row],[team_defense_snaps]]=0, "", Merge1[[#This Row],[defense_snaps]] / Merge1[[#This Row],[team_defense_snaps]])</f>
        <v>0.74647887323943662</v>
      </c>
      <c r="V2224">
        <v>71</v>
      </c>
      <c r="W2224">
        <v>0</v>
      </c>
      <c r="X2224" s="5" t="s">
        <v>29</v>
      </c>
      <c r="Y2224">
        <v>6</v>
      </c>
      <c r="Z2224">
        <v>0</v>
      </c>
      <c r="AA2224" t="s">
        <v>25</v>
      </c>
      <c r="AB2224" t="s">
        <v>26</v>
      </c>
      <c r="AC2224" t="s">
        <v>27</v>
      </c>
      <c r="AD2224" t="s">
        <v>28</v>
      </c>
      <c r="AE2224" t="s">
        <v>25</v>
      </c>
      <c r="AF22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0.12264150943396226</v>
      </c>
      <c r="AG2224" t="s">
        <v>941</v>
      </c>
      <c r="AH2224">
        <v>83</v>
      </c>
      <c r="AI2224" t="s">
        <v>939</v>
      </c>
      <c r="AJ2224">
        <v>4</v>
      </c>
      <c r="AK22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MIN(AJ2224/8, 1) +
  Merge1[[#This Row],[index_defensive_effort]],
  2
)</f>
        <v>1.22</v>
      </c>
    </row>
    <row r="2225" spans="1:37" x14ac:dyDescent="0.25">
      <c r="A2225" t="s">
        <v>629</v>
      </c>
      <c r="B2225" t="s">
        <v>630</v>
      </c>
      <c r="C2225">
        <v>30</v>
      </c>
      <c r="D2225" t="s">
        <v>22</v>
      </c>
      <c r="E2225">
        <v>68</v>
      </c>
      <c r="F2225">
        <v>185</v>
      </c>
      <c r="G2225" t="s">
        <v>166</v>
      </c>
      <c r="H2225">
        <v>2020</v>
      </c>
      <c r="I2225" t="s">
        <v>33</v>
      </c>
      <c r="J2225">
        <v>13</v>
      </c>
      <c r="K2225">
        <v>2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37</v>
      </c>
      <c r="T2225">
        <v>37</v>
      </c>
      <c r="U2225" s="5">
        <f>IF(Merge1[[#This Row],[team_defense_snaps]]=0, "", Merge1[[#This Row],[defense_snaps]] / Merge1[[#This Row],[team_defense_snaps]])</f>
        <v>0.55223880597014929</v>
      </c>
      <c r="V2225">
        <v>67</v>
      </c>
      <c r="W2225">
        <v>0</v>
      </c>
      <c r="X2225" s="5" t="s">
        <v>29</v>
      </c>
      <c r="Y2225">
        <v>6</v>
      </c>
      <c r="Z2225">
        <v>0</v>
      </c>
      <c r="AA2225" t="s">
        <v>25</v>
      </c>
      <c r="AB2225" t="s">
        <v>26</v>
      </c>
      <c r="AC2225" t="s">
        <v>27</v>
      </c>
      <c r="AD2225" t="s">
        <v>28</v>
      </c>
      <c r="AE2225" t="s">
        <v>25</v>
      </c>
      <c r="AF22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5.4054054054054057E-2</v>
      </c>
      <c r="AG2225" t="s">
        <v>941</v>
      </c>
      <c r="AH2225">
        <v>92</v>
      </c>
      <c r="AI2225" t="s">
        <v>939</v>
      </c>
      <c r="AJ2225">
        <v>1</v>
      </c>
      <c r="AK22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MIN(AJ2225/8, 1) +
  Merge1[[#This Row],[index_defensive_effort]],
  2
)</f>
        <v>0.78</v>
      </c>
    </row>
    <row r="2226" spans="1:37" x14ac:dyDescent="0.25">
      <c r="A2226" t="s">
        <v>629</v>
      </c>
      <c r="B2226" t="s">
        <v>630</v>
      </c>
      <c r="C2226">
        <v>30</v>
      </c>
      <c r="D2226" t="s">
        <v>22</v>
      </c>
      <c r="E2226">
        <v>68</v>
      </c>
      <c r="F2226">
        <v>185</v>
      </c>
      <c r="G2226" t="s">
        <v>166</v>
      </c>
      <c r="H2226">
        <v>2020</v>
      </c>
      <c r="I2226" t="s">
        <v>33</v>
      </c>
      <c r="J2226">
        <v>14</v>
      </c>
      <c r="K2226">
        <v>5</v>
      </c>
      <c r="L2226">
        <v>3</v>
      </c>
      <c r="M2226">
        <v>3</v>
      </c>
      <c r="N2226">
        <v>6</v>
      </c>
      <c r="O2226">
        <v>0</v>
      </c>
      <c r="P2226">
        <v>0</v>
      </c>
      <c r="Q2226">
        <v>0</v>
      </c>
      <c r="R2226">
        <v>0</v>
      </c>
      <c r="S2226">
        <v>41</v>
      </c>
      <c r="T2226">
        <v>41</v>
      </c>
      <c r="U2226" s="5">
        <f>IF(Merge1[[#This Row],[team_defense_snaps]]=0, "", Merge1[[#This Row],[defense_snaps]] / Merge1[[#This Row],[team_defense_snaps]])</f>
        <v>0.67213114754098358</v>
      </c>
      <c r="V2226">
        <v>61</v>
      </c>
      <c r="W2226">
        <v>0</v>
      </c>
      <c r="X2226" s="5" t="s">
        <v>29</v>
      </c>
      <c r="Y2226">
        <v>6</v>
      </c>
      <c r="Z2226">
        <v>0</v>
      </c>
      <c r="AA2226" t="s">
        <v>25</v>
      </c>
      <c r="AB2226" t="s">
        <v>26</v>
      </c>
      <c r="AC2226" t="s">
        <v>27</v>
      </c>
      <c r="AD2226" t="s">
        <v>28</v>
      </c>
      <c r="AE2226" t="s">
        <v>25</v>
      </c>
      <c r="AF22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0.1951219512195122</v>
      </c>
      <c r="AG2226" t="s">
        <v>941</v>
      </c>
      <c r="AH2226">
        <v>90.5</v>
      </c>
      <c r="AI2226" t="s">
        <v>939</v>
      </c>
      <c r="AJ2226">
        <v>2</v>
      </c>
      <c r="AK22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MIN(AJ2226/8, 1) +
  Merge1[[#This Row],[index_defensive_effort]],
  2
)</f>
        <v>1.05</v>
      </c>
    </row>
    <row r="2227" spans="1:37" x14ac:dyDescent="0.25">
      <c r="A2227" t="s">
        <v>629</v>
      </c>
      <c r="B2227" t="s">
        <v>630</v>
      </c>
      <c r="C2227">
        <v>30</v>
      </c>
      <c r="D2227" t="s">
        <v>22</v>
      </c>
      <c r="E2227">
        <v>68</v>
      </c>
      <c r="F2227">
        <v>185</v>
      </c>
      <c r="G2227" t="s">
        <v>166</v>
      </c>
      <c r="H2227">
        <v>2020</v>
      </c>
      <c r="I2227" t="s">
        <v>33</v>
      </c>
      <c r="J2227">
        <v>15</v>
      </c>
      <c r="K2227">
        <v>1</v>
      </c>
      <c r="L2227">
        <v>1</v>
      </c>
      <c r="M2227">
        <v>0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38</v>
      </c>
      <c r="T2227">
        <v>38</v>
      </c>
      <c r="U2227" s="5">
        <f>IF(Merge1[[#This Row],[team_defense_snaps]]=0, "", Merge1[[#This Row],[defense_snaps]] / Merge1[[#This Row],[team_defense_snaps]])</f>
        <v>0.5757575757575758</v>
      </c>
      <c r="V2227">
        <v>66</v>
      </c>
      <c r="W2227">
        <v>0</v>
      </c>
      <c r="X2227" s="5" t="s">
        <v>29</v>
      </c>
      <c r="Y2227">
        <v>6</v>
      </c>
      <c r="Z2227">
        <v>0</v>
      </c>
      <c r="AA2227" t="s">
        <v>25</v>
      </c>
      <c r="AB2227" t="s">
        <v>26</v>
      </c>
      <c r="AC2227" t="s">
        <v>27</v>
      </c>
      <c r="AD2227" t="s">
        <v>42</v>
      </c>
      <c r="AE2227" t="s">
        <v>25</v>
      </c>
      <c r="AF22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3.9473684210526314E-2</v>
      </c>
      <c r="AG2227" t="s">
        <v>941</v>
      </c>
      <c r="AH2227">
        <v>74</v>
      </c>
      <c r="AI2227" t="s">
        <v>939</v>
      </c>
      <c r="AJ2227">
        <v>3</v>
      </c>
      <c r="AK22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MIN(AJ2227/8, 1) +
  Merge1[[#This Row],[index_defensive_effort]],
  2
)</f>
        <v>1.01</v>
      </c>
    </row>
    <row r="2228" spans="1:37" x14ac:dyDescent="0.25">
      <c r="A2228" t="s">
        <v>629</v>
      </c>
      <c r="B2228" t="s">
        <v>630</v>
      </c>
      <c r="C2228">
        <v>30</v>
      </c>
      <c r="D2228" t="s">
        <v>22</v>
      </c>
      <c r="E2228">
        <v>68</v>
      </c>
      <c r="F2228">
        <v>185</v>
      </c>
      <c r="G2228" t="s">
        <v>166</v>
      </c>
      <c r="H2228">
        <v>2020</v>
      </c>
      <c r="I2228" t="s">
        <v>33</v>
      </c>
      <c r="J2228">
        <v>16</v>
      </c>
      <c r="K2228">
        <v>5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36</v>
      </c>
      <c r="T2228">
        <v>36</v>
      </c>
      <c r="U2228" s="5">
        <f>IF(Merge1[[#This Row],[team_defense_snaps]]=0, "", Merge1[[#This Row],[defense_snaps]] / Merge1[[#This Row],[team_defense_snaps]])</f>
        <v>0.5625</v>
      </c>
      <c r="V2228">
        <v>64</v>
      </c>
      <c r="W2228">
        <v>0</v>
      </c>
      <c r="X2228" s="5" t="s">
        <v>29</v>
      </c>
      <c r="Y2228">
        <v>6</v>
      </c>
      <c r="Z2228">
        <v>0</v>
      </c>
      <c r="AA2228" t="s">
        <v>25</v>
      </c>
      <c r="AB2228" t="s">
        <v>26</v>
      </c>
      <c r="AC2228" t="s">
        <v>27</v>
      </c>
      <c r="AD2228" t="s">
        <v>42</v>
      </c>
      <c r="AE2228" t="s">
        <v>25</v>
      </c>
      <c r="AF22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0.1388888888888889</v>
      </c>
      <c r="AG2228" t="s">
        <v>941</v>
      </c>
      <c r="AH2228">
        <v>86</v>
      </c>
      <c r="AI2228" t="s">
        <v>939</v>
      </c>
      <c r="AJ2228">
        <v>4</v>
      </c>
      <c r="AK22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MIN(AJ2228/8, 1) +
  Merge1[[#This Row],[index_defensive_effort]],
  2
)</f>
        <v>1.24</v>
      </c>
    </row>
    <row r="2229" spans="1:37" x14ac:dyDescent="0.25">
      <c r="A2229" t="s">
        <v>629</v>
      </c>
      <c r="B2229" t="s">
        <v>630</v>
      </c>
      <c r="C2229">
        <v>30</v>
      </c>
      <c r="D2229" t="s">
        <v>22</v>
      </c>
      <c r="E2229">
        <v>68</v>
      </c>
      <c r="F2229">
        <v>185</v>
      </c>
      <c r="G2229" t="s">
        <v>166</v>
      </c>
      <c r="H2229">
        <v>2020</v>
      </c>
      <c r="I2229" t="s">
        <v>33</v>
      </c>
      <c r="J2229">
        <v>17</v>
      </c>
      <c r="K2229">
        <v>3</v>
      </c>
      <c r="L2229">
        <v>1</v>
      </c>
      <c r="M2229">
        <v>0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49</v>
      </c>
      <c r="T2229">
        <v>49</v>
      </c>
      <c r="U2229" s="5">
        <f>IF(Merge1[[#This Row],[team_defense_snaps]]=0, "", Merge1[[#This Row],[defense_snaps]] / Merge1[[#This Row],[team_defense_snaps]])</f>
        <v>0.59756097560975607</v>
      </c>
      <c r="V2229">
        <v>82</v>
      </c>
      <c r="W2229">
        <v>0</v>
      </c>
      <c r="X2229" s="5" t="s">
        <v>29</v>
      </c>
      <c r="Y2229">
        <v>6</v>
      </c>
      <c r="Z2229">
        <v>0</v>
      </c>
      <c r="AA2229" t="s">
        <v>25</v>
      </c>
      <c r="AB2229" t="s">
        <v>36</v>
      </c>
      <c r="AC2229" t="s">
        <v>325</v>
      </c>
      <c r="AD2229" t="s">
        <v>28</v>
      </c>
      <c r="AE2229" t="s">
        <v>25</v>
      </c>
      <c r="AF22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2229" t="s">
        <v>941</v>
      </c>
      <c r="AH2229">
        <v>89</v>
      </c>
      <c r="AI2229" t="s">
        <v>938</v>
      </c>
      <c r="AJ2229">
        <v>5</v>
      </c>
      <c r="AK22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MIN(AJ2229/8, 1) +
  Merge1[[#This Row],[index_defensive_effort]],
  2
)</f>
        <v>1.3</v>
      </c>
    </row>
    <row r="2230" spans="1:37" x14ac:dyDescent="0.25">
      <c r="A2230" t="s">
        <v>633</v>
      </c>
      <c r="B2230" t="s">
        <v>634</v>
      </c>
      <c r="C2230">
        <v>27</v>
      </c>
      <c r="D2230" t="s">
        <v>56</v>
      </c>
      <c r="E2230">
        <v>72</v>
      </c>
      <c r="F2230">
        <v>203</v>
      </c>
      <c r="G2230" t="s">
        <v>235</v>
      </c>
      <c r="H2230">
        <v>2020</v>
      </c>
      <c r="I2230" t="s">
        <v>33</v>
      </c>
      <c r="J2230">
        <v>3</v>
      </c>
      <c r="K2230">
        <v>4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2</v>
      </c>
      <c r="R2230">
        <v>0</v>
      </c>
      <c r="S2230">
        <v>19</v>
      </c>
      <c r="T2230">
        <v>19</v>
      </c>
      <c r="U2230" s="5">
        <f>IF(Merge1[[#This Row],[team_defense_snaps]]=0, "", Merge1[[#This Row],[defense_snaps]] / Merge1[[#This Row],[team_defense_snaps]])</f>
        <v>0.2087912087912088</v>
      </c>
      <c r="V2230">
        <v>91</v>
      </c>
      <c r="W2230">
        <v>0</v>
      </c>
      <c r="X2230" s="5" t="s">
        <v>29</v>
      </c>
      <c r="Y2230">
        <v>4</v>
      </c>
      <c r="Z2230">
        <v>0</v>
      </c>
      <c r="AA2230" t="s">
        <v>25</v>
      </c>
      <c r="AB2230" t="s">
        <v>26</v>
      </c>
      <c r="AC2230" t="s">
        <v>27</v>
      </c>
      <c r="AD2230" t="s">
        <v>28</v>
      </c>
      <c r="AE2230" t="s">
        <v>25</v>
      </c>
      <c r="AF22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0.63157894736842102</v>
      </c>
      <c r="AG2230" t="s">
        <v>942</v>
      </c>
      <c r="AH2230">
        <v>61.5</v>
      </c>
      <c r="AI2230" t="s">
        <v>939</v>
      </c>
      <c r="AJ2230">
        <v>1</v>
      </c>
      <c r="AK22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MIN(AJ2230/8, 1) +
  Merge1[[#This Row],[index_defensive_effort]],
  2
)</f>
        <v>1.36</v>
      </c>
    </row>
    <row r="2231" spans="1:37" x14ac:dyDescent="0.25">
      <c r="A2231" t="s">
        <v>633</v>
      </c>
      <c r="B2231" t="s">
        <v>634</v>
      </c>
      <c r="C2231">
        <v>27</v>
      </c>
      <c r="D2231" t="s">
        <v>56</v>
      </c>
      <c r="E2231">
        <v>72</v>
      </c>
      <c r="F2231">
        <v>203</v>
      </c>
      <c r="G2231" t="s">
        <v>235</v>
      </c>
      <c r="H2231">
        <v>2020</v>
      </c>
      <c r="I2231" t="s">
        <v>33</v>
      </c>
      <c r="J2231">
        <v>4</v>
      </c>
      <c r="K2231">
        <v>5</v>
      </c>
      <c r="L2231">
        <v>3</v>
      </c>
      <c r="M2231">
        <v>1</v>
      </c>
      <c r="N2231">
        <v>4</v>
      </c>
      <c r="O2231">
        <v>0</v>
      </c>
      <c r="P2231">
        <v>0</v>
      </c>
      <c r="Q2231">
        <v>0</v>
      </c>
      <c r="R2231">
        <v>0</v>
      </c>
      <c r="S2231">
        <v>59</v>
      </c>
      <c r="T2231">
        <v>59</v>
      </c>
      <c r="U2231" s="5">
        <f>IF(Merge1[[#This Row],[team_defense_snaps]]=0, "", Merge1[[#This Row],[defense_snaps]] / Merge1[[#This Row],[team_defense_snaps]])</f>
        <v>0.86764705882352944</v>
      </c>
      <c r="V2231">
        <v>68</v>
      </c>
      <c r="W2231">
        <v>0</v>
      </c>
      <c r="X2231" s="5" t="s">
        <v>29</v>
      </c>
      <c r="Y2231">
        <v>4</v>
      </c>
      <c r="Z2231">
        <v>0</v>
      </c>
      <c r="AA2231" t="s">
        <v>25</v>
      </c>
      <c r="AB2231" t="s">
        <v>26</v>
      </c>
      <c r="AC2231" t="s">
        <v>27</v>
      </c>
      <c r="AD2231" t="s">
        <v>42</v>
      </c>
      <c r="AE2231" t="s">
        <v>25</v>
      </c>
      <c r="AF22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0.11864406779661017</v>
      </c>
      <c r="AG2231" t="s">
        <v>942</v>
      </c>
      <c r="AH2231">
        <v>55.5</v>
      </c>
      <c r="AI2231" t="s">
        <v>939</v>
      </c>
      <c r="AJ2231">
        <v>2</v>
      </c>
      <c r="AK22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MIN(AJ2231/8, 1) +
  Merge1[[#This Row],[index_defensive_effort]],
  2
)</f>
        <v>0.97</v>
      </c>
    </row>
    <row r="2232" spans="1:37" x14ac:dyDescent="0.25">
      <c r="A2232" t="s">
        <v>633</v>
      </c>
      <c r="B2232" t="s">
        <v>634</v>
      </c>
      <c r="C2232">
        <v>27</v>
      </c>
      <c r="D2232" t="s">
        <v>56</v>
      </c>
      <c r="E2232">
        <v>72</v>
      </c>
      <c r="F2232">
        <v>203</v>
      </c>
      <c r="G2232" t="s">
        <v>235</v>
      </c>
      <c r="H2232">
        <v>2020</v>
      </c>
      <c r="I2232" t="s">
        <v>33</v>
      </c>
      <c r="J2232">
        <v>5</v>
      </c>
      <c r="K2232">
        <v>2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50</v>
      </c>
      <c r="T2232">
        <v>50</v>
      </c>
      <c r="U2232" s="5">
        <f>IF(Merge1[[#This Row],[team_defense_snaps]]=0, "", Merge1[[#This Row],[defense_snaps]] / Merge1[[#This Row],[team_defense_snaps]])</f>
        <v>0.79365079365079361</v>
      </c>
      <c r="V2232">
        <v>63</v>
      </c>
      <c r="W2232">
        <v>0</v>
      </c>
      <c r="X2232" s="5" t="s">
        <v>29</v>
      </c>
      <c r="Y2232">
        <v>4</v>
      </c>
      <c r="Z2232">
        <v>0</v>
      </c>
      <c r="AA2232" t="s">
        <v>25</v>
      </c>
      <c r="AB2232" t="s">
        <v>26</v>
      </c>
      <c r="AC2232" t="s">
        <v>27</v>
      </c>
      <c r="AD2232" t="s">
        <v>42</v>
      </c>
      <c r="AE2232" t="s">
        <v>25</v>
      </c>
      <c r="AF22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0.04</v>
      </c>
      <c r="AG2232" t="s">
        <v>942</v>
      </c>
      <c r="AH2232">
        <v>48</v>
      </c>
      <c r="AI2232" t="s">
        <v>939</v>
      </c>
      <c r="AJ2232">
        <v>3</v>
      </c>
      <c r="AK22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MIN(AJ2232/8, 1) +
  Merge1[[#This Row],[index_defensive_effort]],
  2
)</f>
        <v>1.02</v>
      </c>
    </row>
    <row r="2233" spans="1:37" x14ac:dyDescent="0.25">
      <c r="A2233" t="s">
        <v>633</v>
      </c>
      <c r="B2233" t="s">
        <v>634</v>
      </c>
      <c r="C2233">
        <v>27</v>
      </c>
      <c r="D2233" t="s">
        <v>56</v>
      </c>
      <c r="E2233">
        <v>72</v>
      </c>
      <c r="F2233">
        <v>203</v>
      </c>
      <c r="G2233" t="s">
        <v>235</v>
      </c>
      <c r="H2233">
        <v>2020</v>
      </c>
      <c r="I2233" t="s">
        <v>33</v>
      </c>
      <c r="J2233">
        <v>6</v>
      </c>
      <c r="K2233">
        <v>3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34</v>
      </c>
      <c r="T2233">
        <v>34</v>
      </c>
      <c r="U2233" s="5">
        <f>IF(Merge1[[#This Row],[team_defense_snaps]]=0, "", Merge1[[#This Row],[defense_snaps]] / Merge1[[#This Row],[team_defense_snaps]])</f>
        <v>0.53968253968253965</v>
      </c>
      <c r="V2233">
        <v>63</v>
      </c>
      <c r="W2233">
        <v>0</v>
      </c>
      <c r="X2233" s="5" t="s">
        <v>29</v>
      </c>
      <c r="Y2233">
        <v>4</v>
      </c>
      <c r="Z2233">
        <v>0</v>
      </c>
      <c r="AA2233" t="s">
        <v>25</v>
      </c>
      <c r="AB2233" t="s">
        <v>26</v>
      </c>
      <c r="AC2233" t="s">
        <v>27</v>
      </c>
      <c r="AD2233" t="s">
        <v>42</v>
      </c>
      <c r="AE2233" t="s">
        <v>25</v>
      </c>
      <c r="AF22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8.8235294117647065E-2</v>
      </c>
      <c r="AG2233" t="s">
        <v>942</v>
      </c>
      <c r="AH2233">
        <v>63</v>
      </c>
      <c r="AI2233" t="s">
        <v>939</v>
      </c>
      <c r="AJ2233">
        <v>4</v>
      </c>
      <c r="AK22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MIN(AJ2233/8, 1) +
  Merge1[[#This Row],[index_defensive_effort]],
  2
)</f>
        <v>1.19</v>
      </c>
    </row>
    <row r="2234" spans="1:37" x14ac:dyDescent="0.25">
      <c r="A2234" t="s">
        <v>633</v>
      </c>
      <c r="B2234" t="s">
        <v>634</v>
      </c>
      <c r="C2234">
        <v>27</v>
      </c>
      <c r="D2234" t="s">
        <v>56</v>
      </c>
      <c r="E2234">
        <v>72</v>
      </c>
      <c r="F2234">
        <v>203</v>
      </c>
      <c r="G2234" t="s">
        <v>235</v>
      </c>
      <c r="H2234">
        <v>2020</v>
      </c>
      <c r="I2234" t="s">
        <v>33</v>
      </c>
      <c r="J2234">
        <v>7</v>
      </c>
      <c r="K2234">
        <v>2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52</v>
      </c>
      <c r="T2234">
        <v>52</v>
      </c>
      <c r="U2234" s="5">
        <f>IF(Merge1[[#This Row],[team_defense_snaps]]=0, "", Merge1[[#This Row],[defense_snaps]] / Merge1[[#This Row],[team_defense_snaps]])</f>
        <v>0.96296296296296291</v>
      </c>
      <c r="V2234">
        <v>54</v>
      </c>
      <c r="W2234">
        <v>0</v>
      </c>
      <c r="X2234" s="5" t="s">
        <v>29</v>
      </c>
      <c r="Y2234">
        <v>4</v>
      </c>
      <c r="Z2234">
        <v>0</v>
      </c>
      <c r="AA2234" t="s">
        <v>25</v>
      </c>
      <c r="AB2234" t="s">
        <v>26</v>
      </c>
      <c r="AC2234" t="s">
        <v>27</v>
      </c>
      <c r="AD2234" t="s">
        <v>42</v>
      </c>
      <c r="AE2234" t="s">
        <v>25</v>
      </c>
      <c r="AF22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3.8461538461538464E-2</v>
      </c>
      <c r="AG2234" t="s">
        <v>942</v>
      </c>
      <c r="AH2234">
        <v>49.5</v>
      </c>
      <c r="AI2234" t="s">
        <v>939</v>
      </c>
      <c r="AJ2234">
        <v>5</v>
      </c>
      <c r="AK22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MIN(AJ2234/8, 1) +
  Merge1[[#This Row],[index_defensive_effort]],
  2
)</f>
        <v>1.26</v>
      </c>
    </row>
    <row r="2235" spans="1:37" x14ac:dyDescent="0.25">
      <c r="A2235" t="s">
        <v>633</v>
      </c>
      <c r="B2235" t="s">
        <v>634</v>
      </c>
      <c r="C2235">
        <v>27</v>
      </c>
      <c r="D2235" t="s">
        <v>56</v>
      </c>
      <c r="E2235">
        <v>72</v>
      </c>
      <c r="F2235">
        <v>203</v>
      </c>
      <c r="G2235" t="s">
        <v>235</v>
      </c>
      <c r="H2235">
        <v>2020</v>
      </c>
      <c r="I2235" t="s">
        <v>33</v>
      </c>
      <c r="J2235">
        <v>8</v>
      </c>
      <c r="K2235">
        <v>6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61</v>
      </c>
      <c r="T2235">
        <v>52</v>
      </c>
      <c r="U2235" s="5">
        <f>IF(Merge1[[#This Row],[team_defense_snaps]]=0, "", Merge1[[#This Row],[defense_snaps]] / Merge1[[#This Row],[team_defense_snaps]])</f>
        <v>0.82539682539682535</v>
      </c>
      <c r="V2235">
        <v>63</v>
      </c>
      <c r="W2235">
        <v>9</v>
      </c>
      <c r="X2235" s="5" t="s">
        <v>158</v>
      </c>
      <c r="Y2235">
        <v>4</v>
      </c>
      <c r="Z2235">
        <v>0</v>
      </c>
      <c r="AA2235" t="s">
        <v>25</v>
      </c>
      <c r="AB2235" t="s">
        <v>26</v>
      </c>
      <c r="AC2235" t="s">
        <v>27</v>
      </c>
      <c r="AD2235" t="s">
        <v>42</v>
      </c>
      <c r="AE2235" t="s">
        <v>25</v>
      </c>
      <c r="AF22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9.8360655737704916E-2</v>
      </c>
      <c r="AG2235" t="s">
        <v>942</v>
      </c>
      <c r="AH2235">
        <v>52.5</v>
      </c>
      <c r="AI2235" t="s">
        <v>939</v>
      </c>
      <c r="AJ2235">
        <v>6</v>
      </c>
      <c r="AK22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MIN(AJ2235/8, 1) +
  Merge1[[#This Row],[index_defensive_effort]],
  2
)</f>
        <v>1.45</v>
      </c>
    </row>
    <row r="2236" spans="1:37" x14ac:dyDescent="0.25">
      <c r="A2236" t="s">
        <v>633</v>
      </c>
      <c r="B2236" t="s">
        <v>634</v>
      </c>
      <c r="C2236">
        <v>27</v>
      </c>
      <c r="D2236" t="s">
        <v>56</v>
      </c>
      <c r="E2236">
        <v>72</v>
      </c>
      <c r="F2236">
        <v>203</v>
      </c>
      <c r="G2236" t="s">
        <v>235</v>
      </c>
      <c r="H2236">
        <v>2020</v>
      </c>
      <c r="I2236" t="s">
        <v>33</v>
      </c>
      <c r="J2236">
        <v>11</v>
      </c>
      <c r="K2236">
        <v>1</v>
      </c>
      <c r="L2236">
        <v>5</v>
      </c>
      <c r="M2236">
        <v>0</v>
      </c>
      <c r="N2236">
        <v>5</v>
      </c>
      <c r="O2236">
        <v>0</v>
      </c>
      <c r="P2236">
        <v>0</v>
      </c>
      <c r="Q2236">
        <v>0</v>
      </c>
      <c r="R2236">
        <v>0</v>
      </c>
      <c r="S2236">
        <v>67</v>
      </c>
      <c r="T2236">
        <v>62</v>
      </c>
      <c r="U2236" s="5">
        <f>IF(Merge1[[#This Row],[team_defense_snaps]]=0, "", Merge1[[#This Row],[defense_snaps]] / Merge1[[#This Row],[team_defense_snaps]])</f>
        <v>1</v>
      </c>
      <c r="V2236">
        <v>62</v>
      </c>
      <c r="W2236">
        <v>5</v>
      </c>
      <c r="X2236" s="5" t="s">
        <v>59</v>
      </c>
      <c r="Y2236">
        <v>4</v>
      </c>
      <c r="Z2236">
        <v>0</v>
      </c>
      <c r="AA2236" t="s">
        <v>25</v>
      </c>
      <c r="AB2236" t="s">
        <v>26</v>
      </c>
      <c r="AC2236" t="s">
        <v>27</v>
      </c>
      <c r="AD2236" t="s">
        <v>42</v>
      </c>
      <c r="AE2236" t="s">
        <v>25</v>
      </c>
      <c r="AF22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5.2238805970149252E-2</v>
      </c>
      <c r="AG2236" t="s">
        <v>942</v>
      </c>
      <c r="AH2236">
        <v>66</v>
      </c>
      <c r="AI2236" t="s">
        <v>939</v>
      </c>
      <c r="AJ2236">
        <v>1</v>
      </c>
      <c r="AK22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MIN(AJ2236/8, 1) +
  Merge1[[#This Row],[index_defensive_effort]],
  2
)</f>
        <v>0.78</v>
      </c>
    </row>
    <row r="2237" spans="1:37" x14ac:dyDescent="0.25">
      <c r="A2237" t="s">
        <v>633</v>
      </c>
      <c r="B2237" t="s">
        <v>634</v>
      </c>
      <c r="C2237">
        <v>27</v>
      </c>
      <c r="D2237" t="s">
        <v>56</v>
      </c>
      <c r="E2237">
        <v>72</v>
      </c>
      <c r="F2237">
        <v>203</v>
      </c>
      <c r="G2237" t="s">
        <v>235</v>
      </c>
      <c r="H2237">
        <v>2020</v>
      </c>
      <c r="I2237" t="s">
        <v>33</v>
      </c>
      <c r="J2237">
        <v>12</v>
      </c>
      <c r="K2237">
        <v>4</v>
      </c>
      <c r="L2237">
        <v>0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89</v>
      </c>
      <c r="T2237">
        <v>79</v>
      </c>
      <c r="U2237" s="5">
        <f>IF(Merge1[[#This Row],[team_defense_snaps]]=0, "", Merge1[[#This Row],[defense_snaps]] / Merge1[[#This Row],[team_defense_snaps]])</f>
        <v>0.97530864197530864</v>
      </c>
      <c r="V2237">
        <v>81</v>
      </c>
      <c r="W2237">
        <v>10</v>
      </c>
      <c r="X2237" s="5" t="s">
        <v>334</v>
      </c>
      <c r="Y2237">
        <v>4</v>
      </c>
      <c r="Z2237">
        <v>0</v>
      </c>
      <c r="AA2237" t="s">
        <v>25</v>
      </c>
      <c r="AB2237" t="s">
        <v>26</v>
      </c>
      <c r="AC2237" t="s">
        <v>27</v>
      </c>
      <c r="AD2237" t="s">
        <v>42</v>
      </c>
      <c r="AE2237" t="s">
        <v>25</v>
      </c>
      <c r="AF22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6.741573033707865E-2</v>
      </c>
      <c r="AG2237" t="s">
        <v>942</v>
      </c>
      <c r="AH2237">
        <v>69</v>
      </c>
      <c r="AI2237" t="s">
        <v>939</v>
      </c>
      <c r="AJ2237">
        <v>2</v>
      </c>
      <c r="AK22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MIN(AJ2237/8, 1) +
  Merge1[[#This Row],[index_defensive_effort]],
  2
)</f>
        <v>0.92</v>
      </c>
    </row>
    <row r="2238" spans="1:37" x14ac:dyDescent="0.25">
      <c r="A2238" t="s">
        <v>633</v>
      </c>
      <c r="B2238" t="s">
        <v>634</v>
      </c>
      <c r="C2238">
        <v>27</v>
      </c>
      <c r="D2238" t="s">
        <v>56</v>
      </c>
      <c r="E2238">
        <v>72</v>
      </c>
      <c r="F2238">
        <v>203</v>
      </c>
      <c r="G2238" t="s">
        <v>235</v>
      </c>
      <c r="H2238">
        <v>2020</v>
      </c>
      <c r="I2238" t="s">
        <v>33</v>
      </c>
      <c r="J2238">
        <v>13</v>
      </c>
      <c r="K2238">
        <v>3</v>
      </c>
      <c r="L2238">
        <v>5</v>
      </c>
      <c r="M2238">
        <v>2</v>
      </c>
      <c r="N2238">
        <v>7</v>
      </c>
      <c r="O2238">
        <v>0</v>
      </c>
      <c r="P2238">
        <v>0</v>
      </c>
      <c r="Q2238">
        <v>0</v>
      </c>
      <c r="R2238">
        <v>0</v>
      </c>
      <c r="S2238">
        <v>78</v>
      </c>
      <c r="T2238">
        <v>68</v>
      </c>
      <c r="U2238" s="5">
        <f>IF(Merge1[[#This Row],[team_defense_snaps]]=0, "", Merge1[[#This Row],[defense_snaps]] / Merge1[[#This Row],[team_defense_snaps]])</f>
        <v>0.97142857142857142</v>
      </c>
      <c r="V2238">
        <v>70</v>
      </c>
      <c r="W2238">
        <v>10</v>
      </c>
      <c r="X2238" s="5" t="s">
        <v>60</v>
      </c>
      <c r="Y2238">
        <v>4</v>
      </c>
      <c r="Z2238">
        <v>0</v>
      </c>
      <c r="AA2238" t="s">
        <v>25</v>
      </c>
      <c r="AB2238" t="s">
        <v>26</v>
      </c>
      <c r="AC2238" t="s">
        <v>27</v>
      </c>
      <c r="AD2238" t="s">
        <v>42</v>
      </c>
      <c r="AE2238" t="s">
        <v>25</v>
      </c>
      <c r="AF22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2238" t="s">
        <v>942</v>
      </c>
      <c r="AH2238">
        <v>67.5</v>
      </c>
      <c r="AI2238" t="s">
        <v>939</v>
      </c>
      <c r="AJ2238">
        <v>3</v>
      </c>
      <c r="AK22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MIN(AJ2238/8, 1) +
  Merge1[[#This Row],[index_defensive_effort]],
  2
)</f>
        <v>1.06</v>
      </c>
    </row>
    <row r="2239" spans="1:37" x14ac:dyDescent="0.25">
      <c r="A2239" t="s">
        <v>633</v>
      </c>
      <c r="B2239" t="s">
        <v>634</v>
      </c>
      <c r="C2239">
        <v>27</v>
      </c>
      <c r="D2239" t="s">
        <v>56</v>
      </c>
      <c r="E2239">
        <v>72</v>
      </c>
      <c r="F2239">
        <v>203</v>
      </c>
      <c r="G2239" t="s">
        <v>235</v>
      </c>
      <c r="H2239">
        <v>2020</v>
      </c>
      <c r="I2239" t="s">
        <v>33</v>
      </c>
      <c r="J2239">
        <v>14</v>
      </c>
      <c r="K2239">
        <v>1</v>
      </c>
      <c r="L2239">
        <v>1</v>
      </c>
      <c r="M2239">
        <v>1</v>
      </c>
      <c r="N2239">
        <v>2</v>
      </c>
      <c r="O2239">
        <v>0</v>
      </c>
      <c r="P2239">
        <v>0</v>
      </c>
      <c r="Q2239">
        <v>0</v>
      </c>
      <c r="R2239">
        <v>0</v>
      </c>
      <c r="S2239">
        <v>31</v>
      </c>
      <c r="T2239">
        <v>23</v>
      </c>
      <c r="U2239" s="5">
        <f>IF(Merge1[[#This Row],[team_defense_snaps]]=0, "", Merge1[[#This Row],[defense_snaps]] / Merge1[[#This Row],[team_defense_snaps]])</f>
        <v>0.45098039215686275</v>
      </c>
      <c r="V2239">
        <v>51</v>
      </c>
      <c r="W2239">
        <v>8</v>
      </c>
      <c r="X2239" s="5" t="s">
        <v>158</v>
      </c>
      <c r="Y2239">
        <v>4</v>
      </c>
      <c r="Z2239">
        <v>0</v>
      </c>
      <c r="AA2239" t="s">
        <v>25</v>
      </c>
      <c r="AB2239" t="s">
        <v>26</v>
      </c>
      <c r="AC2239" t="s">
        <v>27</v>
      </c>
      <c r="AD2239" t="s">
        <v>42</v>
      </c>
      <c r="AE2239" t="s">
        <v>25</v>
      </c>
      <c r="AF22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6.4516129032258063E-2</v>
      </c>
      <c r="AG2239" t="s">
        <v>942</v>
      </c>
      <c r="AH2239">
        <v>57</v>
      </c>
      <c r="AI2239" t="s">
        <v>939</v>
      </c>
      <c r="AJ2239">
        <v>4</v>
      </c>
      <c r="AK22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MIN(AJ2239/8, 1) +
  Merge1[[#This Row],[index_defensive_effort]],
  2
)</f>
        <v>1.1599999999999999</v>
      </c>
    </row>
    <row r="2240" spans="1:37" x14ac:dyDescent="0.25">
      <c r="A2240" t="s">
        <v>633</v>
      </c>
      <c r="B2240" t="s">
        <v>634</v>
      </c>
      <c r="C2240">
        <v>27</v>
      </c>
      <c r="D2240" t="s">
        <v>56</v>
      </c>
      <c r="E2240">
        <v>72</v>
      </c>
      <c r="F2240">
        <v>203</v>
      </c>
      <c r="G2240" t="s">
        <v>235</v>
      </c>
      <c r="H2240">
        <v>2020</v>
      </c>
      <c r="I2240" t="s">
        <v>33</v>
      </c>
      <c r="J2240">
        <v>16</v>
      </c>
      <c r="K2240">
        <v>3</v>
      </c>
      <c r="L2240">
        <v>2</v>
      </c>
      <c r="M2240">
        <v>1</v>
      </c>
      <c r="N2240">
        <v>3</v>
      </c>
      <c r="O2240">
        <v>0</v>
      </c>
      <c r="P2240">
        <v>0</v>
      </c>
      <c r="Q2240">
        <v>0</v>
      </c>
      <c r="R2240">
        <v>0</v>
      </c>
      <c r="S2240">
        <v>43</v>
      </c>
      <c r="T2240">
        <v>34</v>
      </c>
      <c r="U2240" s="5">
        <f>IF(Merge1[[#This Row],[team_defense_snaps]]=0, "", Merge1[[#This Row],[defense_snaps]] / Merge1[[#This Row],[team_defense_snaps]])</f>
        <v>0.65384615384615385</v>
      </c>
      <c r="V2240">
        <v>52</v>
      </c>
      <c r="W2240">
        <v>9</v>
      </c>
      <c r="X2240" s="5" t="s">
        <v>261</v>
      </c>
      <c r="Y2240">
        <v>4</v>
      </c>
      <c r="Z2240">
        <v>0</v>
      </c>
      <c r="AA2240" t="s">
        <v>25</v>
      </c>
      <c r="AB2240" t="s">
        <v>26</v>
      </c>
      <c r="AC2240" t="s">
        <v>27</v>
      </c>
      <c r="AD2240" t="s">
        <v>28</v>
      </c>
      <c r="AE2240" t="s">
        <v>25</v>
      </c>
      <c r="AF22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0.10465116279069768</v>
      </c>
      <c r="AG2240" t="s">
        <v>942</v>
      </c>
      <c r="AH2240">
        <v>64.5</v>
      </c>
      <c r="AI2240" t="s">
        <v>939</v>
      </c>
      <c r="AJ2240">
        <v>1</v>
      </c>
      <c r="AK22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MIN(AJ2240/8, 1) +
  Merge1[[#This Row],[index_defensive_effort]],
  2
)</f>
        <v>0.83</v>
      </c>
    </row>
    <row r="2241" spans="1:37" x14ac:dyDescent="0.25">
      <c r="A2241" t="s">
        <v>633</v>
      </c>
      <c r="B2241" t="s">
        <v>634</v>
      </c>
      <c r="C2241">
        <v>27</v>
      </c>
      <c r="D2241" t="s">
        <v>56</v>
      </c>
      <c r="E2241">
        <v>72</v>
      </c>
      <c r="F2241">
        <v>203</v>
      </c>
      <c r="G2241" t="s">
        <v>235</v>
      </c>
      <c r="H2241">
        <v>2020</v>
      </c>
      <c r="I2241" t="s">
        <v>33</v>
      </c>
      <c r="J2241">
        <v>17</v>
      </c>
      <c r="K2241">
        <v>3</v>
      </c>
      <c r="L2241">
        <v>1</v>
      </c>
      <c r="M2241">
        <v>0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82</v>
      </c>
      <c r="T2241">
        <v>74</v>
      </c>
      <c r="U2241" s="5">
        <f>IF(Merge1[[#This Row],[team_defense_snaps]]=0, "", Merge1[[#This Row],[defense_snaps]] / Merge1[[#This Row],[team_defense_snaps]])</f>
        <v>1</v>
      </c>
      <c r="V2241">
        <v>74</v>
      </c>
      <c r="W2241">
        <v>8</v>
      </c>
      <c r="X2241" s="5" t="s">
        <v>108</v>
      </c>
      <c r="Y2241">
        <v>4</v>
      </c>
      <c r="Z2241">
        <v>0</v>
      </c>
      <c r="AA2241" t="s">
        <v>25</v>
      </c>
      <c r="AB2241" t="s">
        <v>26</v>
      </c>
      <c r="AC2241" t="s">
        <v>27</v>
      </c>
      <c r="AD2241" t="s">
        <v>42</v>
      </c>
      <c r="AE2241" t="s">
        <v>25</v>
      </c>
      <c r="AF22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4.2682926829268296E-2</v>
      </c>
      <c r="AG2241" t="s">
        <v>942</v>
      </c>
      <c r="AH2241">
        <v>54</v>
      </c>
      <c r="AI2241" t="s">
        <v>939</v>
      </c>
      <c r="AJ2241">
        <v>2</v>
      </c>
      <c r="AK22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MIN(AJ2241/8, 1) +
  Merge1[[#This Row],[index_defensive_effort]],
  2
)</f>
        <v>0.89</v>
      </c>
    </row>
    <row r="2242" spans="1:37" x14ac:dyDescent="0.25">
      <c r="A2242" t="s">
        <v>639</v>
      </c>
      <c r="B2242" t="s">
        <v>640</v>
      </c>
      <c r="C2242">
        <v>25</v>
      </c>
      <c r="D2242" t="s">
        <v>56</v>
      </c>
      <c r="E2242">
        <v>72</v>
      </c>
      <c r="F2242">
        <v>179</v>
      </c>
      <c r="G2242" t="s">
        <v>339</v>
      </c>
      <c r="H2242">
        <v>2020</v>
      </c>
      <c r="I2242" t="s">
        <v>33</v>
      </c>
      <c r="J2242">
        <v>1</v>
      </c>
      <c r="K2242">
        <v>3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57</v>
      </c>
      <c r="T2242">
        <v>56</v>
      </c>
      <c r="U2242" s="5">
        <f>IF(Merge1[[#This Row],[team_defense_snaps]]=0, "", Merge1[[#This Row],[defense_snaps]] / Merge1[[#This Row],[team_defense_snaps]])</f>
        <v>1</v>
      </c>
      <c r="V2242">
        <v>56</v>
      </c>
      <c r="W2242">
        <v>1</v>
      </c>
      <c r="X2242" s="5" t="s">
        <v>193</v>
      </c>
      <c r="Y2242">
        <v>2</v>
      </c>
      <c r="Z2242">
        <v>0</v>
      </c>
      <c r="AA2242" t="s">
        <v>25</v>
      </c>
      <c r="AB2242" t="s">
        <v>26</v>
      </c>
      <c r="AC2242" t="s">
        <v>27</v>
      </c>
      <c r="AD2242" t="s">
        <v>42</v>
      </c>
      <c r="AE2242" t="s">
        <v>25</v>
      </c>
      <c r="AF22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5.2631578947368418E-2</v>
      </c>
      <c r="AG2242" t="s">
        <v>942</v>
      </c>
      <c r="AH2242">
        <v>65</v>
      </c>
      <c r="AI2242" t="s">
        <v>939</v>
      </c>
      <c r="AJ2242">
        <v>1</v>
      </c>
      <c r="AK22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MIN(AJ2242/8, 1) +
  Merge1[[#This Row],[index_defensive_effort]],
  2
)</f>
        <v>0.57999999999999996</v>
      </c>
    </row>
    <row r="2243" spans="1:37" x14ac:dyDescent="0.25">
      <c r="A2243" t="s">
        <v>639</v>
      </c>
      <c r="B2243" t="s">
        <v>640</v>
      </c>
      <c r="C2243">
        <v>25</v>
      </c>
      <c r="D2243" t="s">
        <v>56</v>
      </c>
      <c r="E2243">
        <v>72</v>
      </c>
      <c r="F2243">
        <v>179</v>
      </c>
      <c r="G2243" t="s">
        <v>339</v>
      </c>
      <c r="H2243">
        <v>2020</v>
      </c>
      <c r="I2243" t="s">
        <v>33</v>
      </c>
      <c r="J2243">
        <v>2</v>
      </c>
      <c r="K2243">
        <v>6</v>
      </c>
      <c r="L2243">
        <v>4</v>
      </c>
      <c r="M2243">
        <v>1</v>
      </c>
      <c r="N2243">
        <v>5</v>
      </c>
      <c r="O2243">
        <v>0</v>
      </c>
      <c r="P2243">
        <v>2</v>
      </c>
      <c r="Q2243">
        <v>0</v>
      </c>
      <c r="R2243">
        <v>0</v>
      </c>
      <c r="S2243">
        <v>65</v>
      </c>
      <c r="T2243">
        <v>65</v>
      </c>
      <c r="U2243" s="5">
        <f>IF(Merge1[[#This Row],[team_defense_snaps]]=0, "", Merge1[[#This Row],[defense_snaps]] / Merge1[[#This Row],[team_defense_snaps]])</f>
        <v>0.8666666666666667</v>
      </c>
      <c r="V2243">
        <v>75</v>
      </c>
      <c r="W2243">
        <v>0</v>
      </c>
      <c r="X2243" s="5" t="s">
        <v>29</v>
      </c>
      <c r="Y2243">
        <v>2</v>
      </c>
      <c r="Z2243">
        <v>0</v>
      </c>
      <c r="AA2243" t="s">
        <v>25</v>
      </c>
      <c r="AB2243" t="s">
        <v>26</v>
      </c>
      <c r="AC2243" t="s">
        <v>27</v>
      </c>
      <c r="AD2243" t="s">
        <v>42</v>
      </c>
      <c r="AE2243" t="s">
        <v>25</v>
      </c>
      <c r="AF22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0.19230769230769232</v>
      </c>
      <c r="AG2243" t="s">
        <v>942</v>
      </c>
      <c r="AH2243">
        <v>63.5</v>
      </c>
      <c r="AI2243" t="s">
        <v>939</v>
      </c>
      <c r="AJ2243">
        <v>2</v>
      </c>
      <c r="AK22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MIN(AJ2243/8, 1) +
  Merge1[[#This Row],[index_defensive_effort]],
  2
)</f>
        <v>0.84</v>
      </c>
    </row>
    <row r="2244" spans="1:37" x14ac:dyDescent="0.25">
      <c r="A2244" t="s">
        <v>639</v>
      </c>
      <c r="B2244" t="s">
        <v>640</v>
      </c>
      <c r="C2244">
        <v>25</v>
      </c>
      <c r="D2244" t="s">
        <v>56</v>
      </c>
      <c r="E2244">
        <v>72</v>
      </c>
      <c r="F2244">
        <v>179</v>
      </c>
      <c r="G2244" t="s">
        <v>339</v>
      </c>
      <c r="H2244">
        <v>2020</v>
      </c>
      <c r="I2244" t="s">
        <v>33</v>
      </c>
      <c r="J2244">
        <v>3</v>
      </c>
      <c r="K2244">
        <v>7</v>
      </c>
      <c r="L2244">
        <v>4</v>
      </c>
      <c r="M2244">
        <v>2</v>
      </c>
      <c r="N2244">
        <v>6</v>
      </c>
      <c r="O2244">
        <v>0</v>
      </c>
      <c r="P2244">
        <v>0</v>
      </c>
      <c r="Q2244">
        <v>2</v>
      </c>
      <c r="R2244">
        <v>0</v>
      </c>
      <c r="S2244">
        <v>75</v>
      </c>
      <c r="T2244">
        <v>69</v>
      </c>
      <c r="U2244" s="5">
        <f>IF(Merge1[[#This Row],[team_defense_snaps]]=0, "", Merge1[[#This Row],[defense_snaps]] / Merge1[[#This Row],[team_defense_snaps]])</f>
        <v>1</v>
      </c>
      <c r="V2244">
        <v>69</v>
      </c>
      <c r="W2244">
        <v>6</v>
      </c>
      <c r="X2244" s="5" t="s">
        <v>135</v>
      </c>
      <c r="Y2244">
        <v>2</v>
      </c>
      <c r="Z2244">
        <v>0</v>
      </c>
      <c r="AA2244" t="s">
        <v>25</v>
      </c>
      <c r="AB2244" t="s">
        <v>26</v>
      </c>
      <c r="AC2244" t="s">
        <v>27</v>
      </c>
      <c r="AD2244" t="s">
        <v>42</v>
      </c>
      <c r="AE2244" t="s">
        <v>25</v>
      </c>
      <c r="AF22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0.24</v>
      </c>
      <c r="AG2244" t="s">
        <v>942</v>
      </c>
      <c r="AH2244">
        <v>50</v>
      </c>
      <c r="AI2244" t="s">
        <v>939</v>
      </c>
      <c r="AJ2244">
        <v>3</v>
      </c>
      <c r="AK22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MIN(AJ2244/8, 1) +
  Merge1[[#This Row],[index_defensive_effort]],
  2
)</f>
        <v>1.02</v>
      </c>
    </row>
    <row r="2245" spans="1:37" x14ac:dyDescent="0.25">
      <c r="A2245" t="s">
        <v>639</v>
      </c>
      <c r="B2245" t="s">
        <v>640</v>
      </c>
      <c r="C2245">
        <v>25</v>
      </c>
      <c r="D2245" t="s">
        <v>56</v>
      </c>
      <c r="E2245">
        <v>72</v>
      </c>
      <c r="F2245">
        <v>179</v>
      </c>
      <c r="G2245" t="s">
        <v>339</v>
      </c>
      <c r="H2245">
        <v>2020</v>
      </c>
      <c r="I2245" t="s">
        <v>33</v>
      </c>
      <c r="J2245">
        <v>4</v>
      </c>
      <c r="K2245">
        <v>0</v>
      </c>
      <c r="L2245">
        <v>1</v>
      </c>
      <c r="M2245">
        <v>0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6</v>
      </c>
      <c r="T2245">
        <v>6</v>
      </c>
      <c r="U2245" s="5">
        <f>IF(Merge1[[#This Row],[team_defense_snaps]]=0, "", Merge1[[#This Row],[defense_snaps]] / Merge1[[#This Row],[team_defense_snaps]])</f>
        <v>0.08</v>
      </c>
      <c r="V2245">
        <v>75</v>
      </c>
      <c r="W2245">
        <v>0</v>
      </c>
      <c r="X2245" s="5" t="s">
        <v>29</v>
      </c>
      <c r="Y2245">
        <v>2</v>
      </c>
      <c r="Z2245">
        <v>0</v>
      </c>
      <c r="AA2245" t="s">
        <v>25</v>
      </c>
      <c r="AB2245" t="s">
        <v>26</v>
      </c>
      <c r="AC2245" t="s">
        <v>27</v>
      </c>
      <c r="AD2245" t="s">
        <v>42</v>
      </c>
      <c r="AE2245" t="s">
        <v>25</v>
      </c>
      <c r="AF22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2245" t="s">
        <v>942</v>
      </c>
      <c r="AH2245">
        <v>51.5</v>
      </c>
      <c r="AI2245" t="s">
        <v>939</v>
      </c>
      <c r="AJ2245">
        <v>4</v>
      </c>
      <c r="AK22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MIN(AJ2245/8, 1) +
  Merge1[[#This Row],[index_defensive_effort]],
  2
)</f>
        <v>0.98</v>
      </c>
    </row>
    <row r="2246" spans="1:37" x14ac:dyDescent="0.25">
      <c r="A2246" t="s">
        <v>639</v>
      </c>
      <c r="B2246" t="s">
        <v>640</v>
      </c>
      <c r="C2246">
        <v>25</v>
      </c>
      <c r="D2246" t="s">
        <v>56</v>
      </c>
      <c r="E2246">
        <v>72</v>
      </c>
      <c r="F2246">
        <v>179</v>
      </c>
      <c r="G2246" t="s">
        <v>339</v>
      </c>
      <c r="H2246">
        <v>2020</v>
      </c>
      <c r="I2246" t="s">
        <v>33</v>
      </c>
      <c r="J2246">
        <v>8</v>
      </c>
      <c r="K2246">
        <v>2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66</v>
      </c>
      <c r="T2246">
        <v>65</v>
      </c>
      <c r="U2246" s="5">
        <f>IF(Merge1[[#This Row],[team_defense_snaps]]=0, "", Merge1[[#This Row],[defense_snaps]] / Merge1[[#This Row],[team_defense_snaps]])</f>
        <v>1</v>
      </c>
      <c r="V2246">
        <v>65</v>
      </c>
      <c r="W2246">
        <v>1</v>
      </c>
      <c r="X2246" s="5" t="s">
        <v>193</v>
      </c>
      <c r="Y2246">
        <v>2</v>
      </c>
      <c r="Z2246">
        <v>0</v>
      </c>
      <c r="AA2246" t="s">
        <v>25</v>
      </c>
      <c r="AB2246" t="s">
        <v>62</v>
      </c>
      <c r="AC2246" t="s">
        <v>27</v>
      </c>
      <c r="AD2246" t="s">
        <v>42</v>
      </c>
      <c r="AE2246" t="s">
        <v>25</v>
      </c>
      <c r="AF22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3.0303030303030304E-2</v>
      </c>
      <c r="AG2246" t="s">
        <v>942</v>
      </c>
      <c r="AH2246">
        <v>56</v>
      </c>
      <c r="AI2246" t="s">
        <v>938</v>
      </c>
      <c r="AJ2246">
        <v>1</v>
      </c>
      <c r="AK22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MIN(AJ2246/8, 1) +
  Merge1[[#This Row],[index_defensive_effort]],
  2
)</f>
        <v>0.56000000000000005</v>
      </c>
    </row>
    <row r="2247" spans="1:37" x14ac:dyDescent="0.25">
      <c r="A2247" t="s">
        <v>639</v>
      </c>
      <c r="B2247" t="s">
        <v>640</v>
      </c>
      <c r="C2247">
        <v>25</v>
      </c>
      <c r="D2247" t="s">
        <v>56</v>
      </c>
      <c r="E2247">
        <v>72</v>
      </c>
      <c r="F2247">
        <v>179</v>
      </c>
      <c r="G2247" t="s">
        <v>339</v>
      </c>
      <c r="H2247">
        <v>2020</v>
      </c>
      <c r="I2247" t="s">
        <v>33</v>
      </c>
      <c r="J2247">
        <v>9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71</v>
      </c>
      <c r="T2247">
        <v>65</v>
      </c>
      <c r="U2247" s="5">
        <f>IF(Merge1[[#This Row],[team_defense_snaps]]=0, "", Merge1[[#This Row],[defense_snaps]] / Merge1[[#This Row],[team_defense_snaps]])</f>
        <v>0.97014925373134331</v>
      </c>
      <c r="V2247">
        <v>67</v>
      </c>
      <c r="W2247">
        <v>6</v>
      </c>
      <c r="X2247" s="5" t="s">
        <v>181</v>
      </c>
      <c r="Y2247">
        <v>2</v>
      </c>
      <c r="Z2247">
        <v>0</v>
      </c>
      <c r="AA2247" t="s">
        <v>25</v>
      </c>
      <c r="AB2247" t="s">
        <v>26</v>
      </c>
      <c r="AC2247" t="s">
        <v>27</v>
      </c>
      <c r="AD2247" t="s">
        <v>42</v>
      </c>
      <c r="AE2247" t="s">
        <v>25</v>
      </c>
      <c r="AF22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2.8169014084507043E-2</v>
      </c>
      <c r="AG2247" t="s">
        <v>942</v>
      </c>
      <c r="AH2247">
        <v>48</v>
      </c>
      <c r="AI2247" t="s">
        <v>939</v>
      </c>
      <c r="AJ2247">
        <v>2</v>
      </c>
      <c r="AK22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MIN(AJ2247/8, 1) +
  Merge1[[#This Row],[index_defensive_effort]],
  2
)</f>
        <v>0.68</v>
      </c>
    </row>
    <row r="2248" spans="1:37" x14ac:dyDescent="0.25">
      <c r="A2248" t="s">
        <v>639</v>
      </c>
      <c r="B2248" t="s">
        <v>640</v>
      </c>
      <c r="C2248">
        <v>25</v>
      </c>
      <c r="D2248" t="s">
        <v>56</v>
      </c>
      <c r="E2248">
        <v>72</v>
      </c>
      <c r="F2248">
        <v>179</v>
      </c>
      <c r="G2248" t="s">
        <v>339</v>
      </c>
      <c r="H2248">
        <v>2020</v>
      </c>
      <c r="I2248" t="s">
        <v>33</v>
      </c>
      <c r="J2248">
        <v>12</v>
      </c>
      <c r="K2248">
        <v>3</v>
      </c>
      <c r="L2248">
        <v>4</v>
      </c>
      <c r="M2248">
        <v>2</v>
      </c>
      <c r="N2248">
        <v>6</v>
      </c>
      <c r="O2248">
        <v>0</v>
      </c>
      <c r="P2248">
        <v>0</v>
      </c>
      <c r="Q2248">
        <v>0</v>
      </c>
      <c r="R2248">
        <v>0</v>
      </c>
      <c r="S2248">
        <v>83</v>
      </c>
      <c r="T2248">
        <v>80</v>
      </c>
      <c r="U2248" s="5">
        <f>IF(Merge1[[#This Row],[team_defense_snaps]]=0, "", Merge1[[#This Row],[defense_snaps]] / Merge1[[#This Row],[team_defense_snaps]])</f>
        <v>0.96385542168674698</v>
      </c>
      <c r="V2248">
        <v>83</v>
      </c>
      <c r="W2248">
        <v>3</v>
      </c>
      <c r="X2248" s="5" t="s">
        <v>35</v>
      </c>
      <c r="Y2248">
        <v>2</v>
      </c>
      <c r="Z2248">
        <v>0</v>
      </c>
      <c r="AA2248" t="s">
        <v>25</v>
      </c>
      <c r="AB2248" t="s">
        <v>26</v>
      </c>
      <c r="AC2248" t="s">
        <v>27</v>
      </c>
      <c r="AD2248" t="s">
        <v>42</v>
      </c>
      <c r="AE2248" t="s">
        <v>25</v>
      </c>
      <c r="AF22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7.2289156626506021E-2</v>
      </c>
      <c r="AG2248" t="s">
        <v>942</v>
      </c>
      <c r="AH2248">
        <v>48</v>
      </c>
      <c r="AI2248" t="s">
        <v>939</v>
      </c>
      <c r="AJ2248">
        <v>1</v>
      </c>
      <c r="AK22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MIN(AJ2248/8, 1) +
  Merge1[[#This Row],[index_defensive_effort]],
  2
)</f>
        <v>0.6</v>
      </c>
    </row>
    <row r="2249" spans="1:37" x14ac:dyDescent="0.25">
      <c r="A2249" t="s">
        <v>639</v>
      </c>
      <c r="B2249" t="s">
        <v>640</v>
      </c>
      <c r="C2249">
        <v>25</v>
      </c>
      <c r="D2249" t="s">
        <v>56</v>
      </c>
      <c r="E2249">
        <v>72</v>
      </c>
      <c r="F2249">
        <v>179</v>
      </c>
      <c r="G2249" t="s">
        <v>339</v>
      </c>
      <c r="H2249">
        <v>2020</v>
      </c>
      <c r="I2249" t="s">
        <v>33</v>
      </c>
      <c r="J2249">
        <v>13</v>
      </c>
      <c r="K2249">
        <v>7</v>
      </c>
      <c r="L2249">
        <v>4</v>
      </c>
      <c r="M2249">
        <v>2</v>
      </c>
      <c r="N2249">
        <v>6</v>
      </c>
      <c r="O2249">
        <v>0</v>
      </c>
      <c r="P2249">
        <v>2</v>
      </c>
      <c r="Q2249">
        <v>0</v>
      </c>
      <c r="R2249">
        <v>0</v>
      </c>
      <c r="S2249">
        <v>64</v>
      </c>
      <c r="T2249">
        <v>60</v>
      </c>
      <c r="U2249" s="5">
        <f>IF(Merge1[[#This Row],[team_defense_snaps]]=0, "", Merge1[[#This Row],[defense_snaps]] / Merge1[[#This Row],[team_defense_snaps]])</f>
        <v>0.98360655737704916</v>
      </c>
      <c r="V2249">
        <v>61</v>
      </c>
      <c r="W2249">
        <v>4</v>
      </c>
      <c r="X2249" s="5" t="s">
        <v>124</v>
      </c>
      <c r="Y2249">
        <v>2</v>
      </c>
      <c r="Z2249">
        <v>0</v>
      </c>
      <c r="AA2249" t="s">
        <v>25</v>
      </c>
      <c r="AB2249" t="s">
        <v>26</v>
      </c>
      <c r="AC2249" t="s">
        <v>27</v>
      </c>
      <c r="AD2249" t="s">
        <v>42</v>
      </c>
      <c r="AE2249" t="s">
        <v>25</v>
      </c>
      <c r="AF22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0.21875</v>
      </c>
      <c r="AG2249" t="s">
        <v>942</v>
      </c>
      <c r="AH2249">
        <v>66.5</v>
      </c>
      <c r="AI2249" t="s">
        <v>939</v>
      </c>
      <c r="AJ2249">
        <v>2</v>
      </c>
      <c r="AK22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MIN(AJ2249/8, 1) +
  Merge1[[#This Row],[index_defensive_effort]],
  2
)</f>
        <v>0.87</v>
      </c>
    </row>
    <row r="2250" spans="1:37" x14ac:dyDescent="0.25">
      <c r="A2250" t="s">
        <v>639</v>
      </c>
      <c r="B2250" t="s">
        <v>640</v>
      </c>
      <c r="C2250">
        <v>25</v>
      </c>
      <c r="D2250" t="s">
        <v>56</v>
      </c>
      <c r="E2250">
        <v>72</v>
      </c>
      <c r="F2250">
        <v>179</v>
      </c>
      <c r="G2250" t="s">
        <v>339</v>
      </c>
      <c r="H2250">
        <v>2020</v>
      </c>
      <c r="I2250" t="s">
        <v>33</v>
      </c>
      <c r="J2250">
        <v>14</v>
      </c>
      <c r="K2250">
        <v>3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2</v>
      </c>
      <c r="R2250">
        <v>0</v>
      </c>
      <c r="S2250">
        <v>26</v>
      </c>
      <c r="T2250">
        <v>25</v>
      </c>
      <c r="U2250" s="5">
        <f>IF(Merge1[[#This Row],[team_defense_snaps]]=0, "", Merge1[[#This Row],[defense_snaps]] / Merge1[[#This Row],[team_defense_snaps]])</f>
        <v>0.43859649122807015</v>
      </c>
      <c r="V2250">
        <v>57</v>
      </c>
      <c r="W2250">
        <v>1</v>
      </c>
      <c r="X2250" s="5" t="s">
        <v>193</v>
      </c>
      <c r="Y2250">
        <v>2</v>
      </c>
      <c r="Z2250">
        <v>0</v>
      </c>
      <c r="AA2250" t="s">
        <v>25</v>
      </c>
      <c r="AB2250" t="s">
        <v>26</v>
      </c>
      <c r="AC2250" t="s">
        <v>27</v>
      </c>
      <c r="AD2250" t="s">
        <v>42</v>
      </c>
      <c r="AE2250" t="s">
        <v>25</v>
      </c>
      <c r="AF22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0.42307692307692307</v>
      </c>
      <c r="AG2250" t="s">
        <v>942</v>
      </c>
      <c r="AH2250">
        <v>57.5</v>
      </c>
      <c r="AI2250" t="s">
        <v>939</v>
      </c>
      <c r="AJ2250">
        <v>3</v>
      </c>
      <c r="AK22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MIN(AJ2250/8, 1) +
  Merge1[[#This Row],[index_defensive_effort]],
  2
)</f>
        <v>1.2</v>
      </c>
    </row>
    <row r="2251" spans="1:37" x14ac:dyDescent="0.25">
      <c r="A2251" t="s">
        <v>639</v>
      </c>
      <c r="B2251" t="s">
        <v>640</v>
      </c>
      <c r="C2251">
        <v>25</v>
      </c>
      <c r="D2251" t="s">
        <v>56</v>
      </c>
      <c r="E2251">
        <v>72</v>
      </c>
      <c r="F2251">
        <v>179</v>
      </c>
      <c r="G2251" t="s">
        <v>339</v>
      </c>
      <c r="H2251">
        <v>2020</v>
      </c>
      <c r="I2251" t="s">
        <v>33</v>
      </c>
      <c r="J2251">
        <v>15</v>
      </c>
      <c r="K2251">
        <v>2</v>
      </c>
      <c r="L2251">
        <v>0</v>
      </c>
      <c r="M2251">
        <v>0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57</v>
      </c>
      <c r="T2251">
        <v>45</v>
      </c>
      <c r="U2251" s="5">
        <f>IF(Merge1[[#This Row],[team_defense_snaps]]=0, "", Merge1[[#This Row],[defense_snaps]] / Merge1[[#This Row],[team_defense_snaps]])</f>
        <v>0.69230769230769229</v>
      </c>
      <c r="V2251">
        <v>65</v>
      </c>
      <c r="W2251">
        <v>12</v>
      </c>
      <c r="X2251" s="5" t="s">
        <v>158</v>
      </c>
      <c r="Y2251">
        <v>2</v>
      </c>
      <c r="Z2251">
        <v>0</v>
      </c>
      <c r="AA2251" t="s">
        <v>25</v>
      </c>
      <c r="AB2251" t="s">
        <v>26</v>
      </c>
      <c r="AC2251" t="s">
        <v>27</v>
      </c>
      <c r="AD2251" t="s">
        <v>42</v>
      </c>
      <c r="AE2251" t="s">
        <v>25</v>
      </c>
      <c r="AF22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7.0175438596491224E-2</v>
      </c>
      <c r="AG2251" t="s">
        <v>942</v>
      </c>
      <c r="AH2251">
        <v>45.5</v>
      </c>
      <c r="AI2251" t="s">
        <v>939</v>
      </c>
      <c r="AJ2251">
        <v>4</v>
      </c>
      <c r="AK22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MIN(AJ2251/8, 1) +
  Merge1[[#This Row],[index_defensive_effort]],
  2
)</f>
        <v>0.97</v>
      </c>
    </row>
    <row r="2252" spans="1:37" x14ac:dyDescent="0.25">
      <c r="A2252" t="s">
        <v>639</v>
      </c>
      <c r="B2252" t="s">
        <v>640</v>
      </c>
      <c r="C2252">
        <v>25</v>
      </c>
      <c r="D2252" t="s">
        <v>56</v>
      </c>
      <c r="E2252">
        <v>72</v>
      </c>
      <c r="F2252">
        <v>179</v>
      </c>
      <c r="G2252" t="s">
        <v>339</v>
      </c>
      <c r="H2252">
        <v>2020</v>
      </c>
      <c r="I2252" t="s">
        <v>33</v>
      </c>
      <c r="J2252">
        <v>16</v>
      </c>
      <c r="K2252">
        <v>1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38</v>
      </c>
      <c r="T2252">
        <v>34</v>
      </c>
      <c r="U2252" s="5">
        <f>IF(Merge1[[#This Row],[team_defense_snaps]]=0, "", Merge1[[#This Row],[defense_snaps]] / Merge1[[#This Row],[team_defense_snaps]])</f>
        <v>0.68</v>
      </c>
      <c r="V2252">
        <v>50</v>
      </c>
      <c r="W2252">
        <v>4</v>
      </c>
      <c r="X2252" s="5" t="s">
        <v>212</v>
      </c>
      <c r="Y2252">
        <v>2</v>
      </c>
      <c r="Z2252">
        <v>0</v>
      </c>
      <c r="AA2252" t="s">
        <v>25</v>
      </c>
      <c r="AB2252" t="s">
        <v>26</v>
      </c>
      <c r="AC2252" t="s">
        <v>27</v>
      </c>
      <c r="AD2252" t="s">
        <v>42</v>
      </c>
      <c r="AE2252" t="s">
        <v>25</v>
      </c>
      <c r="AF22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2.6315789473684209E-2</v>
      </c>
      <c r="AG2252" t="s">
        <v>942</v>
      </c>
      <c r="AH2252">
        <v>47</v>
      </c>
      <c r="AI2252" t="s">
        <v>939</v>
      </c>
      <c r="AJ2252">
        <v>5</v>
      </c>
      <c r="AK22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MIN(AJ2252/8, 1) +
  Merge1[[#This Row],[index_defensive_effort]],
  2
)</f>
        <v>1.05</v>
      </c>
    </row>
    <row r="2253" spans="1:37" x14ac:dyDescent="0.25">
      <c r="A2253" t="s">
        <v>639</v>
      </c>
      <c r="B2253" t="s">
        <v>640</v>
      </c>
      <c r="C2253">
        <v>25</v>
      </c>
      <c r="D2253" t="s">
        <v>56</v>
      </c>
      <c r="E2253">
        <v>72</v>
      </c>
      <c r="F2253">
        <v>179</v>
      </c>
      <c r="G2253" t="s">
        <v>339</v>
      </c>
      <c r="H2253">
        <v>2020</v>
      </c>
      <c r="I2253" t="s">
        <v>33</v>
      </c>
      <c r="J2253">
        <v>17</v>
      </c>
      <c r="K2253">
        <v>3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46</v>
      </c>
      <c r="T2253">
        <v>42</v>
      </c>
      <c r="U2253" s="5">
        <f>IF(Merge1[[#This Row],[team_defense_snaps]]=0, "", Merge1[[#This Row],[defense_snaps]] / Merge1[[#This Row],[team_defense_snaps]])</f>
        <v>0.5</v>
      </c>
      <c r="V2253">
        <v>84</v>
      </c>
      <c r="W2253">
        <v>4</v>
      </c>
      <c r="X2253" s="5" t="s">
        <v>35</v>
      </c>
      <c r="Y2253">
        <v>2</v>
      </c>
      <c r="Z2253">
        <v>0</v>
      </c>
      <c r="AA2253" t="s">
        <v>25</v>
      </c>
      <c r="AB2253" t="s">
        <v>26</v>
      </c>
      <c r="AC2253" t="s">
        <v>27</v>
      </c>
      <c r="AD2253" t="s">
        <v>42</v>
      </c>
      <c r="AE2253" t="s">
        <v>25</v>
      </c>
      <c r="AF22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6.5217391304347824E-2</v>
      </c>
      <c r="AG2253" t="s">
        <v>942</v>
      </c>
      <c r="AH2253">
        <v>44</v>
      </c>
      <c r="AI2253" t="s">
        <v>939</v>
      </c>
      <c r="AJ2253">
        <v>6</v>
      </c>
      <c r="AK22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MIN(AJ2253/8, 1) +
  Merge1[[#This Row],[index_defensive_effort]],
  2
)</f>
        <v>1.22</v>
      </c>
    </row>
    <row r="2254" spans="1:37" x14ac:dyDescent="0.25">
      <c r="A2254" t="s">
        <v>639</v>
      </c>
      <c r="B2254" t="s">
        <v>640</v>
      </c>
      <c r="C2254">
        <v>25</v>
      </c>
      <c r="D2254" t="s">
        <v>56</v>
      </c>
      <c r="E2254">
        <v>72</v>
      </c>
      <c r="F2254">
        <v>179</v>
      </c>
      <c r="G2254" t="s">
        <v>339</v>
      </c>
      <c r="H2254">
        <v>2020</v>
      </c>
      <c r="I2254" t="s">
        <v>24</v>
      </c>
      <c r="J2254">
        <v>18</v>
      </c>
      <c r="K2254">
        <v>2</v>
      </c>
      <c r="L2254">
        <v>2</v>
      </c>
      <c r="M2254">
        <v>2</v>
      </c>
      <c r="N2254">
        <v>4</v>
      </c>
      <c r="O2254">
        <v>0</v>
      </c>
      <c r="P2254">
        <v>0</v>
      </c>
      <c r="Q2254">
        <v>0</v>
      </c>
      <c r="R2254">
        <v>3</v>
      </c>
      <c r="S2254">
        <v>45</v>
      </c>
      <c r="T2254">
        <v>44</v>
      </c>
      <c r="U2254" s="5">
        <f>IF(Merge1[[#This Row],[team_defense_snaps]]=0, "", Merge1[[#This Row],[defense_snaps]] / Merge1[[#This Row],[team_defense_snaps]])</f>
        <v>0.55696202531645567</v>
      </c>
      <c r="V2254">
        <v>79</v>
      </c>
      <c r="W2254">
        <v>1</v>
      </c>
      <c r="X2254" s="5" t="s">
        <v>193</v>
      </c>
      <c r="Y2254">
        <v>2</v>
      </c>
      <c r="Z2254">
        <v>0</v>
      </c>
      <c r="AA2254" t="s">
        <v>25</v>
      </c>
      <c r="AB2254" t="s">
        <v>26</v>
      </c>
      <c r="AC2254" t="s">
        <v>27</v>
      </c>
      <c r="AD2254" t="s">
        <v>42</v>
      </c>
      <c r="AE2254" t="s">
        <v>25</v>
      </c>
      <c r="AF22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0.22222222222222221</v>
      </c>
      <c r="AG2254" t="s">
        <v>942</v>
      </c>
      <c r="AH2254">
        <v>48</v>
      </c>
      <c r="AI2254" t="s">
        <v>939</v>
      </c>
      <c r="AJ2254">
        <v>7</v>
      </c>
      <c r="AK22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MIN(AJ2254/8, 1) +
  Merge1[[#This Row],[index_defensive_effort]],
  2
)</f>
        <v>1.7</v>
      </c>
    </row>
    <row r="2255" spans="1:37" x14ac:dyDescent="0.25">
      <c r="A2255" t="s">
        <v>639</v>
      </c>
      <c r="B2255" t="s">
        <v>640</v>
      </c>
      <c r="C2255">
        <v>25</v>
      </c>
      <c r="D2255" t="s">
        <v>56</v>
      </c>
      <c r="E2255">
        <v>72</v>
      </c>
      <c r="F2255">
        <v>179</v>
      </c>
      <c r="G2255" t="s">
        <v>339</v>
      </c>
      <c r="H2255">
        <v>2020</v>
      </c>
      <c r="I2255" t="s">
        <v>24</v>
      </c>
      <c r="J2255">
        <v>19</v>
      </c>
      <c r="K2255">
        <v>5</v>
      </c>
      <c r="L2255">
        <v>4</v>
      </c>
      <c r="M2255">
        <v>1</v>
      </c>
      <c r="N2255">
        <v>5</v>
      </c>
      <c r="O2255">
        <v>4</v>
      </c>
      <c r="P2255">
        <v>4</v>
      </c>
      <c r="Q2255">
        <v>0</v>
      </c>
      <c r="R2255">
        <v>0</v>
      </c>
      <c r="S2255">
        <v>38</v>
      </c>
      <c r="T2255">
        <v>37</v>
      </c>
      <c r="U2255" s="5">
        <f>IF(Merge1[[#This Row],[team_defense_snaps]]=0, "", Merge1[[#This Row],[defense_snaps]] / Merge1[[#This Row],[team_defense_snaps]])</f>
        <v>0.48684210526315791</v>
      </c>
      <c r="V2255">
        <v>76</v>
      </c>
      <c r="W2255">
        <v>1</v>
      </c>
      <c r="X2255" s="5" t="s">
        <v>193</v>
      </c>
      <c r="Y2255">
        <v>2</v>
      </c>
      <c r="Z2255">
        <v>0</v>
      </c>
      <c r="AA2255" t="s">
        <v>25</v>
      </c>
      <c r="AB2255" t="s">
        <v>26</v>
      </c>
      <c r="AC2255" t="s">
        <v>27</v>
      </c>
      <c r="AD2255" t="s">
        <v>42</v>
      </c>
      <c r="AE2255" t="s">
        <v>25</v>
      </c>
      <c r="AF22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0.72368421052631582</v>
      </c>
      <c r="AG2255" t="s">
        <v>942</v>
      </c>
      <c r="AH2255">
        <v>68</v>
      </c>
      <c r="AI2255" t="s">
        <v>939</v>
      </c>
      <c r="AJ2255">
        <v>8</v>
      </c>
      <c r="AK22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MIN(AJ2255/8, 1) +
  Merge1[[#This Row],[index_defensive_effort]],
  2
)</f>
        <v>2.3199999999999998</v>
      </c>
    </row>
    <row r="2256" spans="1:37" x14ac:dyDescent="0.25">
      <c r="A2256" t="s">
        <v>639</v>
      </c>
      <c r="B2256" t="s">
        <v>640</v>
      </c>
      <c r="C2256">
        <v>25</v>
      </c>
      <c r="D2256" t="s">
        <v>56</v>
      </c>
      <c r="E2256">
        <v>72</v>
      </c>
      <c r="F2256">
        <v>179</v>
      </c>
      <c r="G2256" t="s">
        <v>339</v>
      </c>
      <c r="H2256">
        <v>2020</v>
      </c>
      <c r="I2256" t="s">
        <v>24</v>
      </c>
      <c r="J2256">
        <v>20</v>
      </c>
      <c r="K2256">
        <v>2</v>
      </c>
      <c r="L2256">
        <v>1</v>
      </c>
      <c r="M2256">
        <v>0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36</v>
      </c>
      <c r="T2256">
        <v>35</v>
      </c>
      <c r="U2256" s="5">
        <f>IF(Merge1[[#This Row],[team_defense_snaps]]=0, "", Merge1[[#This Row],[defense_snaps]] / Merge1[[#This Row],[team_defense_snaps]])</f>
        <v>0.53846153846153844</v>
      </c>
      <c r="V2256">
        <v>65</v>
      </c>
      <c r="W2256">
        <v>1</v>
      </c>
      <c r="X2256" s="5" t="s">
        <v>303</v>
      </c>
      <c r="Y2256">
        <v>2</v>
      </c>
      <c r="Z2256">
        <v>0</v>
      </c>
      <c r="AA2256" t="s">
        <v>25</v>
      </c>
      <c r="AB2256" t="s">
        <v>26</v>
      </c>
      <c r="AC2256" t="s">
        <v>27</v>
      </c>
      <c r="AD2256" t="s">
        <v>42</v>
      </c>
      <c r="AE2256" t="s">
        <v>25</v>
      </c>
      <c r="AF22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6.9444444444444448E-2</v>
      </c>
      <c r="AG2256" t="s">
        <v>942</v>
      </c>
      <c r="AH2256">
        <v>48.5</v>
      </c>
      <c r="AI2256" t="s">
        <v>939</v>
      </c>
      <c r="AJ2256">
        <v>9</v>
      </c>
      <c r="AK22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MIN(AJ2256/8, 1) +
  Merge1[[#This Row],[index_defensive_effort]],
  2
)</f>
        <v>1.67</v>
      </c>
    </row>
    <row r="2257" spans="1:37" x14ac:dyDescent="0.25">
      <c r="A2257" t="s">
        <v>637</v>
      </c>
      <c r="B2257" t="s">
        <v>638</v>
      </c>
      <c r="C2257">
        <v>25</v>
      </c>
      <c r="D2257" t="s">
        <v>56</v>
      </c>
      <c r="E2257">
        <v>72</v>
      </c>
      <c r="F2257">
        <v>193</v>
      </c>
      <c r="G2257" t="s">
        <v>330</v>
      </c>
      <c r="H2257">
        <v>2020</v>
      </c>
      <c r="I2257" t="s">
        <v>33</v>
      </c>
      <c r="J2257">
        <v>9</v>
      </c>
      <c r="K2257">
        <v>1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27</v>
      </c>
      <c r="T2257">
        <v>15</v>
      </c>
      <c r="U2257" s="5">
        <f>IF(Merge1[[#This Row],[team_defense_snaps]]=0, "", Merge1[[#This Row],[defense_snaps]] / Merge1[[#This Row],[team_defense_snaps]])</f>
        <v>0.2</v>
      </c>
      <c r="V2257">
        <v>75</v>
      </c>
      <c r="W2257">
        <v>12</v>
      </c>
      <c r="X2257" s="5" t="s">
        <v>70</v>
      </c>
      <c r="Y2257">
        <v>2</v>
      </c>
      <c r="Z2257">
        <v>0</v>
      </c>
      <c r="AA2257" t="s">
        <v>25</v>
      </c>
      <c r="AB2257" t="s">
        <v>26</v>
      </c>
      <c r="AC2257" t="s">
        <v>27</v>
      </c>
      <c r="AD2257" t="s">
        <v>28</v>
      </c>
      <c r="AE2257" t="s">
        <v>25</v>
      </c>
      <c r="AF22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3.7037037037037035E-2</v>
      </c>
      <c r="AG2257" t="s">
        <v>942</v>
      </c>
      <c r="AH2257">
        <v>58</v>
      </c>
      <c r="AI2257" t="s">
        <v>939</v>
      </c>
      <c r="AJ2257">
        <v>1</v>
      </c>
      <c r="AK22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MIN(AJ2257/8, 1) +
  Merge1[[#This Row],[index_defensive_effort]],
  2
)</f>
        <v>0.56000000000000005</v>
      </c>
    </row>
    <row r="2258" spans="1:37" x14ac:dyDescent="0.25">
      <c r="A2258" t="s">
        <v>635</v>
      </c>
      <c r="B2258" t="s">
        <v>636</v>
      </c>
      <c r="C2258">
        <v>23</v>
      </c>
      <c r="D2258" t="s">
        <v>56</v>
      </c>
      <c r="E2258">
        <v>73</v>
      </c>
      <c r="F2258">
        <v>192</v>
      </c>
      <c r="G2258" t="s">
        <v>86</v>
      </c>
      <c r="H2258">
        <v>2020</v>
      </c>
      <c r="I2258" t="s">
        <v>33</v>
      </c>
      <c r="J2258">
        <v>1</v>
      </c>
      <c r="K2258">
        <v>5</v>
      </c>
      <c r="L2258">
        <v>0</v>
      </c>
      <c r="M2258">
        <v>0</v>
      </c>
      <c r="N2258">
        <v>0</v>
      </c>
      <c r="O2258">
        <v>0</v>
      </c>
      <c r="P2258">
        <v>2</v>
      </c>
      <c r="Q2258">
        <v>2</v>
      </c>
      <c r="R2258">
        <v>0</v>
      </c>
      <c r="S2258">
        <v>55</v>
      </c>
      <c r="T2258">
        <v>55</v>
      </c>
      <c r="U2258" s="5">
        <f>IF(Merge1[[#This Row],[team_defense_snaps]]=0, "", Merge1[[#This Row],[defense_snaps]] / Merge1[[#This Row],[team_defense_snaps]])</f>
        <v>0.93220338983050843</v>
      </c>
      <c r="V2258">
        <v>59</v>
      </c>
      <c r="W2258">
        <v>0</v>
      </c>
      <c r="X2258" s="5" t="s">
        <v>29</v>
      </c>
      <c r="Y2258">
        <v>0</v>
      </c>
      <c r="Z2258">
        <v>0</v>
      </c>
      <c r="AA2258" t="s">
        <v>25</v>
      </c>
      <c r="AB2258" t="s">
        <v>26</v>
      </c>
      <c r="AC2258" t="s">
        <v>27</v>
      </c>
      <c r="AD2258" t="s">
        <v>42</v>
      </c>
      <c r="AE2258" t="s">
        <v>25</v>
      </c>
      <c r="AF22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0.30909090909090908</v>
      </c>
      <c r="AG2258" t="s">
        <v>941</v>
      </c>
      <c r="AH2258">
        <v>60</v>
      </c>
      <c r="AI2258" t="s">
        <v>939</v>
      </c>
      <c r="AJ2258">
        <v>1</v>
      </c>
      <c r="AK22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MIN(AJ2258/8, 1) +
  Merge1[[#This Row],[index_defensive_effort]],
  2
)</f>
        <v>0.83</v>
      </c>
    </row>
    <row r="2259" spans="1:37" x14ac:dyDescent="0.25">
      <c r="A2259" t="s">
        <v>635</v>
      </c>
      <c r="B2259" t="s">
        <v>636</v>
      </c>
      <c r="C2259">
        <v>23</v>
      </c>
      <c r="D2259" t="s">
        <v>56</v>
      </c>
      <c r="E2259">
        <v>73</v>
      </c>
      <c r="F2259">
        <v>192</v>
      </c>
      <c r="G2259" t="s">
        <v>86</v>
      </c>
      <c r="H2259">
        <v>2020</v>
      </c>
      <c r="I2259" t="s">
        <v>33</v>
      </c>
      <c r="J2259">
        <v>2</v>
      </c>
      <c r="K2259">
        <v>8</v>
      </c>
      <c r="L2259">
        <v>1</v>
      </c>
      <c r="M2259">
        <v>0</v>
      </c>
      <c r="N2259">
        <v>1</v>
      </c>
      <c r="O2259">
        <v>0</v>
      </c>
      <c r="P2259">
        <v>1</v>
      </c>
      <c r="Q2259">
        <v>2</v>
      </c>
      <c r="R2259">
        <v>0</v>
      </c>
      <c r="S2259">
        <v>85</v>
      </c>
      <c r="T2259">
        <v>82</v>
      </c>
      <c r="U2259" s="5">
        <f>IF(Merge1[[#This Row],[team_defense_snaps]]=0, "", Merge1[[#This Row],[defense_snaps]] / Merge1[[#This Row],[team_defense_snaps]])</f>
        <v>0.97619047619047616</v>
      </c>
      <c r="V2259">
        <v>84</v>
      </c>
      <c r="W2259">
        <v>3</v>
      </c>
      <c r="X2259" s="5" t="s">
        <v>35</v>
      </c>
      <c r="Y2259">
        <v>0</v>
      </c>
      <c r="Z2259">
        <v>0</v>
      </c>
      <c r="AA2259" t="s">
        <v>25</v>
      </c>
      <c r="AB2259" t="s">
        <v>26</v>
      </c>
      <c r="AC2259" t="s">
        <v>27</v>
      </c>
      <c r="AD2259" t="s">
        <v>42</v>
      </c>
      <c r="AE2259" t="s">
        <v>25</v>
      </c>
      <c r="AF22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0.21764705882352942</v>
      </c>
      <c r="AG2259" t="s">
        <v>941</v>
      </c>
      <c r="AH2259">
        <v>60</v>
      </c>
      <c r="AI2259" t="s">
        <v>939</v>
      </c>
      <c r="AJ2259">
        <v>2</v>
      </c>
      <c r="AK22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MIN(AJ2259/8, 1) +
  Merge1[[#This Row],[index_defensive_effort]],
  2
)</f>
        <v>0.87</v>
      </c>
    </row>
    <row r="2260" spans="1:37" x14ac:dyDescent="0.25">
      <c r="A2260" t="s">
        <v>635</v>
      </c>
      <c r="B2260" t="s">
        <v>636</v>
      </c>
      <c r="C2260">
        <v>23</v>
      </c>
      <c r="D2260" t="s">
        <v>56</v>
      </c>
      <c r="E2260">
        <v>73</v>
      </c>
      <c r="F2260">
        <v>192</v>
      </c>
      <c r="G2260" t="s">
        <v>86</v>
      </c>
      <c r="H2260">
        <v>2020</v>
      </c>
      <c r="I2260" t="s">
        <v>33</v>
      </c>
      <c r="J2260">
        <v>3</v>
      </c>
      <c r="K2260">
        <v>1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22</v>
      </c>
      <c r="T2260">
        <v>22</v>
      </c>
      <c r="U2260" s="5">
        <f>IF(Merge1[[#This Row],[team_defense_snaps]]=0, "", Merge1[[#This Row],[defense_snaps]] / Merge1[[#This Row],[team_defense_snaps]])</f>
        <v>0.39285714285714285</v>
      </c>
      <c r="V2260">
        <v>56</v>
      </c>
      <c r="W2260">
        <v>0</v>
      </c>
      <c r="X2260" s="5" t="s">
        <v>29</v>
      </c>
      <c r="Y2260">
        <v>0</v>
      </c>
      <c r="Z2260">
        <v>0</v>
      </c>
      <c r="AA2260" t="s">
        <v>25</v>
      </c>
      <c r="AB2260" t="s">
        <v>26</v>
      </c>
      <c r="AC2260" t="s">
        <v>27</v>
      </c>
      <c r="AD2260" t="s">
        <v>42</v>
      </c>
      <c r="AE2260" t="s">
        <v>25</v>
      </c>
      <c r="AF22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G2260" t="s">
        <v>941</v>
      </c>
      <c r="AH2260">
        <v>80</v>
      </c>
      <c r="AI2260" t="s">
        <v>939</v>
      </c>
      <c r="AJ2260">
        <v>3</v>
      </c>
      <c r="AK22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MIN(AJ2260/8, 1) +
  Merge1[[#This Row],[index_defensive_effort]],
  2
)</f>
        <v>0.82</v>
      </c>
    </row>
    <row r="2261" spans="1:37" x14ac:dyDescent="0.25">
      <c r="A2261" t="s">
        <v>635</v>
      </c>
      <c r="B2261" t="s">
        <v>636</v>
      </c>
      <c r="C2261">
        <v>23</v>
      </c>
      <c r="D2261" t="s">
        <v>56</v>
      </c>
      <c r="E2261">
        <v>73</v>
      </c>
      <c r="F2261">
        <v>192</v>
      </c>
      <c r="G2261" t="s">
        <v>86</v>
      </c>
      <c r="H2261">
        <v>2020</v>
      </c>
      <c r="I2261" t="s">
        <v>33</v>
      </c>
      <c r="J2261">
        <v>11</v>
      </c>
      <c r="K2261">
        <v>1</v>
      </c>
      <c r="L2261">
        <v>2</v>
      </c>
      <c r="M2261">
        <v>0</v>
      </c>
      <c r="N2261">
        <v>2</v>
      </c>
      <c r="O2261">
        <v>0</v>
      </c>
      <c r="P2261">
        <v>0</v>
      </c>
      <c r="Q2261">
        <v>0</v>
      </c>
      <c r="R2261">
        <v>0</v>
      </c>
      <c r="S2261">
        <v>15</v>
      </c>
      <c r="T2261">
        <v>13</v>
      </c>
      <c r="U2261" s="5">
        <f>IF(Merge1[[#This Row],[team_defense_snaps]]=0, "", Merge1[[#This Row],[defense_snaps]] / Merge1[[#This Row],[team_defense_snaps]])</f>
        <v>0.22033898305084745</v>
      </c>
      <c r="V2261">
        <v>59</v>
      </c>
      <c r="W2261">
        <v>2</v>
      </c>
      <c r="X2261" s="5" t="s">
        <v>167</v>
      </c>
      <c r="Y2261">
        <v>0</v>
      </c>
      <c r="Z2261">
        <v>0</v>
      </c>
      <c r="AA2261" t="s">
        <v>25</v>
      </c>
      <c r="AB2261" t="s">
        <v>62</v>
      </c>
      <c r="AC2261" t="s">
        <v>27</v>
      </c>
      <c r="AD2261" t="s">
        <v>42</v>
      </c>
      <c r="AE2261" t="s">
        <v>25</v>
      </c>
      <c r="AF22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0.13333333333333333</v>
      </c>
      <c r="AG2261" t="s">
        <v>941</v>
      </c>
      <c r="AH2261">
        <v>57.5</v>
      </c>
      <c r="AI2261" t="s">
        <v>938</v>
      </c>
      <c r="AJ2261">
        <v>1</v>
      </c>
      <c r="AK22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MIN(AJ2261/8, 1) +
  Merge1[[#This Row],[index_defensive_effort]],
  2
)</f>
        <v>0.66</v>
      </c>
    </row>
    <row r="2262" spans="1:37" x14ac:dyDescent="0.25">
      <c r="A2262" t="s">
        <v>635</v>
      </c>
      <c r="B2262" t="s">
        <v>636</v>
      </c>
      <c r="C2262">
        <v>23</v>
      </c>
      <c r="D2262" t="s">
        <v>56</v>
      </c>
      <c r="E2262">
        <v>73</v>
      </c>
      <c r="F2262">
        <v>192</v>
      </c>
      <c r="G2262" t="s">
        <v>86</v>
      </c>
      <c r="H2262">
        <v>2020</v>
      </c>
      <c r="I2262" t="s">
        <v>33</v>
      </c>
      <c r="J2262">
        <v>12</v>
      </c>
      <c r="K2262">
        <v>2</v>
      </c>
      <c r="L2262">
        <v>1</v>
      </c>
      <c r="M2262">
        <v>0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37</v>
      </c>
      <c r="T2262">
        <v>32</v>
      </c>
      <c r="U2262" s="5">
        <f>IF(Merge1[[#This Row],[team_defense_snaps]]=0, "", Merge1[[#This Row],[defense_snaps]] / Merge1[[#This Row],[team_defense_snaps]])</f>
        <v>0.5423728813559322</v>
      </c>
      <c r="V2262">
        <v>59</v>
      </c>
      <c r="W2262">
        <v>5</v>
      </c>
      <c r="X2262" s="5" t="s">
        <v>124</v>
      </c>
      <c r="Y2262">
        <v>0</v>
      </c>
      <c r="Z2262">
        <v>0</v>
      </c>
      <c r="AA2262" t="s">
        <v>25</v>
      </c>
      <c r="AB2262" t="s">
        <v>26</v>
      </c>
      <c r="AC2262" t="s">
        <v>27</v>
      </c>
      <c r="AD2262" t="s">
        <v>42</v>
      </c>
      <c r="AE2262" t="s">
        <v>25</v>
      </c>
      <c r="AF22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6.7567567567567571E-2</v>
      </c>
      <c r="AG2262" t="s">
        <v>941</v>
      </c>
      <c r="AH2262">
        <v>59</v>
      </c>
      <c r="AI2262" t="s">
        <v>939</v>
      </c>
      <c r="AJ2262">
        <v>2</v>
      </c>
      <c r="AK22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MIN(AJ2262/8, 1) +
  Merge1[[#This Row],[index_defensive_effort]],
  2
)</f>
        <v>0.72</v>
      </c>
    </row>
    <row r="2263" spans="1:37" x14ac:dyDescent="0.25">
      <c r="A2263" t="s">
        <v>635</v>
      </c>
      <c r="B2263" t="s">
        <v>636</v>
      </c>
      <c r="C2263">
        <v>23</v>
      </c>
      <c r="D2263" t="s">
        <v>56</v>
      </c>
      <c r="E2263">
        <v>73</v>
      </c>
      <c r="F2263">
        <v>192</v>
      </c>
      <c r="G2263" t="s">
        <v>86</v>
      </c>
      <c r="H2263">
        <v>2020</v>
      </c>
      <c r="I2263" t="s">
        <v>33</v>
      </c>
      <c r="J2263">
        <v>13</v>
      </c>
      <c r="K2263">
        <v>4</v>
      </c>
      <c r="L2263">
        <v>2</v>
      </c>
      <c r="M2263">
        <v>0</v>
      </c>
      <c r="N2263">
        <v>2</v>
      </c>
      <c r="O2263">
        <v>0</v>
      </c>
      <c r="P2263">
        <v>0</v>
      </c>
      <c r="Q2263">
        <v>0</v>
      </c>
      <c r="R2263">
        <v>0</v>
      </c>
      <c r="S2263">
        <v>51</v>
      </c>
      <c r="T2263">
        <v>48</v>
      </c>
      <c r="U2263" s="5">
        <f>IF(Merge1[[#This Row],[team_defense_snaps]]=0, "", Merge1[[#This Row],[defense_snaps]] / Merge1[[#This Row],[team_defense_snaps]])</f>
        <v>0.71641791044776115</v>
      </c>
      <c r="V2263">
        <v>67</v>
      </c>
      <c r="W2263">
        <v>3</v>
      </c>
      <c r="X2263" s="5" t="s">
        <v>251</v>
      </c>
      <c r="Y2263">
        <v>0</v>
      </c>
      <c r="Z2263">
        <v>0</v>
      </c>
      <c r="AA2263" t="s">
        <v>25</v>
      </c>
      <c r="AB2263" t="s">
        <v>26</v>
      </c>
      <c r="AC2263" t="s">
        <v>27</v>
      </c>
      <c r="AD2263" t="s">
        <v>28</v>
      </c>
      <c r="AE2263" t="s">
        <v>25</v>
      </c>
      <c r="AF22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9.8039215686274508E-2</v>
      </c>
      <c r="AG2263" t="s">
        <v>941</v>
      </c>
      <c r="AH2263">
        <v>60</v>
      </c>
      <c r="AI2263" t="s">
        <v>939</v>
      </c>
      <c r="AJ2263">
        <v>3</v>
      </c>
      <c r="AK22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MIN(AJ2263/8, 1) +
  Merge1[[#This Row],[index_defensive_effort]],
  2
)</f>
        <v>0.87</v>
      </c>
    </row>
    <row r="2264" spans="1:37" x14ac:dyDescent="0.25">
      <c r="A2264" t="s">
        <v>635</v>
      </c>
      <c r="B2264" t="s">
        <v>636</v>
      </c>
      <c r="C2264">
        <v>23</v>
      </c>
      <c r="D2264" t="s">
        <v>56</v>
      </c>
      <c r="E2264">
        <v>73</v>
      </c>
      <c r="F2264">
        <v>192</v>
      </c>
      <c r="G2264" t="s">
        <v>86</v>
      </c>
      <c r="H2264">
        <v>2020</v>
      </c>
      <c r="I2264" t="s">
        <v>33</v>
      </c>
      <c r="J2264">
        <v>14</v>
      </c>
      <c r="K2264">
        <v>7</v>
      </c>
      <c r="L2264">
        <v>1</v>
      </c>
      <c r="M2264">
        <v>0</v>
      </c>
      <c r="N2264">
        <v>1</v>
      </c>
      <c r="O2264">
        <v>0</v>
      </c>
      <c r="P2264">
        <v>1</v>
      </c>
      <c r="Q2264">
        <v>0</v>
      </c>
      <c r="R2264">
        <v>0</v>
      </c>
      <c r="S2264">
        <v>63</v>
      </c>
      <c r="T2264">
        <v>59</v>
      </c>
      <c r="U2264" s="5">
        <f>IF(Merge1[[#This Row],[team_defense_snaps]]=0, "", Merge1[[#This Row],[defense_snaps]] / Merge1[[#This Row],[team_defense_snaps]])</f>
        <v>0.71084337349397586</v>
      </c>
      <c r="V2264">
        <v>83</v>
      </c>
      <c r="W2264">
        <v>4</v>
      </c>
      <c r="X2264" s="5" t="s">
        <v>251</v>
      </c>
      <c r="Y2264">
        <v>0</v>
      </c>
      <c r="Z2264">
        <v>0</v>
      </c>
      <c r="AA2264" t="s">
        <v>25</v>
      </c>
      <c r="AB2264" t="s">
        <v>26</v>
      </c>
      <c r="AC2264" t="s">
        <v>27</v>
      </c>
      <c r="AD2264" t="s">
        <v>28</v>
      </c>
      <c r="AE2264" t="s">
        <v>25</v>
      </c>
      <c r="AF22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0.15079365079365079</v>
      </c>
      <c r="AG2264" t="s">
        <v>941</v>
      </c>
      <c r="AH2264">
        <v>78.5</v>
      </c>
      <c r="AI2264" t="s">
        <v>939</v>
      </c>
      <c r="AJ2264">
        <v>4</v>
      </c>
      <c r="AK22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MIN(AJ2264/8, 1) +
  Merge1[[#This Row],[index_defensive_effort]],
  2
)</f>
        <v>1.05</v>
      </c>
    </row>
    <row r="2265" spans="1:37" x14ac:dyDescent="0.25">
      <c r="A2265" t="s">
        <v>635</v>
      </c>
      <c r="B2265" t="s">
        <v>636</v>
      </c>
      <c r="C2265">
        <v>23</v>
      </c>
      <c r="D2265" t="s">
        <v>56</v>
      </c>
      <c r="E2265">
        <v>73</v>
      </c>
      <c r="F2265">
        <v>192</v>
      </c>
      <c r="G2265" t="s">
        <v>86</v>
      </c>
      <c r="H2265">
        <v>2020</v>
      </c>
      <c r="I2265" t="s">
        <v>33</v>
      </c>
      <c r="J2265">
        <v>15</v>
      </c>
      <c r="K2265">
        <v>4</v>
      </c>
      <c r="L2265">
        <v>2</v>
      </c>
      <c r="M2265">
        <v>0</v>
      </c>
      <c r="N2265">
        <v>2</v>
      </c>
      <c r="O2265">
        <v>4</v>
      </c>
      <c r="P2265">
        <v>4</v>
      </c>
      <c r="Q2265">
        <v>2</v>
      </c>
      <c r="R2265">
        <v>0</v>
      </c>
      <c r="S2265">
        <v>60</v>
      </c>
      <c r="T2265">
        <v>51</v>
      </c>
      <c r="U2265" s="5">
        <f>IF(Merge1[[#This Row],[team_defense_snaps]]=0, "", Merge1[[#This Row],[defense_snaps]] / Merge1[[#This Row],[team_defense_snaps]])</f>
        <v>0.85</v>
      </c>
      <c r="V2265">
        <v>60</v>
      </c>
      <c r="W2265">
        <v>9</v>
      </c>
      <c r="X2265" s="5" t="s">
        <v>137</v>
      </c>
      <c r="Y2265">
        <v>0</v>
      </c>
      <c r="Z2265">
        <v>0</v>
      </c>
      <c r="AA2265" t="s">
        <v>25</v>
      </c>
      <c r="AB2265" t="s">
        <v>26</v>
      </c>
      <c r="AC2265" t="s">
        <v>27</v>
      </c>
      <c r="AD2265" t="s">
        <v>42</v>
      </c>
      <c r="AE2265" t="s">
        <v>25</v>
      </c>
      <c r="AF22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0.55000000000000004</v>
      </c>
      <c r="AG2265" t="s">
        <v>941</v>
      </c>
      <c r="AH2265">
        <v>65</v>
      </c>
      <c r="AI2265" t="s">
        <v>939</v>
      </c>
      <c r="AJ2265">
        <v>5</v>
      </c>
      <c r="AK22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MIN(AJ2265/8, 1) +
  Merge1[[#This Row],[index_defensive_effort]],
  2
)</f>
        <v>1.58</v>
      </c>
    </row>
    <row r="2266" spans="1:37" x14ac:dyDescent="0.25">
      <c r="A2266" t="s">
        <v>635</v>
      </c>
      <c r="B2266" t="s">
        <v>636</v>
      </c>
      <c r="C2266">
        <v>23</v>
      </c>
      <c r="D2266" t="s">
        <v>56</v>
      </c>
      <c r="E2266">
        <v>73</v>
      </c>
      <c r="F2266">
        <v>192</v>
      </c>
      <c r="G2266" t="s">
        <v>86</v>
      </c>
      <c r="H2266">
        <v>2020</v>
      </c>
      <c r="I2266" t="s">
        <v>33</v>
      </c>
      <c r="J2266">
        <v>16</v>
      </c>
      <c r="K2266">
        <v>11</v>
      </c>
      <c r="L2266">
        <v>1</v>
      </c>
      <c r="M2266">
        <v>0</v>
      </c>
      <c r="N2266">
        <v>1</v>
      </c>
      <c r="O2266">
        <v>4</v>
      </c>
      <c r="P2266">
        <v>6</v>
      </c>
      <c r="Q2266">
        <v>0</v>
      </c>
      <c r="R2266">
        <v>1</v>
      </c>
      <c r="S2266">
        <v>51</v>
      </c>
      <c r="T2266">
        <v>48</v>
      </c>
      <c r="U2266" s="5">
        <f>IF(Merge1[[#This Row],[team_defense_snaps]]=0, "", Merge1[[#This Row],[defense_snaps]] / Merge1[[#This Row],[team_defense_snaps]])</f>
        <v>0.69565217391304346</v>
      </c>
      <c r="V2266">
        <v>69</v>
      </c>
      <c r="W2266">
        <v>3</v>
      </c>
      <c r="X2266" s="5" t="s">
        <v>212</v>
      </c>
      <c r="Y2266">
        <v>0</v>
      </c>
      <c r="Z2266">
        <v>0</v>
      </c>
      <c r="AA2266" t="s">
        <v>25</v>
      </c>
      <c r="AB2266" t="s">
        <v>26</v>
      </c>
      <c r="AC2266" t="s">
        <v>27</v>
      </c>
      <c r="AD2266" t="s">
        <v>28</v>
      </c>
      <c r="AE2266" t="s">
        <v>25</v>
      </c>
      <c r="AF22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0.73529411764705888</v>
      </c>
      <c r="AG2266" t="s">
        <v>941</v>
      </c>
      <c r="AH2266">
        <v>60.5</v>
      </c>
      <c r="AI2266" t="s">
        <v>939</v>
      </c>
      <c r="AJ2266">
        <v>6</v>
      </c>
      <c r="AK22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MIN(AJ2266/8, 1) +
  Merge1[[#This Row],[index_defensive_effort]],
  2
)</f>
        <v>1.89</v>
      </c>
    </row>
    <row r="2267" spans="1:37" x14ac:dyDescent="0.25">
      <c r="A2267" t="s">
        <v>635</v>
      </c>
      <c r="B2267" t="s">
        <v>636</v>
      </c>
      <c r="C2267">
        <v>23</v>
      </c>
      <c r="D2267" t="s">
        <v>56</v>
      </c>
      <c r="E2267">
        <v>73</v>
      </c>
      <c r="F2267">
        <v>192</v>
      </c>
      <c r="G2267" t="s">
        <v>86</v>
      </c>
      <c r="H2267">
        <v>2020</v>
      </c>
      <c r="I2267" t="s">
        <v>24</v>
      </c>
      <c r="J2267">
        <v>19</v>
      </c>
      <c r="K2267">
        <v>7</v>
      </c>
      <c r="L2267">
        <v>3</v>
      </c>
      <c r="M2267">
        <v>0</v>
      </c>
      <c r="N2267">
        <v>3</v>
      </c>
      <c r="O2267">
        <v>4</v>
      </c>
      <c r="P2267">
        <v>4</v>
      </c>
      <c r="Q2267">
        <v>0</v>
      </c>
      <c r="R2267">
        <v>0</v>
      </c>
      <c r="S2267">
        <v>52</v>
      </c>
      <c r="T2267">
        <v>50</v>
      </c>
      <c r="U2267" s="5">
        <f>IF(Merge1[[#This Row],[team_defense_snaps]]=0, "", Merge1[[#This Row],[defense_snaps]] / Merge1[[#This Row],[team_defense_snaps]])</f>
        <v>0.78125</v>
      </c>
      <c r="V2267">
        <v>64</v>
      </c>
      <c r="W2267">
        <v>2</v>
      </c>
      <c r="X2267" s="5" t="s">
        <v>38</v>
      </c>
      <c r="Y2267">
        <v>0</v>
      </c>
      <c r="Z2267">
        <v>0</v>
      </c>
      <c r="AA2267" t="s">
        <v>25</v>
      </c>
      <c r="AB2267" t="s">
        <v>26</v>
      </c>
      <c r="AC2267" t="s">
        <v>27</v>
      </c>
      <c r="AD2267" t="s">
        <v>42</v>
      </c>
      <c r="AE2267" t="s">
        <v>25</v>
      </c>
      <c r="AF22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0.54807692307692313</v>
      </c>
      <c r="AG2267" t="s">
        <v>941</v>
      </c>
      <c r="AH2267">
        <v>63.5</v>
      </c>
      <c r="AI2267" t="s">
        <v>939</v>
      </c>
      <c r="AJ2267">
        <v>1</v>
      </c>
      <c r="AK22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MIN(AJ2267/8, 1) +
  Merge1[[#This Row],[index_defensive_effort]],
  2
)</f>
        <v>1.27</v>
      </c>
    </row>
    <row r="2268" spans="1:37" x14ac:dyDescent="0.25">
      <c r="A2268" t="s">
        <v>635</v>
      </c>
      <c r="B2268" t="s">
        <v>636</v>
      </c>
      <c r="C2268">
        <v>23</v>
      </c>
      <c r="D2268" t="s">
        <v>56</v>
      </c>
      <c r="E2268">
        <v>73</v>
      </c>
      <c r="F2268">
        <v>192</v>
      </c>
      <c r="G2268" t="s">
        <v>86</v>
      </c>
      <c r="H2268">
        <v>2020</v>
      </c>
      <c r="I2268" t="s">
        <v>24</v>
      </c>
      <c r="J2268">
        <v>20</v>
      </c>
      <c r="K2268">
        <v>7</v>
      </c>
      <c r="L2268">
        <v>1</v>
      </c>
      <c r="M2268">
        <v>0</v>
      </c>
      <c r="N2268">
        <v>1</v>
      </c>
      <c r="O2268">
        <v>4</v>
      </c>
      <c r="P2268">
        <v>4</v>
      </c>
      <c r="Q2268">
        <v>0</v>
      </c>
      <c r="R2268">
        <v>0</v>
      </c>
      <c r="S2268">
        <v>50</v>
      </c>
      <c r="T2268">
        <v>47</v>
      </c>
      <c r="U2268" s="5">
        <f>IF(Merge1[[#This Row],[team_defense_snaps]]=0, "", Merge1[[#This Row],[defense_snaps]] / Merge1[[#This Row],[team_defense_snaps]])</f>
        <v>0.65277777777777779</v>
      </c>
      <c r="V2268">
        <v>72</v>
      </c>
      <c r="W2268">
        <v>3</v>
      </c>
      <c r="X2268" s="5" t="s">
        <v>38</v>
      </c>
      <c r="Y2268">
        <v>0</v>
      </c>
      <c r="Z2268">
        <v>0</v>
      </c>
      <c r="AA2268" t="s">
        <v>25</v>
      </c>
      <c r="AB2268" t="s">
        <v>26</v>
      </c>
      <c r="AC2268" t="s">
        <v>27</v>
      </c>
      <c r="AD2268" t="s">
        <v>42</v>
      </c>
      <c r="AE2268" t="s">
        <v>25</v>
      </c>
      <c r="AF22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0.55000000000000004</v>
      </c>
      <c r="AG2268" t="s">
        <v>941</v>
      </c>
      <c r="AH2268">
        <v>62</v>
      </c>
      <c r="AI2268" t="s">
        <v>939</v>
      </c>
      <c r="AJ2268">
        <v>2</v>
      </c>
      <c r="AK22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MIN(AJ2268/8, 1) +
  Merge1[[#This Row],[index_defensive_effort]],
  2
)</f>
        <v>1.4</v>
      </c>
    </row>
    <row r="2269" spans="1:37" x14ac:dyDescent="0.25">
      <c r="A2269" t="s">
        <v>635</v>
      </c>
      <c r="B2269" t="s">
        <v>636</v>
      </c>
      <c r="C2269">
        <v>23</v>
      </c>
      <c r="D2269" t="s">
        <v>56</v>
      </c>
      <c r="E2269">
        <v>73</v>
      </c>
      <c r="F2269">
        <v>192</v>
      </c>
      <c r="G2269" t="s">
        <v>86</v>
      </c>
      <c r="H2269">
        <v>2020</v>
      </c>
      <c r="I2269" t="s">
        <v>24</v>
      </c>
      <c r="J2269">
        <v>21</v>
      </c>
      <c r="K2269">
        <v>2</v>
      </c>
      <c r="L2269">
        <v>1</v>
      </c>
      <c r="M2269">
        <v>0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4</v>
      </c>
      <c r="T2269">
        <v>0</v>
      </c>
      <c r="U2269" s="5" t="str">
        <f>IF(Merge1[[#This Row],[team_defense_snaps]]=0, "", Merge1[[#This Row],[defense_snaps]] / Merge1[[#This Row],[team_defense_snaps]])</f>
        <v/>
      </c>
      <c r="V2269">
        <v>0</v>
      </c>
      <c r="W2269">
        <v>4</v>
      </c>
      <c r="X2269" s="5" t="s">
        <v>168</v>
      </c>
      <c r="Y2269">
        <v>0</v>
      </c>
      <c r="Z2269">
        <v>0</v>
      </c>
      <c r="AA2269" t="s">
        <v>25</v>
      </c>
      <c r="AB2269" t="s">
        <v>26</v>
      </c>
      <c r="AC2269" t="s">
        <v>27</v>
      </c>
      <c r="AD2269" t="s">
        <v>42</v>
      </c>
      <c r="AE2269" t="s">
        <v>25</v>
      </c>
      <c r="AF22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0.625</v>
      </c>
      <c r="AG2269" t="s">
        <v>941</v>
      </c>
      <c r="AH2269">
        <v>77</v>
      </c>
      <c r="AI2269" t="s">
        <v>939</v>
      </c>
      <c r="AJ2269">
        <v>3</v>
      </c>
      <c r="AK22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MIN(AJ2269/8, 1) +
  Merge1[[#This Row],[index_defensive_effort]],
  2
)</f>
        <v>1.6</v>
      </c>
    </row>
    <row r="2270" spans="1:37" x14ac:dyDescent="0.25">
      <c r="A2270" t="s">
        <v>631</v>
      </c>
      <c r="B2270" t="s">
        <v>632</v>
      </c>
      <c r="C2270">
        <v>29</v>
      </c>
      <c r="D2270" t="s">
        <v>22</v>
      </c>
      <c r="E2270">
        <v>71</v>
      </c>
      <c r="F2270">
        <v>195</v>
      </c>
      <c r="G2270" t="s">
        <v>94</v>
      </c>
      <c r="H2270">
        <v>2020</v>
      </c>
      <c r="I2270" t="s">
        <v>33</v>
      </c>
      <c r="J2270">
        <v>1</v>
      </c>
      <c r="K2270">
        <v>2</v>
      </c>
      <c r="L2270">
        <v>2</v>
      </c>
      <c r="M2270">
        <v>1</v>
      </c>
      <c r="N2270">
        <v>3</v>
      </c>
      <c r="O2270">
        <v>0</v>
      </c>
      <c r="P2270">
        <v>1</v>
      </c>
      <c r="Q2270">
        <v>0</v>
      </c>
      <c r="R2270">
        <v>0</v>
      </c>
      <c r="S2270">
        <v>41</v>
      </c>
      <c r="T2270">
        <v>38</v>
      </c>
      <c r="U2270" s="5">
        <f>IF(Merge1[[#This Row],[team_defense_snaps]]=0, "", Merge1[[#This Row],[defense_snaps]] / Merge1[[#This Row],[team_defense_snaps]])</f>
        <v>0.59375</v>
      </c>
      <c r="V2270">
        <v>64</v>
      </c>
      <c r="W2270">
        <v>3</v>
      </c>
      <c r="X2270" s="5" t="s">
        <v>251</v>
      </c>
      <c r="Y2270">
        <v>7</v>
      </c>
      <c r="Z2270">
        <v>0</v>
      </c>
      <c r="AA2270" t="s">
        <v>25</v>
      </c>
      <c r="AB2270" t="s">
        <v>26</v>
      </c>
      <c r="AC2270" t="s">
        <v>27</v>
      </c>
      <c r="AD2270" t="s">
        <v>28</v>
      </c>
      <c r="AE2270" t="s">
        <v>25</v>
      </c>
      <c r="AF22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0.13414634146341464</v>
      </c>
      <c r="AG2270" t="s">
        <v>942</v>
      </c>
      <c r="AH2270">
        <v>55.5</v>
      </c>
      <c r="AI2270" t="s">
        <v>939</v>
      </c>
      <c r="AJ2270">
        <v>1</v>
      </c>
      <c r="AK22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MIN(AJ2270/8, 1) +
  Merge1[[#This Row],[index_defensive_effort]],
  2
)</f>
        <v>0.86</v>
      </c>
    </row>
    <row r="2271" spans="1:37" x14ac:dyDescent="0.25">
      <c r="A2271" t="s">
        <v>631</v>
      </c>
      <c r="B2271" t="s">
        <v>632</v>
      </c>
      <c r="C2271">
        <v>29</v>
      </c>
      <c r="D2271" t="s">
        <v>22</v>
      </c>
      <c r="E2271">
        <v>71</v>
      </c>
      <c r="F2271">
        <v>195</v>
      </c>
      <c r="G2271" t="s">
        <v>94</v>
      </c>
      <c r="H2271">
        <v>2020</v>
      </c>
      <c r="I2271" t="s">
        <v>33</v>
      </c>
      <c r="J2271">
        <v>2</v>
      </c>
      <c r="K2271">
        <v>4</v>
      </c>
      <c r="L2271">
        <v>1</v>
      </c>
      <c r="M2271">
        <v>0</v>
      </c>
      <c r="N2271">
        <v>1</v>
      </c>
      <c r="O2271">
        <v>0</v>
      </c>
      <c r="P2271">
        <v>0</v>
      </c>
      <c r="Q2271">
        <v>0</v>
      </c>
      <c r="R2271">
        <v>2</v>
      </c>
      <c r="S2271">
        <v>59</v>
      </c>
      <c r="T2271">
        <v>55</v>
      </c>
      <c r="U2271" s="5">
        <f>IF(Merge1[[#This Row],[team_defense_snaps]]=0, "", Merge1[[#This Row],[defense_snaps]] / Merge1[[#This Row],[team_defense_snaps]])</f>
        <v>0.83333333333333337</v>
      </c>
      <c r="V2271">
        <v>66</v>
      </c>
      <c r="W2271">
        <v>4</v>
      </c>
      <c r="X2271" s="5" t="s">
        <v>181</v>
      </c>
      <c r="Y2271">
        <v>7</v>
      </c>
      <c r="Z2271">
        <v>0</v>
      </c>
      <c r="AA2271" t="s">
        <v>25</v>
      </c>
      <c r="AB2271" t="s">
        <v>26</v>
      </c>
      <c r="AC2271" t="s">
        <v>27</v>
      </c>
      <c r="AD2271" t="s">
        <v>42</v>
      </c>
      <c r="AE2271" t="s">
        <v>25</v>
      </c>
      <c r="AF22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0.1440677966101695</v>
      </c>
      <c r="AG2271" t="s">
        <v>942</v>
      </c>
      <c r="AH2271">
        <v>58.5</v>
      </c>
      <c r="AI2271" t="s">
        <v>939</v>
      </c>
      <c r="AJ2271">
        <v>2</v>
      </c>
      <c r="AK22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MIN(AJ2271/8, 1) +
  Merge1[[#This Row],[index_defensive_effort]],
  2
)</f>
        <v>0.99</v>
      </c>
    </row>
    <row r="2272" spans="1:37" x14ac:dyDescent="0.25">
      <c r="A2272" t="s">
        <v>631</v>
      </c>
      <c r="B2272" t="s">
        <v>632</v>
      </c>
      <c r="C2272">
        <v>29</v>
      </c>
      <c r="D2272" t="s">
        <v>22</v>
      </c>
      <c r="E2272">
        <v>71</v>
      </c>
      <c r="F2272">
        <v>195</v>
      </c>
      <c r="G2272" t="s">
        <v>94</v>
      </c>
      <c r="H2272">
        <v>2020</v>
      </c>
      <c r="I2272" t="s">
        <v>33</v>
      </c>
      <c r="J2272">
        <v>3</v>
      </c>
      <c r="K2272">
        <v>5</v>
      </c>
      <c r="L2272">
        <v>3</v>
      </c>
      <c r="M2272">
        <v>1</v>
      </c>
      <c r="N2272">
        <v>4</v>
      </c>
      <c r="O2272">
        <v>0</v>
      </c>
      <c r="P2272">
        <v>2</v>
      </c>
      <c r="Q2272">
        <v>0</v>
      </c>
      <c r="R2272">
        <v>0</v>
      </c>
      <c r="S2272">
        <v>81</v>
      </c>
      <c r="T2272">
        <v>77</v>
      </c>
      <c r="U2272" s="5">
        <f>IF(Merge1[[#This Row],[team_defense_snaps]]=0, "", Merge1[[#This Row],[defense_snaps]] / Merge1[[#This Row],[team_defense_snaps]])</f>
        <v>0.93902439024390238</v>
      </c>
      <c r="V2272">
        <v>82</v>
      </c>
      <c r="W2272">
        <v>4</v>
      </c>
      <c r="X2272" s="5" t="s">
        <v>159</v>
      </c>
      <c r="Y2272">
        <v>7</v>
      </c>
      <c r="Z2272">
        <v>0</v>
      </c>
      <c r="AA2272" t="s">
        <v>25</v>
      </c>
      <c r="AB2272" t="s">
        <v>26</v>
      </c>
      <c r="AC2272" t="s">
        <v>27</v>
      </c>
      <c r="AD2272" t="s">
        <v>42</v>
      </c>
      <c r="AE2272" t="s">
        <v>25</v>
      </c>
      <c r="AF22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0.13580246913580246</v>
      </c>
      <c r="AG2272" t="s">
        <v>942</v>
      </c>
      <c r="AH2272">
        <v>60</v>
      </c>
      <c r="AI2272" t="s">
        <v>939</v>
      </c>
      <c r="AJ2272">
        <v>3</v>
      </c>
      <c r="AK22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MIN(AJ2272/8, 1) +
  Merge1[[#This Row],[index_defensive_effort]],
  2
)</f>
        <v>1.1100000000000001</v>
      </c>
    </row>
    <row r="2273" spans="1:37" x14ac:dyDescent="0.25">
      <c r="A2273" t="s">
        <v>631</v>
      </c>
      <c r="B2273" t="s">
        <v>632</v>
      </c>
      <c r="C2273">
        <v>29</v>
      </c>
      <c r="D2273" t="s">
        <v>22</v>
      </c>
      <c r="E2273">
        <v>71</v>
      </c>
      <c r="F2273">
        <v>195</v>
      </c>
      <c r="G2273" t="s">
        <v>94</v>
      </c>
      <c r="H2273">
        <v>2020</v>
      </c>
      <c r="I2273" t="s">
        <v>33</v>
      </c>
      <c r="J2273">
        <v>4</v>
      </c>
      <c r="K2273">
        <v>4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58</v>
      </c>
      <c r="T2273">
        <v>57</v>
      </c>
      <c r="U2273" s="5">
        <f>IF(Merge1[[#This Row],[team_defense_snaps]]=0, "", Merge1[[#This Row],[defense_snaps]] / Merge1[[#This Row],[team_defense_snaps]])</f>
        <v>0.98275862068965514</v>
      </c>
      <c r="V2273">
        <v>58</v>
      </c>
      <c r="W2273">
        <v>1</v>
      </c>
      <c r="X2273" s="5" t="s">
        <v>193</v>
      </c>
      <c r="Y2273">
        <v>7</v>
      </c>
      <c r="Z2273">
        <v>0</v>
      </c>
      <c r="AA2273" t="s">
        <v>25</v>
      </c>
      <c r="AB2273" t="s">
        <v>26</v>
      </c>
      <c r="AC2273" t="s">
        <v>27</v>
      </c>
      <c r="AD2273" t="s">
        <v>42</v>
      </c>
      <c r="AE2273" t="s">
        <v>25</v>
      </c>
      <c r="AF22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6.8965517241379309E-2</v>
      </c>
      <c r="AG2273" t="s">
        <v>942</v>
      </c>
      <c r="AH2273">
        <v>54</v>
      </c>
      <c r="AI2273" t="s">
        <v>939</v>
      </c>
      <c r="AJ2273">
        <v>4</v>
      </c>
      <c r="AK22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MIN(AJ2273/8, 1) +
  Merge1[[#This Row],[index_defensive_effort]],
  2
)</f>
        <v>1.17</v>
      </c>
    </row>
    <row r="2274" spans="1:37" x14ac:dyDescent="0.25">
      <c r="A2274" t="s">
        <v>631</v>
      </c>
      <c r="B2274" t="s">
        <v>632</v>
      </c>
      <c r="C2274">
        <v>29</v>
      </c>
      <c r="D2274" t="s">
        <v>22</v>
      </c>
      <c r="E2274">
        <v>71</v>
      </c>
      <c r="F2274">
        <v>195</v>
      </c>
      <c r="G2274" t="s">
        <v>94</v>
      </c>
      <c r="H2274">
        <v>2020</v>
      </c>
      <c r="I2274" t="s">
        <v>33</v>
      </c>
      <c r="J2274">
        <v>5</v>
      </c>
      <c r="K2274">
        <v>6</v>
      </c>
      <c r="L2274">
        <v>3</v>
      </c>
      <c r="M2274">
        <v>0</v>
      </c>
      <c r="N2274">
        <v>3</v>
      </c>
      <c r="O2274">
        <v>0</v>
      </c>
      <c r="P2274">
        <v>1</v>
      </c>
      <c r="Q2274">
        <v>0</v>
      </c>
      <c r="R2274">
        <v>0</v>
      </c>
      <c r="S2274">
        <v>66</v>
      </c>
      <c r="T2274">
        <v>66</v>
      </c>
      <c r="U2274" s="5">
        <f>IF(Merge1[[#This Row],[team_defense_snaps]]=0, "", Merge1[[#This Row],[defense_snaps]] / Merge1[[#This Row],[team_defense_snaps]])</f>
        <v>1</v>
      </c>
      <c r="V2274">
        <v>66</v>
      </c>
      <c r="W2274">
        <v>0</v>
      </c>
      <c r="X2274" s="5" t="s">
        <v>29</v>
      </c>
      <c r="Y2274">
        <v>7</v>
      </c>
      <c r="Z2274">
        <v>0</v>
      </c>
      <c r="AA2274" t="s">
        <v>25</v>
      </c>
      <c r="AB2274" t="s">
        <v>26</v>
      </c>
      <c r="AC2274" t="s">
        <v>27</v>
      </c>
      <c r="AD2274" t="s">
        <v>42</v>
      </c>
      <c r="AE2274" t="s">
        <v>25</v>
      </c>
      <c r="AF22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0.14393939393939395</v>
      </c>
      <c r="AG2274" t="s">
        <v>942</v>
      </c>
      <c r="AH2274">
        <v>69</v>
      </c>
      <c r="AI2274" t="s">
        <v>939</v>
      </c>
      <c r="AJ2274">
        <v>5</v>
      </c>
      <c r="AK22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MIN(AJ2274/8, 1) +
  Merge1[[#This Row],[index_defensive_effort]],
  2
)</f>
        <v>1.37</v>
      </c>
    </row>
    <row r="2275" spans="1:37" x14ac:dyDescent="0.25">
      <c r="A2275" t="s">
        <v>631</v>
      </c>
      <c r="B2275" t="s">
        <v>632</v>
      </c>
      <c r="C2275">
        <v>29</v>
      </c>
      <c r="D2275" t="s">
        <v>22</v>
      </c>
      <c r="E2275">
        <v>71</v>
      </c>
      <c r="F2275">
        <v>195</v>
      </c>
      <c r="G2275" t="s">
        <v>94</v>
      </c>
      <c r="H2275">
        <v>2020</v>
      </c>
      <c r="I2275" t="s">
        <v>33</v>
      </c>
      <c r="J2275">
        <v>6</v>
      </c>
      <c r="K2275">
        <v>11</v>
      </c>
      <c r="L2275">
        <v>0</v>
      </c>
      <c r="M2275">
        <v>0</v>
      </c>
      <c r="N2275">
        <v>0</v>
      </c>
      <c r="O2275">
        <v>4</v>
      </c>
      <c r="P2275">
        <v>4</v>
      </c>
      <c r="Q2275">
        <v>0</v>
      </c>
      <c r="R2275">
        <v>0</v>
      </c>
      <c r="S2275">
        <v>74</v>
      </c>
      <c r="T2275">
        <v>73</v>
      </c>
      <c r="U2275" s="5">
        <f>IF(Merge1[[#This Row],[team_defense_snaps]]=0, "", Merge1[[#This Row],[defense_snaps]] / Merge1[[#This Row],[team_defense_snaps]])</f>
        <v>1</v>
      </c>
      <c r="V2275">
        <v>73</v>
      </c>
      <c r="W2275">
        <v>1</v>
      </c>
      <c r="X2275" s="5" t="s">
        <v>34</v>
      </c>
      <c r="Y2275">
        <v>7</v>
      </c>
      <c r="Z2275">
        <v>0</v>
      </c>
      <c r="AA2275" t="s">
        <v>25</v>
      </c>
      <c r="AB2275" t="s">
        <v>26</v>
      </c>
      <c r="AC2275" t="s">
        <v>27</v>
      </c>
      <c r="AD2275" t="s">
        <v>42</v>
      </c>
      <c r="AE2275" t="s">
        <v>25</v>
      </c>
      <c r="AF22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0.41891891891891891</v>
      </c>
      <c r="AG2275" t="s">
        <v>942</v>
      </c>
      <c r="AH2275">
        <v>49.5</v>
      </c>
      <c r="AI2275" t="s">
        <v>939</v>
      </c>
      <c r="AJ2275">
        <v>6</v>
      </c>
      <c r="AK22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MIN(AJ2275/8, 1) +
  Merge1[[#This Row],[index_defensive_effort]],
  2
)</f>
        <v>1.77</v>
      </c>
    </row>
    <row r="2276" spans="1:37" x14ac:dyDescent="0.25">
      <c r="A2276" t="s">
        <v>631</v>
      </c>
      <c r="B2276" t="s">
        <v>632</v>
      </c>
      <c r="C2276">
        <v>29</v>
      </c>
      <c r="D2276" t="s">
        <v>22</v>
      </c>
      <c r="E2276">
        <v>71</v>
      </c>
      <c r="F2276">
        <v>195</v>
      </c>
      <c r="G2276" t="s">
        <v>94</v>
      </c>
      <c r="H2276">
        <v>2020</v>
      </c>
      <c r="I2276" t="s">
        <v>33</v>
      </c>
      <c r="J2276">
        <v>7</v>
      </c>
      <c r="K2276">
        <v>3</v>
      </c>
      <c r="L2276">
        <v>2</v>
      </c>
      <c r="M2276">
        <v>0</v>
      </c>
      <c r="N2276">
        <v>2</v>
      </c>
      <c r="O2276">
        <v>0</v>
      </c>
      <c r="P2276">
        <v>1</v>
      </c>
      <c r="Q2276">
        <v>0</v>
      </c>
      <c r="R2276">
        <v>0</v>
      </c>
      <c r="S2276">
        <v>82</v>
      </c>
      <c r="T2276">
        <v>81</v>
      </c>
      <c r="U2276" s="5">
        <f>IF(Merge1[[#This Row],[team_defense_snaps]]=0, "", Merge1[[#This Row],[defense_snaps]] / Merge1[[#This Row],[team_defense_snaps]])</f>
        <v>0.98780487804878048</v>
      </c>
      <c r="V2276">
        <v>82</v>
      </c>
      <c r="W2276">
        <v>1</v>
      </c>
      <c r="X2276" s="5" t="s">
        <v>193</v>
      </c>
      <c r="Y2276">
        <v>7</v>
      </c>
      <c r="Z2276">
        <v>0</v>
      </c>
      <c r="AA2276" t="s">
        <v>25</v>
      </c>
      <c r="AB2276" t="s">
        <v>26</v>
      </c>
      <c r="AC2276" t="s">
        <v>27</v>
      </c>
      <c r="AD2276" t="s">
        <v>42</v>
      </c>
      <c r="AE2276" t="s">
        <v>25</v>
      </c>
      <c r="AF22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7.3170731707317069E-2</v>
      </c>
      <c r="AG2276" t="s">
        <v>942</v>
      </c>
      <c r="AH2276">
        <v>72</v>
      </c>
      <c r="AI2276" t="s">
        <v>939</v>
      </c>
      <c r="AJ2276">
        <v>7</v>
      </c>
      <c r="AK22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MIN(AJ2276/8, 1) +
  Merge1[[#This Row],[index_defensive_effort]],
  2
)</f>
        <v>1.55</v>
      </c>
    </row>
    <row r="2277" spans="1:37" x14ac:dyDescent="0.25">
      <c r="A2277" t="s">
        <v>631</v>
      </c>
      <c r="B2277" t="s">
        <v>632</v>
      </c>
      <c r="C2277">
        <v>29</v>
      </c>
      <c r="D2277" t="s">
        <v>22</v>
      </c>
      <c r="E2277">
        <v>71</v>
      </c>
      <c r="F2277">
        <v>195</v>
      </c>
      <c r="G2277" t="s">
        <v>94</v>
      </c>
      <c r="H2277">
        <v>2020</v>
      </c>
      <c r="I2277" t="s">
        <v>33</v>
      </c>
      <c r="J2277">
        <v>8</v>
      </c>
      <c r="K2277">
        <v>3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68</v>
      </c>
      <c r="T2277">
        <v>68</v>
      </c>
      <c r="U2277" s="5">
        <f>IF(Merge1[[#This Row],[team_defense_snaps]]=0, "", Merge1[[#This Row],[defense_snaps]] / Merge1[[#This Row],[team_defense_snaps]])</f>
        <v>0.97142857142857142</v>
      </c>
      <c r="V2277">
        <v>70</v>
      </c>
      <c r="W2277">
        <v>0</v>
      </c>
      <c r="X2277" s="5" t="s">
        <v>29</v>
      </c>
      <c r="Y2277">
        <v>7</v>
      </c>
      <c r="Z2277">
        <v>0</v>
      </c>
      <c r="AA2277" t="s">
        <v>25</v>
      </c>
      <c r="AB2277" t="s">
        <v>26</v>
      </c>
      <c r="AC2277" t="s">
        <v>27</v>
      </c>
      <c r="AD2277" t="s">
        <v>42</v>
      </c>
      <c r="AE2277" t="s">
        <v>25</v>
      </c>
      <c r="AF22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4.4117647058823532E-2</v>
      </c>
      <c r="AG2277" t="s">
        <v>942</v>
      </c>
      <c r="AH2277">
        <v>61.5</v>
      </c>
      <c r="AI2277" t="s">
        <v>939</v>
      </c>
      <c r="AJ2277">
        <v>8</v>
      </c>
      <c r="AK22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MIN(AJ2277/8, 1) +
  Merge1[[#This Row],[index_defensive_effort]],
  2
)</f>
        <v>1.64</v>
      </c>
    </row>
    <row r="2278" spans="1:37" x14ac:dyDescent="0.25">
      <c r="A2278" t="s">
        <v>631</v>
      </c>
      <c r="B2278" t="s">
        <v>632</v>
      </c>
      <c r="C2278">
        <v>29</v>
      </c>
      <c r="D2278" t="s">
        <v>22</v>
      </c>
      <c r="E2278">
        <v>71</v>
      </c>
      <c r="F2278">
        <v>195</v>
      </c>
      <c r="G2278" t="s">
        <v>94</v>
      </c>
      <c r="H2278">
        <v>2020</v>
      </c>
      <c r="I2278" t="s">
        <v>33</v>
      </c>
      <c r="J2278">
        <v>9</v>
      </c>
      <c r="K2278">
        <v>7</v>
      </c>
      <c r="L2278">
        <v>1</v>
      </c>
      <c r="M2278">
        <v>0</v>
      </c>
      <c r="N2278">
        <v>1</v>
      </c>
      <c r="O2278">
        <v>0</v>
      </c>
      <c r="P2278">
        <v>3</v>
      </c>
      <c r="Q2278">
        <v>2</v>
      </c>
      <c r="R2278">
        <v>2</v>
      </c>
      <c r="S2278">
        <v>54</v>
      </c>
      <c r="T2278">
        <v>54</v>
      </c>
      <c r="U2278" s="5">
        <f>IF(Merge1[[#This Row],[team_defense_snaps]]=0, "", Merge1[[#This Row],[defense_snaps]] / Merge1[[#This Row],[team_defense_snaps]])</f>
        <v>1</v>
      </c>
      <c r="V2278">
        <v>54</v>
      </c>
      <c r="W2278">
        <v>0</v>
      </c>
      <c r="X2278" s="5" t="s">
        <v>29</v>
      </c>
      <c r="Y2278">
        <v>7</v>
      </c>
      <c r="Z2278">
        <v>0</v>
      </c>
      <c r="AA2278" t="s">
        <v>25</v>
      </c>
      <c r="AB2278" t="s">
        <v>26</v>
      </c>
      <c r="AC2278" t="s">
        <v>27</v>
      </c>
      <c r="AD2278" t="s">
        <v>42</v>
      </c>
      <c r="AE2278" t="s">
        <v>25</v>
      </c>
      <c r="AF22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0.47222222222222221</v>
      </c>
      <c r="AG2278" t="s">
        <v>942</v>
      </c>
      <c r="AH2278">
        <v>48</v>
      </c>
      <c r="AI2278" t="s">
        <v>939</v>
      </c>
      <c r="AJ2278">
        <v>9</v>
      </c>
      <c r="AK22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MIN(AJ2278/8, 1) +
  Merge1[[#This Row],[index_defensive_effort]],
  2
)</f>
        <v>2.0699999999999998</v>
      </c>
    </row>
    <row r="2279" spans="1:37" x14ac:dyDescent="0.25">
      <c r="A2279" t="s">
        <v>631</v>
      </c>
      <c r="B2279" t="s">
        <v>632</v>
      </c>
      <c r="C2279">
        <v>29</v>
      </c>
      <c r="D2279" t="s">
        <v>22</v>
      </c>
      <c r="E2279">
        <v>71</v>
      </c>
      <c r="F2279">
        <v>195</v>
      </c>
      <c r="G2279" t="s">
        <v>94</v>
      </c>
      <c r="H2279">
        <v>2020</v>
      </c>
      <c r="I2279" t="s">
        <v>33</v>
      </c>
      <c r="J2279">
        <v>10</v>
      </c>
      <c r="K2279">
        <v>4</v>
      </c>
      <c r="L2279">
        <v>2</v>
      </c>
      <c r="M2279">
        <v>2</v>
      </c>
      <c r="N2279">
        <v>4</v>
      </c>
      <c r="O2279">
        <v>0</v>
      </c>
      <c r="P2279">
        <v>2</v>
      </c>
      <c r="Q2279">
        <v>0</v>
      </c>
      <c r="R2279">
        <v>0</v>
      </c>
      <c r="S2279">
        <v>67</v>
      </c>
      <c r="T2279">
        <v>67</v>
      </c>
      <c r="U2279" s="5">
        <f>IF(Merge1[[#This Row],[team_defense_snaps]]=0, "", Merge1[[#This Row],[defense_snaps]] / Merge1[[#This Row],[team_defense_snaps]])</f>
        <v>1</v>
      </c>
      <c r="V2279">
        <v>67</v>
      </c>
      <c r="W2279">
        <v>0</v>
      </c>
      <c r="X2279" s="5" t="s">
        <v>29</v>
      </c>
      <c r="Y2279">
        <v>7</v>
      </c>
      <c r="Z2279">
        <v>0</v>
      </c>
      <c r="AA2279" t="s">
        <v>25</v>
      </c>
      <c r="AB2279" t="s">
        <v>26</v>
      </c>
      <c r="AC2279" t="s">
        <v>27</v>
      </c>
      <c r="AD2279" t="s">
        <v>42</v>
      </c>
      <c r="AE2279" t="s">
        <v>25</v>
      </c>
      <c r="AF22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0.14925373134328357</v>
      </c>
      <c r="AG2279" t="s">
        <v>942</v>
      </c>
      <c r="AH2279">
        <v>67.5</v>
      </c>
      <c r="AI2279" t="s">
        <v>939</v>
      </c>
      <c r="AJ2279">
        <v>10</v>
      </c>
      <c r="AK22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MIN(AJ2279/8, 1) +
  Merge1[[#This Row],[index_defensive_effort]],
  2
)</f>
        <v>1.75</v>
      </c>
    </row>
    <row r="2280" spans="1:37" x14ac:dyDescent="0.25">
      <c r="A2280" t="s">
        <v>631</v>
      </c>
      <c r="B2280" t="s">
        <v>632</v>
      </c>
      <c r="C2280">
        <v>29</v>
      </c>
      <c r="D2280" t="s">
        <v>22</v>
      </c>
      <c r="E2280">
        <v>71</v>
      </c>
      <c r="F2280">
        <v>195</v>
      </c>
      <c r="G2280" t="s">
        <v>94</v>
      </c>
      <c r="H2280">
        <v>2020</v>
      </c>
      <c r="I2280" t="s">
        <v>33</v>
      </c>
      <c r="J2280">
        <v>12</v>
      </c>
      <c r="K2280">
        <v>2</v>
      </c>
      <c r="L2280">
        <v>3</v>
      </c>
      <c r="M2280">
        <v>0</v>
      </c>
      <c r="N2280">
        <v>3</v>
      </c>
      <c r="O2280">
        <v>0</v>
      </c>
      <c r="P2280">
        <v>1</v>
      </c>
      <c r="Q2280">
        <v>0</v>
      </c>
      <c r="R2280">
        <v>2</v>
      </c>
      <c r="S2280">
        <v>56</v>
      </c>
      <c r="T2280">
        <v>49</v>
      </c>
      <c r="U2280" s="5">
        <f>IF(Merge1[[#This Row],[team_defense_snaps]]=0, "", Merge1[[#This Row],[defense_snaps]] / Merge1[[#This Row],[team_defense_snaps]])</f>
        <v>1</v>
      </c>
      <c r="V2280">
        <v>49</v>
      </c>
      <c r="W2280">
        <v>7</v>
      </c>
      <c r="X2280" s="5" t="s">
        <v>133</v>
      </c>
      <c r="Y2280">
        <v>7</v>
      </c>
      <c r="Z2280">
        <v>0</v>
      </c>
      <c r="AA2280" t="s">
        <v>25</v>
      </c>
      <c r="AB2280" t="s">
        <v>26</v>
      </c>
      <c r="AC2280" t="s">
        <v>27</v>
      </c>
      <c r="AD2280" t="s">
        <v>42</v>
      </c>
      <c r="AE2280" t="s">
        <v>25</v>
      </c>
      <c r="AF22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0.16964285714285715</v>
      </c>
      <c r="AG2280" t="s">
        <v>942</v>
      </c>
      <c r="AH2280">
        <v>66</v>
      </c>
      <c r="AI2280" t="s">
        <v>939</v>
      </c>
      <c r="AJ2280">
        <v>1</v>
      </c>
      <c r="AK22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MIN(AJ2280/8, 1) +
  Merge1[[#This Row],[index_defensive_effort]],
  2
)</f>
        <v>0.89</v>
      </c>
    </row>
    <row r="2281" spans="1:37" x14ac:dyDescent="0.25">
      <c r="A2281" t="s">
        <v>631</v>
      </c>
      <c r="B2281" t="s">
        <v>632</v>
      </c>
      <c r="C2281">
        <v>29</v>
      </c>
      <c r="D2281" t="s">
        <v>22</v>
      </c>
      <c r="E2281">
        <v>71</v>
      </c>
      <c r="F2281">
        <v>195</v>
      </c>
      <c r="G2281" t="s">
        <v>94</v>
      </c>
      <c r="H2281">
        <v>2020</v>
      </c>
      <c r="I2281" t="s">
        <v>33</v>
      </c>
      <c r="J2281">
        <v>13</v>
      </c>
      <c r="K2281">
        <v>2</v>
      </c>
      <c r="L2281">
        <v>2</v>
      </c>
      <c r="M2281">
        <v>0</v>
      </c>
      <c r="N2281">
        <v>2</v>
      </c>
      <c r="O2281">
        <v>0</v>
      </c>
      <c r="P2281">
        <v>0</v>
      </c>
      <c r="Q2281">
        <v>0</v>
      </c>
      <c r="R2281">
        <v>0</v>
      </c>
      <c r="S2281">
        <v>72</v>
      </c>
      <c r="T2281">
        <v>72</v>
      </c>
      <c r="U2281" s="5">
        <f>IF(Merge1[[#This Row],[team_defense_snaps]]=0, "", Merge1[[#This Row],[defense_snaps]] / Merge1[[#This Row],[team_defense_snaps]])</f>
        <v>1</v>
      </c>
      <c r="V2281">
        <v>72</v>
      </c>
      <c r="W2281">
        <v>0</v>
      </c>
      <c r="X2281" s="5" t="s">
        <v>29</v>
      </c>
      <c r="Y2281">
        <v>7</v>
      </c>
      <c r="Z2281">
        <v>0</v>
      </c>
      <c r="AA2281" t="s">
        <v>25</v>
      </c>
      <c r="AB2281" t="s">
        <v>26</v>
      </c>
      <c r="AC2281" t="s">
        <v>27</v>
      </c>
      <c r="AD2281" t="s">
        <v>42</v>
      </c>
      <c r="AE2281" t="s">
        <v>25</v>
      </c>
      <c r="AF22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2281" t="s">
        <v>942</v>
      </c>
      <c r="AH2281">
        <v>70.5</v>
      </c>
      <c r="AI2281" t="s">
        <v>939</v>
      </c>
      <c r="AJ2281">
        <v>2</v>
      </c>
      <c r="AK22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MIN(AJ2281/8, 1) +
  Merge1[[#This Row],[index_defensive_effort]],
  2
)</f>
        <v>0.89</v>
      </c>
    </row>
    <row r="2282" spans="1:37" x14ac:dyDescent="0.25">
      <c r="A2282" t="s">
        <v>631</v>
      </c>
      <c r="B2282" t="s">
        <v>632</v>
      </c>
      <c r="C2282">
        <v>29</v>
      </c>
      <c r="D2282" t="s">
        <v>22</v>
      </c>
      <c r="E2282">
        <v>71</v>
      </c>
      <c r="F2282">
        <v>195</v>
      </c>
      <c r="G2282" t="s">
        <v>94</v>
      </c>
      <c r="H2282">
        <v>2020</v>
      </c>
      <c r="I2282" t="s">
        <v>33</v>
      </c>
      <c r="J2282">
        <v>14</v>
      </c>
      <c r="K2282">
        <v>1</v>
      </c>
      <c r="L2282">
        <v>4</v>
      </c>
      <c r="M2282">
        <v>1</v>
      </c>
      <c r="N2282">
        <v>5</v>
      </c>
      <c r="O2282">
        <v>0</v>
      </c>
      <c r="P2282">
        <v>0</v>
      </c>
      <c r="Q2282">
        <v>0</v>
      </c>
      <c r="R2282">
        <v>0</v>
      </c>
      <c r="S2282">
        <v>79</v>
      </c>
      <c r="T2282">
        <v>79</v>
      </c>
      <c r="U2282" s="5">
        <f>IF(Merge1[[#This Row],[team_defense_snaps]]=0, "", Merge1[[#This Row],[defense_snaps]] / Merge1[[#This Row],[team_defense_snaps]])</f>
        <v>1</v>
      </c>
      <c r="V2282">
        <v>79</v>
      </c>
      <c r="W2282">
        <v>0</v>
      </c>
      <c r="X2282" s="5" t="s">
        <v>29</v>
      </c>
      <c r="Y2282">
        <v>7</v>
      </c>
      <c r="Z2282">
        <v>0</v>
      </c>
      <c r="AA2282" t="s">
        <v>25</v>
      </c>
      <c r="AB2282" t="s">
        <v>26</v>
      </c>
      <c r="AC2282" t="s">
        <v>27</v>
      </c>
      <c r="AD2282" t="s">
        <v>42</v>
      </c>
      <c r="AE2282" t="s">
        <v>25</v>
      </c>
      <c r="AF22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4.4303797468354431E-2</v>
      </c>
      <c r="AG2282" t="s">
        <v>942</v>
      </c>
      <c r="AH2282">
        <v>64.5</v>
      </c>
      <c r="AI2282" t="s">
        <v>939</v>
      </c>
      <c r="AJ2282">
        <v>3</v>
      </c>
      <c r="AK22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MIN(AJ2282/8, 1) +
  Merge1[[#This Row],[index_defensive_effort]],
  2
)</f>
        <v>1.02</v>
      </c>
    </row>
    <row r="2283" spans="1:37" x14ac:dyDescent="0.25">
      <c r="A2283" t="s">
        <v>631</v>
      </c>
      <c r="B2283" t="s">
        <v>632</v>
      </c>
      <c r="C2283">
        <v>29</v>
      </c>
      <c r="D2283" t="s">
        <v>22</v>
      </c>
      <c r="E2283">
        <v>71</v>
      </c>
      <c r="F2283">
        <v>195</v>
      </c>
      <c r="G2283" t="s">
        <v>94</v>
      </c>
      <c r="H2283">
        <v>2020</v>
      </c>
      <c r="I2283" t="s">
        <v>33</v>
      </c>
      <c r="J2283">
        <v>15</v>
      </c>
      <c r="K2283">
        <v>5</v>
      </c>
      <c r="L2283">
        <v>4</v>
      </c>
      <c r="M2283">
        <v>2</v>
      </c>
      <c r="N2283">
        <v>6</v>
      </c>
      <c r="O2283">
        <v>0</v>
      </c>
      <c r="P2283">
        <v>0</v>
      </c>
      <c r="Q2283">
        <v>0</v>
      </c>
      <c r="R2283">
        <v>0</v>
      </c>
      <c r="S2283">
        <v>64</v>
      </c>
      <c r="T2283">
        <v>64</v>
      </c>
      <c r="U2283" s="5">
        <f>IF(Merge1[[#This Row],[team_defense_snaps]]=0, "", Merge1[[#This Row],[defense_snaps]] / Merge1[[#This Row],[team_defense_snaps]])</f>
        <v>1</v>
      </c>
      <c r="V2283">
        <v>64</v>
      </c>
      <c r="W2283">
        <v>0</v>
      </c>
      <c r="X2283" s="5" t="s">
        <v>29</v>
      </c>
      <c r="Y2283">
        <v>7</v>
      </c>
      <c r="Z2283">
        <v>0</v>
      </c>
      <c r="AA2283" t="s">
        <v>25</v>
      </c>
      <c r="AB2283" t="s">
        <v>26</v>
      </c>
      <c r="AC2283" t="s">
        <v>27</v>
      </c>
      <c r="AD2283" t="s">
        <v>42</v>
      </c>
      <c r="AE2283" t="s">
        <v>25</v>
      </c>
      <c r="AF22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2283" t="s">
        <v>942</v>
      </c>
      <c r="AH2283">
        <v>52.5</v>
      </c>
      <c r="AI2283" t="s">
        <v>939</v>
      </c>
      <c r="AJ2283">
        <v>4</v>
      </c>
      <c r="AK22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MIN(AJ2283/8, 1) +
  Merge1[[#This Row],[index_defensive_effort]],
  2
)</f>
        <v>1.23</v>
      </c>
    </row>
    <row r="2284" spans="1:37" x14ac:dyDescent="0.25">
      <c r="A2284" t="s">
        <v>631</v>
      </c>
      <c r="B2284" t="s">
        <v>632</v>
      </c>
      <c r="C2284">
        <v>29</v>
      </c>
      <c r="D2284" t="s">
        <v>22</v>
      </c>
      <c r="E2284">
        <v>71</v>
      </c>
      <c r="F2284">
        <v>195</v>
      </c>
      <c r="G2284" t="s">
        <v>94</v>
      </c>
      <c r="H2284">
        <v>2020</v>
      </c>
      <c r="I2284" t="s">
        <v>33</v>
      </c>
      <c r="J2284">
        <v>16</v>
      </c>
      <c r="K2284">
        <v>6</v>
      </c>
      <c r="L2284">
        <v>2</v>
      </c>
      <c r="M2284">
        <v>1</v>
      </c>
      <c r="N2284">
        <v>3</v>
      </c>
      <c r="O2284">
        <v>0</v>
      </c>
      <c r="P2284">
        <v>0</v>
      </c>
      <c r="Q2284">
        <v>0</v>
      </c>
      <c r="R2284">
        <v>0</v>
      </c>
      <c r="S2284">
        <v>68</v>
      </c>
      <c r="T2284">
        <v>68</v>
      </c>
      <c r="U2284" s="5">
        <f>IF(Merge1[[#This Row],[team_defense_snaps]]=0, "", Merge1[[#This Row],[defense_snaps]] / Merge1[[#This Row],[team_defense_snaps]])</f>
        <v>0.98550724637681164</v>
      </c>
      <c r="V2284">
        <v>69</v>
      </c>
      <c r="W2284">
        <v>0</v>
      </c>
      <c r="X2284" s="5" t="s">
        <v>29</v>
      </c>
      <c r="Y2284">
        <v>7</v>
      </c>
      <c r="Z2284">
        <v>0</v>
      </c>
      <c r="AA2284" t="s">
        <v>25</v>
      </c>
      <c r="AB2284" t="s">
        <v>26</v>
      </c>
      <c r="AC2284" t="s">
        <v>27</v>
      </c>
      <c r="AD2284" t="s">
        <v>42</v>
      </c>
      <c r="AE2284" t="s">
        <v>25</v>
      </c>
      <c r="AF22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0.11029411764705882</v>
      </c>
      <c r="AG2284" t="s">
        <v>942</v>
      </c>
      <c r="AH2284">
        <v>51</v>
      </c>
      <c r="AI2284" t="s">
        <v>939</v>
      </c>
      <c r="AJ2284">
        <v>5</v>
      </c>
      <c r="AK22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MIN(AJ2284/8, 1) +
  Merge1[[#This Row],[index_defensive_effort]],
  2
)</f>
        <v>1.34</v>
      </c>
    </row>
    <row r="2285" spans="1:37" x14ac:dyDescent="0.25">
      <c r="A2285" t="s">
        <v>631</v>
      </c>
      <c r="B2285" t="s">
        <v>632</v>
      </c>
      <c r="C2285">
        <v>29</v>
      </c>
      <c r="D2285" t="s">
        <v>22</v>
      </c>
      <c r="E2285">
        <v>71</v>
      </c>
      <c r="F2285">
        <v>195</v>
      </c>
      <c r="G2285" t="s">
        <v>94</v>
      </c>
      <c r="H2285">
        <v>2020</v>
      </c>
      <c r="I2285" t="s">
        <v>33</v>
      </c>
      <c r="J2285">
        <v>17</v>
      </c>
      <c r="K2285">
        <v>2</v>
      </c>
      <c r="L2285">
        <v>1</v>
      </c>
      <c r="M2285">
        <v>0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89</v>
      </c>
      <c r="T2285">
        <v>83</v>
      </c>
      <c r="U2285" s="5">
        <f>IF(Merge1[[#This Row],[team_defense_snaps]]=0, "", Merge1[[#This Row],[defense_snaps]] / Merge1[[#This Row],[team_defense_snaps]])</f>
        <v>1</v>
      </c>
      <c r="V2285">
        <v>83</v>
      </c>
      <c r="W2285">
        <v>6</v>
      </c>
      <c r="X2285" s="5" t="s">
        <v>58</v>
      </c>
      <c r="Y2285">
        <v>7</v>
      </c>
      <c r="Z2285">
        <v>0</v>
      </c>
      <c r="AA2285" t="s">
        <v>25</v>
      </c>
      <c r="AB2285" t="s">
        <v>26</v>
      </c>
      <c r="AC2285" t="s">
        <v>27</v>
      </c>
      <c r="AD2285" t="s">
        <v>42</v>
      </c>
      <c r="AE2285" t="s">
        <v>25</v>
      </c>
      <c r="AF22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2.8089887640449437E-2</v>
      </c>
      <c r="AG2285" t="s">
        <v>942</v>
      </c>
      <c r="AH2285">
        <v>63</v>
      </c>
      <c r="AI2285" t="s">
        <v>939</v>
      </c>
      <c r="AJ2285">
        <v>6</v>
      </c>
      <c r="AK22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MIN(AJ2285/8, 1) +
  Merge1[[#This Row],[index_defensive_effort]],
  2
)</f>
        <v>1.38</v>
      </c>
    </row>
    <row r="2286" spans="1:37" x14ac:dyDescent="0.25">
      <c r="A2286" t="s">
        <v>627</v>
      </c>
      <c r="B2286" t="s">
        <v>628</v>
      </c>
      <c r="C2286">
        <v>25</v>
      </c>
      <c r="D2286" t="s">
        <v>22</v>
      </c>
      <c r="E2286">
        <v>74</v>
      </c>
      <c r="F2286">
        <v>213</v>
      </c>
      <c r="G2286" t="s">
        <v>157</v>
      </c>
      <c r="H2286">
        <v>2020</v>
      </c>
      <c r="I2286" t="s">
        <v>33</v>
      </c>
      <c r="J2286">
        <v>1</v>
      </c>
      <c r="K2286">
        <v>1</v>
      </c>
      <c r="L2286">
        <v>1</v>
      </c>
      <c r="M2286">
        <v>0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7</v>
      </c>
      <c r="T2286">
        <v>0</v>
      </c>
      <c r="U2286" s="5">
        <f>IF(Merge1[[#This Row],[team_defense_snaps]]=0, "", Merge1[[#This Row],[defense_snaps]] / Merge1[[#This Row],[team_defense_snaps]])</f>
        <v>0</v>
      </c>
      <c r="V2286">
        <v>70</v>
      </c>
      <c r="W2286">
        <v>7</v>
      </c>
      <c r="X2286" s="5" t="s">
        <v>261</v>
      </c>
      <c r="Y2286">
        <v>1</v>
      </c>
      <c r="Z2286">
        <v>0</v>
      </c>
      <c r="AA2286" t="s">
        <v>25</v>
      </c>
      <c r="AB2286" t="s">
        <v>26</v>
      </c>
      <c r="AC2286" t="s">
        <v>27</v>
      </c>
      <c r="AD2286" t="s">
        <v>28</v>
      </c>
      <c r="AE2286" t="s">
        <v>25</v>
      </c>
      <c r="AF22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0.21428571428571427</v>
      </c>
      <c r="AG2286" t="s">
        <v>942</v>
      </c>
      <c r="AH2286">
        <v>73</v>
      </c>
      <c r="AI2286" t="s">
        <v>939</v>
      </c>
      <c r="AJ2286">
        <v>1</v>
      </c>
      <c r="AK22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MIN(AJ2286/8, 1) +
  Merge1[[#This Row],[index_defensive_effort]],
  2
)</f>
        <v>0.84</v>
      </c>
    </row>
    <row r="2287" spans="1:37" x14ac:dyDescent="0.25">
      <c r="A2287" t="s">
        <v>627</v>
      </c>
      <c r="B2287" t="s">
        <v>628</v>
      </c>
      <c r="C2287">
        <v>25</v>
      </c>
      <c r="D2287" t="s">
        <v>22</v>
      </c>
      <c r="E2287">
        <v>74</v>
      </c>
      <c r="F2287">
        <v>213</v>
      </c>
      <c r="G2287" t="s">
        <v>157</v>
      </c>
      <c r="H2287">
        <v>2020</v>
      </c>
      <c r="I2287" t="s">
        <v>33</v>
      </c>
      <c r="J2287">
        <v>2</v>
      </c>
      <c r="K2287">
        <v>3</v>
      </c>
      <c r="L2287">
        <v>0</v>
      </c>
      <c r="M2287">
        <v>0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11</v>
      </c>
      <c r="T2287">
        <v>0</v>
      </c>
      <c r="U2287" s="5">
        <f>IF(Merge1[[#This Row],[team_defense_snaps]]=0, "", Merge1[[#This Row],[defense_snaps]] / Merge1[[#This Row],[team_defense_snaps]])</f>
        <v>0</v>
      </c>
      <c r="V2287">
        <v>65</v>
      </c>
      <c r="W2287">
        <v>11</v>
      </c>
      <c r="X2287" s="5" t="s">
        <v>57</v>
      </c>
      <c r="Y2287">
        <v>1</v>
      </c>
      <c r="Z2287">
        <v>0</v>
      </c>
      <c r="AA2287" t="s">
        <v>25</v>
      </c>
      <c r="AB2287" t="s">
        <v>26</v>
      </c>
      <c r="AC2287" t="s">
        <v>27</v>
      </c>
      <c r="AD2287" t="s">
        <v>28</v>
      </c>
      <c r="AE2287" t="s">
        <v>25</v>
      </c>
      <c r="AF22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0.45454545454545453</v>
      </c>
      <c r="AG2287" t="s">
        <v>942</v>
      </c>
      <c r="AH2287">
        <v>79</v>
      </c>
      <c r="AI2287" t="s">
        <v>939</v>
      </c>
      <c r="AJ2287">
        <v>2</v>
      </c>
      <c r="AK22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MIN(AJ2287/8, 1) +
  Merge1[[#This Row],[index_defensive_effort]],
  2
)</f>
        <v>1.2</v>
      </c>
    </row>
    <row r="2288" spans="1:37" x14ac:dyDescent="0.25">
      <c r="A2288" t="s">
        <v>627</v>
      </c>
      <c r="B2288" t="s">
        <v>628</v>
      </c>
      <c r="C2288">
        <v>25</v>
      </c>
      <c r="D2288" t="s">
        <v>22</v>
      </c>
      <c r="E2288">
        <v>74</v>
      </c>
      <c r="F2288">
        <v>213</v>
      </c>
      <c r="G2288" t="s">
        <v>157</v>
      </c>
      <c r="H2288">
        <v>2020</v>
      </c>
      <c r="I2288" t="s">
        <v>33</v>
      </c>
      <c r="J2288">
        <v>3</v>
      </c>
      <c r="K2288">
        <v>2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8</v>
      </c>
      <c r="T2288">
        <v>0</v>
      </c>
      <c r="U2288" s="5">
        <f>IF(Merge1[[#This Row],[team_defense_snaps]]=0, "", Merge1[[#This Row],[defense_snaps]] / Merge1[[#This Row],[team_defense_snaps]])</f>
        <v>0</v>
      </c>
      <c r="V2288">
        <v>81</v>
      </c>
      <c r="W2288">
        <v>8</v>
      </c>
      <c r="X2288" s="5" t="s">
        <v>138</v>
      </c>
      <c r="Y2288">
        <v>1</v>
      </c>
      <c r="Z2288">
        <v>0</v>
      </c>
      <c r="AA2288" t="s">
        <v>25</v>
      </c>
      <c r="AB2288" t="s">
        <v>26</v>
      </c>
      <c r="AC2288" t="s">
        <v>27</v>
      </c>
      <c r="AD2288" t="s">
        <v>28</v>
      </c>
      <c r="AE2288" t="s">
        <v>25</v>
      </c>
      <c r="AF22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</v>
      </c>
      <c r="AG2288" t="s">
        <v>942</v>
      </c>
      <c r="AH2288">
        <v>67</v>
      </c>
      <c r="AI2288" t="s">
        <v>939</v>
      </c>
      <c r="AJ2288">
        <v>3</v>
      </c>
      <c r="AK22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MIN(AJ2288/8, 1) +
  Merge1[[#This Row],[index_defensive_effort]],
  2
)</f>
        <v>1.1299999999999999</v>
      </c>
    </row>
    <row r="2289" spans="1:37" x14ac:dyDescent="0.25">
      <c r="A2289" t="s">
        <v>627</v>
      </c>
      <c r="B2289" t="s">
        <v>628</v>
      </c>
      <c r="C2289">
        <v>25</v>
      </c>
      <c r="D2289" t="s">
        <v>22</v>
      </c>
      <c r="E2289">
        <v>74</v>
      </c>
      <c r="F2289">
        <v>213</v>
      </c>
      <c r="G2289" t="s">
        <v>157</v>
      </c>
      <c r="H2289">
        <v>2020</v>
      </c>
      <c r="I2289" t="s">
        <v>33</v>
      </c>
      <c r="J2289">
        <v>4</v>
      </c>
      <c r="K2289">
        <v>1</v>
      </c>
      <c r="L2289">
        <v>0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16</v>
      </c>
      <c r="T2289">
        <v>0</v>
      </c>
      <c r="U2289" s="5">
        <f>IF(Merge1[[#This Row],[team_defense_snaps]]=0, "", Merge1[[#This Row],[defense_snaps]] / Merge1[[#This Row],[team_defense_snaps]])</f>
        <v>0</v>
      </c>
      <c r="V2289">
        <v>67</v>
      </c>
      <c r="W2289">
        <v>16</v>
      </c>
      <c r="X2289" s="5" t="s">
        <v>52</v>
      </c>
      <c r="Y2289">
        <v>1</v>
      </c>
      <c r="Z2289">
        <v>0</v>
      </c>
      <c r="AA2289" t="s">
        <v>25</v>
      </c>
      <c r="AB2289" t="s">
        <v>26</v>
      </c>
      <c r="AC2289" t="s">
        <v>27</v>
      </c>
      <c r="AD2289" t="s">
        <v>28</v>
      </c>
      <c r="AE2289" t="s">
        <v>25</v>
      </c>
      <c r="AF22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0.1875</v>
      </c>
      <c r="AG2289" t="s">
        <v>942</v>
      </c>
      <c r="AH2289">
        <v>65.5</v>
      </c>
      <c r="AI2289" t="s">
        <v>939</v>
      </c>
      <c r="AJ2289">
        <v>4</v>
      </c>
      <c r="AK22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MIN(AJ2289/8, 1) +
  Merge1[[#This Row],[index_defensive_effort]],
  2
)</f>
        <v>1.19</v>
      </c>
    </row>
    <row r="2290" spans="1:37" x14ac:dyDescent="0.25">
      <c r="A2290" t="s">
        <v>627</v>
      </c>
      <c r="B2290" t="s">
        <v>628</v>
      </c>
      <c r="C2290">
        <v>25</v>
      </c>
      <c r="D2290" t="s">
        <v>22</v>
      </c>
      <c r="E2290">
        <v>74</v>
      </c>
      <c r="F2290">
        <v>213</v>
      </c>
      <c r="G2290" t="s">
        <v>157</v>
      </c>
      <c r="H2290">
        <v>2020</v>
      </c>
      <c r="I2290" t="s">
        <v>33</v>
      </c>
      <c r="J2290">
        <v>5</v>
      </c>
      <c r="K2290">
        <v>1</v>
      </c>
      <c r="L2290">
        <v>2</v>
      </c>
      <c r="M2290">
        <v>1</v>
      </c>
      <c r="N2290">
        <v>3</v>
      </c>
      <c r="O2290">
        <v>0</v>
      </c>
      <c r="P2290">
        <v>0</v>
      </c>
      <c r="Q2290">
        <v>0</v>
      </c>
      <c r="R2290">
        <v>0</v>
      </c>
      <c r="S2290">
        <v>14</v>
      </c>
      <c r="T2290">
        <v>0</v>
      </c>
      <c r="U2290" s="5">
        <f>IF(Merge1[[#This Row],[team_defense_snaps]]=0, "", Merge1[[#This Row],[defense_snaps]] / Merge1[[#This Row],[team_defense_snaps]])</f>
        <v>0</v>
      </c>
      <c r="V2290">
        <v>76</v>
      </c>
      <c r="W2290">
        <v>14</v>
      </c>
      <c r="X2290" s="5" t="s">
        <v>189</v>
      </c>
      <c r="Y2290">
        <v>1</v>
      </c>
      <c r="Z2290">
        <v>0</v>
      </c>
      <c r="AA2290" t="s">
        <v>25</v>
      </c>
      <c r="AB2290" t="s">
        <v>26</v>
      </c>
      <c r="AC2290" t="s">
        <v>27</v>
      </c>
      <c r="AD2290" t="s">
        <v>28</v>
      </c>
      <c r="AE2290" t="s">
        <v>25</v>
      </c>
      <c r="AF22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0.17857142857142858</v>
      </c>
      <c r="AG2290" t="s">
        <v>942</v>
      </c>
      <c r="AH2290">
        <v>71.5</v>
      </c>
      <c r="AI2290" t="s">
        <v>939</v>
      </c>
      <c r="AJ2290">
        <v>5</v>
      </c>
      <c r="AK22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MIN(AJ2290/8, 1) +
  Merge1[[#This Row],[index_defensive_effort]],
  2
)</f>
        <v>1.3</v>
      </c>
    </row>
    <row r="2291" spans="1:37" x14ac:dyDescent="0.25">
      <c r="A2291" t="s">
        <v>627</v>
      </c>
      <c r="B2291" t="s">
        <v>628</v>
      </c>
      <c r="C2291">
        <v>25</v>
      </c>
      <c r="D2291" t="s">
        <v>22</v>
      </c>
      <c r="E2291">
        <v>74</v>
      </c>
      <c r="F2291">
        <v>213</v>
      </c>
      <c r="G2291" t="s">
        <v>157</v>
      </c>
      <c r="H2291">
        <v>2020</v>
      </c>
      <c r="I2291" t="s">
        <v>33</v>
      </c>
      <c r="J2291">
        <v>6</v>
      </c>
      <c r="K2291">
        <v>5</v>
      </c>
      <c r="L2291">
        <v>0</v>
      </c>
      <c r="M2291">
        <v>0</v>
      </c>
      <c r="N2291">
        <v>0</v>
      </c>
      <c r="O2291">
        <v>0</v>
      </c>
      <c r="P2291">
        <v>2</v>
      </c>
      <c r="Q2291">
        <v>0</v>
      </c>
      <c r="R2291">
        <v>0</v>
      </c>
      <c r="S2291">
        <v>14</v>
      </c>
      <c r="T2291">
        <v>0</v>
      </c>
      <c r="U2291" s="5">
        <f>IF(Merge1[[#This Row],[team_defense_snaps]]=0, "", Merge1[[#This Row],[defense_snaps]] / Merge1[[#This Row],[team_defense_snaps]])</f>
        <v>0</v>
      </c>
      <c r="V2291">
        <v>75</v>
      </c>
      <c r="W2291">
        <v>14</v>
      </c>
      <c r="X2291" s="5" t="s">
        <v>200</v>
      </c>
      <c r="Y2291">
        <v>1</v>
      </c>
      <c r="Z2291">
        <v>0</v>
      </c>
      <c r="AA2291" t="s">
        <v>25</v>
      </c>
      <c r="AB2291" t="s">
        <v>26</v>
      </c>
      <c r="AC2291" t="s">
        <v>27</v>
      </c>
      <c r="AD2291" t="s">
        <v>28</v>
      </c>
      <c r="AE2291" t="s">
        <v>25</v>
      </c>
      <c r="AF22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0.6428571428571429</v>
      </c>
      <c r="AG2291" t="s">
        <v>942</v>
      </c>
      <c r="AH2291">
        <v>76</v>
      </c>
      <c r="AI2291" t="s">
        <v>939</v>
      </c>
      <c r="AJ2291">
        <v>6</v>
      </c>
      <c r="AK22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MIN(AJ2291/8, 1) +
  Merge1[[#This Row],[index_defensive_effort]],
  2
)</f>
        <v>1.89</v>
      </c>
    </row>
    <row r="2292" spans="1:37" x14ac:dyDescent="0.25">
      <c r="A2292" t="s">
        <v>627</v>
      </c>
      <c r="B2292" t="s">
        <v>628</v>
      </c>
      <c r="C2292">
        <v>25</v>
      </c>
      <c r="D2292" t="s">
        <v>22</v>
      </c>
      <c r="E2292">
        <v>74</v>
      </c>
      <c r="F2292">
        <v>213</v>
      </c>
      <c r="G2292" t="s">
        <v>157</v>
      </c>
      <c r="H2292">
        <v>2020</v>
      </c>
      <c r="I2292" t="s">
        <v>33</v>
      </c>
      <c r="J2292">
        <v>7</v>
      </c>
      <c r="K2292">
        <v>1</v>
      </c>
      <c r="L2292">
        <v>2</v>
      </c>
      <c r="M2292">
        <v>2</v>
      </c>
      <c r="N2292">
        <v>4</v>
      </c>
      <c r="O2292">
        <v>0</v>
      </c>
      <c r="P2292">
        <v>0</v>
      </c>
      <c r="Q2292">
        <v>0</v>
      </c>
      <c r="R2292">
        <v>0</v>
      </c>
      <c r="S2292">
        <v>15</v>
      </c>
      <c r="T2292">
        <v>0</v>
      </c>
      <c r="U2292" s="5">
        <f>IF(Merge1[[#This Row],[team_defense_snaps]]=0, "", Merge1[[#This Row],[defense_snaps]] / Merge1[[#This Row],[team_defense_snaps]])</f>
        <v>0</v>
      </c>
      <c r="V2292">
        <v>62</v>
      </c>
      <c r="W2292">
        <v>15</v>
      </c>
      <c r="X2292" s="5" t="s">
        <v>275</v>
      </c>
      <c r="Y2292">
        <v>1</v>
      </c>
      <c r="Z2292">
        <v>0</v>
      </c>
      <c r="AA2292" t="s">
        <v>25</v>
      </c>
      <c r="AB2292" t="s">
        <v>26</v>
      </c>
      <c r="AC2292" t="s">
        <v>27</v>
      </c>
      <c r="AD2292" t="s">
        <v>28</v>
      </c>
      <c r="AE2292" t="s">
        <v>25</v>
      </c>
      <c r="AF22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</v>
      </c>
      <c r="AG2292" t="s">
        <v>942</v>
      </c>
      <c r="AH2292">
        <v>88</v>
      </c>
      <c r="AI2292" t="s">
        <v>939</v>
      </c>
      <c r="AJ2292">
        <v>7</v>
      </c>
      <c r="AK22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MIN(AJ2292/8, 1) +
  Merge1[[#This Row],[index_defensive_effort]],
  2
)</f>
        <v>1.58</v>
      </c>
    </row>
    <row r="2293" spans="1:37" x14ac:dyDescent="0.25">
      <c r="A2293" t="s">
        <v>627</v>
      </c>
      <c r="B2293" t="s">
        <v>628</v>
      </c>
      <c r="C2293">
        <v>25</v>
      </c>
      <c r="D2293" t="s">
        <v>22</v>
      </c>
      <c r="E2293">
        <v>74</v>
      </c>
      <c r="F2293">
        <v>213</v>
      </c>
      <c r="G2293" t="s">
        <v>157</v>
      </c>
      <c r="H2293">
        <v>2020</v>
      </c>
      <c r="I2293" t="s">
        <v>33</v>
      </c>
      <c r="J2293">
        <v>9</v>
      </c>
      <c r="K2293">
        <v>7</v>
      </c>
      <c r="L2293">
        <v>0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15</v>
      </c>
      <c r="T2293">
        <v>0</v>
      </c>
      <c r="U2293" s="5">
        <f>IF(Merge1[[#This Row],[team_defense_snaps]]=0, "", Merge1[[#This Row],[defense_snaps]] / Merge1[[#This Row],[team_defense_snaps]])</f>
        <v>0</v>
      </c>
      <c r="V2293">
        <v>70</v>
      </c>
      <c r="W2293">
        <v>15</v>
      </c>
      <c r="X2293" s="5" t="s">
        <v>275</v>
      </c>
      <c r="Y2293">
        <v>1</v>
      </c>
      <c r="Z2293">
        <v>0</v>
      </c>
      <c r="AA2293" t="s">
        <v>25</v>
      </c>
      <c r="AB2293" t="s">
        <v>26</v>
      </c>
      <c r="AC2293" t="s">
        <v>27</v>
      </c>
      <c r="AD2293" t="s">
        <v>28</v>
      </c>
      <c r="AE2293" t="s">
        <v>25</v>
      </c>
      <c r="AF22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</v>
      </c>
      <c r="AG2293" t="s">
        <v>942</v>
      </c>
      <c r="AH2293">
        <v>74.5</v>
      </c>
      <c r="AI2293" t="s">
        <v>939</v>
      </c>
      <c r="AJ2293">
        <v>1</v>
      </c>
      <c r="AK22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MIN(AJ2293/8, 1) +
  Merge1[[#This Row],[index_defensive_effort]],
  2
)</f>
        <v>1.23</v>
      </c>
    </row>
    <row r="2294" spans="1:37" x14ac:dyDescent="0.25">
      <c r="A2294" t="s">
        <v>627</v>
      </c>
      <c r="B2294" t="s">
        <v>628</v>
      </c>
      <c r="C2294">
        <v>25</v>
      </c>
      <c r="D2294" t="s">
        <v>22</v>
      </c>
      <c r="E2294">
        <v>74</v>
      </c>
      <c r="F2294">
        <v>213</v>
      </c>
      <c r="G2294" t="s">
        <v>157</v>
      </c>
      <c r="H2294">
        <v>2020</v>
      </c>
      <c r="I2294" t="s">
        <v>33</v>
      </c>
      <c r="J2294">
        <v>10</v>
      </c>
      <c r="K2294">
        <v>1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4</v>
      </c>
      <c r="T2294">
        <v>0</v>
      </c>
      <c r="U2294" s="5">
        <f>IF(Merge1[[#This Row],[team_defense_snaps]]=0, "", Merge1[[#This Row],[defense_snaps]] / Merge1[[#This Row],[team_defense_snaps]])</f>
        <v>0</v>
      </c>
      <c r="V2294">
        <v>65</v>
      </c>
      <c r="W2294">
        <v>4</v>
      </c>
      <c r="X2294" s="5" t="s">
        <v>133</v>
      </c>
      <c r="Y2294">
        <v>1</v>
      </c>
      <c r="Z2294">
        <v>0</v>
      </c>
      <c r="AA2294" t="s">
        <v>25</v>
      </c>
      <c r="AB2294" t="s">
        <v>26</v>
      </c>
      <c r="AC2294" t="s">
        <v>27</v>
      </c>
      <c r="AD2294" t="s">
        <v>28</v>
      </c>
      <c r="AE2294" t="s">
        <v>25</v>
      </c>
      <c r="AF22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</v>
      </c>
      <c r="AG2294" t="s">
        <v>942</v>
      </c>
      <c r="AH2294">
        <v>83.5</v>
      </c>
      <c r="AI2294" t="s">
        <v>939</v>
      </c>
      <c r="AJ2294">
        <v>2</v>
      </c>
      <c r="AK22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MIN(AJ2294/8, 1) +
  Merge1[[#This Row],[index_defensive_effort]],
  2
)</f>
        <v>1</v>
      </c>
    </row>
    <row r="2295" spans="1:37" x14ac:dyDescent="0.25">
      <c r="A2295" t="s">
        <v>627</v>
      </c>
      <c r="B2295" t="s">
        <v>628</v>
      </c>
      <c r="C2295">
        <v>25</v>
      </c>
      <c r="D2295" t="s">
        <v>22</v>
      </c>
      <c r="E2295">
        <v>74</v>
      </c>
      <c r="F2295">
        <v>213</v>
      </c>
      <c r="G2295" t="s">
        <v>157</v>
      </c>
      <c r="H2295">
        <v>2020</v>
      </c>
      <c r="I2295" t="s">
        <v>33</v>
      </c>
      <c r="J2295">
        <v>11</v>
      </c>
      <c r="K2295">
        <v>6</v>
      </c>
      <c r="L2295">
        <v>1</v>
      </c>
      <c r="M2295">
        <v>0</v>
      </c>
      <c r="N2295">
        <v>1</v>
      </c>
      <c r="O2295">
        <v>0</v>
      </c>
      <c r="P2295">
        <v>2</v>
      </c>
      <c r="Q2295">
        <v>0</v>
      </c>
      <c r="R2295">
        <v>0</v>
      </c>
      <c r="S2295">
        <v>10</v>
      </c>
      <c r="T2295">
        <v>0</v>
      </c>
      <c r="U2295" s="5">
        <f>IF(Merge1[[#This Row],[team_defense_snaps]]=0, "", Merge1[[#This Row],[defense_snaps]] / Merge1[[#This Row],[team_defense_snaps]])</f>
        <v>0</v>
      </c>
      <c r="V2295">
        <v>75</v>
      </c>
      <c r="W2295">
        <v>10</v>
      </c>
      <c r="X2295" s="5" t="s">
        <v>60</v>
      </c>
      <c r="Y2295">
        <v>1</v>
      </c>
      <c r="Z2295">
        <v>0</v>
      </c>
      <c r="AA2295" t="s">
        <v>25</v>
      </c>
      <c r="AB2295" t="s">
        <v>26</v>
      </c>
      <c r="AC2295" t="s">
        <v>27</v>
      </c>
      <c r="AD2295" t="s">
        <v>28</v>
      </c>
      <c r="AE2295" t="s">
        <v>25</v>
      </c>
      <c r="AF22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2295" t="s">
        <v>942</v>
      </c>
      <c r="AH2295">
        <v>86.5</v>
      </c>
      <c r="AI2295" t="s">
        <v>939</v>
      </c>
      <c r="AJ2295">
        <v>3</v>
      </c>
      <c r="AK22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MIN(AJ2295/8, 1) +
  Merge1[[#This Row],[index_defensive_effort]],
  2
)</f>
        <v>1.88</v>
      </c>
    </row>
    <row r="2296" spans="1:37" x14ac:dyDescent="0.25">
      <c r="A2296" t="s">
        <v>627</v>
      </c>
      <c r="B2296" t="s">
        <v>628</v>
      </c>
      <c r="C2296">
        <v>25</v>
      </c>
      <c r="D2296" t="s">
        <v>22</v>
      </c>
      <c r="E2296">
        <v>74</v>
      </c>
      <c r="F2296">
        <v>213</v>
      </c>
      <c r="G2296" t="s">
        <v>157</v>
      </c>
      <c r="H2296">
        <v>2020</v>
      </c>
      <c r="I2296" t="s">
        <v>33</v>
      </c>
      <c r="J2296">
        <v>12</v>
      </c>
      <c r="K2296">
        <v>4</v>
      </c>
      <c r="L2296">
        <v>2</v>
      </c>
      <c r="M2296">
        <v>0</v>
      </c>
      <c r="N2296">
        <v>2</v>
      </c>
      <c r="O2296">
        <v>0</v>
      </c>
      <c r="P2296">
        <v>1</v>
      </c>
      <c r="Q2296">
        <v>0</v>
      </c>
      <c r="R2296">
        <v>0</v>
      </c>
      <c r="S2296">
        <v>11</v>
      </c>
      <c r="T2296">
        <v>0</v>
      </c>
      <c r="U2296" s="5">
        <f>IF(Merge1[[#This Row],[team_defense_snaps]]=0, "", Merge1[[#This Row],[defense_snaps]] / Merge1[[#This Row],[team_defense_snaps]])</f>
        <v>0</v>
      </c>
      <c r="V2296">
        <v>82</v>
      </c>
      <c r="W2296">
        <v>11</v>
      </c>
      <c r="X2296" s="5" t="s">
        <v>158</v>
      </c>
      <c r="Y2296">
        <v>1</v>
      </c>
      <c r="Z2296">
        <v>0</v>
      </c>
      <c r="AA2296" t="s">
        <v>25</v>
      </c>
      <c r="AB2296" t="s">
        <v>26</v>
      </c>
      <c r="AC2296" t="s">
        <v>27</v>
      </c>
      <c r="AD2296" t="s">
        <v>42</v>
      </c>
      <c r="AE2296" t="s">
        <v>25</v>
      </c>
      <c r="AF22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0.63636363636363635</v>
      </c>
      <c r="AG2296" t="s">
        <v>942</v>
      </c>
      <c r="AH2296">
        <v>80.5</v>
      </c>
      <c r="AI2296" t="s">
        <v>939</v>
      </c>
      <c r="AJ2296">
        <v>4</v>
      </c>
      <c r="AK22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MIN(AJ2296/8, 1) +
  Merge1[[#This Row],[index_defensive_effort]],
  2
)</f>
        <v>1.64</v>
      </c>
    </row>
    <row r="2297" spans="1:37" x14ac:dyDescent="0.25">
      <c r="A2297" t="s">
        <v>627</v>
      </c>
      <c r="B2297" t="s">
        <v>628</v>
      </c>
      <c r="C2297">
        <v>25</v>
      </c>
      <c r="D2297" t="s">
        <v>22</v>
      </c>
      <c r="E2297">
        <v>74</v>
      </c>
      <c r="F2297">
        <v>213</v>
      </c>
      <c r="G2297" t="s">
        <v>157</v>
      </c>
      <c r="H2297">
        <v>2020</v>
      </c>
      <c r="I2297" t="s">
        <v>33</v>
      </c>
      <c r="J2297">
        <v>13</v>
      </c>
      <c r="K2297">
        <v>4</v>
      </c>
      <c r="L2297">
        <v>2</v>
      </c>
      <c r="M2297">
        <v>0</v>
      </c>
      <c r="N2297">
        <v>2</v>
      </c>
      <c r="O2297">
        <v>0</v>
      </c>
      <c r="P2297">
        <v>0</v>
      </c>
      <c r="Q2297">
        <v>0</v>
      </c>
      <c r="R2297">
        <v>0</v>
      </c>
      <c r="S2297">
        <v>10</v>
      </c>
      <c r="T2297">
        <v>0</v>
      </c>
      <c r="U2297" s="5">
        <f>IF(Merge1[[#This Row],[team_defense_snaps]]=0, "", Merge1[[#This Row],[defense_snaps]] / Merge1[[#This Row],[team_defense_snaps]])</f>
        <v>0</v>
      </c>
      <c r="V2297">
        <v>69</v>
      </c>
      <c r="W2297">
        <v>10</v>
      </c>
      <c r="X2297" s="5" t="s">
        <v>134</v>
      </c>
      <c r="Y2297">
        <v>1</v>
      </c>
      <c r="Z2297">
        <v>0</v>
      </c>
      <c r="AA2297" t="s">
        <v>25</v>
      </c>
      <c r="AB2297" t="s">
        <v>26</v>
      </c>
      <c r="AC2297" t="s">
        <v>27</v>
      </c>
      <c r="AD2297" t="s">
        <v>28</v>
      </c>
      <c r="AE2297" t="s">
        <v>25</v>
      </c>
      <c r="AF22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</v>
      </c>
      <c r="AG2297" t="s">
        <v>942</v>
      </c>
      <c r="AH2297">
        <v>68.5</v>
      </c>
      <c r="AI2297" t="s">
        <v>939</v>
      </c>
      <c r="AJ2297">
        <v>5</v>
      </c>
      <c r="AK22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MIN(AJ2297/8, 1) +
  Merge1[[#This Row],[index_defensive_effort]],
  2
)</f>
        <v>1.63</v>
      </c>
    </row>
    <row r="2298" spans="1:37" x14ac:dyDescent="0.25">
      <c r="A2298" t="s">
        <v>627</v>
      </c>
      <c r="B2298" t="s">
        <v>628</v>
      </c>
      <c r="C2298">
        <v>25</v>
      </c>
      <c r="D2298" t="s">
        <v>22</v>
      </c>
      <c r="E2298">
        <v>74</v>
      </c>
      <c r="F2298">
        <v>213</v>
      </c>
      <c r="G2298" t="s">
        <v>157</v>
      </c>
      <c r="H2298">
        <v>2020</v>
      </c>
      <c r="I2298" t="s">
        <v>33</v>
      </c>
      <c r="J2298">
        <v>14</v>
      </c>
      <c r="K2298">
        <v>3</v>
      </c>
      <c r="L2298">
        <v>1</v>
      </c>
      <c r="M2298">
        <v>0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9</v>
      </c>
      <c r="T2298">
        <v>0</v>
      </c>
      <c r="U2298" s="5">
        <f>IF(Merge1[[#This Row],[team_defense_snaps]]=0, "", Merge1[[#This Row],[defense_snaps]] / Merge1[[#This Row],[team_defense_snaps]])</f>
        <v>0</v>
      </c>
      <c r="V2298">
        <v>60</v>
      </c>
      <c r="W2298">
        <v>9</v>
      </c>
      <c r="X2298" s="5" t="s">
        <v>70</v>
      </c>
      <c r="Y2298">
        <v>1</v>
      </c>
      <c r="Z2298">
        <v>0</v>
      </c>
      <c r="AA2298" t="s">
        <v>25</v>
      </c>
      <c r="AB2298" t="s">
        <v>26</v>
      </c>
      <c r="AC2298" t="s">
        <v>27</v>
      </c>
      <c r="AD2298" t="s">
        <v>42</v>
      </c>
      <c r="AE2298" t="s">
        <v>25</v>
      </c>
      <c r="AF22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0.3888888888888889</v>
      </c>
      <c r="AG2298" t="s">
        <v>942</v>
      </c>
      <c r="AH2298">
        <v>82</v>
      </c>
      <c r="AI2298" t="s">
        <v>939</v>
      </c>
      <c r="AJ2298">
        <v>6</v>
      </c>
      <c r="AK22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MIN(AJ2298/8, 1) +
  Merge1[[#This Row],[index_defensive_effort]],
  2
)</f>
        <v>1.64</v>
      </c>
    </row>
    <row r="2299" spans="1:37" x14ac:dyDescent="0.25">
      <c r="A2299" t="s">
        <v>627</v>
      </c>
      <c r="B2299" t="s">
        <v>628</v>
      </c>
      <c r="C2299">
        <v>25</v>
      </c>
      <c r="D2299" t="s">
        <v>22</v>
      </c>
      <c r="E2299">
        <v>74</v>
      </c>
      <c r="F2299">
        <v>213</v>
      </c>
      <c r="G2299" t="s">
        <v>157</v>
      </c>
      <c r="H2299">
        <v>2020</v>
      </c>
      <c r="I2299" t="s">
        <v>33</v>
      </c>
      <c r="J2299">
        <v>15</v>
      </c>
      <c r="K2299">
        <v>3</v>
      </c>
      <c r="L2299">
        <v>6</v>
      </c>
      <c r="M2299">
        <v>6</v>
      </c>
      <c r="N2299">
        <v>12</v>
      </c>
      <c r="O2299">
        <v>0</v>
      </c>
      <c r="P2299">
        <v>0</v>
      </c>
      <c r="Q2299">
        <v>0</v>
      </c>
      <c r="R2299">
        <v>0</v>
      </c>
      <c r="S2299">
        <v>9</v>
      </c>
      <c r="T2299">
        <v>0</v>
      </c>
      <c r="U2299" s="5">
        <f>IF(Merge1[[#This Row],[team_defense_snaps]]=0, "", Merge1[[#This Row],[defense_snaps]] / Merge1[[#This Row],[team_defense_snaps]])</f>
        <v>0</v>
      </c>
      <c r="V2299">
        <v>55</v>
      </c>
      <c r="W2299">
        <v>9</v>
      </c>
      <c r="X2299" s="5" t="s">
        <v>57</v>
      </c>
      <c r="Y2299">
        <v>1</v>
      </c>
      <c r="Z2299">
        <v>0</v>
      </c>
      <c r="AA2299" t="s">
        <v>25</v>
      </c>
      <c r="AB2299" t="s">
        <v>26</v>
      </c>
      <c r="AC2299" t="s">
        <v>27</v>
      </c>
      <c r="AD2299" t="s">
        <v>42</v>
      </c>
      <c r="AE2299" t="s">
        <v>25</v>
      </c>
      <c r="AF22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2299" t="s">
        <v>942</v>
      </c>
      <c r="AH2299">
        <v>70</v>
      </c>
      <c r="AI2299" t="s">
        <v>939</v>
      </c>
      <c r="AJ2299">
        <v>7</v>
      </c>
      <c r="AK22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MIN(AJ2299/8, 1) +
  Merge1[[#This Row],[index_defensive_effort]],
  2
)</f>
        <v>2.38</v>
      </c>
    </row>
    <row r="2300" spans="1:37" x14ac:dyDescent="0.25">
      <c r="A2300" t="s">
        <v>627</v>
      </c>
      <c r="B2300" t="s">
        <v>628</v>
      </c>
      <c r="C2300">
        <v>25</v>
      </c>
      <c r="D2300" t="s">
        <v>22</v>
      </c>
      <c r="E2300">
        <v>74</v>
      </c>
      <c r="F2300">
        <v>213</v>
      </c>
      <c r="G2300" t="s">
        <v>157</v>
      </c>
      <c r="H2300">
        <v>2020</v>
      </c>
      <c r="I2300" t="s">
        <v>33</v>
      </c>
      <c r="J2300">
        <v>16</v>
      </c>
      <c r="K2300">
        <v>6</v>
      </c>
      <c r="L2300">
        <v>5</v>
      </c>
      <c r="M2300">
        <v>1</v>
      </c>
      <c r="N2300">
        <v>6</v>
      </c>
      <c r="O2300">
        <v>0</v>
      </c>
      <c r="P2300">
        <v>0</v>
      </c>
      <c r="Q2300">
        <v>0</v>
      </c>
      <c r="R2300">
        <v>0</v>
      </c>
      <c r="S2300">
        <v>14</v>
      </c>
      <c r="T2300">
        <v>0</v>
      </c>
      <c r="U2300" s="5">
        <f>IF(Merge1[[#This Row],[team_defense_snaps]]=0, "", Merge1[[#This Row],[defense_snaps]] / Merge1[[#This Row],[team_defense_snaps]])</f>
        <v>0</v>
      </c>
      <c r="V2300">
        <v>76</v>
      </c>
      <c r="W2300">
        <v>14</v>
      </c>
      <c r="X2300" s="5" t="s">
        <v>243</v>
      </c>
      <c r="Y2300">
        <v>1</v>
      </c>
      <c r="Z2300">
        <v>0</v>
      </c>
      <c r="AA2300" t="s">
        <v>25</v>
      </c>
      <c r="AB2300" t="s">
        <v>26</v>
      </c>
      <c r="AC2300" t="s">
        <v>27</v>
      </c>
      <c r="AD2300" t="s">
        <v>42</v>
      </c>
      <c r="AE2300" t="s">
        <v>25</v>
      </c>
      <c r="AF23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0.6428571428571429</v>
      </c>
      <c r="AG2300" t="s">
        <v>942</v>
      </c>
      <c r="AH2300">
        <v>85</v>
      </c>
      <c r="AI2300" t="s">
        <v>939</v>
      </c>
      <c r="AJ2300">
        <v>8</v>
      </c>
      <c r="AK23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MIN(AJ2300/8, 1) +
  Merge1[[#This Row],[index_defensive_effort]],
  2
)</f>
        <v>2.14</v>
      </c>
    </row>
    <row r="2301" spans="1:37" x14ac:dyDescent="0.25">
      <c r="A2301" t="s">
        <v>627</v>
      </c>
      <c r="B2301" t="s">
        <v>628</v>
      </c>
      <c r="C2301">
        <v>25</v>
      </c>
      <c r="D2301" t="s">
        <v>22</v>
      </c>
      <c r="E2301">
        <v>74</v>
      </c>
      <c r="F2301">
        <v>213</v>
      </c>
      <c r="G2301" t="s">
        <v>157</v>
      </c>
      <c r="H2301">
        <v>2020</v>
      </c>
      <c r="I2301" t="s">
        <v>33</v>
      </c>
      <c r="J2301">
        <v>17</v>
      </c>
      <c r="K2301">
        <v>1</v>
      </c>
      <c r="L2301">
        <v>3</v>
      </c>
      <c r="M2301">
        <v>1</v>
      </c>
      <c r="N2301">
        <v>4</v>
      </c>
      <c r="O2301">
        <v>0</v>
      </c>
      <c r="P2301">
        <v>1</v>
      </c>
      <c r="Q2301">
        <v>0</v>
      </c>
      <c r="R2301">
        <v>0</v>
      </c>
      <c r="S2301">
        <v>16</v>
      </c>
      <c r="T2301">
        <v>0</v>
      </c>
      <c r="U2301" s="5">
        <f>IF(Merge1[[#This Row],[team_defense_snaps]]=0, "", Merge1[[#This Row],[defense_snaps]] / Merge1[[#This Row],[team_defense_snaps]])</f>
        <v>0</v>
      </c>
      <c r="V2301">
        <v>71</v>
      </c>
      <c r="W2301">
        <v>16</v>
      </c>
      <c r="X2301" s="5" t="s">
        <v>200</v>
      </c>
      <c r="Y2301">
        <v>1</v>
      </c>
      <c r="Z2301">
        <v>0</v>
      </c>
      <c r="AA2301" t="s">
        <v>25</v>
      </c>
      <c r="AB2301" t="s">
        <v>26</v>
      </c>
      <c r="AC2301" t="s">
        <v>27</v>
      </c>
      <c r="AD2301" t="s">
        <v>42</v>
      </c>
      <c r="AE2301" t="s">
        <v>25</v>
      </c>
      <c r="AF23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0.3125</v>
      </c>
      <c r="AG2301" t="s">
        <v>942</v>
      </c>
      <c r="AH2301">
        <v>64</v>
      </c>
      <c r="AI2301" t="s">
        <v>939</v>
      </c>
      <c r="AJ2301">
        <v>9</v>
      </c>
      <c r="AK23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MIN(AJ2301/8, 1) +
  Merge1[[#This Row],[index_defensive_effort]],
  2
)</f>
        <v>1.81</v>
      </c>
    </row>
    <row r="2302" spans="1:37" x14ac:dyDescent="0.25">
      <c r="A2302" t="s">
        <v>623</v>
      </c>
      <c r="B2302" t="s">
        <v>624</v>
      </c>
      <c r="C2302">
        <v>22</v>
      </c>
      <c r="D2302" t="s">
        <v>56</v>
      </c>
      <c r="E2302">
        <v>73</v>
      </c>
      <c r="F2302">
        <v>175</v>
      </c>
      <c r="G2302" t="s">
        <v>180</v>
      </c>
      <c r="H2302">
        <v>2020</v>
      </c>
      <c r="I2302" t="s">
        <v>33</v>
      </c>
      <c r="J2302">
        <v>11</v>
      </c>
      <c r="K2302">
        <v>0</v>
      </c>
      <c r="L2302">
        <v>1</v>
      </c>
      <c r="M2302">
        <v>0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18</v>
      </c>
      <c r="T2302">
        <v>18</v>
      </c>
      <c r="U2302" s="5">
        <f>IF(Merge1[[#This Row],[team_defense_snaps]]=0, "", Merge1[[#This Row],[defense_snaps]] / Merge1[[#This Row],[team_defense_snaps]])</f>
        <v>0.22500000000000001</v>
      </c>
      <c r="V2302">
        <v>80</v>
      </c>
      <c r="W2302">
        <v>0</v>
      </c>
      <c r="X2302" s="5" t="s">
        <v>29</v>
      </c>
      <c r="Y2302">
        <v>0</v>
      </c>
      <c r="Z2302">
        <v>0</v>
      </c>
      <c r="AA2302" t="s">
        <v>25</v>
      </c>
      <c r="AB2302" t="s">
        <v>26</v>
      </c>
      <c r="AC2302" t="s">
        <v>27</v>
      </c>
      <c r="AD2302" t="s">
        <v>28</v>
      </c>
      <c r="AE2302" t="s">
        <v>25</v>
      </c>
      <c r="AF23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2.7777777777777776E-2</v>
      </c>
      <c r="AG2302" t="s">
        <v>941</v>
      </c>
      <c r="AH2302">
        <v>68</v>
      </c>
      <c r="AI2302" t="s">
        <v>939</v>
      </c>
      <c r="AJ2302">
        <v>1</v>
      </c>
      <c r="AK23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MIN(AJ2302/8, 1) +
  Merge1[[#This Row],[index_defensive_effort]],
  2
)</f>
        <v>0.55000000000000004</v>
      </c>
    </row>
    <row r="2303" spans="1:37" x14ac:dyDescent="0.25">
      <c r="A2303" t="s">
        <v>623</v>
      </c>
      <c r="B2303" t="s">
        <v>624</v>
      </c>
      <c r="C2303">
        <v>22</v>
      </c>
      <c r="D2303" t="s">
        <v>56</v>
      </c>
      <c r="E2303">
        <v>73</v>
      </c>
      <c r="F2303">
        <v>175</v>
      </c>
      <c r="G2303" t="s">
        <v>180</v>
      </c>
      <c r="H2303">
        <v>2020</v>
      </c>
      <c r="I2303" t="s">
        <v>33</v>
      </c>
      <c r="J2303">
        <v>12</v>
      </c>
      <c r="K2303">
        <v>3</v>
      </c>
      <c r="L2303">
        <v>2</v>
      </c>
      <c r="M2303">
        <v>0</v>
      </c>
      <c r="N2303">
        <v>2</v>
      </c>
      <c r="O2303">
        <v>0</v>
      </c>
      <c r="P2303">
        <v>0</v>
      </c>
      <c r="Q2303">
        <v>0</v>
      </c>
      <c r="R2303">
        <v>0</v>
      </c>
      <c r="S2303">
        <v>65</v>
      </c>
      <c r="T2303">
        <v>65</v>
      </c>
      <c r="U2303" s="5">
        <f>IF(Merge1[[#This Row],[team_defense_snaps]]=0, "", Merge1[[#This Row],[defense_snaps]] / Merge1[[#This Row],[team_defense_snaps]])</f>
        <v>0.97014925373134331</v>
      </c>
      <c r="V2303">
        <v>67</v>
      </c>
      <c r="W2303">
        <v>0</v>
      </c>
      <c r="X2303" s="5" t="s">
        <v>29</v>
      </c>
      <c r="Y2303">
        <v>0</v>
      </c>
      <c r="Z2303">
        <v>0</v>
      </c>
      <c r="AA2303" t="s">
        <v>25</v>
      </c>
      <c r="AB2303" t="s">
        <v>26</v>
      </c>
      <c r="AC2303" t="s">
        <v>27</v>
      </c>
      <c r="AD2303" t="s">
        <v>42</v>
      </c>
      <c r="AE2303" t="s">
        <v>25</v>
      </c>
      <c r="AF23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6.1538461538461542E-2</v>
      </c>
      <c r="AG2303" t="s">
        <v>941</v>
      </c>
      <c r="AH2303">
        <v>69.5</v>
      </c>
      <c r="AI2303" t="s">
        <v>939</v>
      </c>
      <c r="AJ2303">
        <v>2</v>
      </c>
      <c r="AK23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MIN(AJ2303/8, 1) +
  Merge1[[#This Row],[index_defensive_effort]],
  2
)</f>
        <v>0.71</v>
      </c>
    </row>
    <row r="2304" spans="1:37" x14ac:dyDescent="0.25">
      <c r="A2304" t="s">
        <v>623</v>
      </c>
      <c r="B2304" t="s">
        <v>624</v>
      </c>
      <c r="C2304">
        <v>22</v>
      </c>
      <c r="D2304" t="s">
        <v>56</v>
      </c>
      <c r="E2304">
        <v>73</v>
      </c>
      <c r="F2304">
        <v>175</v>
      </c>
      <c r="G2304" t="s">
        <v>180</v>
      </c>
      <c r="H2304">
        <v>2020</v>
      </c>
      <c r="I2304" t="s">
        <v>33</v>
      </c>
      <c r="J2304">
        <v>13</v>
      </c>
      <c r="K2304">
        <v>5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69</v>
      </c>
      <c r="T2304">
        <v>69</v>
      </c>
      <c r="U2304" s="5">
        <f>IF(Merge1[[#This Row],[team_defense_snaps]]=0, "", Merge1[[#This Row],[defense_snaps]] / Merge1[[#This Row],[team_defense_snaps]])</f>
        <v>0.75</v>
      </c>
      <c r="V2304">
        <v>92</v>
      </c>
      <c r="W2304">
        <v>0</v>
      </c>
      <c r="X2304" s="5" t="s">
        <v>29</v>
      </c>
      <c r="Y2304">
        <v>0</v>
      </c>
      <c r="Z2304">
        <v>0</v>
      </c>
      <c r="AA2304" t="s">
        <v>25</v>
      </c>
      <c r="AB2304" t="s">
        <v>26</v>
      </c>
      <c r="AC2304" t="s">
        <v>27</v>
      </c>
      <c r="AD2304" t="s">
        <v>28</v>
      </c>
      <c r="AE2304" t="s">
        <v>25</v>
      </c>
      <c r="AF23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7.2463768115942032E-2</v>
      </c>
      <c r="AG2304" t="s">
        <v>941</v>
      </c>
      <c r="AH2304">
        <v>71</v>
      </c>
      <c r="AI2304" t="s">
        <v>939</v>
      </c>
      <c r="AJ2304">
        <v>3</v>
      </c>
      <c r="AK23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MIN(AJ2304/8, 1) +
  Merge1[[#This Row],[index_defensive_effort]],
  2
)</f>
        <v>0.85</v>
      </c>
    </row>
    <row r="2305" spans="1:37" x14ac:dyDescent="0.25">
      <c r="A2305" t="s">
        <v>689</v>
      </c>
      <c r="B2305" t="s">
        <v>690</v>
      </c>
      <c r="C2305">
        <v>25</v>
      </c>
      <c r="D2305" t="s">
        <v>22</v>
      </c>
      <c r="E2305">
        <v>71</v>
      </c>
      <c r="F2305">
        <v>205</v>
      </c>
      <c r="G2305" t="s">
        <v>47</v>
      </c>
      <c r="H2305">
        <v>2020</v>
      </c>
      <c r="I2305" t="s">
        <v>33</v>
      </c>
      <c r="J2305">
        <v>3</v>
      </c>
      <c r="K2305">
        <v>3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36</v>
      </c>
      <c r="T2305">
        <v>22</v>
      </c>
      <c r="U2305" s="5">
        <f>IF(Merge1[[#This Row],[team_defense_snaps]]=0, "", Merge1[[#This Row],[defense_snaps]] / Merge1[[#This Row],[team_defense_snaps]])</f>
        <v>0.32835820895522388</v>
      </c>
      <c r="V2305">
        <v>67</v>
      </c>
      <c r="W2305">
        <v>14</v>
      </c>
      <c r="X2305" s="5" t="s">
        <v>275</v>
      </c>
      <c r="Y2305">
        <v>2</v>
      </c>
      <c r="Z2305">
        <v>0</v>
      </c>
      <c r="AA2305" t="s">
        <v>25</v>
      </c>
      <c r="AB2305" t="s">
        <v>26</v>
      </c>
      <c r="AC2305" t="s">
        <v>27</v>
      </c>
      <c r="AD2305" t="s">
        <v>28</v>
      </c>
      <c r="AE2305" t="s">
        <v>25</v>
      </c>
      <c r="AF23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2305" t="s">
        <v>941</v>
      </c>
      <c r="AH2305">
        <v>50</v>
      </c>
      <c r="AI2305" t="s">
        <v>939</v>
      </c>
      <c r="AJ2305">
        <v>1</v>
      </c>
      <c r="AK23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MIN(AJ2305/8, 1) +
  Merge1[[#This Row],[index_defensive_effort]],
  2
)</f>
        <v>0.71</v>
      </c>
    </row>
    <row r="2306" spans="1:37" x14ac:dyDescent="0.25">
      <c r="A2306" t="s">
        <v>689</v>
      </c>
      <c r="B2306" t="s">
        <v>690</v>
      </c>
      <c r="C2306">
        <v>25</v>
      </c>
      <c r="D2306" t="s">
        <v>22</v>
      </c>
      <c r="E2306">
        <v>71</v>
      </c>
      <c r="F2306">
        <v>205</v>
      </c>
      <c r="G2306" t="s">
        <v>47</v>
      </c>
      <c r="H2306">
        <v>2020</v>
      </c>
      <c r="I2306" t="s">
        <v>33</v>
      </c>
      <c r="J2306">
        <v>4</v>
      </c>
      <c r="K2306">
        <v>6</v>
      </c>
      <c r="L2306">
        <v>1</v>
      </c>
      <c r="M2306">
        <v>0</v>
      </c>
      <c r="N2306">
        <v>1</v>
      </c>
      <c r="O2306">
        <v>4</v>
      </c>
      <c r="P2306">
        <v>4</v>
      </c>
      <c r="Q2306">
        <v>0</v>
      </c>
      <c r="R2306">
        <v>0</v>
      </c>
      <c r="S2306">
        <v>46</v>
      </c>
      <c r="T2306">
        <v>30</v>
      </c>
      <c r="U2306" s="5">
        <f>IF(Merge1[[#This Row],[team_defense_snaps]]=0, "", Merge1[[#This Row],[defense_snaps]] / Merge1[[#This Row],[team_defense_snaps]])</f>
        <v>0.35294117647058826</v>
      </c>
      <c r="V2306">
        <v>85</v>
      </c>
      <c r="W2306">
        <v>16</v>
      </c>
      <c r="X2306" s="5" t="s">
        <v>52</v>
      </c>
      <c r="Y2306">
        <v>2</v>
      </c>
      <c r="Z2306">
        <v>0</v>
      </c>
      <c r="AA2306" t="s">
        <v>25</v>
      </c>
      <c r="AB2306" t="s">
        <v>26</v>
      </c>
      <c r="AC2306" t="s">
        <v>27</v>
      </c>
      <c r="AD2306" t="s">
        <v>28</v>
      </c>
      <c r="AE2306" t="s">
        <v>25</v>
      </c>
      <c r="AF23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0.57608695652173914</v>
      </c>
      <c r="AG2306" t="s">
        <v>941</v>
      </c>
      <c r="AH2306">
        <v>65.5</v>
      </c>
      <c r="AI2306" t="s">
        <v>939</v>
      </c>
      <c r="AJ2306">
        <v>2</v>
      </c>
      <c r="AK23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MIN(AJ2306/8, 1) +
  Merge1[[#This Row],[index_defensive_effort]],
  2
)</f>
        <v>1.33</v>
      </c>
    </row>
    <row r="2307" spans="1:37" x14ac:dyDescent="0.25">
      <c r="A2307" t="s">
        <v>689</v>
      </c>
      <c r="B2307" t="s">
        <v>690</v>
      </c>
      <c r="C2307">
        <v>25</v>
      </c>
      <c r="D2307" t="s">
        <v>22</v>
      </c>
      <c r="E2307">
        <v>71</v>
      </c>
      <c r="F2307">
        <v>205</v>
      </c>
      <c r="G2307" t="s">
        <v>47</v>
      </c>
      <c r="H2307">
        <v>2020</v>
      </c>
      <c r="I2307" t="s">
        <v>33</v>
      </c>
      <c r="J2307">
        <v>13</v>
      </c>
      <c r="K2307">
        <v>4</v>
      </c>
      <c r="L2307">
        <v>1</v>
      </c>
      <c r="M2307">
        <v>0</v>
      </c>
      <c r="N2307">
        <v>1</v>
      </c>
      <c r="O2307">
        <v>0</v>
      </c>
      <c r="P2307">
        <v>0</v>
      </c>
      <c r="Q2307">
        <v>2</v>
      </c>
      <c r="R2307">
        <v>0</v>
      </c>
      <c r="S2307">
        <v>60</v>
      </c>
      <c r="T2307">
        <v>40</v>
      </c>
      <c r="U2307" s="5">
        <f>IF(Merge1[[#This Row],[team_defense_snaps]]=0, "", Merge1[[#This Row],[defense_snaps]] / Merge1[[#This Row],[team_defense_snaps]])</f>
        <v>0.54794520547945202</v>
      </c>
      <c r="V2307">
        <v>73</v>
      </c>
      <c r="W2307">
        <v>20</v>
      </c>
      <c r="X2307" s="5" t="s">
        <v>83</v>
      </c>
      <c r="Y2307">
        <v>2</v>
      </c>
      <c r="Z2307">
        <v>0</v>
      </c>
      <c r="AA2307" t="s">
        <v>25</v>
      </c>
      <c r="AB2307" t="s">
        <v>26</v>
      </c>
      <c r="AC2307" t="s">
        <v>27</v>
      </c>
      <c r="AD2307" t="s">
        <v>28</v>
      </c>
      <c r="AE2307" t="s">
        <v>25</v>
      </c>
      <c r="AF23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0.20833333333333334</v>
      </c>
      <c r="AG2307" t="s">
        <v>941</v>
      </c>
      <c r="AH2307">
        <v>50.5</v>
      </c>
      <c r="AI2307" t="s">
        <v>939</v>
      </c>
      <c r="AJ2307">
        <v>1</v>
      </c>
      <c r="AK23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MIN(AJ2307/8, 1) +
  Merge1[[#This Row],[index_defensive_effort]],
  2
)</f>
        <v>0.83</v>
      </c>
    </row>
    <row r="2308" spans="1:37" x14ac:dyDescent="0.25">
      <c r="A2308" t="s">
        <v>689</v>
      </c>
      <c r="B2308" t="s">
        <v>690</v>
      </c>
      <c r="C2308">
        <v>25</v>
      </c>
      <c r="D2308" t="s">
        <v>22</v>
      </c>
      <c r="E2308">
        <v>71</v>
      </c>
      <c r="F2308">
        <v>205</v>
      </c>
      <c r="G2308" t="s">
        <v>47</v>
      </c>
      <c r="H2308">
        <v>2020</v>
      </c>
      <c r="I2308" t="s">
        <v>33</v>
      </c>
      <c r="J2308">
        <v>14</v>
      </c>
      <c r="K2308">
        <v>3</v>
      </c>
      <c r="L2308">
        <v>1</v>
      </c>
      <c r="M2308">
        <v>0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51</v>
      </c>
      <c r="T2308">
        <v>33</v>
      </c>
      <c r="U2308" s="5">
        <f>IF(Merge1[[#This Row],[team_defense_snaps]]=0, "", Merge1[[#This Row],[defense_snaps]] / Merge1[[#This Row],[team_defense_snaps]])</f>
        <v>0.54098360655737709</v>
      </c>
      <c r="V2308">
        <v>61</v>
      </c>
      <c r="W2308">
        <v>18</v>
      </c>
      <c r="X2308" s="5" t="s">
        <v>182</v>
      </c>
      <c r="Y2308">
        <v>2</v>
      </c>
      <c r="Z2308">
        <v>0</v>
      </c>
      <c r="AA2308" t="s">
        <v>25</v>
      </c>
      <c r="AB2308" t="s">
        <v>26</v>
      </c>
      <c r="AC2308" t="s">
        <v>27</v>
      </c>
      <c r="AD2308" t="s">
        <v>28</v>
      </c>
      <c r="AE2308" t="s">
        <v>25</v>
      </c>
      <c r="AF23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6.8627450980392163E-2</v>
      </c>
      <c r="AG2308" t="s">
        <v>941</v>
      </c>
      <c r="AH2308">
        <v>52</v>
      </c>
      <c r="AI2308" t="s">
        <v>939</v>
      </c>
      <c r="AJ2308">
        <v>2</v>
      </c>
      <c r="AK23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MIN(AJ2308/8, 1) +
  Merge1[[#This Row],[index_defensive_effort]],
  2
)</f>
        <v>0.82</v>
      </c>
    </row>
    <row r="2309" spans="1:37" x14ac:dyDescent="0.25">
      <c r="A2309" t="s">
        <v>689</v>
      </c>
      <c r="B2309" t="s">
        <v>690</v>
      </c>
      <c r="C2309">
        <v>25</v>
      </c>
      <c r="D2309" t="s">
        <v>22</v>
      </c>
      <c r="E2309">
        <v>71</v>
      </c>
      <c r="F2309">
        <v>205</v>
      </c>
      <c r="G2309" t="s">
        <v>47</v>
      </c>
      <c r="H2309">
        <v>2020</v>
      </c>
      <c r="I2309" t="s">
        <v>33</v>
      </c>
      <c r="J2309">
        <v>17</v>
      </c>
      <c r="K2309">
        <v>5</v>
      </c>
      <c r="L2309">
        <v>1</v>
      </c>
      <c r="M2309">
        <v>0</v>
      </c>
      <c r="N2309">
        <v>1</v>
      </c>
      <c r="O2309">
        <v>0</v>
      </c>
      <c r="P2309">
        <v>2</v>
      </c>
      <c r="Q2309">
        <v>2</v>
      </c>
      <c r="R2309">
        <v>0</v>
      </c>
      <c r="S2309">
        <v>82</v>
      </c>
      <c r="T2309">
        <v>63</v>
      </c>
      <c r="U2309" s="5">
        <f>IF(Merge1[[#This Row],[team_defense_snaps]]=0, "", Merge1[[#This Row],[defense_snaps]] / Merge1[[#This Row],[team_defense_snaps]])</f>
        <v>0.94029850746268662</v>
      </c>
      <c r="V2309">
        <v>67</v>
      </c>
      <c r="W2309">
        <v>19</v>
      </c>
      <c r="X2309" s="5" t="s">
        <v>95</v>
      </c>
      <c r="Y2309">
        <v>2</v>
      </c>
      <c r="Z2309">
        <v>0</v>
      </c>
      <c r="AA2309" t="s">
        <v>25</v>
      </c>
      <c r="AB2309" t="s">
        <v>26</v>
      </c>
      <c r="AC2309" t="s">
        <v>27</v>
      </c>
      <c r="AD2309" t="s">
        <v>28</v>
      </c>
      <c r="AE2309" t="s">
        <v>25</v>
      </c>
      <c r="AF23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0.21341463414634146</v>
      </c>
      <c r="AG2309" t="s">
        <v>941</v>
      </c>
      <c r="AH2309">
        <v>67</v>
      </c>
      <c r="AI2309" t="s">
        <v>939</v>
      </c>
      <c r="AJ2309">
        <v>1</v>
      </c>
      <c r="AK23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MIN(AJ2309/8, 1) +
  Merge1[[#This Row],[index_defensive_effort]],
  2
)</f>
        <v>0.84</v>
      </c>
    </row>
    <row r="2310" spans="1:37" x14ac:dyDescent="0.25">
      <c r="A2310" t="s">
        <v>689</v>
      </c>
      <c r="B2310" t="s">
        <v>690</v>
      </c>
      <c r="C2310">
        <v>25</v>
      </c>
      <c r="D2310" t="s">
        <v>22</v>
      </c>
      <c r="E2310">
        <v>71</v>
      </c>
      <c r="F2310">
        <v>205</v>
      </c>
      <c r="G2310" t="s">
        <v>47</v>
      </c>
      <c r="H2310">
        <v>2020</v>
      </c>
      <c r="I2310" t="s">
        <v>24</v>
      </c>
      <c r="J2310">
        <v>18</v>
      </c>
      <c r="K2310">
        <v>12</v>
      </c>
      <c r="L2310">
        <v>0</v>
      </c>
      <c r="M2310">
        <v>0</v>
      </c>
      <c r="N2310">
        <v>0</v>
      </c>
      <c r="O2310">
        <v>0</v>
      </c>
      <c r="P2310">
        <v>2</v>
      </c>
      <c r="Q2310">
        <v>2</v>
      </c>
      <c r="R2310">
        <v>0</v>
      </c>
      <c r="S2310">
        <v>101</v>
      </c>
      <c r="T2310">
        <v>87</v>
      </c>
      <c r="U2310" s="5">
        <f>IF(Merge1[[#This Row],[team_defense_snaps]]=0, "", Merge1[[#This Row],[defense_snaps]] / Merge1[[#This Row],[team_defense_snaps]])</f>
        <v>0.94565217391304346</v>
      </c>
      <c r="V2310">
        <v>92</v>
      </c>
      <c r="W2310">
        <v>14</v>
      </c>
      <c r="X2310" s="5" t="s">
        <v>221</v>
      </c>
      <c r="Y2310">
        <v>2</v>
      </c>
      <c r="Z2310">
        <v>0</v>
      </c>
      <c r="AA2310" t="s">
        <v>25</v>
      </c>
      <c r="AB2310" t="s">
        <v>36</v>
      </c>
      <c r="AC2310" t="s">
        <v>177</v>
      </c>
      <c r="AD2310" t="s">
        <v>42</v>
      </c>
      <c r="AE2310" t="s">
        <v>25</v>
      </c>
      <c r="AF23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0.23762376237623761</v>
      </c>
      <c r="AG2310" t="s">
        <v>941</v>
      </c>
      <c r="AH2310">
        <v>50</v>
      </c>
      <c r="AI2310" t="s">
        <v>939</v>
      </c>
      <c r="AJ2310">
        <v>2</v>
      </c>
      <c r="AK23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MIN(AJ2310/8, 1) +
  Merge1[[#This Row],[index_defensive_effort]],
  2
)</f>
        <v>1.19</v>
      </c>
    </row>
    <row r="2311" spans="1:37" x14ac:dyDescent="0.25">
      <c r="A2311" t="s">
        <v>689</v>
      </c>
      <c r="B2311" t="s">
        <v>690</v>
      </c>
      <c r="C2311">
        <v>25</v>
      </c>
      <c r="D2311" t="s">
        <v>22</v>
      </c>
      <c r="E2311">
        <v>71</v>
      </c>
      <c r="F2311">
        <v>205</v>
      </c>
      <c r="G2311" t="s">
        <v>47</v>
      </c>
      <c r="H2311">
        <v>2020</v>
      </c>
      <c r="I2311" t="s">
        <v>24</v>
      </c>
      <c r="J2311">
        <v>19</v>
      </c>
      <c r="K2311">
        <v>3</v>
      </c>
      <c r="L2311">
        <v>1</v>
      </c>
      <c r="M2311">
        <v>0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39</v>
      </c>
      <c r="T2311">
        <v>26</v>
      </c>
      <c r="U2311" s="5">
        <f>IF(Merge1[[#This Row],[team_defense_snaps]]=0, "", Merge1[[#This Row],[defense_snaps]] / Merge1[[#This Row],[team_defense_snaps]])</f>
        <v>0.38805970149253732</v>
      </c>
      <c r="V2311">
        <v>67</v>
      </c>
      <c r="W2311">
        <v>13</v>
      </c>
      <c r="X2311" s="5" t="s">
        <v>256</v>
      </c>
      <c r="Y2311">
        <v>2</v>
      </c>
      <c r="Z2311">
        <v>0</v>
      </c>
      <c r="AA2311" t="s">
        <v>25</v>
      </c>
      <c r="AB2311" t="s">
        <v>26</v>
      </c>
      <c r="AC2311" t="s">
        <v>27</v>
      </c>
      <c r="AD2311" t="s">
        <v>28</v>
      </c>
      <c r="AE2311" t="s">
        <v>25</v>
      </c>
      <c r="AF23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8.9743589743589744E-2</v>
      </c>
      <c r="AG2311" t="s">
        <v>941</v>
      </c>
      <c r="AH2311">
        <v>46</v>
      </c>
      <c r="AI2311" t="s">
        <v>939</v>
      </c>
      <c r="AJ2311">
        <v>3</v>
      </c>
      <c r="AK23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MIN(AJ2311/8, 1) +
  Merge1[[#This Row],[index_defensive_effort]],
  2
)</f>
        <v>1.1599999999999999</v>
      </c>
    </row>
    <row r="2312" spans="1:37" x14ac:dyDescent="0.25">
      <c r="A2312" t="s">
        <v>641</v>
      </c>
      <c r="B2312" t="s">
        <v>642</v>
      </c>
      <c r="C2312">
        <v>27</v>
      </c>
      <c r="D2312" t="s">
        <v>56</v>
      </c>
      <c r="E2312">
        <v>70</v>
      </c>
      <c r="F2312">
        <v>192</v>
      </c>
      <c r="G2312" t="s">
        <v>235</v>
      </c>
      <c r="H2312">
        <v>2020</v>
      </c>
      <c r="I2312" t="s">
        <v>33</v>
      </c>
      <c r="J2312">
        <v>2</v>
      </c>
      <c r="K2312">
        <v>2</v>
      </c>
      <c r="L2312">
        <v>2</v>
      </c>
      <c r="M2312">
        <v>0</v>
      </c>
      <c r="N2312">
        <v>2</v>
      </c>
      <c r="O2312">
        <v>0</v>
      </c>
      <c r="P2312">
        <v>0</v>
      </c>
      <c r="Q2312">
        <v>0</v>
      </c>
      <c r="R2312">
        <v>0</v>
      </c>
      <c r="S2312">
        <v>26</v>
      </c>
      <c r="T2312">
        <v>26</v>
      </c>
      <c r="U2312" s="5">
        <f>IF(Merge1[[#This Row],[team_defense_snaps]]=0, "", Merge1[[#This Row],[defense_snaps]] / Merge1[[#This Row],[team_defense_snaps]])</f>
        <v>0.44827586206896552</v>
      </c>
      <c r="V2312">
        <v>58</v>
      </c>
      <c r="W2312">
        <v>0</v>
      </c>
      <c r="X2312" s="5" t="s">
        <v>29</v>
      </c>
      <c r="Y2312">
        <v>4</v>
      </c>
      <c r="Z2312">
        <v>0</v>
      </c>
      <c r="AA2312" t="s">
        <v>25</v>
      </c>
      <c r="AB2312" t="s">
        <v>26</v>
      </c>
      <c r="AC2312" t="s">
        <v>27</v>
      </c>
      <c r="AD2312" t="s">
        <v>28</v>
      </c>
      <c r="AE2312" t="s">
        <v>25</v>
      </c>
      <c r="AF23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0.11538461538461539</v>
      </c>
      <c r="AG2312" t="s">
        <v>942</v>
      </c>
      <c r="AH2312">
        <v>49.5</v>
      </c>
      <c r="AI2312" t="s">
        <v>939</v>
      </c>
      <c r="AJ2312">
        <v>1</v>
      </c>
      <c r="AK23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MIN(AJ2312/8, 1) +
  Merge1[[#This Row],[index_defensive_effort]],
  2
)</f>
        <v>0.84</v>
      </c>
    </row>
    <row r="2313" spans="1:37" x14ac:dyDescent="0.25">
      <c r="A2313" t="s">
        <v>641</v>
      </c>
      <c r="B2313" t="s">
        <v>642</v>
      </c>
      <c r="C2313">
        <v>27</v>
      </c>
      <c r="D2313" t="s">
        <v>56</v>
      </c>
      <c r="E2313">
        <v>70</v>
      </c>
      <c r="F2313">
        <v>192</v>
      </c>
      <c r="G2313" t="s">
        <v>235</v>
      </c>
      <c r="H2313">
        <v>2020</v>
      </c>
      <c r="I2313" t="s">
        <v>33</v>
      </c>
      <c r="J2313">
        <v>3</v>
      </c>
      <c r="K2313">
        <v>8</v>
      </c>
      <c r="L2313">
        <v>1</v>
      </c>
      <c r="M2313">
        <v>0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84</v>
      </c>
      <c r="T2313">
        <v>84</v>
      </c>
      <c r="U2313" s="5">
        <f>IF(Merge1[[#This Row],[team_defense_snaps]]=0, "", Merge1[[#This Row],[defense_snaps]] / Merge1[[#This Row],[team_defense_snaps]])</f>
        <v>0.92307692307692313</v>
      </c>
      <c r="V2313">
        <v>91</v>
      </c>
      <c r="W2313">
        <v>0</v>
      </c>
      <c r="X2313" s="5" t="s">
        <v>29</v>
      </c>
      <c r="Y2313">
        <v>4</v>
      </c>
      <c r="Z2313">
        <v>0</v>
      </c>
      <c r="AA2313" t="s">
        <v>25</v>
      </c>
      <c r="AB2313" t="s">
        <v>26</v>
      </c>
      <c r="AC2313" t="s">
        <v>27</v>
      </c>
      <c r="AD2313" t="s">
        <v>42</v>
      </c>
      <c r="AE2313" t="s">
        <v>25</v>
      </c>
      <c r="AF23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0.10119047619047619</v>
      </c>
      <c r="AG2313" t="s">
        <v>942</v>
      </c>
      <c r="AH2313">
        <v>70.5</v>
      </c>
      <c r="AI2313" t="s">
        <v>939</v>
      </c>
      <c r="AJ2313">
        <v>2</v>
      </c>
      <c r="AK23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MIN(AJ2313/8, 1) +
  Merge1[[#This Row],[index_defensive_effort]],
  2
)</f>
        <v>0.95</v>
      </c>
    </row>
    <row r="2314" spans="1:37" x14ac:dyDescent="0.25">
      <c r="A2314" t="s">
        <v>641</v>
      </c>
      <c r="B2314" t="s">
        <v>642</v>
      </c>
      <c r="C2314">
        <v>27</v>
      </c>
      <c r="D2314" t="s">
        <v>56</v>
      </c>
      <c r="E2314">
        <v>70</v>
      </c>
      <c r="F2314">
        <v>192</v>
      </c>
      <c r="G2314" t="s">
        <v>235</v>
      </c>
      <c r="H2314">
        <v>2020</v>
      </c>
      <c r="I2314" t="s">
        <v>33</v>
      </c>
      <c r="J2314">
        <v>6</v>
      </c>
      <c r="K2314">
        <v>2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55</v>
      </c>
      <c r="T2314">
        <v>55</v>
      </c>
      <c r="U2314" s="5">
        <f>IF(Merge1[[#This Row],[team_defense_snaps]]=0, "", Merge1[[#This Row],[defense_snaps]] / Merge1[[#This Row],[team_defense_snaps]])</f>
        <v>0.87301587301587302</v>
      </c>
      <c r="V2314">
        <v>63</v>
      </c>
      <c r="W2314">
        <v>0</v>
      </c>
      <c r="X2314" s="5" t="s">
        <v>29</v>
      </c>
      <c r="Y2314">
        <v>4</v>
      </c>
      <c r="Z2314">
        <v>0</v>
      </c>
      <c r="AA2314" t="s">
        <v>25</v>
      </c>
      <c r="AB2314" t="s">
        <v>36</v>
      </c>
      <c r="AC2314" t="s">
        <v>147</v>
      </c>
      <c r="AD2314" t="s">
        <v>42</v>
      </c>
      <c r="AE2314" t="s">
        <v>25</v>
      </c>
      <c r="AF23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3.6363636363636362E-2</v>
      </c>
      <c r="AG2314" t="s">
        <v>942</v>
      </c>
      <c r="AH2314">
        <v>51</v>
      </c>
      <c r="AI2314" t="s">
        <v>939</v>
      </c>
      <c r="AJ2314">
        <v>1</v>
      </c>
      <c r="AK23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MIN(AJ2314/8, 1) +
  Merge1[[#This Row],[index_defensive_effort]],
  2
)</f>
        <v>0.76</v>
      </c>
    </row>
    <row r="2315" spans="1:37" x14ac:dyDescent="0.25">
      <c r="A2315" t="s">
        <v>641</v>
      </c>
      <c r="B2315" t="s">
        <v>642</v>
      </c>
      <c r="C2315">
        <v>27</v>
      </c>
      <c r="D2315" t="s">
        <v>56</v>
      </c>
      <c r="E2315">
        <v>70</v>
      </c>
      <c r="F2315">
        <v>192</v>
      </c>
      <c r="G2315" t="s">
        <v>235</v>
      </c>
      <c r="H2315">
        <v>2020</v>
      </c>
      <c r="I2315" t="s">
        <v>33</v>
      </c>
      <c r="J2315">
        <v>7</v>
      </c>
      <c r="K2315">
        <v>3</v>
      </c>
      <c r="L2315">
        <v>1</v>
      </c>
      <c r="M2315">
        <v>0</v>
      </c>
      <c r="N2315">
        <v>1</v>
      </c>
      <c r="O2315">
        <v>0</v>
      </c>
      <c r="P2315">
        <v>1</v>
      </c>
      <c r="Q2315">
        <v>0</v>
      </c>
      <c r="R2315">
        <v>0</v>
      </c>
      <c r="S2315">
        <v>38</v>
      </c>
      <c r="T2315">
        <v>38</v>
      </c>
      <c r="U2315" s="5">
        <f>IF(Merge1[[#This Row],[team_defense_snaps]]=0, "", Merge1[[#This Row],[defense_snaps]] / Merge1[[#This Row],[team_defense_snaps]])</f>
        <v>0.70370370370370372</v>
      </c>
      <c r="V2315">
        <v>54</v>
      </c>
      <c r="W2315">
        <v>0</v>
      </c>
      <c r="X2315" s="5" t="s">
        <v>29</v>
      </c>
      <c r="Y2315">
        <v>4</v>
      </c>
      <c r="Z2315">
        <v>0</v>
      </c>
      <c r="AA2315" t="s">
        <v>25</v>
      </c>
      <c r="AB2315" t="s">
        <v>26</v>
      </c>
      <c r="AC2315" t="s">
        <v>27</v>
      </c>
      <c r="AD2315" t="s">
        <v>28</v>
      </c>
      <c r="AE2315" t="s">
        <v>25</v>
      </c>
      <c r="AF23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0.14473684210526316</v>
      </c>
      <c r="AG2315" t="s">
        <v>942</v>
      </c>
      <c r="AH2315">
        <v>52.5</v>
      </c>
      <c r="AI2315" t="s">
        <v>939</v>
      </c>
      <c r="AJ2315">
        <v>2</v>
      </c>
      <c r="AK23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MIN(AJ2315/8, 1) +
  Merge1[[#This Row],[index_defensive_effort]],
  2
)</f>
        <v>0.99</v>
      </c>
    </row>
    <row r="2316" spans="1:37" x14ac:dyDescent="0.25">
      <c r="A2316" t="s">
        <v>641</v>
      </c>
      <c r="B2316" t="s">
        <v>642</v>
      </c>
      <c r="C2316">
        <v>27</v>
      </c>
      <c r="D2316" t="s">
        <v>56</v>
      </c>
      <c r="E2316">
        <v>70</v>
      </c>
      <c r="F2316">
        <v>192</v>
      </c>
      <c r="G2316" t="s">
        <v>235</v>
      </c>
      <c r="H2316">
        <v>2020</v>
      </c>
      <c r="I2316" t="s">
        <v>33</v>
      </c>
      <c r="J2316">
        <v>8</v>
      </c>
      <c r="K2316">
        <v>3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39</v>
      </c>
      <c r="T2316">
        <v>39</v>
      </c>
      <c r="U2316" s="5">
        <f>IF(Merge1[[#This Row],[team_defense_snaps]]=0, "", Merge1[[#This Row],[defense_snaps]] / Merge1[[#This Row],[team_defense_snaps]])</f>
        <v>0.61904761904761907</v>
      </c>
      <c r="V2316">
        <v>63</v>
      </c>
      <c r="W2316">
        <v>0</v>
      </c>
      <c r="X2316" s="5" t="s">
        <v>29</v>
      </c>
      <c r="Y2316">
        <v>4</v>
      </c>
      <c r="Z2316">
        <v>0</v>
      </c>
      <c r="AA2316" t="s">
        <v>25</v>
      </c>
      <c r="AB2316" t="s">
        <v>26</v>
      </c>
      <c r="AC2316" t="s">
        <v>27</v>
      </c>
      <c r="AD2316" t="s">
        <v>28</v>
      </c>
      <c r="AE2316" t="s">
        <v>25</v>
      </c>
      <c r="AF23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7.6923076923076927E-2</v>
      </c>
      <c r="AG2316" t="s">
        <v>942</v>
      </c>
      <c r="AH2316">
        <v>63</v>
      </c>
      <c r="AI2316" t="s">
        <v>939</v>
      </c>
      <c r="AJ2316">
        <v>3</v>
      </c>
      <c r="AK23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MIN(AJ2316/8, 1) +
  Merge1[[#This Row],[index_defensive_effort]],
  2
)</f>
        <v>1.05</v>
      </c>
    </row>
    <row r="2317" spans="1:37" x14ac:dyDescent="0.25">
      <c r="A2317" t="s">
        <v>641</v>
      </c>
      <c r="B2317" t="s">
        <v>642</v>
      </c>
      <c r="C2317">
        <v>27</v>
      </c>
      <c r="D2317" t="s">
        <v>56</v>
      </c>
      <c r="E2317">
        <v>70</v>
      </c>
      <c r="F2317">
        <v>192</v>
      </c>
      <c r="G2317" t="s">
        <v>235</v>
      </c>
      <c r="H2317">
        <v>2020</v>
      </c>
      <c r="I2317" t="s">
        <v>33</v>
      </c>
      <c r="J2317">
        <v>10</v>
      </c>
      <c r="K2317">
        <v>2</v>
      </c>
      <c r="L2317">
        <v>2</v>
      </c>
      <c r="M2317">
        <v>0</v>
      </c>
      <c r="N2317">
        <v>2</v>
      </c>
      <c r="O2317">
        <v>0</v>
      </c>
      <c r="P2317">
        <v>0</v>
      </c>
      <c r="Q2317">
        <v>0</v>
      </c>
      <c r="R2317">
        <v>0</v>
      </c>
      <c r="S2317">
        <v>15</v>
      </c>
      <c r="T2317">
        <v>15</v>
      </c>
      <c r="U2317" s="5">
        <f>IF(Merge1[[#This Row],[team_defense_snaps]]=0, "", Merge1[[#This Row],[defense_snaps]] / Merge1[[#This Row],[team_defense_snaps]])</f>
        <v>0.20547945205479451</v>
      </c>
      <c r="V2317">
        <v>73</v>
      </c>
      <c r="W2317">
        <v>0</v>
      </c>
      <c r="X2317" s="5" t="s">
        <v>29</v>
      </c>
      <c r="Y2317">
        <v>4</v>
      </c>
      <c r="Z2317">
        <v>0</v>
      </c>
      <c r="AA2317" t="s">
        <v>25</v>
      </c>
      <c r="AB2317" t="s">
        <v>26</v>
      </c>
      <c r="AC2317" t="s">
        <v>27</v>
      </c>
      <c r="AD2317" t="s">
        <v>42</v>
      </c>
      <c r="AE2317" t="s">
        <v>25</v>
      </c>
      <c r="AF23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</v>
      </c>
      <c r="AG2317" t="s">
        <v>942</v>
      </c>
      <c r="AH2317">
        <v>54</v>
      </c>
      <c r="AI2317" t="s">
        <v>939</v>
      </c>
      <c r="AJ2317">
        <v>1</v>
      </c>
      <c r="AK23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MIN(AJ2317/8, 1) +
  Merge1[[#This Row],[index_defensive_effort]],
  2
)</f>
        <v>0.93</v>
      </c>
    </row>
    <row r="2318" spans="1:37" x14ac:dyDescent="0.25">
      <c r="A2318" t="s">
        <v>641</v>
      </c>
      <c r="B2318" t="s">
        <v>642</v>
      </c>
      <c r="C2318">
        <v>27</v>
      </c>
      <c r="D2318" t="s">
        <v>56</v>
      </c>
      <c r="E2318">
        <v>70</v>
      </c>
      <c r="F2318">
        <v>192</v>
      </c>
      <c r="G2318" t="s">
        <v>235</v>
      </c>
      <c r="H2318">
        <v>2020</v>
      </c>
      <c r="I2318" t="s">
        <v>33</v>
      </c>
      <c r="J2318">
        <v>11</v>
      </c>
      <c r="K2318">
        <v>2</v>
      </c>
      <c r="L2318">
        <v>3</v>
      </c>
      <c r="M2318">
        <v>0</v>
      </c>
      <c r="N2318">
        <v>3</v>
      </c>
      <c r="O2318">
        <v>0</v>
      </c>
      <c r="P2318">
        <v>0</v>
      </c>
      <c r="Q2318">
        <v>0</v>
      </c>
      <c r="R2318">
        <v>0</v>
      </c>
      <c r="S2318">
        <v>52</v>
      </c>
      <c r="T2318">
        <v>52</v>
      </c>
      <c r="U2318" s="5">
        <f>IF(Merge1[[#This Row],[team_defense_snaps]]=0, "", Merge1[[#This Row],[defense_snaps]] / Merge1[[#This Row],[team_defense_snaps]])</f>
        <v>0.83870967741935487</v>
      </c>
      <c r="V2318">
        <v>62</v>
      </c>
      <c r="W2318">
        <v>0</v>
      </c>
      <c r="X2318" s="5" t="s">
        <v>29</v>
      </c>
      <c r="Y2318">
        <v>4</v>
      </c>
      <c r="Z2318">
        <v>0</v>
      </c>
      <c r="AA2318" t="s">
        <v>25</v>
      </c>
      <c r="AB2318" t="s">
        <v>26</v>
      </c>
      <c r="AC2318" t="s">
        <v>27</v>
      </c>
      <c r="AD2318" t="s">
        <v>42</v>
      </c>
      <c r="AE2318" t="s">
        <v>25</v>
      </c>
      <c r="AF23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6.7307692307692304E-2</v>
      </c>
      <c r="AG2318" t="s">
        <v>942</v>
      </c>
      <c r="AH2318">
        <v>55.5</v>
      </c>
      <c r="AI2318" t="s">
        <v>939</v>
      </c>
      <c r="AJ2318">
        <v>2</v>
      </c>
      <c r="AK23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MIN(AJ2318/8, 1) +
  Merge1[[#This Row],[index_defensive_effort]],
  2
)</f>
        <v>0.92</v>
      </c>
    </row>
    <row r="2319" spans="1:37" x14ac:dyDescent="0.25">
      <c r="A2319" t="s">
        <v>641</v>
      </c>
      <c r="B2319" t="s">
        <v>642</v>
      </c>
      <c r="C2319">
        <v>27</v>
      </c>
      <c r="D2319" t="s">
        <v>56</v>
      </c>
      <c r="E2319">
        <v>70</v>
      </c>
      <c r="F2319">
        <v>192</v>
      </c>
      <c r="G2319" t="s">
        <v>235</v>
      </c>
      <c r="H2319">
        <v>2020</v>
      </c>
      <c r="I2319" t="s">
        <v>33</v>
      </c>
      <c r="J2319">
        <v>12</v>
      </c>
      <c r="K2319">
        <v>2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69</v>
      </c>
      <c r="T2319">
        <v>69</v>
      </c>
      <c r="U2319" s="5">
        <f>IF(Merge1[[#This Row],[team_defense_snaps]]=0, "", Merge1[[#This Row],[defense_snaps]] / Merge1[[#This Row],[team_defense_snaps]])</f>
        <v>0.85185185185185186</v>
      </c>
      <c r="V2319">
        <v>81</v>
      </c>
      <c r="W2319">
        <v>0</v>
      </c>
      <c r="X2319" s="5" t="s">
        <v>29</v>
      </c>
      <c r="Y2319">
        <v>4</v>
      </c>
      <c r="Z2319">
        <v>0</v>
      </c>
      <c r="AA2319" t="s">
        <v>25</v>
      </c>
      <c r="AB2319" t="s">
        <v>36</v>
      </c>
      <c r="AC2319" t="s">
        <v>147</v>
      </c>
      <c r="AD2319" t="s">
        <v>42</v>
      </c>
      <c r="AE2319" t="s">
        <v>25</v>
      </c>
      <c r="AF23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2.8985507246376812E-2</v>
      </c>
      <c r="AG2319" t="s">
        <v>942</v>
      </c>
      <c r="AH2319">
        <v>69</v>
      </c>
      <c r="AI2319" t="s">
        <v>939</v>
      </c>
      <c r="AJ2319">
        <v>3</v>
      </c>
      <c r="AK23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MIN(AJ2319/8, 1) +
  Merge1[[#This Row],[index_defensive_effort]],
  2
)</f>
        <v>1</v>
      </c>
    </row>
    <row r="2320" spans="1:37" x14ac:dyDescent="0.25">
      <c r="A2320" t="s">
        <v>641</v>
      </c>
      <c r="B2320" t="s">
        <v>642</v>
      </c>
      <c r="C2320">
        <v>27</v>
      </c>
      <c r="D2320" t="s">
        <v>56</v>
      </c>
      <c r="E2320">
        <v>70</v>
      </c>
      <c r="F2320">
        <v>192</v>
      </c>
      <c r="G2320" t="s">
        <v>235</v>
      </c>
      <c r="H2320">
        <v>2020</v>
      </c>
      <c r="I2320" t="s">
        <v>33</v>
      </c>
      <c r="J2320">
        <v>13</v>
      </c>
      <c r="K2320">
        <v>1</v>
      </c>
      <c r="L2320">
        <v>5</v>
      </c>
      <c r="M2320">
        <v>0</v>
      </c>
      <c r="N2320">
        <v>5</v>
      </c>
      <c r="O2320">
        <v>0</v>
      </c>
      <c r="P2320">
        <v>0</v>
      </c>
      <c r="Q2320">
        <v>0</v>
      </c>
      <c r="R2320">
        <v>0</v>
      </c>
      <c r="S2320">
        <v>56</v>
      </c>
      <c r="T2320">
        <v>56</v>
      </c>
      <c r="U2320" s="5">
        <f>IF(Merge1[[#This Row],[team_defense_snaps]]=0, "", Merge1[[#This Row],[defense_snaps]] / Merge1[[#This Row],[team_defense_snaps]])</f>
        <v>0.8</v>
      </c>
      <c r="V2320">
        <v>70</v>
      </c>
      <c r="W2320">
        <v>0</v>
      </c>
      <c r="X2320" s="5" t="s">
        <v>29</v>
      </c>
      <c r="Y2320">
        <v>4</v>
      </c>
      <c r="Z2320">
        <v>0</v>
      </c>
      <c r="AA2320" t="s">
        <v>25</v>
      </c>
      <c r="AB2320" t="s">
        <v>26</v>
      </c>
      <c r="AC2320" t="s">
        <v>27</v>
      </c>
      <c r="AD2320" t="s">
        <v>42</v>
      </c>
      <c r="AE2320" t="s">
        <v>25</v>
      </c>
      <c r="AF23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2320" t="s">
        <v>942</v>
      </c>
      <c r="AH2320">
        <v>58.5</v>
      </c>
      <c r="AI2320" t="s">
        <v>939</v>
      </c>
      <c r="AJ2320">
        <v>4</v>
      </c>
      <c r="AK23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MIN(AJ2320/8, 1) +
  Merge1[[#This Row],[index_defensive_effort]],
  2
)</f>
        <v>1.1599999999999999</v>
      </c>
    </row>
    <row r="2321" spans="1:37" x14ac:dyDescent="0.25">
      <c r="A2321" t="s">
        <v>641</v>
      </c>
      <c r="B2321" t="s">
        <v>642</v>
      </c>
      <c r="C2321">
        <v>27</v>
      </c>
      <c r="D2321" t="s">
        <v>56</v>
      </c>
      <c r="E2321">
        <v>70</v>
      </c>
      <c r="F2321">
        <v>192</v>
      </c>
      <c r="G2321" t="s">
        <v>235</v>
      </c>
      <c r="H2321">
        <v>2020</v>
      </c>
      <c r="I2321" t="s">
        <v>33</v>
      </c>
      <c r="J2321">
        <v>14</v>
      </c>
      <c r="K2321">
        <v>2</v>
      </c>
      <c r="L2321">
        <v>0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34</v>
      </c>
      <c r="T2321">
        <v>34</v>
      </c>
      <c r="U2321" s="5">
        <f>IF(Merge1[[#This Row],[team_defense_snaps]]=0, "", Merge1[[#This Row],[defense_snaps]] / Merge1[[#This Row],[team_defense_snaps]])</f>
        <v>0.66666666666666663</v>
      </c>
      <c r="V2321">
        <v>51</v>
      </c>
      <c r="W2321">
        <v>0</v>
      </c>
      <c r="X2321" s="5" t="s">
        <v>29</v>
      </c>
      <c r="Y2321">
        <v>4</v>
      </c>
      <c r="Z2321">
        <v>0</v>
      </c>
      <c r="AA2321" t="s">
        <v>25</v>
      </c>
      <c r="AB2321" t="s">
        <v>36</v>
      </c>
      <c r="AC2321" t="s">
        <v>247</v>
      </c>
      <c r="AD2321" t="s">
        <v>42</v>
      </c>
      <c r="AE2321" t="s">
        <v>25</v>
      </c>
      <c r="AF23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0.11764705882352941</v>
      </c>
      <c r="AG2321" t="s">
        <v>942</v>
      </c>
      <c r="AH2321">
        <v>61.5</v>
      </c>
      <c r="AI2321" t="s">
        <v>939</v>
      </c>
      <c r="AJ2321">
        <v>5</v>
      </c>
      <c r="AK23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MIN(AJ2321/8, 1) +
  Merge1[[#This Row],[index_defensive_effort]],
  2
)</f>
        <v>1.34</v>
      </c>
    </row>
    <row r="2322" spans="1:37" x14ac:dyDescent="0.25">
      <c r="A2322" t="s">
        <v>641</v>
      </c>
      <c r="B2322" t="s">
        <v>642</v>
      </c>
      <c r="C2322">
        <v>27</v>
      </c>
      <c r="D2322" t="s">
        <v>56</v>
      </c>
      <c r="E2322">
        <v>70</v>
      </c>
      <c r="F2322">
        <v>192</v>
      </c>
      <c r="G2322" t="s">
        <v>235</v>
      </c>
      <c r="H2322">
        <v>2020</v>
      </c>
      <c r="I2322" t="s">
        <v>33</v>
      </c>
      <c r="J2322">
        <v>15</v>
      </c>
      <c r="K2322">
        <v>8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2</v>
      </c>
      <c r="R2322">
        <v>0</v>
      </c>
      <c r="S2322">
        <v>61</v>
      </c>
      <c r="T2322">
        <v>61</v>
      </c>
      <c r="U2322" s="5">
        <f>IF(Merge1[[#This Row],[team_defense_snaps]]=0, "", Merge1[[#This Row],[defense_snaps]] / Merge1[[#This Row],[team_defense_snaps]])</f>
        <v>0.93846153846153846</v>
      </c>
      <c r="V2322">
        <v>65</v>
      </c>
      <c r="W2322">
        <v>0</v>
      </c>
      <c r="X2322" s="5" t="s">
        <v>29</v>
      </c>
      <c r="Y2322">
        <v>4</v>
      </c>
      <c r="Z2322">
        <v>0</v>
      </c>
      <c r="AA2322" t="s">
        <v>25</v>
      </c>
      <c r="AB2322" t="s">
        <v>26</v>
      </c>
      <c r="AC2322" t="s">
        <v>27</v>
      </c>
      <c r="AD2322" t="s">
        <v>42</v>
      </c>
      <c r="AE2322" t="s">
        <v>25</v>
      </c>
      <c r="AF23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0.26229508196721313</v>
      </c>
      <c r="AG2322" t="s">
        <v>942</v>
      </c>
      <c r="AH2322">
        <v>57</v>
      </c>
      <c r="AI2322" t="s">
        <v>939</v>
      </c>
      <c r="AJ2322">
        <v>6</v>
      </c>
      <c r="AK23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MIN(AJ2322/8, 1) +
  Merge1[[#This Row],[index_defensive_effort]],
  2
)</f>
        <v>1.61</v>
      </c>
    </row>
    <row r="2323" spans="1:37" x14ac:dyDescent="0.25">
      <c r="A2323" t="s">
        <v>641</v>
      </c>
      <c r="B2323" t="s">
        <v>642</v>
      </c>
      <c r="C2323">
        <v>27</v>
      </c>
      <c r="D2323" t="s">
        <v>56</v>
      </c>
      <c r="E2323">
        <v>70</v>
      </c>
      <c r="F2323">
        <v>192</v>
      </c>
      <c r="G2323" t="s">
        <v>235</v>
      </c>
      <c r="H2323">
        <v>2020</v>
      </c>
      <c r="I2323" t="s">
        <v>33</v>
      </c>
      <c r="J2323">
        <v>16</v>
      </c>
      <c r="K2323">
        <v>0</v>
      </c>
      <c r="L2323">
        <v>1</v>
      </c>
      <c r="M2323">
        <v>1</v>
      </c>
      <c r="N2323">
        <v>2</v>
      </c>
      <c r="O2323">
        <v>0</v>
      </c>
      <c r="P2323">
        <v>0</v>
      </c>
      <c r="Q2323">
        <v>0</v>
      </c>
      <c r="R2323">
        <v>0</v>
      </c>
      <c r="S2323">
        <v>51</v>
      </c>
      <c r="T2323">
        <v>51</v>
      </c>
      <c r="U2323" s="5">
        <f>IF(Merge1[[#This Row],[team_defense_snaps]]=0, "", Merge1[[#This Row],[defense_snaps]] / Merge1[[#This Row],[team_defense_snaps]])</f>
        <v>0.98076923076923073</v>
      </c>
      <c r="V2323">
        <v>52</v>
      </c>
      <c r="W2323">
        <v>0</v>
      </c>
      <c r="X2323" s="5" t="s">
        <v>29</v>
      </c>
      <c r="Y2323">
        <v>4</v>
      </c>
      <c r="Z2323">
        <v>0</v>
      </c>
      <c r="AA2323" t="s">
        <v>25</v>
      </c>
      <c r="AB2323" t="s">
        <v>26</v>
      </c>
      <c r="AC2323" t="s">
        <v>27</v>
      </c>
      <c r="AD2323" t="s">
        <v>42</v>
      </c>
      <c r="AE2323" t="s">
        <v>25</v>
      </c>
      <c r="AF23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1.9607843137254902E-2</v>
      </c>
      <c r="AG2323" t="s">
        <v>942</v>
      </c>
      <c r="AH2323">
        <v>64.5</v>
      </c>
      <c r="AI2323" t="s">
        <v>939</v>
      </c>
      <c r="AJ2323">
        <v>7</v>
      </c>
      <c r="AK23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MIN(AJ2323/8, 1) +
  Merge1[[#This Row],[index_defensive_effort]],
  2
)</f>
        <v>1.49</v>
      </c>
    </row>
    <row r="2324" spans="1:37" x14ac:dyDescent="0.25">
      <c r="A2324" t="s">
        <v>661</v>
      </c>
      <c r="B2324" t="s">
        <v>662</v>
      </c>
      <c r="C2324">
        <v>23</v>
      </c>
      <c r="D2324" t="s">
        <v>56</v>
      </c>
      <c r="E2324">
        <v>74</v>
      </c>
      <c r="F2324">
        <v>190</v>
      </c>
      <c r="G2324" t="s">
        <v>94</v>
      </c>
      <c r="H2324">
        <v>2020</v>
      </c>
      <c r="I2324" t="s">
        <v>33</v>
      </c>
      <c r="J2324">
        <v>6</v>
      </c>
      <c r="K2324">
        <v>1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20</v>
      </c>
      <c r="T2324">
        <v>7</v>
      </c>
      <c r="U2324" s="5">
        <f>IF(Merge1[[#This Row],[team_defense_snaps]]=0, "", Merge1[[#This Row],[defense_snaps]] / Merge1[[#This Row],[team_defense_snaps]])</f>
        <v>9.5890410958904104E-2</v>
      </c>
      <c r="V2324">
        <v>73</v>
      </c>
      <c r="W2324">
        <v>13</v>
      </c>
      <c r="X2324" s="5" t="s">
        <v>102</v>
      </c>
      <c r="Y2324">
        <v>0</v>
      </c>
      <c r="Z2324">
        <v>0</v>
      </c>
      <c r="AA2324" t="s">
        <v>25</v>
      </c>
      <c r="AB2324" t="s">
        <v>26</v>
      </c>
      <c r="AC2324" t="s">
        <v>27</v>
      </c>
      <c r="AD2324" t="s">
        <v>28</v>
      </c>
      <c r="AE2324" t="s">
        <v>25</v>
      </c>
      <c r="AF23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2324" t="s">
        <v>942</v>
      </c>
      <c r="AH2324">
        <v>64.5</v>
      </c>
      <c r="AI2324" t="s">
        <v>939</v>
      </c>
      <c r="AJ2324">
        <v>1</v>
      </c>
      <c r="AK23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MIN(AJ2324/8, 1) +
  Merge1[[#This Row],[index_defensive_effort]],
  2
)</f>
        <v>0.57999999999999996</v>
      </c>
    </row>
    <row r="2325" spans="1:37" x14ac:dyDescent="0.25">
      <c r="A2325" t="s">
        <v>661</v>
      </c>
      <c r="B2325" t="s">
        <v>662</v>
      </c>
      <c r="C2325">
        <v>23</v>
      </c>
      <c r="D2325" t="s">
        <v>56</v>
      </c>
      <c r="E2325">
        <v>74</v>
      </c>
      <c r="F2325">
        <v>190</v>
      </c>
      <c r="G2325" t="s">
        <v>94</v>
      </c>
      <c r="H2325">
        <v>2020</v>
      </c>
      <c r="I2325" t="s">
        <v>33</v>
      </c>
      <c r="J2325">
        <v>7</v>
      </c>
      <c r="K2325">
        <v>1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42</v>
      </c>
      <c r="T2325">
        <v>24</v>
      </c>
      <c r="U2325" s="5">
        <f>IF(Merge1[[#This Row],[team_defense_snaps]]=0, "", Merge1[[#This Row],[defense_snaps]] / Merge1[[#This Row],[team_defense_snaps]])</f>
        <v>0.29268292682926828</v>
      </c>
      <c r="V2325">
        <v>82</v>
      </c>
      <c r="W2325">
        <v>18</v>
      </c>
      <c r="X2325" s="5" t="s">
        <v>100</v>
      </c>
      <c r="Y2325">
        <v>0</v>
      </c>
      <c r="Z2325">
        <v>0</v>
      </c>
      <c r="AA2325" t="s">
        <v>25</v>
      </c>
      <c r="AB2325" t="s">
        <v>26</v>
      </c>
      <c r="AC2325" t="s">
        <v>27</v>
      </c>
      <c r="AD2325" t="s">
        <v>28</v>
      </c>
      <c r="AE2325" t="s">
        <v>25</v>
      </c>
      <c r="AF23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2.3809523809523808E-2</v>
      </c>
      <c r="AG2325" t="s">
        <v>942</v>
      </c>
      <c r="AH2325">
        <v>63</v>
      </c>
      <c r="AI2325" t="s">
        <v>939</v>
      </c>
      <c r="AJ2325">
        <v>2</v>
      </c>
      <c r="AK23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MIN(AJ2325/8, 1) +
  Merge1[[#This Row],[index_defensive_effort]],
  2
)</f>
        <v>0.67</v>
      </c>
    </row>
    <row r="2326" spans="1:37" x14ac:dyDescent="0.25">
      <c r="A2326" t="s">
        <v>647</v>
      </c>
      <c r="B2326" t="s">
        <v>648</v>
      </c>
      <c r="C2326">
        <v>30</v>
      </c>
      <c r="D2326" t="s">
        <v>56</v>
      </c>
      <c r="E2326">
        <v>71</v>
      </c>
      <c r="F2326">
        <v>190</v>
      </c>
      <c r="G2326" t="s">
        <v>130</v>
      </c>
      <c r="H2326">
        <v>2020</v>
      </c>
      <c r="I2326" t="s">
        <v>33</v>
      </c>
      <c r="J2326">
        <v>1</v>
      </c>
      <c r="K2326">
        <v>3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58</v>
      </c>
      <c r="T2326">
        <v>56</v>
      </c>
      <c r="U2326" s="5">
        <f>IF(Merge1[[#This Row],[team_defense_snaps]]=0, "", Merge1[[#This Row],[defense_snaps]] / Merge1[[#This Row],[team_defense_snaps]])</f>
        <v>0.93333333333333335</v>
      </c>
      <c r="V2326">
        <v>60</v>
      </c>
      <c r="W2326">
        <v>2</v>
      </c>
      <c r="X2326" s="5" t="s">
        <v>167</v>
      </c>
      <c r="Y2326">
        <v>6</v>
      </c>
      <c r="Z2326">
        <v>0</v>
      </c>
      <c r="AA2326" t="s">
        <v>25</v>
      </c>
      <c r="AB2326" t="s">
        <v>26</v>
      </c>
      <c r="AC2326" t="s">
        <v>27</v>
      </c>
      <c r="AD2326" t="s">
        <v>42</v>
      </c>
      <c r="AE2326" t="s">
        <v>25</v>
      </c>
      <c r="AF23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5.1724137931034482E-2</v>
      </c>
      <c r="AG2326" t="s">
        <v>941</v>
      </c>
      <c r="AH2326">
        <v>58.5</v>
      </c>
      <c r="AI2326" t="s">
        <v>939</v>
      </c>
      <c r="AJ2326">
        <v>1</v>
      </c>
      <c r="AK23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MIN(AJ2326/8, 1) +
  Merge1[[#This Row],[index_defensive_effort]],
  2
)</f>
        <v>0.68</v>
      </c>
    </row>
    <row r="2327" spans="1:37" x14ac:dyDescent="0.25">
      <c r="A2327" t="s">
        <v>647</v>
      </c>
      <c r="B2327" t="s">
        <v>648</v>
      </c>
      <c r="C2327">
        <v>30</v>
      </c>
      <c r="D2327" t="s">
        <v>56</v>
      </c>
      <c r="E2327">
        <v>71</v>
      </c>
      <c r="F2327">
        <v>190</v>
      </c>
      <c r="G2327" t="s">
        <v>130</v>
      </c>
      <c r="H2327">
        <v>2020</v>
      </c>
      <c r="I2327" t="s">
        <v>33</v>
      </c>
      <c r="J2327">
        <v>2</v>
      </c>
      <c r="K2327">
        <v>8</v>
      </c>
      <c r="L2327">
        <v>3</v>
      </c>
      <c r="M2327">
        <v>1</v>
      </c>
      <c r="N2327">
        <v>4</v>
      </c>
      <c r="O2327">
        <v>0</v>
      </c>
      <c r="P2327">
        <v>1</v>
      </c>
      <c r="Q2327">
        <v>0</v>
      </c>
      <c r="R2327">
        <v>0</v>
      </c>
      <c r="S2327">
        <v>72</v>
      </c>
      <c r="T2327">
        <v>72</v>
      </c>
      <c r="U2327" s="5">
        <f>IF(Merge1[[#This Row],[team_defense_snaps]]=0, "", Merge1[[#This Row],[defense_snaps]] / Merge1[[#This Row],[team_defense_snaps]])</f>
        <v>0.93506493506493504</v>
      </c>
      <c r="V2327">
        <v>77</v>
      </c>
      <c r="W2327">
        <v>0</v>
      </c>
      <c r="X2327" s="5" t="s">
        <v>29</v>
      </c>
      <c r="Y2327">
        <v>6</v>
      </c>
      <c r="Z2327">
        <v>0</v>
      </c>
      <c r="AA2327" t="s">
        <v>25</v>
      </c>
      <c r="AB2327" t="s">
        <v>36</v>
      </c>
      <c r="AC2327" t="s">
        <v>553</v>
      </c>
      <c r="AD2327" t="s">
        <v>42</v>
      </c>
      <c r="AE2327" t="s">
        <v>25</v>
      </c>
      <c r="AF23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AG2327" t="s">
        <v>941</v>
      </c>
      <c r="AH2327">
        <v>66</v>
      </c>
      <c r="AI2327" t="s">
        <v>939</v>
      </c>
      <c r="AJ2327">
        <v>2</v>
      </c>
      <c r="AK23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MIN(AJ2327/8, 1) +
  Merge1[[#This Row],[index_defensive_effort]],
  2
)</f>
        <v>0.92</v>
      </c>
    </row>
    <row r="2328" spans="1:37" x14ac:dyDescent="0.25">
      <c r="A2328" t="s">
        <v>647</v>
      </c>
      <c r="B2328" t="s">
        <v>648</v>
      </c>
      <c r="C2328">
        <v>30</v>
      </c>
      <c r="D2328" t="s">
        <v>56</v>
      </c>
      <c r="E2328">
        <v>71</v>
      </c>
      <c r="F2328">
        <v>190</v>
      </c>
      <c r="G2328" t="s">
        <v>130</v>
      </c>
      <c r="H2328">
        <v>2020</v>
      </c>
      <c r="I2328" t="s">
        <v>33</v>
      </c>
      <c r="J2328">
        <v>3</v>
      </c>
      <c r="K2328">
        <v>4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64</v>
      </c>
      <c r="T2328">
        <v>64</v>
      </c>
      <c r="U2328" s="5">
        <f>IF(Merge1[[#This Row],[team_defense_snaps]]=0, "", Merge1[[#This Row],[defense_snaps]] / Merge1[[#This Row],[team_defense_snaps]])</f>
        <v>0.96969696969696972</v>
      </c>
      <c r="V2328">
        <v>66</v>
      </c>
      <c r="W2328">
        <v>0</v>
      </c>
      <c r="X2328" s="5" t="s">
        <v>29</v>
      </c>
      <c r="Y2328">
        <v>6</v>
      </c>
      <c r="Z2328">
        <v>0</v>
      </c>
      <c r="AA2328" t="s">
        <v>25</v>
      </c>
      <c r="AB2328" t="s">
        <v>26</v>
      </c>
      <c r="AC2328" t="s">
        <v>27</v>
      </c>
      <c r="AD2328" t="s">
        <v>42</v>
      </c>
      <c r="AE2328" t="s">
        <v>25</v>
      </c>
      <c r="AF23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2328" t="s">
        <v>941</v>
      </c>
      <c r="AH2328">
        <v>72</v>
      </c>
      <c r="AI2328" t="s">
        <v>939</v>
      </c>
      <c r="AJ2328">
        <v>3</v>
      </c>
      <c r="AK23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MIN(AJ2328/8, 1) +
  Merge1[[#This Row],[index_defensive_effort]],
  2
)</f>
        <v>0.94</v>
      </c>
    </row>
    <row r="2329" spans="1:37" x14ac:dyDescent="0.25">
      <c r="A2329" t="s">
        <v>647</v>
      </c>
      <c r="B2329" t="s">
        <v>648</v>
      </c>
      <c r="C2329">
        <v>30</v>
      </c>
      <c r="D2329" t="s">
        <v>56</v>
      </c>
      <c r="E2329">
        <v>71</v>
      </c>
      <c r="F2329">
        <v>190</v>
      </c>
      <c r="G2329" t="s">
        <v>130</v>
      </c>
      <c r="H2329">
        <v>2020</v>
      </c>
      <c r="I2329" t="s">
        <v>33</v>
      </c>
      <c r="J2329">
        <v>5</v>
      </c>
      <c r="K2329">
        <v>12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4</v>
      </c>
      <c r="R2329">
        <v>0</v>
      </c>
      <c r="S2329">
        <v>55</v>
      </c>
      <c r="T2329">
        <v>55</v>
      </c>
      <c r="U2329" s="5">
        <f>IF(Merge1[[#This Row],[team_defense_snaps]]=0, "", Merge1[[#This Row],[defense_snaps]] / Merge1[[#This Row],[team_defense_snaps]])</f>
        <v>0.76388888888888884</v>
      </c>
      <c r="V2329">
        <v>72</v>
      </c>
      <c r="W2329">
        <v>0</v>
      </c>
      <c r="X2329" s="5" t="s">
        <v>29</v>
      </c>
      <c r="Y2329">
        <v>6</v>
      </c>
      <c r="Z2329">
        <v>0</v>
      </c>
      <c r="AA2329" t="s">
        <v>25</v>
      </c>
      <c r="AB2329" t="s">
        <v>26</v>
      </c>
      <c r="AC2329" t="s">
        <v>27</v>
      </c>
      <c r="AD2329" t="s">
        <v>42</v>
      </c>
      <c r="AE2329" t="s">
        <v>25</v>
      </c>
      <c r="AF23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0.50909090909090904</v>
      </c>
      <c r="AG2329" t="s">
        <v>941</v>
      </c>
      <c r="AH2329">
        <v>76.5</v>
      </c>
      <c r="AI2329" t="s">
        <v>939</v>
      </c>
      <c r="AJ2329">
        <v>1</v>
      </c>
      <c r="AK23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MIN(AJ2329/8, 1) +
  Merge1[[#This Row],[index_defensive_effort]],
  2
)</f>
        <v>1.1299999999999999</v>
      </c>
    </row>
    <row r="2330" spans="1:37" x14ac:dyDescent="0.25">
      <c r="A2330" t="s">
        <v>647</v>
      </c>
      <c r="B2330" t="s">
        <v>648</v>
      </c>
      <c r="C2330">
        <v>30</v>
      </c>
      <c r="D2330" t="s">
        <v>56</v>
      </c>
      <c r="E2330">
        <v>71</v>
      </c>
      <c r="F2330">
        <v>190</v>
      </c>
      <c r="G2330" t="s">
        <v>130</v>
      </c>
      <c r="H2330">
        <v>2020</v>
      </c>
      <c r="I2330" t="s">
        <v>33</v>
      </c>
      <c r="J2330">
        <v>6</v>
      </c>
      <c r="K2330">
        <v>6</v>
      </c>
      <c r="L2330">
        <v>2</v>
      </c>
      <c r="M2330">
        <v>2</v>
      </c>
      <c r="N2330">
        <v>4</v>
      </c>
      <c r="O2330">
        <v>0</v>
      </c>
      <c r="P2330">
        <v>1</v>
      </c>
      <c r="Q2330">
        <v>0</v>
      </c>
      <c r="R2330">
        <v>0</v>
      </c>
      <c r="S2330">
        <v>71</v>
      </c>
      <c r="T2330">
        <v>71</v>
      </c>
      <c r="U2330" s="5">
        <f>IF(Merge1[[#This Row],[team_defense_snaps]]=0, "", Merge1[[#This Row],[defense_snaps]] / Merge1[[#This Row],[team_defense_snaps]])</f>
        <v>1</v>
      </c>
      <c r="V2330">
        <v>71</v>
      </c>
      <c r="W2330">
        <v>0</v>
      </c>
      <c r="X2330" s="5" t="s">
        <v>29</v>
      </c>
      <c r="Y2330">
        <v>6</v>
      </c>
      <c r="Z2330">
        <v>0</v>
      </c>
      <c r="AA2330" t="s">
        <v>25</v>
      </c>
      <c r="AB2330" t="s">
        <v>26</v>
      </c>
      <c r="AC2330" t="s">
        <v>27</v>
      </c>
      <c r="AD2330" t="s">
        <v>42</v>
      </c>
      <c r="AE2330" t="s">
        <v>25</v>
      </c>
      <c r="AF23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0.14084507042253522</v>
      </c>
      <c r="AG2330" t="s">
        <v>941</v>
      </c>
      <c r="AH2330">
        <v>78</v>
      </c>
      <c r="AI2330" t="s">
        <v>939</v>
      </c>
      <c r="AJ2330">
        <v>2</v>
      </c>
      <c r="AK23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MIN(AJ2330/8, 1) +
  Merge1[[#This Row],[index_defensive_effort]],
  2
)</f>
        <v>0.89</v>
      </c>
    </row>
    <row r="2331" spans="1:37" x14ac:dyDescent="0.25">
      <c r="A2331" t="s">
        <v>647</v>
      </c>
      <c r="B2331" t="s">
        <v>648</v>
      </c>
      <c r="C2331">
        <v>30</v>
      </c>
      <c r="D2331" t="s">
        <v>56</v>
      </c>
      <c r="E2331">
        <v>71</v>
      </c>
      <c r="F2331">
        <v>190</v>
      </c>
      <c r="G2331" t="s">
        <v>130</v>
      </c>
      <c r="H2331">
        <v>2020</v>
      </c>
      <c r="I2331" t="s">
        <v>33</v>
      </c>
      <c r="J2331">
        <v>7</v>
      </c>
      <c r="K2331">
        <v>7</v>
      </c>
      <c r="L2331">
        <v>1</v>
      </c>
      <c r="M2331">
        <v>1</v>
      </c>
      <c r="N2331">
        <v>2</v>
      </c>
      <c r="O2331">
        <v>0</v>
      </c>
      <c r="P2331">
        <v>0</v>
      </c>
      <c r="Q2331">
        <v>0</v>
      </c>
      <c r="R2331">
        <v>0</v>
      </c>
      <c r="S2331">
        <v>78</v>
      </c>
      <c r="T2331">
        <v>78</v>
      </c>
      <c r="U2331" s="5">
        <f>IF(Merge1[[#This Row],[team_defense_snaps]]=0, "", Merge1[[#This Row],[defense_snaps]] / Merge1[[#This Row],[team_defense_snaps]])</f>
        <v>0.78</v>
      </c>
      <c r="V2331">
        <v>100</v>
      </c>
      <c r="W2331">
        <v>0</v>
      </c>
      <c r="X2331" s="5" t="s">
        <v>29</v>
      </c>
      <c r="Y2331">
        <v>6</v>
      </c>
      <c r="Z2331">
        <v>0</v>
      </c>
      <c r="AA2331" t="s">
        <v>25</v>
      </c>
      <c r="AB2331" t="s">
        <v>26</v>
      </c>
      <c r="AC2331" t="s">
        <v>27</v>
      </c>
      <c r="AD2331" t="s">
        <v>42</v>
      </c>
      <c r="AE2331" t="s">
        <v>25</v>
      </c>
      <c r="AF23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0.10256410256410256</v>
      </c>
      <c r="AG2331" t="s">
        <v>941</v>
      </c>
      <c r="AH2331">
        <v>75</v>
      </c>
      <c r="AI2331" t="s">
        <v>939</v>
      </c>
      <c r="AJ2331">
        <v>3</v>
      </c>
      <c r="AK23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MIN(AJ2331/8, 1) +
  Merge1[[#This Row],[index_defensive_effort]],
  2
)</f>
        <v>0.98</v>
      </c>
    </row>
    <row r="2332" spans="1:37" x14ac:dyDescent="0.25">
      <c r="A2332" t="s">
        <v>647</v>
      </c>
      <c r="B2332" t="s">
        <v>648</v>
      </c>
      <c r="C2332">
        <v>30</v>
      </c>
      <c r="D2332" t="s">
        <v>56</v>
      </c>
      <c r="E2332">
        <v>71</v>
      </c>
      <c r="F2332">
        <v>190</v>
      </c>
      <c r="G2332" t="s">
        <v>130</v>
      </c>
      <c r="H2332">
        <v>2020</v>
      </c>
      <c r="I2332" t="s">
        <v>33</v>
      </c>
      <c r="J2332">
        <v>8</v>
      </c>
      <c r="K2332">
        <v>4</v>
      </c>
      <c r="L2332">
        <v>4</v>
      </c>
      <c r="M2332">
        <v>1</v>
      </c>
      <c r="N2332">
        <v>5</v>
      </c>
      <c r="O2332">
        <v>0</v>
      </c>
      <c r="P2332">
        <v>1</v>
      </c>
      <c r="Q2332">
        <v>0</v>
      </c>
      <c r="R2332">
        <v>0</v>
      </c>
      <c r="S2332">
        <v>73</v>
      </c>
      <c r="T2332">
        <v>73</v>
      </c>
      <c r="U2332" s="5">
        <f>IF(Merge1[[#This Row],[team_defense_snaps]]=0, "", Merge1[[#This Row],[defense_snaps]] / Merge1[[#This Row],[team_defense_snaps]])</f>
        <v>0.98648648648648651</v>
      </c>
      <c r="V2332">
        <v>74</v>
      </c>
      <c r="W2332">
        <v>0</v>
      </c>
      <c r="X2332" s="5" t="s">
        <v>29</v>
      </c>
      <c r="Y2332">
        <v>6</v>
      </c>
      <c r="Z2332">
        <v>0</v>
      </c>
      <c r="AA2332" t="s">
        <v>25</v>
      </c>
      <c r="AB2332" t="s">
        <v>26</v>
      </c>
      <c r="AC2332" t="s">
        <v>27</v>
      </c>
      <c r="AD2332" t="s">
        <v>42</v>
      </c>
      <c r="AE2332" t="s">
        <v>25</v>
      </c>
      <c r="AF23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0.11643835616438356</v>
      </c>
      <c r="AG2332" t="s">
        <v>941</v>
      </c>
      <c r="AH2332">
        <v>58</v>
      </c>
      <c r="AI2332" t="s">
        <v>939</v>
      </c>
      <c r="AJ2332">
        <v>4</v>
      </c>
      <c r="AK23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MIN(AJ2332/8, 1) +
  Merge1[[#This Row],[index_defensive_effort]],
  2
)</f>
        <v>1.1200000000000001</v>
      </c>
    </row>
    <row r="2333" spans="1:37" x14ac:dyDescent="0.25">
      <c r="A2333" t="s">
        <v>647</v>
      </c>
      <c r="B2333" t="s">
        <v>648</v>
      </c>
      <c r="C2333">
        <v>30</v>
      </c>
      <c r="D2333" t="s">
        <v>56</v>
      </c>
      <c r="E2333">
        <v>71</v>
      </c>
      <c r="F2333">
        <v>190</v>
      </c>
      <c r="G2333" t="s">
        <v>130</v>
      </c>
      <c r="H2333">
        <v>2020</v>
      </c>
      <c r="I2333" t="s">
        <v>33</v>
      </c>
      <c r="J2333">
        <v>9</v>
      </c>
      <c r="K2333">
        <v>3</v>
      </c>
      <c r="L2333">
        <v>1</v>
      </c>
      <c r="M2333">
        <v>0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78</v>
      </c>
      <c r="T2333">
        <v>77</v>
      </c>
      <c r="U2333" s="5">
        <f>IF(Merge1[[#This Row],[team_defense_snaps]]=0, "", Merge1[[#This Row],[defense_snaps]] / Merge1[[#This Row],[team_defense_snaps]])</f>
        <v>0.98717948717948723</v>
      </c>
      <c r="V2333">
        <v>78</v>
      </c>
      <c r="W2333">
        <v>1</v>
      </c>
      <c r="X2333" s="5" t="s">
        <v>303</v>
      </c>
      <c r="Y2333">
        <v>6</v>
      </c>
      <c r="Z2333">
        <v>0</v>
      </c>
      <c r="AA2333" t="s">
        <v>25</v>
      </c>
      <c r="AB2333" t="s">
        <v>26</v>
      </c>
      <c r="AC2333" t="s">
        <v>27</v>
      </c>
      <c r="AD2333" t="s">
        <v>42</v>
      </c>
      <c r="AE2333" t="s">
        <v>25</v>
      </c>
      <c r="AF23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4.4871794871794872E-2</v>
      </c>
      <c r="AG2333" t="s">
        <v>941</v>
      </c>
      <c r="AH2333">
        <v>54</v>
      </c>
      <c r="AI2333" t="s">
        <v>939</v>
      </c>
      <c r="AJ2333">
        <v>5</v>
      </c>
      <c r="AK23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MIN(AJ2333/8, 1) +
  Merge1[[#This Row],[index_defensive_effort]],
  2
)</f>
        <v>1.17</v>
      </c>
    </row>
    <row r="2334" spans="1:37" x14ac:dyDescent="0.25">
      <c r="A2334" t="s">
        <v>647</v>
      </c>
      <c r="B2334" t="s">
        <v>648</v>
      </c>
      <c r="C2334">
        <v>30</v>
      </c>
      <c r="D2334" t="s">
        <v>56</v>
      </c>
      <c r="E2334">
        <v>71</v>
      </c>
      <c r="F2334">
        <v>190</v>
      </c>
      <c r="G2334" t="s">
        <v>130</v>
      </c>
      <c r="H2334">
        <v>2020</v>
      </c>
      <c r="I2334" t="s">
        <v>33</v>
      </c>
      <c r="J2334">
        <v>10</v>
      </c>
      <c r="K2334">
        <v>4</v>
      </c>
      <c r="L2334">
        <v>3</v>
      </c>
      <c r="M2334">
        <v>2</v>
      </c>
      <c r="N2334">
        <v>5</v>
      </c>
      <c r="O2334">
        <v>0</v>
      </c>
      <c r="P2334">
        <v>0</v>
      </c>
      <c r="Q2334">
        <v>0</v>
      </c>
      <c r="R2334">
        <v>0</v>
      </c>
      <c r="S2334">
        <v>67</v>
      </c>
      <c r="T2334">
        <v>67</v>
      </c>
      <c r="U2334" s="5">
        <f>IF(Merge1[[#This Row],[team_defense_snaps]]=0, "", Merge1[[#This Row],[defense_snaps]] / Merge1[[#This Row],[team_defense_snaps]])</f>
        <v>0.95714285714285718</v>
      </c>
      <c r="V2334">
        <v>70</v>
      </c>
      <c r="W2334">
        <v>0</v>
      </c>
      <c r="X2334" s="5" t="s">
        <v>29</v>
      </c>
      <c r="Y2334">
        <v>6</v>
      </c>
      <c r="Z2334">
        <v>0</v>
      </c>
      <c r="AA2334" t="s">
        <v>25</v>
      </c>
      <c r="AB2334" t="s">
        <v>26</v>
      </c>
      <c r="AC2334" t="s">
        <v>27</v>
      </c>
      <c r="AD2334" t="s">
        <v>42</v>
      </c>
      <c r="AE2334" t="s">
        <v>25</v>
      </c>
      <c r="AF23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9.7014925373134331E-2</v>
      </c>
      <c r="AG2334" t="s">
        <v>941</v>
      </c>
      <c r="AH2334">
        <v>70.5</v>
      </c>
      <c r="AI2334" t="s">
        <v>939</v>
      </c>
      <c r="AJ2334">
        <v>6</v>
      </c>
      <c r="AK23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MIN(AJ2334/8, 1) +
  Merge1[[#This Row],[index_defensive_effort]],
  2
)</f>
        <v>1.35</v>
      </c>
    </row>
    <row r="2335" spans="1:37" x14ac:dyDescent="0.25">
      <c r="A2335" t="s">
        <v>647</v>
      </c>
      <c r="B2335" t="s">
        <v>648</v>
      </c>
      <c r="C2335">
        <v>30</v>
      </c>
      <c r="D2335" t="s">
        <v>56</v>
      </c>
      <c r="E2335">
        <v>71</v>
      </c>
      <c r="F2335">
        <v>190</v>
      </c>
      <c r="G2335" t="s">
        <v>130</v>
      </c>
      <c r="H2335">
        <v>2020</v>
      </c>
      <c r="I2335" t="s">
        <v>33</v>
      </c>
      <c r="J2335">
        <v>11</v>
      </c>
      <c r="K2335">
        <v>4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65</v>
      </c>
      <c r="T2335">
        <v>64</v>
      </c>
      <c r="U2335" s="5">
        <f>IF(Merge1[[#This Row],[team_defense_snaps]]=0, "", Merge1[[#This Row],[defense_snaps]] / Merge1[[#This Row],[team_defense_snaps]])</f>
        <v>0.98461538461538467</v>
      </c>
      <c r="V2335">
        <v>65</v>
      </c>
      <c r="W2335">
        <v>1</v>
      </c>
      <c r="X2335" s="5" t="s">
        <v>193</v>
      </c>
      <c r="Y2335">
        <v>6</v>
      </c>
      <c r="Z2335">
        <v>0</v>
      </c>
      <c r="AA2335" t="s">
        <v>25</v>
      </c>
      <c r="AB2335" t="s">
        <v>26</v>
      </c>
      <c r="AC2335" t="s">
        <v>27</v>
      </c>
      <c r="AD2335" t="s">
        <v>42</v>
      </c>
      <c r="AE2335" t="s">
        <v>25</v>
      </c>
      <c r="AF23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6.1538461538461542E-2</v>
      </c>
      <c r="AG2335" t="s">
        <v>941</v>
      </c>
      <c r="AH2335">
        <v>63</v>
      </c>
      <c r="AI2335" t="s">
        <v>939</v>
      </c>
      <c r="AJ2335">
        <v>7</v>
      </c>
      <c r="AK23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MIN(AJ2335/8, 1) +
  Merge1[[#This Row],[index_defensive_effort]],
  2
)</f>
        <v>1.44</v>
      </c>
    </row>
    <row r="2336" spans="1:37" x14ac:dyDescent="0.25">
      <c r="A2336" t="s">
        <v>647</v>
      </c>
      <c r="B2336" t="s">
        <v>648</v>
      </c>
      <c r="C2336">
        <v>30</v>
      </c>
      <c r="D2336" t="s">
        <v>56</v>
      </c>
      <c r="E2336">
        <v>71</v>
      </c>
      <c r="F2336">
        <v>190</v>
      </c>
      <c r="G2336" t="s">
        <v>130</v>
      </c>
      <c r="H2336">
        <v>2020</v>
      </c>
      <c r="I2336" t="s">
        <v>33</v>
      </c>
      <c r="J2336">
        <v>12</v>
      </c>
      <c r="K2336">
        <v>4</v>
      </c>
      <c r="L2336">
        <v>0</v>
      </c>
      <c r="M2336">
        <v>0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74</v>
      </c>
      <c r="T2336">
        <v>74</v>
      </c>
      <c r="U2336" s="5">
        <f>IF(Merge1[[#This Row],[team_defense_snaps]]=0, "", Merge1[[#This Row],[defense_snaps]] / Merge1[[#This Row],[team_defense_snaps]])</f>
        <v>0.98666666666666669</v>
      </c>
      <c r="V2336">
        <v>75</v>
      </c>
      <c r="W2336">
        <v>0</v>
      </c>
      <c r="X2336" s="5" t="s">
        <v>29</v>
      </c>
      <c r="Y2336">
        <v>6</v>
      </c>
      <c r="Z2336">
        <v>0</v>
      </c>
      <c r="AA2336" t="s">
        <v>25</v>
      </c>
      <c r="AB2336" t="s">
        <v>26</v>
      </c>
      <c r="AC2336" t="s">
        <v>27</v>
      </c>
      <c r="AD2336" t="s">
        <v>42</v>
      </c>
      <c r="AE2336" t="s">
        <v>25</v>
      </c>
      <c r="AF23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8.1081081081081086E-2</v>
      </c>
      <c r="AG2336" t="s">
        <v>941</v>
      </c>
      <c r="AH2336">
        <v>64.5</v>
      </c>
      <c r="AI2336" t="s">
        <v>939</v>
      </c>
      <c r="AJ2336">
        <v>8</v>
      </c>
      <c r="AK23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MIN(AJ2336/8, 1) +
  Merge1[[#This Row],[index_defensive_effort]],
  2
)</f>
        <v>1.58</v>
      </c>
    </row>
    <row r="2337" spans="1:37" x14ac:dyDescent="0.25">
      <c r="A2337" t="s">
        <v>647</v>
      </c>
      <c r="B2337" t="s">
        <v>648</v>
      </c>
      <c r="C2337">
        <v>30</v>
      </c>
      <c r="D2337" t="s">
        <v>56</v>
      </c>
      <c r="E2337">
        <v>71</v>
      </c>
      <c r="F2337">
        <v>190</v>
      </c>
      <c r="G2337" t="s">
        <v>130</v>
      </c>
      <c r="H2337">
        <v>2020</v>
      </c>
      <c r="I2337" t="s">
        <v>33</v>
      </c>
      <c r="J2337">
        <v>13</v>
      </c>
      <c r="K2337">
        <v>6</v>
      </c>
      <c r="L2337">
        <v>2</v>
      </c>
      <c r="M2337">
        <v>1</v>
      </c>
      <c r="N2337">
        <v>3</v>
      </c>
      <c r="O2337">
        <v>0</v>
      </c>
      <c r="P2337">
        <v>0</v>
      </c>
      <c r="Q2337">
        <v>0</v>
      </c>
      <c r="R2337">
        <v>0</v>
      </c>
      <c r="S2337">
        <v>70</v>
      </c>
      <c r="T2337">
        <v>70</v>
      </c>
      <c r="U2337" s="5">
        <f>IF(Merge1[[#This Row],[team_defense_snaps]]=0, "", Merge1[[#This Row],[defense_snaps]] / Merge1[[#This Row],[team_defense_snaps]])</f>
        <v>0.94594594594594594</v>
      </c>
      <c r="V2337">
        <v>74</v>
      </c>
      <c r="W2337">
        <v>0</v>
      </c>
      <c r="X2337" s="5" t="s">
        <v>29</v>
      </c>
      <c r="Y2337">
        <v>6</v>
      </c>
      <c r="Z2337">
        <v>0</v>
      </c>
      <c r="AA2337" t="s">
        <v>25</v>
      </c>
      <c r="AB2337" t="s">
        <v>26</v>
      </c>
      <c r="AC2337" t="s">
        <v>27</v>
      </c>
      <c r="AD2337" t="s">
        <v>42</v>
      </c>
      <c r="AE2337" t="s">
        <v>25</v>
      </c>
      <c r="AF23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0.10714285714285714</v>
      </c>
      <c r="AG2337" t="s">
        <v>941</v>
      </c>
      <c r="AH2337">
        <v>67.5</v>
      </c>
      <c r="AI2337" t="s">
        <v>939</v>
      </c>
      <c r="AJ2337">
        <v>9</v>
      </c>
      <c r="AK23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MIN(AJ2337/8, 1) +
  Merge1[[#This Row],[index_defensive_effort]],
  2
)</f>
        <v>1.61</v>
      </c>
    </row>
    <row r="2338" spans="1:37" x14ac:dyDescent="0.25">
      <c r="A2338" t="s">
        <v>647</v>
      </c>
      <c r="B2338" t="s">
        <v>648</v>
      </c>
      <c r="C2338">
        <v>30</v>
      </c>
      <c r="D2338" t="s">
        <v>56</v>
      </c>
      <c r="E2338">
        <v>71</v>
      </c>
      <c r="F2338">
        <v>190</v>
      </c>
      <c r="G2338" t="s">
        <v>130</v>
      </c>
      <c r="H2338">
        <v>2020</v>
      </c>
      <c r="I2338" t="s">
        <v>33</v>
      </c>
      <c r="J2338">
        <v>14</v>
      </c>
      <c r="K2338">
        <v>5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2</v>
      </c>
      <c r="R2338">
        <v>0</v>
      </c>
      <c r="S2338">
        <v>71</v>
      </c>
      <c r="T2338">
        <v>71</v>
      </c>
      <c r="U2338" s="5">
        <f>IF(Merge1[[#This Row],[team_defense_snaps]]=0, "", Merge1[[#This Row],[defense_snaps]] / Merge1[[#This Row],[team_defense_snaps]])</f>
        <v>1</v>
      </c>
      <c r="V2338">
        <v>71</v>
      </c>
      <c r="W2338">
        <v>0</v>
      </c>
      <c r="X2338" s="5" t="s">
        <v>29</v>
      </c>
      <c r="Y2338">
        <v>6</v>
      </c>
      <c r="Z2338">
        <v>0</v>
      </c>
      <c r="AA2338" t="s">
        <v>25</v>
      </c>
      <c r="AB2338" t="s">
        <v>26</v>
      </c>
      <c r="AC2338" t="s">
        <v>27</v>
      </c>
      <c r="AD2338" t="s">
        <v>42</v>
      </c>
      <c r="AE2338" t="s">
        <v>25</v>
      </c>
      <c r="AF23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0.18309859154929578</v>
      </c>
      <c r="AG2338" t="s">
        <v>941</v>
      </c>
      <c r="AH2338">
        <v>55.5</v>
      </c>
      <c r="AI2338" t="s">
        <v>939</v>
      </c>
      <c r="AJ2338">
        <v>10</v>
      </c>
      <c r="AK23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MIN(AJ2338/8, 1) +
  Merge1[[#This Row],[index_defensive_effort]],
  2
)</f>
        <v>1.68</v>
      </c>
    </row>
    <row r="2339" spans="1:37" x14ac:dyDescent="0.25">
      <c r="A2339" t="s">
        <v>647</v>
      </c>
      <c r="B2339" t="s">
        <v>648</v>
      </c>
      <c r="C2339">
        <v>30</v>
      </c>
      <c r="D2339" t="s">
        <v>56</v>
      </c>
      <c r="E2339">
        <v>71</v>
      </c>
      <c r="F2339">
        <v>190</v>
      </c>
      <c r="G2339" t="s">
        <v>130</v>
      </c>
      <c r="H2339">
        <v>2020</v>
      </c>
      <c r="I2339" t="s">
        <v>33</v>
      </c>
      <c r="J2339">
        <v>15</v>
      </c>
      <c r="K2339">
        <v>8</v>
      </c>
      <c r="L2339">
        <v>1</v>
      </c>
      <c r="M2339">
        <v>0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64</v>
      </c>
      <c r="T2339">
        <v>64</v>
      </c>
      <c r="U2339" s="5">
        <f>IF(Merge1[[#This Row],[team_defense_snaps]]=0, "", Merge1[[#This Row],[defense_snaps]] / Merge1[[#This Row],[team_defense_snaps]])</f>
        <v>0.98461538461538467</v>
      </c>
      <c r="V2339">
        <v>65</v>
      </c>
      <c r="W2339">
        <v>0</v>
      </c>
      <c r="X2339" s="5" t="s">
        <v>29</v>
      </c>
      <c r="Y2339">
        <v>6</v>
      </c>
      <c r="Z2339">
        <v>0</v>
      </c>
      <c r="AA2339" t="s">
        <v>25</v>
      </c>
      <c r="AB2339" t="s">
        <v>26</v>
      </c>
      <c r="AC2339" t="s">
        <v>27</v>
      </c>
      <c r="AD2339" t="s">
        <v>42</v>
      </c>
      <c r="AE2339" t="s">
        <v>25</v>
      </c>
      <c r="AF23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0.1328125</v>
      </c>
      <c r="AG2339" t="s">
        <v>941</v>
      </c>
      <c r="AH2339">
        <v>69</v>
      </c>
      <c r="AI2339" t="s">
        <v>939</v>
      </c>
      <c r="AJ2339">
        <v>11</v>
      </c>
      <c r="AK23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MIN(AJ2339/8, 1) +
  Merge1[[#This Row],[index_defensive_effort]],
  2
)</f>
        <v>1.63</v>
      </c>
    </row>
    <row r="2340" spans="1:37" x14ac:dyDescent="0.25">
      <c r="A2340" t="s">
        <v>647</v>
      </c>
      <c r="B2340" t="s">
        <v>648</v>
      </c>
      <c r="C2340">
        <v>30</v>
      </c>
      <c r="D2340" t="s">
        <v>56</v>
      </c>
      <c r="E2340">
        <v>71</v>
      </c>
      <c r="F2340">
        <v>190</v>
      </c>
      <c r="G2340" t="s">
        <v>130</v>
      </c>
      <c r="H2340">
        <v>2020</v>
      </c>
      <c r="I2340" t="s">
        <v>33</v>
      </c>
      <c r="J2340">
        <v>16</v>
      </c>
      <c r="K2340">
        <v>6</v>
      </c>
      <c r="L2340">
        <v>2</v>
      </c>
      <c r="M2340">
        <v>2</v>
      </c>
      <c r="N2340">
        <v>4</v>
      </c>
      <c r="O2340">
        <v>0</v>
      </c>
      <c r="P2340">
        <v>0</v>
      </c>
      <c r="Q2340">
        <v>2</v>
      </c>
      <c r="R2340">
        <v>0</v>
      </c>
      <c r="S2340">
        <v>66</v>
      </c>
      <c r="T2340">
        <v>66</v>
      </c>
      <c r="U2340" s="5">
        <f>IF(Merge1[[#This Row],[team_defense_snaps]]=0, "", Merge1[[#This Row],[defense_snaps]] / Merge1[[#This Row],[team_defense_snaps]])</f>
        <v>0.9850746268656716</v>
      </c>
      <c r="V2340">
        <v>67</v>
      </c>
      <c r="W2340">
        <v>0</v>
      </c>
      <c r="X2340" s="5" t="s">
        <v>29</v>
      </c>
      <c r="Y2340">
        <v>6</v>
      </c>
      <c r="Z2340">
        <v>0</v>
      </c>
      <c r="AA2340" t="s">
        <v>25</v>
      </c>
      <c r="AB2340" t="s">
        <v>26</v>
      </c>
      <c r="AC2340" t="s">
        <v>27</v>
      </c>
      <c r="AD2340" t="s">
        <v>42</v>
      </c>
      <c r="AE2340" t="s">
        <v>25</v>
      </c>
      <c r="AF23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0.24242424242424243</v>
      </c>
      <c r="AG2340" t="s">
        <v>941</v>
      </c>
      <c r="AH2340">
        <v>60</v>
      </c>
      <c r="AI2340" t="s">
        <v>939</v>
      </c>
      <c r="AJ2340">
        <v>12</v>
      </c>
      <c r="AK23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MIN(AJ2340/8, 1) +
  Merge1[[#This Row],[index_defensive_effort]],
  2
)</f>
        <v>1.74</v>
      </c>
    </row>
    <row r="2341" spans="1:37" x14ac:dyDescent="0.25">
      <c r="A2341" t="s">
        <v>647</v>
      </c>
      <c r="B2341" t="s">
        <v>648</v>
      </c>
      <c r="C2341">
        <v>30</v>
      </c>
      <c r="D2341" t="s">
        <v>56</v>
      </c>
      <c r="E2341">
        <v>71</v>
      </c>
      <c r="F2341">
        <v>190</v>
      </c>
      <c r="G2341" t="s">
        <v>130</v>
      </c>
      <c r="H2341">
        <v>2020</v>
      </c>
      <c r="I2341" t="s">
        <v>33</v>
      </c>
      <c r="J2341">
        <v>17</v>
      </c>
      <c r="K2341">
        <v>5</v>
      </c>
      <c r="L2341">
        <v>1</v>
      </c>
      <c r="M2341">
        <v>0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63</v>
      </c>
      <c r="T2341">
        <v>63</v>
      </c>
      <c r="U2341" s="5">
        <f>IF(Merge1[[#This Row],[team_defense_snaps]]=0, "", Merge1[[#This Row],[defense_snaps]] / Merge1[[#This Row],[team_defense_snaps]])</f>
        <v>0.984375</v>
      </c>
      <c r="V2341">
        <v>64</v>
      </c>
      <c r="W2341">
        <v>0</v>
      </c>
      <c r="X2341" s="5" t="s">
        <v>29</v>
      </c>
      <c r="Y2341">
        <v>6</v>
      </c>
      <c r="Z2341">
        <v>0</v>
      </c>
      <c r="AA2341" t="s">
        <v>25</v>
      </c>
      <c r="AB2341" t="s">
        <v>26</v>
      </c>
      <c r="AC2341" t="s">
        <v>27</v>
      </c>
      <c r="AD2341" t="s">
        <v>42</v>
      </c>
      <c r="AE2341" t="s">
        <v>25</v>
      </c>
      <c r="AF23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8.7301587301587297E-2</v>
      </c>
      <c r="AG2341" t="s">
        <v>941</v>
      </c>
      <c r="AH2341">
        <v>61.5</v>
      </c>
      <c r="AI2341" t="s">
        <v>939</v>
      </c>
      <c r="AJ2341">
        <v>13</v>
      </c>
      <c r="AK23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MIN(AJ2341/8, 1) +
  Merge1[[#This Row],[index_defensive_effort]],
  2
)</f>
        <v>1.59</v>
      </c>
    </row>
    <row r="2342" spans="1:37" x14ac:dyDescent="0.25">
      <c r="A2342" t="s">
        <v>647</v>
      </c>
      <c r="B2342" t="s">
        <v>648</v>
      </c>
      <c r="C2342">
        <v>30</v>
      </c>
      <c r="D2342" t="s">
        <v>56</v>
      </c>
      <c r="E2342">
        <v>71</v>
      </c>
      <c r="F2342">
        <v>190</v>
      </c>
      <c r="G2342" t="s">
        <v>130</v>
      </c>
      <c r="H2342">
        <v>2020</v>
      </c>
      <c r="I2342" t="s">
        <v>24</v>
      </c>
      <c r="J2342">
        <v>18</v>
      </c>
      <c r="K2342">
        <v>5</v>
      </c>
      <c r="L2342">
        <v>2</v>
      </c>
      <c r="M2342">
        <v>1</v>
      </c>
      <c r="N2342">
        <v>3</v>
      </c>
      <c r="O2342">
        <v>0</v>
      </c>
      <c r="P2342">
        <v>0</v>
      </c>
      <c r="Q2342">
        <v>2</v>
      </c>
      <c r="R2342">
        <v>0</v>
      </c>
      <c r="S2342">
        <v>63</v>
      </c>
      <c r="T2342">
        <v>63</v>
      </c>
      <c r="U2342" s="5">
        <f>IF(Merge1[[#This Row],[team_defense_snaps]]=0, "", Merge1[[#This Row],[defense_snaps]] / Merge1[[#This Row],[team_defense_snaps]])</f>
        <v>0.96923076923076923</v>
      </c>
      <c r="V2342">
        <v>65</v>
      </c>
      <c r="W2342">
        <v>0</v>
      </c>
      <c r="X2342" s="5" t="s">
        <v>29</v>
      </c>
      <c r="Y2342">
        <v>6</v>
      </c>
      <c r="Z2342">
        <v>0</v>
      </c>
      <c r="AA2342" t="s">
        <v>25</v>
      </c>
      <c r="AB2342" t="s">
        <v>26</v>
      </c>
      <c r="AC2342" t="s">
        <v>27</v>
      </c>
      <c r="AD2342" t="s">
        <v>42</v>
      </c>
      <c r="AE2342" t="s">
        <v>25</v>
      </c>
      <c r="AF23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0.23015873015873015</v>
      </c>
      <c r="AG2342" t="s">
        <v>941</v>
      </c>
      <c r="AH2342">
        <v>57</v>
      </c>
      <c r="AI2342" t="s">
        <v>939</v>
      </c>
      <c r="AJ2342">
        <v>14</v>
      </c>
      <c r="AK23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MIN(AJ2342/8, 1) +
  Merge1[[#This Row],[index_defensive_effort]],
  2
)</f>
        <v>1.93</v>
      </c>
    </row>
    <row r="2343" spans="1:37" x14ac:dyDescent="0.25">
      <c r="A2343" t="s">
        <v>679</v>
      </c>
      <c r="B2343" t="s">
        <v>680</v>
      </c>
      <c r="C2343">
        <v>33</v>
      </c>
      <c r="D2343" t="s">
        <v>22</v>
      </c>
      <c r="E2343">
        <v>72</v>
      </c>
      <c r="F2343">
        <v>204</v>
      </c>
      <c r="G2343" t="s">
        <v>28</v>
      </c>
      <c r="H2343">
        <v>2020</v>
      </c>
      <c r="I2343" t="s">
        <v>33</v>
      </c>
      <c r="J2343">
        <v>1</v>
      </c>
      <c r="K2343">
        <v>3</v>
      </c>
      <c r="L2343">
        <v>3</v>
      </c>
      <c r="M2343">
        <v>0</v>
      </c>
      <c r="N2343">
        <v>3</v>
      </c>
      <c r="O2343">
        <v>0</v>
      </c>
      <c r="P2343">
        <v>0</v>
      </c>
      <c r="Q2343">
        <v>0</v>
      </c>
      <c r="R2343">
        <v>0</v>
      </c>
      <c r="S2343">
        <v>75</v>
      </c>
      <c r="T2343">
        <v>70</v>
      </c>
      <c r="U2343" s="5">
        <f>IF(Merge1[[#This Row],[team_defense_snaps]]=0, "", Merge1[[#This Row],[defense_snaps]] / Merge1[[#This Row],[team_defense_snaps]])</f>
        <v>1</v>
      </c>
      <c r="V2343">
        <v>70</v>
      </c>
      <c r="W2343">
        <v>5</v>
      </c>
      <c r="X2343" s="5" t="s">
        <v>168</v>
      </c>
      <c r="Y2343">
        <v>11</v>
      </c>
      <c r="Z2343">
        <v>0</v>
      </c>
      <c r="AA2343" t="s">
        <v>25</v>
      </c>
      <c r="AB2343" t="s">
        <v>26</v>
      </c>
      <c r="AC2343" t="s">
        <v>27</v>
      </c>
      <c r="AD2343" t="s">
        <v>42</v>
      </c>
      <c r="AE2343" t="s">
        <v>25</v>
      </c>
      <c r="AF23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0.06</v>
      </c>
      <c r="AG2343" t="s">
        <v>942</v>
      </c>
      <c r="AH2343">
        <v>61</v>
      </c>
      <c r="AI2343" t="s">
        <v>939</v>
      </c>
      <c r="AJ2343">
        <v>1</v>
      </c>
      <c r="AK23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MIN(AJ2343/8, 1) +
  Merge1[[#This Row],[index_defensive_effort]],
  2
)</f>
        <v>0.89</v>
      </c>
    </row>
    <row r="2344" spans="1:37" x14ac:dyDescent="0.25">
      <c r="A2344" t="s">
        <v>679</v>
      </c>
      <c r="B2344" t="s">
        <v>680</v>
      </c>
      <c r="C2344">
        <v>33</v>
      </c>
      <c r="D2344" t="s">
        <v>22</v>
      </c>
      <c r="E2344">
        <v>72</v>
      </c>
      <c r="F2344">
        <v>204</v>
      </c>
      <c r="G2344" t="s">
        <v>28</v>
      </c>
      <c r="H2344">
        <v>2020</v>
      </c>
      <c r="I2344" t="s">
        <v>33</v>
      </c>
      <c r="J2344">
        <v>2</v>
      </c>
      <c r="K2344">
        <v>7</v>
      </c>
      <c r="L2344">
        <v>3</v>
      </c>
      <c r="M2344">
        <v>0</v>
      </c>
      <c r="N2344">
        <v>3</v>
      </c>
      <c r="O2344">
        <v>4</v>
      </c>
      <c r="P2344">
        <v>4</v>
      </c>
      <c r="Q2344">
        <v>0</v>
      </c>
      <c r="R2344">
        <v>0</v>
      </c>
      <c r="S2344">
        <v>86</v>
      </c>
      <c r="T2344">
        <v>80</v>
      </c>
      <c r="U2344" s="5">
        <f>IF(Merge1[[#This Row],[team_defense_snaps]]=0, "", Merge1[[#This Row],[defense_snaps]] / Merge1[[#This Row],[team_defense_snaps]])</f>
        <v>0.98765432098765427</v>
      </c>
      <c r="V2344">
        <v>81</v>
      </c>
      <c r="W2344">
        <v>6</v>
      </c>
      <c r="X2344" s="5" t="s">
        <v>139</v>
      </c>
      <c r="Y2344">
        <v>11</v>
      </c>
      <c r="Z2344">
        <v>0</v>
      </c>
      <c r="AA2344" t="s">
        <v>25</v>
      </c>
      <c r="AB2344" t="s">
        <v>26</v>
      </c>
      <c r="AC2344" t="s">
        <v>27</v>
      </c>
      <c r="AD2344" t="s">
        <v>42</v>
      </c>
      <c r="AE2344" t="s">
        <v>25</v>
      </c>
      <c r="AF23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0.33139534883720928</v>
      </c>
      <c r="AG2344" t="s">
        <v>942</v>
      </c>
      <c r="AH2344">
        <v>79</v>
      </c>
      <c r="AI2344" t="s">
        <v>939</v>
      </c>
      <c r="AJ2344">
        <v>2</v>
      </c>
      <c r="AK23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MIN(AJ2344/8, 1) +
  Merge1[[#This Row],[index_defensive_effort]],
  2
)</f>
        <v>1.28</v>
      </c>
    </row>
    <row r="2345" spans="1:37" x14ac:dyDescent="0.25">
      <c r="A2345" t="s">
        <v>679</v>
      </c>
      <c r="B2345" t="s">
        <v>680</v>
      </c>
      <c r="C2345">
        <v>33</v>
      </c>
      <c r="D2345" t="s">
        <v>22</v>
      </c>
      <c r="E2345">
        <v>72</v>
      </c>
      <c r="F2345">
        <v>204</v>
      </c>
      <c r="G2345" t="s">
        <v>28</v>
      </c>
      <c r="H2345">
        <v>2020</v>
      </c>
      <c r="I2345" t="s">
        <v>33</v>
      </c>
      <c r="J2345">
        <v>3</v>
      </c>
      <c r="K2345">
        <v>9</v>
      </c>
      <c r="L2345">
        <v>1</v>
      </c>
      <c r="M2345">
        <v>1</v>
      </c>
      <c r="N2345">
        <v>2</v>
      </c>
      <c r="O2345">
        <v>0</v>
      </c>
      <c r="P2345">
        <v>1</v>
      </c>
      <c r="Q2345">
        <v>0</v>
      </c>
      <c r="R2345">
        <v>0</v>
      </c>
      <c r="S2345">
        <v>69</v>
      </c>
      <c r="T2345">
        <v>62</v>
      </c>
      <c r="U2345" s="5">
        <f>IF(Merge1[[#This Row],[team_defense_snaps]]=0, "", Merge1[[#This Row],[defense_snaps]] / Merge1[[#This Row],[team_defense_snaps]])</f>
        <v>1</v>
      </c>
      <c r="V2345">
        <v>62</v>
      </c>
      <c r="W2345">
        <v>7</v>
      </c>
      <c r="X2345" s="5" t="s">
        <v>139</v>
      </c>
      <c r="Y2345">
        <v>11</v>
      </c>
      <c r="Z2345">
        <v>0</v>
      </c>
      <c r="AA2345" t="s">
        <v>25</v>
      </c>
      <c r="AB2345" t="s">
        <v>26</v>
      </c>
      <c r="AC2345" t="s">
        <v>27</v>
      </c>
      <c r="AD2345" t="s">
        <v>42</v>
      </c>
      <c r="AE2345" t="s">
        <v>25</v>
      </c>
      <c r="AF23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0.17391304347826086</v>
      </c>
      <c r="AG2345" t="s">
        <v>942</v>
      </c>
      <c r="AH2345">
        <v>71.5</v>
      </c>
      <c r="AI2345" t="s">
        <v>939</v>
      </c>
      <c r="AJ2345">
        <v>3</v>
      </c>
      <c r="AK23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MIN(AJ2345/8, 1) +
  Merge1[[#This Row],[index_defensive_effort]],
  2
)</f>
        <v>1.25</v>
      </c>
    </row>
    <row r="2346" spans="1:37" x14ac:dyDescent="0.25">
      <c r="A2346" t="s">
        <v>679</v>
      </c>
      <c r="B2346" t="s">
        <v>680</v>
      </c>
      <c r="C2346">
        <v>33</v>
      </c>
      <c r="D2346" t="s">
        <v>22</v>
      </c>
      <c r="E2346">
        <v>72</v>
      </c>
      <c r="F2346">
        <v>204</v>
      </c>
      <c r="G2346" t="s">
        <v>28</v>
      </c>
      <c r="H2346">
        <v>2020</v>
      </c>
      <c r="I2346" t="s">
        <v>33</v>
      </c>
      <c r="J2346">
        <v>4</v>
      </c>
      <c r="K2346">
        <v>5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65</v>
      </c>
      <c r="T2346">
        <v>61</v>
      </c>
      <c r="U2346" s="5">
        <f>IF(Merge1[[#This Row],[team_defense_snaps]]=0, "", Merge1[[#This Row],[defense_snaps]] / Merge1[[#This Row],[team_defense_snaps]])</f>
        <v>1</v>
      </c>
      <c r="V2346">
        <v>61</v>
      </c>
      <c r="W2346">
        <v>4</v>
      </c>
      <c r="X2346" s="5" t="s">
        <v>159</v>
      </c>
      <c r="Y2346">
        <v>11</v>
      </c>
      <c r="Z2346">
        <v>0</v>
      </c>
      <c r="AA2346" t="s">
        <v>25</v>
      </c>
      <c r="AB2346" t="s">
        <v>26</v>
      </c>
      <c r="AC2346" t="s">
        <v>27</v>
      </c>
      <c r="AD2346" t="s">
        <v>42</v>
      </c>
      <c r="AE2346" t="s">
        <v>25</v>
      </c>
      <c r="AF23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7.6923076923076927E-2</v>
      </c>
      <c r="AG2346" t="s">
        <v>942</v>
      </c>
      <c r="AH2346">
        <v>76</v>
      </c>
      <c r="AI2346" t="s">
        <v>939</v>
      </c>
      <c r="AJ2346">
        <v>4</v>
      </c>
      <c r="AK23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MIN(AJ2346/8, 1) +
  Merge1[[#This Row],[index_defensive_effort]],
  2
)</f>
        <v>1.28</v>
      </c>
    </row>
    <row r="2347" spans="1:37" x14ac:dyDescent="0.25">
      <c r="A2347" t="s">
        <v>679</v>
      </c>
      <c r="B2347" t="s">
        <v>680</v>
      </c>
      <c r="C2347">
        <v>33</v>
      </c>
      <c r="D2347" t="s">
        <v>22</v>
      </c>
      <c r="E2347">
        <v>72</v>
      </c>
      <c r="F2347">
        <v>204</v>
      </c>
      <c r="G2347" t="s">
        <v>28</v>
      </c>
      <c r="H2347">
        <v>2020</v>
      </c>
      <c r="I2347" t="s">
        <v>33</v>
      </c>
      <c r="J2347">
        <v>5</v>
      </c>
      <c r="K2347">
        <v>3</v>
      </c>
      <c r="L2347">
        <v>2</v>
      </c>
      <c r="M2347">
        <v>0</v>
      </c>
      <c r="N2347">
        <v>2</v>
      </c>
      <c r="O2347">
        <v>0</v>
      </c>
      <c r="P2347">
        <v>0</v>
      </c>
      <c r="Q2347">
        <v>0</v>
      </c>
      <c r="R2347">
        <v>0</v>
      </c>
      <c r="S2347">
        <v>75</v>
      </c>
      <c r="T2347">
        <v>70</v>
      </c>
      <c r="U2347" s="5">
        <f>IF(Merge1[[#This Row],[team_defense_snaps]]=0, "", Merge1[[#This Row],[defense_snaps]] / Merge1[[#This Row],[team_defense_snaps]])</f>
        <v>0.9859154929577465</v>
      </c>
      <c r="V2347">
        <v>71</v>
      </c>
      <c r="W2347">
        <v>5</v>
      </c>
      <c r="X2347" s="5" t="s">
        <v>209</v>
      </c>
      <c r="Y2347">
        <v>11</v>
      </c>
      <c r="Z2347">
        <v>0</v>
      </c>
      <c r="AA2347" t="s">
        <v>25</v>
      </c>
      <c r="AB2347" t="s">
        <v>26</v>
      </c>
      <c r="AC2347" t="s">
        <v>27</v>
      </c>
      <c r="AD2347" t="s">
        <v>42</v>
      </c>
      <c r="AE2347" t="s">
        <v>25</v>
      </c>
      <c r="AF23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5.3333333333333337E-2</v>
      </c>
      <c r="AG2347" t="s">
        <v>942</v>
      </c>
      <c r="AH2347">
        <v>62.5</v>
      </c>
      <c r="AI2347" t="s">
        <v>939</v>
      </c>
      <c r="AJ2347">
        <v>5</v>
      </c>
      <c r="AK23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MIN(AJ2347/8, 1) +
  Merge1[[#This Row],[index_defensive_effort]],
  2
)</f>
        <v>1.38</v>
      </c>
    </row>
    <row r="2348" spans="1:37" x14ac:dyDescent="0.25">
      <c r="A2348" t="s">
        <v>679</v>
      </c>
      <c r="B2348" t="s">
        <v>680</v>
      </c>
      <c r="C2348">
        <v>33</v>
      </c>
      <c r="D2348" t="s">
        <v>22</v>
      </c>
      <c r="E2348">
        <v>72</v>
      </c>
      <c r="F2348">
        <v>204</v>
      </c>
      <c r="G2348" t="s">
        <v>28</v>
      </c>
      <c r="H2348">
        <v>2020</v>
      </c>
      <c r="I2348" t="s">
        <v>33</v>
      </c>
      <c r="J2348">
        <v>7</v>
      </c>
      <c r="K2348">
        <v>1</v>
      </c>
      <c r="L2348">
        <v>1</v>
      </c>
      <c r="M2348">
        <v>0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51</v>
      </c>
      <c r="T2348">
        <v>46</v>
      </c>
      <c r="U2348" s="5">
        <f>IF(Merge1[[#This Row],[team_defense_snaps]]=0, "", Merge1[[#This Row],[defense_snaps]] / Merge1[[#This Row],[team_defense_snaps]])</f>
        <v>1</v>
      </c>
      <c r="V2348">
        <v>46</v>
      </c>
      <c r="W2348">
        <v>5</v>
      </c>
      <c r="X2348" s="5" t="s">
        <v>132</v>
      </c>
      <c r="Y2348">
        <v>11</v>
      </c>
      <c r="Z2348">
        <v>0</v>
      </c>
      <c r="AA2348" t="s">
        <v>25</v>
      </c>
      <c r="AB2348" t="s">
        <v>26</v>
      </c>
      <c r="AC2348" t="s">
        <v>27</v>
      </c>
      <c r="AD2348" t="s">
        <v>42</v>
      </c>
      <c r="AE2348" t="s">
        <v>25</v>
      </c>
      <c r="AF23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2.9411764705882353E-2</v>
      </c>
      <c r="AG2348" t="s">
        <v>942</v>
      </c>
      <c r="AH2348">
        <v>67</v>
      </c>
      <c r="AI2348" t="s">
        <v>939</v>
      </c>
      <c r="AJ2348">
        <v>1</v>
      </c>
      <c r="AK23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MIN(AJ2348/8, 1) +
  Merge1[[#This Row],[index_defensive_effort]],
  2
)</f>
        <v>0.85</v>
      </c>
    </row>
    <row r="2349" spans="1:37" x14ac:dyDescent="0.25">
      <c r="A2349" t="s">
        <v>679</v>
      </c>
      <c r="B2349" t="s">
        <v>680</v>
      </c>
      <c r="C2349">
        <v>33</v>
      </c>
      <c r="D2349" t="s">
        <v>22</v>
      </c>
      <c r="E2349">
        <v>72</v>
      </c>
      <c r="F2349">
        <v>204</v>
      </c>
      <c r="G2349" t="s">
        <v>28</v>
      </c>
      <c r="H2349">
        <v>2020</v>
      </c>
      <c r="I2349" t="s">
        <v>33</v>
      </c>
      <c r="J2349">
        <v>8</v>
      </c>
      <c r="K2349">
        <v>7</v>
      </c>
      <c r="L2349">
        <v>4</v>
      </c>
      <c r="M2349">
        <v>1</v>
      </c>
      <c r="N2349">
        <v>5</v>
      </c>
      <c r="O2349">
        <v>4</v>
      </c>
      <c r="P2349">
        <v>5</v>
      </c>
      <c r="Q2349">
        <v>0</v>
      </c>
      <c r="R2349">
        <v>0</v>
      </c>
      <c r="S2349">
        <v>75</v>
      </c>
      <c r="T2349">
        <v>70</v>
      </c>
      <c r="U2349" s="5">
        <f>IF(Merge1[[#This Row],[team_defense_snaps]]=0, "", Merge1[[#This Row],[defense_snaps]] / Merge1[[#This Row],[team_defense_snaps]])</f>
        <v>1</v>
      </c>
      <c r="V2349">
        <v>70</v>
      </c>
      <c r="W2349">
        <v>5</v>
      </c>
      <c r="X2349" s="5" t="s">
        <v>168</v>
      </c>
      <c r="Y2349">
        <v>11</v>
      </c>
      <c r="Z2349">
        <v>0</v>
      </c>
      <c r="AA2349" t="s">
        <v>25</v>
      </c>
      <c r="AB2349" t="s">
        <v>26</v>
      </c>
      <c r="AC2349" t="s">
        <v>27</v>
      </c>
      <c r="AD2349" t="s">
        <v>42</v>
      </c>
      <c r="AE2349" t="s">
        <v>25</v>
      </c>
      <c r="AF23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0.42</v>
      </c>
      <c r="AG2349" t="s">
        <v>942</v>
      </c>
      <c r="AH2349">
        <v>70</v>
      </c>
      <c r="AI2349" t="s">
        <v>939</v>
      </c>
      <c r="AJ2349">
        <v>2</v>
      </c>
      <c r="AK23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MIN(AJ2349/8, 1) +
  Merge1[[#This Row],[index_defensive_effort]],
  2
)</f>
        <v>1.37</v>
      </c>
    </row>
    <row r="2350" spans="1:37" x14ac:dyDescent="0.25">
      <c r="A2350" t="s">
        <v>679</v>
      </c>
      <c r="B2350" t="s">
        <v>680</v>
      </c>
      <c r="C2350">
        <v>33</v>
      </c>
      <c r="D2350" t="s">
        <v>22</v>
      </c>
      <c r="E2350">
        <v>72</v>
      </c>
      <c r="F2350">
        <v>204</v>
      </c>
      <c r="G2350" t="s">
        <v>28</v>
      </c>
      <c r="H2350">
        <v>2020</v>
      </c>
      <c r="I2350" t="s">
        <v>33</v>
      </c>
      <c r="J2350">
        <v>9</v>
      </c>
      <c r="K2350">
        <v>7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2</v>
      </c>
      <c r="R2350">
        <v>0</v>
      </c>
      <c r="S2350">
        <v>51</v>
      </c>
      <c r="T2350">
        <v>49</v>
      </c>
      <c r="U2350" s="5">
        <f>IF(Merge1[[#This Row],[team_defense_snaps]]=0, "", Merge1[[#This Row],[defense_snaps]] / Merge1[[#This Row],[team_defense_snaps]])</f>
        <v>0.98</v>
      </c>
      <c r="V2350">
        <v>50</v>
      </c>
      <c r="W2350">
        <v>2</v>
      </c>
      <c r="X2350" s="5" t="s">
        <v>38</v>
      </c>
      <c r="Y2350">
        <v>11</v>
      </c>
      <c r="Z2350">
        <v>0</v>
      </c>
      <c r="AA2350" t="s">
        <v>25</v>
      </c>
      <c r="AB2350" t="s">
        <v>26</v>
      </c>
      <c r="AC2350" t="s">
        <v>27</v>
      </c>
      <c r="AD2350" t="s">
        <v>42</v>
      </c>
      <c r="AE2350" t="s">
        <v>25</v>
      </c>
      <c r="AF23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0.29411764705882354</v>
      </c>
      <c r="AG2350" t="s">
        <v>942</v>
      </c>
      <c r="AH2350">
        <v>64</v>
      </c>
      <c r="AI2350" t="s">
        <v>939</v>
      </c>
      <c r="AJ2350">
        <v>3</v>
      </c>
      <c r="AK23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MIN(AJ2350/8, 1) +
  Merge1[[#This Row],[index_defensive_effort]],
  2
)</f>
        <v>1.37</v>
      </c>
    </row>
    <row r="2351" spans="1:37" x14ac:dyDescent="0.25">
      <c r="A2351" t="s">
        <v>679</v>
      </c>
      <c r="B2351" t="s">
        <v>680</v>
      </c>
      <c r="C2351">
        <v>33</v>
      </c>
      <c r="D2351" t="s">
        <v>22</v>
      </c>
      <c r="E2351">
        <v>72</v>
      </c>
      <c r="F2351">
        <v>204</v>
      </c>
      <c r="G2351" t="s">
        <v>28</v>
      </c>
      <c r="H2351">
        <v>2020</v>
      </c>
      <c r="I2351" t="s">
        <v>33</v>
      </c>
      <c r="J2351">
        <v>10</v>
      </c>
      <c r="K2351">
        <v>4</v>
      </c>
      <c r="L2351">
        <v>2</v>
      </c>
      <c r="M2351">
        <v>1</v>
      </c>
      <c r="N2351">
        <v>3</v>
      </c>
      <c r="O2351">
        <v>0</v>
      </c>
      <c r="P2351">
        <v>2</v>
      </c>
      <c r="Q2351">
        <v>2</v>
      </c>
      <c r="R2351">
        <v>0</v>
      </c>
      <c r="S2351">
        <v>76</v>
      </c>
      <c r="T2351">
        <v>71</v>
      </c>
      <c r="U2351" s="5">
        <f>IF(Merge1[[#This Row],[team_defense_snaps]]=0, "", Merge1[[#This Row],[defense_snaps]] / Merge1[[#This Row],[team_defense_snaps]])</f>
        <v>0.98611111111111116</v>
      </c>
      <c r="V2351">
        <v>72</v>
      </c>
      <c r="W2351">
        <v>5</v>
      </c>
      <c r="X2351" s="5" t="s">
        <v>181</v>
      </c>
      <c r="Y2351">
        <v>11</v>
      </c>
      <c r="Z2351">
        <v>0</v>
      </c>
      <c r="AA2351" t="s">
        <v>25</v>
      </c>
      <c r="AB2351" t="s">
        <v>26</v>
      </c>
      <c r="AC2351" t="s">
        <v>27</v>
      </c>
      <c r="AD2351" t="s">
        <v>42</v>
      </c>
      <c r="AE2351" t="s">
        <v>25</v>
      </c>
      <c r="AF23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0.23026315789473684</v>
      </c>
      <c r="AG2351" t="s">
        <v>942</v>
      </c>
      <c r="AH2351">
        <v>82</v>
      </c>
      <c r="AI2351" t="s">
        <v>939</v>
      </c>
      <c r="AJ2351">
        <v>4</v>
      </c>
      <c r="AK23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MIN(AJ2351/8, 1) +
  Merge1[[#This Row],[index_defensive_effort]],
  2
)</f>
        <v>1.43</v>
      </c>
    </row>
    <row r="2352" spans="1:37" x14ac:dyDescent="0.25">
      <c r="A2352" t="s">
        <v>679</v>
      </c>
      <c r="B2352" t="s">
        <v>680</v>
      </c>
      <c r="C2352">
        <v>33</v>
      </c>
      <c r="D2352" t="s">
        <v>22</v>
      </c>
      <c r="E2352">
        <v>72</v>
      </c>
      <c r="F2352">
        <v>204</v>
      </c>
      <c r="G2352" t="s">
        <v>28</v>
      </c>
      <c r="H2352">
        <v>2020</v>
      </c>
      <c r="I2352" t="s">
        <v>33</v>
      </c>
      <c r="J2352">
        <v>11</v>
      </c>
      <c r="K2352">
        <v>2</v>
      </c>
      <c r="L2352">
        <v>1</v>
      </c>
      <c r="M2352">
        <v>0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65</v>
      </c>
      <c r="T2352">
        <v>62</v>
      </c>
      <c r="U2352" s="5">
        <f>IF(Merge1[[#This Row],[team_defense_snaps]]=0, "", Merge1[[#This Row],[defense_snaps]] / Merge1[[#This Row],[team_defense_snaps]])</f>
        <v>1</v>
      </c>
      <c r="V2352">
        <v>62</v>
      </c>
      <c r="W2352">
        <v>3</v>
      </c>
      <c r="X2352" s="5" t="s">
        <v>251</v>
      </c>
      <c r="Y2352">
        <v>11</v>
      </c>
      <c r="Z2352">
        <v>0</v>
      </c>
      <c r="AA2352" t="s">
        <v>25</v>
      </c>
      <c r="AB2352" t="s">
        <v>26</v>
      </c>
      <c r="AC2352" t="s">
        <v>27</v>
      </c>
      <c r="AD2352" t="s">
        <v>42</v>
      </c>
      <c r="AE2352" t="s">
        <v>25</v>
      </c>
      <c r="AF23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3.8461538461538464E-2</v>
      </c>
      <c r="AG2352" t="s">
        <v>942</v>
      </c>
      <c r="AH2352">
        <v>68.5</v>
      </c>
      <c r="AI2352" t="s">
        <v>939</v>
      </c>
      <c r="AJ2352">
        <v>5</v>
      </c>
      <c r="AK23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MIN(AJ2352/8, 1) +
  Merge1[[#This Row],[index_defensive_effort]],
  2
)</f>
        <v>1.36</v>
      </c>
    </row>
    <row r="2353" spans="1:37" x14ac:dyDescent="0.25">
      <c r="A2353" t="s">
        <v>679</v>
      </c>
      <c r="B2353" t="s">
        <v>680</v>
      </c>
      <c r="C2353">
        <v>33</v>
      </c>
      <c r="D2353" t="s">
        <v>22</v>
      </c>
      <c r="E2353">
        <v>72</v>
      </c>
      <c r="F2353">
        <v>204</v>
      </c>
      <c r="G2353" t="s">
        <v>28</v>
      </c>
      <c r="H2353">
        <v>2020</v>
      </c>
      <c r="I2353" t="s">
        <v>33</v>
      </c>
      <c r="J2353">
        <v>12</v>
      </c>
      <c r="K2353">
        <v>4</v>
      </c>
      <c r="L2353">
        <v>2</v>
      </c>
      <c r="M2353">
        <v>1</v>
      </c>
      <c r="N2353">
        <v>3</v>
      </c>
      <c r="O2353">
        <v>0</v>
      </c>
      <c r="P2353">
        <v>0</v>
      </c>
      <c r="Q2353">
        <v>0</v>
      </c>
      <c r="R2353">
        <v>0</v>
      </c>
      <c r="S2353">
        <v>39</v>
      </c>
      <c r="T2353">
        <v>36</v>
      </c>
      <c r="U2353" s="5">
        <f>IF(Merge1[[#This Row],[team_defense_snaps]]=0, "", Merge1[[#This Row],[defense_snaps]] / Merge1[[#This Row],[team_defense_snaps]])</f>
        <v>0.81818181818181823</v>
      </c>
      <c r="V2353">
        <v>44</v>
      </c>
      <c r="W2353">
        <v>3</v>
      </c>
      <c r="X2353" s="5" t="s">
        <v>35</v>
      </c>
      <c r="Y2353">
        <v>11</v>
      </c>
      <c r="Z2353">
        <v>0</v>
      </c>
      <c r="AA2353" t="s">
        <v>25</v>
      </c>
      <c r="AB2353" t="s">
        <v>26</v>
      </c>
      <c r="AC2353" t="s">
        <v>27</v>
      </c>
      <c r="AD2353" t="s">
        <v>42</v>
      </c>
      <c r="AE2353" t="s">
        <v>25</v>
      </c>
      <c r="AF23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0.14102564102564102</v>
      </c>
      <c r="AG2353" t="s">
        <v>942</v>
      </c>
      <c r="AH2353">
        <v>73</v>
      </c>
      <c r="AI2353" t="s">
        <v>939</v>
      </c>
      <c r="AJ2353">
        <v>6</v>
      </c>
      <c r="AK23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MIN(AJ2353/8, 1) +
  Merge1[[#This Row],[index_defensive_effort]],
  2
)</f>
        <v>1.59</v>
      </c>
    </row>
    <row r="2354" spans="1:37" x14ac:dyDescent="0.25">
      <c r="A2354" t="s">
        <v>679</v>
      </c>
      <c r="B2354" t="s">
        <v>680</v>
      </c>
      <c r="C2354">
        <v>33</v>
      </c>
      <c r="D2354" t="s">
        <v>22</v>
      </c>
      <c r="E2354">
        <v>72</v>
      </c>
      <c r="F2354">
        <v>204</v>
      </c>
      <c r="G2354" t="s">
        <v>28</v>
      </c>
      <c r="H2354">
        <v>2020</v>
      </c>
      <c r="I2354" t="s">
        <v>33</v>
      </c>
      <c r="J2354">
        <v>13</v>
      </c>
      <c r="K2354">
        <v>3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72</v>
      </c>
      <c r="T2354">
        <v>67</v>
      </c>
      <c r="U2354" s="5">
        <f>IF(Merge1[[#This Row],[team_defense_snaps]]=0, "", Merge1[[#This Row],[defense_snaps]] / Merge1[[#This Row],[team_defense_snaps]])</f>
        <v>1</v>
      </c>
      <c r="V2354">
        <v>67</v>
      </c>
      <c r="W2354">
        <v>5</v>
      </c>
      <c r="X2354" s="5" t="s">
        <v>59</v>
      </c>
      <c r="Y2354">
        <v>11</v>
      </c>
      <c r="Z2354">
        <v>0</v>
      </c>
      <c r="AA2354" t="s">
        <v>25</v>
      </c>
      <c r="AB2354" t="s">
        <v>26</v>
      </c>
      <c r="AC2354" t="s">
        <v>27</v>
      </c>
      <c r="AD2354" t="s">
        <v>42</v>
      </c>
      <c r="AE2354" t="s">
        <v>25</v>
      </c>
      <c r="AF23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2354" t="s">
        <v>942</v>
      </c>
      <c r="AH2354">
        <v>65.5</v>
      </c>
      <c r="AI2354" t="s">
        <v>939</v>
      </c>
      <c r="AJ2354">
        <v>7</v>
      </c>
      <c r="AK23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MIN(AJ2354/8, 1) +
  Merge1[[#This Row],[index_defensive_effort]],
  2
)</f>
        <v>1.62</v>
      </c>
    </row>
    <row r="2355" spans="1:37" x14ac:dyDescent="0.25">
      <c r="A2355" t="s">
        <v>679</v>
      </c>
      <c r="B2355" t="s">
        <v>680</v>
      </c>
      <c r="C2355">
        <v>33</v>
      </c>
      <c r="D2355" t="s">
        <v>22</v>
      </c>
      <c r="E2355">
        <v>72</v>
      </c>
      <c r="F2355">
        <v>204</v>
      </c>
      <c r="G2355" t="s">
        <v>28</v>
      </c>
      <c r="H2355">
        <v>2020</v>
      </c>
      <c r="I2355" t="s">
        <v>33</v>
      </c>
      <c r="J2355">
        <v>14</v>
      </c>
      <c r="K2355">
        <v>5</v>
      </c>
      <c r="L2355">
        <v>1</v>
      </c>
      <c r="M2355">
        <v>0</v>
      </c>
      <c r="N2355">
        <v>1</v>
      </c>
      <c r="O2355">
        <v>0</v>
      </c>
      <c r="P2355">
        <v>1</v>
      </c>
      <c r="Q2355">
        <v>0</v>
      </c>
      <c r="R2355">
        <v>0</v>
      </c>
      <c r="S2355">
        <v>74</v>
      </c>
      <c r="T2355">
        <v>69</v>
      </c>
      <c r="U2355" s="5">
        <f>IF(Merge1[[#This Row],[team_defense_snaps]]=0, "", Merge1[[#This Row],[defense_snaps]] / Merge1[[#This Row],[team_defense_snaps]])</f>
        <v>1</v>
      </c>
      <c r="V2355">
        <v>69</v>
      </c>
      <c r="W2355">
        <v>5</v>
      </c>
      <c r="X2355" s="5" t="s">
        <v>59</v>
      </c>
      <c r="Y2355">
        <v>11</v>
      </c>
      <c r="Z2355">
        <v>0</v>
      </c>
      <c r="AA2355" t="s">
        <v>25</v>
      </c>
      <c r="AB2355" t="s">
        <v>26</v>
      </c>
      <c r="AC2355" t="s">
        <v>27</v>
      </c>
      <c r="AD2355" t="s">
        <v>42</v>
      </c>
      <c r="AE2355" t="s">
        <v>25</v>
      </c>
      <c r="AF23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0.10135135135135136</v>
      </c>
      <c r="AG2355" t="s">
        <v>942</v>
      </c>
      <c r="AH2355">
        <v>83.5</v>
      </c>
      <c r="AI2355" t="s">
        <v>939</v>
      </c>
      <c r="AJ2355">
        <v>8</v>
      </c>
      <c r="AK23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MIN(AJ2355/8, 1) +
  Merge1[[#This Row],[index_defensive_effort]],
  2
)</f>
        <v>1.8</v>
      </c>
    </row>
    <row r="2356" spans="1:37" x14ac:dyDescent="0.25">
      <c r="A2356" t="s">
        <v>679</v>
      </c>
      <c r="B2356" t="s">
        <v>680</v>
      </c>
      <c r="C2356">
        <v>33</v>
      </c>
      <c r="D2356" t="s">
        <v>22</v>
      </c>
      <c r="E2356">
        <v>72</v>
      </c>
      <c r="F2356">
        <v>204</v>
      </c>
      <c r="G2356" t="s">
        <v>28</v>
      </c>
      <c r="H2356">
        <v>2020</v>
      </c>
      <c r="I2356" t="s">
        <v>33</v>
      </c>
      <c r="J2356">
        <v>15</v>
      </c>
      <c r="K2356">
        <v>11</v>
      </c>
      <c r="L2356">
        <v>3</v>
      </c>
      <c r="M2356">
        <v>0</v>
      </c>
      <c r="N2356">
        <v>3</v>
      </c>
      <c r="O2356">
        <v>0</v>
      </c>
      <c r="P2356">
        <v>0</v>
      </c>
      <c r="Q2356">
        <v>0</v>
      </c>
      <c r="R2356">
        <v>0</v>
      </c>
      <c r="S2356">
        <v>104</v>
      </c>
      <c r="T2356">
        <v>98</v>
      </c>
      <c r="U2356" s="5">
        <f>IF(Merge1[[#This Row],[team_defense_snaps]]=0, "", Merge1[[#This Row],[defense_snaps]] / Merge1[[#This Row],[team_defense_snaps]])</f>
        <v>0.98989898989898994</v>
      </c>
      <c r="V2356">
        <v>99</v>
      </c>
      <c r="W2356">
        <v>6</v>
      </c>
      <c r="X2356" s="5" t="s">
        <v>181</v>
      </c>
      <c r="Y2356">
        <v>11</v>
      </c>
      <c r="Z2356">
        <v>0</v>
      </c>
      <c r="AA2356" t="s">
        <v>25</v>
      </c>
      <c r="AB2356" t="s">
        <v>26</v>
      </c>
      <c r="AC2356" t="s">
        <v>27</v>
      </c>
      <c r="AD2356" t="s">
        <v>42</v>
      </c>
      <c r="AE2356" t="s">
        <v>25</v>
      </c>
      <c r="AF23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0.1201923076923077</v>
      </c>
      <c r="AG2356" t="s">
        <v>942</v>
      </c>
      <c r="AH2356">
        <v>85</v>
      </c>
      <c r="AI2356" t="s">
        <v>939</v>
      </c>
      <c r="AJ2356">
        <v>9</v>
      </c>
      <c r="AK23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MIN(AJ2356/8, 1) +
  Merge1[[#This Row],[index_defensive_effort]],
  2
)</f>
        <v>1.82</v>
      </c>
    </row>
    <row r="2357" spans="1:37" x14ac:dyDescent="0.25">
      <c r="A2357" t="s">
        <v>679</v>
      </c>
      <c r="B2357" t="s">
        <v>680</v>
      </c>
      <c r="C2357">
        <v>33</v>
      </c>
      <c r="D2357" t="s">
        <v>22</v>
      </c>
      <c r="E2357">
        <v>72</v>
      </c>
      <c r="F2357">
        <v>204</v>
      </c>
      <c r="G2357" t="s">
        <v>28</v>
      </c>
      <c r="H2357">
        <v>2020</v>
      </c>
      <c r="I2357" t="s">
        <v>33</v>
      </c>
      <c r="J2357">
        <v>16</v>
      </c>
      <c r="K2357">
        <v>6</v>
      </c>
      <c r="L2357">
        <v>5</v>
      </c>
      <c r="M2357">
        <v>2</v>
      </c>
      <c r="N2357">
        <v>7</v>
      </c>
      <c r="O2357">
        <v>3</v>
      </c>
      <c r="P2357">
        <v>4</v>
      </c>
      <c r="Q2357">
        <v>0</v>
      </c>
      <c r="R2357">
        <v>2</v>
      </c>
      <c r="S2357">
        <v>69</v>
      </c>
      <c r="T2357">
        <v>64</v>
      </c>
      <c r="U2357" s="5">
        <f>IF(Merge1[[#This Row],[team_defense_snaps]]=0, "", Merge1[[#This Row],[defense_snaps]] / Merge1[[#This Row],[team_defense_snaps]])</f>
        <v>1</v>
      </c>
      <c r="V2357">
        <v>64</v>
      </c>
      <c r="W2357">
        <v>5</v>
      </c>
      <c r="X2357" s="5" t="s">
        <v>159</v>
      </c>
      <c r="Y2357">
        <v>11</v>
      </c>
      <c r="Z2357">
        <v>0</v>
      </c>
      <c r="AA2357" t="s">
        <v>25</v>
      </c>
      <c r="AB2357" t="s">
        <v>26</v>
      </c>
      <c r="AC2357" t="s">
        <v>27</v>
      </c>
      <c r="AD2357" t="s">
        <v>42</v>
      </c>
      <c r="AE2357" t="s">
        <v>25</v>
      </c>
      <c r="AF23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0.4420289855072464</v>
      </c>
      <c r="AG2357" t="s">
        <v>942</v>
      </c>
      <c r="AH2357">
        <v>80.5</v>
      </c>
      <c r="AI2357" t="s">
        <v>939</v>
      </c>
      <c r="AJ2357">
        <v>10</v>
      </c>
      <c r="AK23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MIN(AJ2357/8, 1) +
  Merge1[[#This Row],[index_defensive_effort]],
  2
)</f>
        <v>2.14</v>
      </c>
    </row>
    <row r="2358" spans="1:37" x14ac:dyDescent="0.25">
      <c r="A2358" t="s">
        <v>679</v>
      </c>
      <c r="B2358" t="s">
        <v>680</v>
      </c>
      <c r="C2358">
        <v>33</v>
      </c>
      <c r="D2358" t="s">
        <v>22</v>
      </c>
      <c r="E2358">
        <v>72</v>
      </c>
      <c r="F2358">
        <v>204</v>
      </c>
      <c r="G2358" t="s">
        <v>28</v>
      </c>
      <c r="H2358">
        <v>2020</v>
      </c>
      <c r="I2358" t="s">
        <v>33</v>
      </c>
      <c r="J2358">
        <v>17</v>
      </c>
      <c r="K2358">
        <v>6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2</v>
      </c>
      <c r="R2358">
        <v>0</v>
      </c>
      <c r="S2358">
        <v>62</v>
      </c>
      <c r="T2358">
        <v>61</v>
      </c>
      <c r="U2358" s="5">
        <f>IF(Merge1[[#This Row],[team_defense_snaps]]=0, "", Merge1[[#This Row],[defense_snaps]] / Merge1[[#This Row],[team_defense_snaps]])</f>
        <v>0.9838709677419355</v>
      </c>
      <c r="V2358">
        <v>62</v>
      </c>
      <c r="W2358">
        <v>1</v>
      </c>
      <c r="X2358" s="5" t="s">
        <v>193</v>
      </c>
      <c r="Y2358">
        <v>11</v>
      </c>
      <c r="Z2358">
        <v>0</v>
      </c>
      <c r="AA2358" t="s">
        <v>25</v>
      </c>
      <c r="AB2358" t="s">
        <v>26</v>
      </c>
      <c r="AC2358" t="s">
        <v>27</v>
      </c>
      <c r="AD2358" t="s">
        <v>42</v>
      </c>
      <c r="AE2358" t="s">
        <v>25</v>
      </c>
      <c r="AF23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0.22580645161290322</v>
      </c>
      <c r="AG2358" t="s">
        <v>942</v>
      </c>
      <c r="AH2358">
        <v>65</v>
      </c>
      <c r="AI2358" t="s">
        <v>939</v>
      </c>
      <c r="AJ2358">
        <v>11</v>
      </c>
      <c r="AK23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MIN(AJ2358/8, 1) +
  Merge1[[#This Row],[index_defensive_effort]],
  2
)</f>
        <v>1.93</v>
      </c>
    </row>
    <row r="2359" spans="1:37" x14ac:dyDescent="0.25">
      <c r="A2359" t="s">
        <v>679</v>
      </c>
      <c r="B2359" t="s">
        <v>680</v>
      </c>
      <c r="C2359">
        <v>33</v>
      </c>
      <c r="D2359" t="s">
        <v>22</v>
      </c>
      <c r="E2359">
        <v>72</v>
      </c>
      <c r="F2359">
        <v>204</v>
      </c>
      <c r="G2359" t="s">
        <v>28</v>
      </c>
      <c r="H2359">
        <v>2020</v>
      </c>
      <c r="I2359" t="s">
        <v>24</v>
      </c>
      <c r="J2359">
        <v>18</v>
      </c>
      <c r="K2359">
        <v>2</v>
      </c>
      <c r="L2359">
        <v>1</v>
      </c>
      <c r="M2359">
        <v>0</v>
      </c>
      <c r="N2359">
        <v>1</v>
      </c>
      <c r="O2359">
        <v>0</v>
      </c>
      <c r="P2359">
        <v>1</v>
      </c>
      <c r="Q2359">
        <v>0</v>
      </c>
      <c r="R2359">
        <v>0</v>
      </c>
      <c r="S2359">
        <v>54</v>
      </c>
      <c r="T2359">
        <v>49</v>
      </c>
      <c r="U2359" s="5">
        <f>IF(Merge1[[#This Row],[team_defense_snaps]]=0, "", Merge1[[#This Row],[defense_snaps]] / Merge1[[#This Row],[team_defense_snaps]])</f>
        <v>1</v>
      </c>
      <c r="V2359">
        <v>49</v>
      </c>
      <c r="W2359">
        <v>5</v>
      </c>
      <c r="X2359" s="5" t="s">
        <v>293</v>
      </c>
      <c r="Y2359">
        <v>11</v>
      </c>
      <c r="Z2359">
        <v>0</v>
      </c>
      <c r="AA2359" t="s">
        <v>25</v>
      </c>
      <c r="AB2359" t="s">
        <v>26</v>
      </c>
      <c r="AC2359" t="s">
        <v>27</v>
      </c>
      <c r="AD2359" t="s">
        <v>42</v>
      </c>
      <c r="AE2359" t="s">
        <v>25</v>
      </c>
      <c r="AF23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2359" t="s">
        <v>942</v>
      </c>
      <c r="AH2359">
        <v>65</v>
      </c>
      <c r="AI2359" t="s">
        <v>939</v>
      </c>
      <c r="AJ2359">
        <v>12</v>
      </c>
      <c r="AK23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MIN(AJ2359/8, 1) +
  Merge1[[#This Row],[index_defensive_effort]],
  2
)</f>
        <v>1.98</v>
      </c>
    </row>
    <row r="2360" spans="1:37" x14ac:dyDescent="0.25">
      <c r="A2360" t="s">
        <v>679</v>
      </c>
      <c r="B2360" t="s">
        <v>680</v>
      </c>
      <c r="C2360">
        <v>33</v>
      </c>
      <c r="D2360" t="s">
        <v>22</v>
      </c>
      <c r="E2360">
        <v>72</v>
      </c>
      <c r="F2360">
        <v>204</v>
      </c>
      <c r="G2360" t="s">
        <v>28</v>
      </c>
      <c r="H2360">
        <v>2020</v>
      </c>
      <c r="I2360" t="s">
        <v>24</v>
      </c>
      <c r="J2360">
        <v>19</v>
      </c>
      <c r="K2360">
        <v>8</v>
      </c>
      <c r="L2360">
        <v>3</v>
      </c>
      <c r="M2360">
        <v>0</v>
      </c>
      <c r="N2360">
        <v>3</v>
      </c>
      <c r="O2360">
        <v>0</v>
      </c>
      <c r="P2360">
        <v>0</v>
      </c>
      <c r="Q2360">
        <v>0</v>
      </c>
      <c r="R2360">
        <v>0</v>
      </c>
      <c r="S2360">
        <v>77</v>
      </c>
      <c r="T2360">
        <v>70</v>
      </c>
      <c r="U2360" s="5">
        <f>IF(Merge1[[#This Row],[team_defense_snaps]]=0, "", Merge1[[#This Row],[defense_snaps]] / Merge1[[#This Row],[team_defense_snaps]])</f>
        <v>1</v>
      </c>
      <c r="V2360">
        <v>70</v>
      </c>
      <c r="W2360">
        <v>7</v>
      </c>
      <c r="X2360" s="5" t="s">
        <v>137</v>
      </c>
      <c r="Y2360">
        <v>11</v>
      </c>
      <c r="Z2360">
        <v>0</v>
      </c>
      <c r="AA2360" t="s">
        <v>25</v>
      </c>
      <c r="AB2360" t="s">
        <v>26</v>
      </c>
      <c r="AC2360" t="s">
        <v>27</v>
      </c>
      <c r="AD2360" t="s">
        <v>42</v>
      </c>
      <c r="AE2360" t="s">
        <v>25</v>
      </c>
      <c r="AF23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0.12337662337662338</v>
      </c>
      <c r="AG2360" t="s">
        <v>942</v>
      </c>
      <c r="AH2360">
        <v>74.5</v>
      </c>
      <c r="AI2360" t="s">
        <v>939</v>
      </c>
      <c r="AJ2360">
        <v>13</v>
      </c>
      <c r="AK23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MIN(AJ2360/8, 1) +
  Merge1[[#This Row],[index_defensive_effort]],
  2
)</f>
        <v>2.02</v>
      </c>
    </row>
    <row r="2361" spans="1:37" x14ac:dyDescent="0.25">
      <c r="A2361" t="s">
        <v>667</v>
      </c>
      <c r="B2361" t="s">
        <v>668</v>
      </c>
      <c r="C2361">
        <v>24</v>
      </c>
      <c r="D2361" t="s">
        <v>22</v>
      </c>
      <c r="E2361">
        <v>74</v>
      </c>
      <c r="F2361">
        <v>212</v>
      </c>
      <c r="G2361" t="s">
        <v>424</v>
      </c>
      <c r="H2361">
        <v>2020</v>
      </c>
      <c r="I2361" t="s">
        <v>33</v>
      </c>
      <c r="J2361">
        <v>1</v>
      </c>
      <c r="K2361">
        <v>3</v>
      </c>
      <c r="L2361">
        <v>2</v>
      </c>
      <c r="M2361">
        <v>0</v>
      </c>
      <c r="N2361">
        <v>2</v>
      </c>
      <c r="O2361">
        <v>0</v>
      </c>
      <c r="P2361">
        <v>0</v>
      </c>
      <c r="Q2361">
        <v>0</v>
      </c>
      <c r="R2361">
        <v>0</v>
      </c>
      <c r="S2361">
        <v>50</v>
      </c>
      <c r="T2361">
        <v>50</v>
      </c>
      <c r="U2361" s="5">
        <f>IF(Merge1[[#This Row],[team_defense_snaps]]=0, "", Merge1[[#This Row],[defense_snaps]] / Merge1[[#This Row],[team_defense_snaps]])</f>
        <v>1</v>
      </c>
      <c r="V2361">
        <v>50</v>
      </c>
      <c r="W2361">
        <v>0</v>
      </c>
      <c r="X2361" s="5" t="s">
        <v>29</v>
      </c>
      <c r="Y2361">
        <v>3</v>
      </c>
      <c r="Z2361">
        <v>0</v>
      </c>
      <c r="AA2361" t="s">
        <v>25</v>
      </c>
      <c r="AB2361" t="s">
        <v>26</v>
      </c>
      <c r="AC2361" t="s">
        <v>27</v>
      </c>
      <c r="AD2361" t="s">
        <v>42</v>
      </c>
      <c r="AE2361" t="s">
        <v>25</v>
      </c>
      <c r="AF23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0.08</v>
      </c>
      <c r="AG2361" t="s">
        <v>942</v>
      </c>
      <c r="AH2361">
        <v>70.5</v>
      </c>
      <c r="AI2361" t="s">
        <v>939</v>
      </c>
      <c r="AJ2361">
        <v>1</v>
      </c>
      <c r="AK23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MIN(AJ2361/8, 1) +
  Merge1[[#This Row],[index_defensive_effort]],
  2
)</f>
        <v>0.71</v>
      </c>
    </row>
    <row r="2362" spans="1:37" x14ac:dyDescent="0.25">
      <c r="A2362" t="s">
        <v>667</v>
      </c>
      <c r="B2362" t="s">
        <v>668</v>
      </c>
      <c r="C2362">
        <v>24</v>
      </c>
      <c r="D2362" t="s">
        <v>22</v>
      </c>
      <c r="E2362">
        <v>74</v>
      </c>
      <c r="F2362">
        <v>212</v>
      </c>
      <c r="G2362" t="s">
        <v>424</v>
      </c>
      <c r="H2362">
        <v>2020</v>
      </c>
      <c r="I2362" t="s">
        <v>33</v>
      </c>
      <c r="J2362">
        <v>2</v>
      </c>
      <c r="K2362">
        <v>2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20</v>
      </c>
      <c r="T2362">
        <v>20</v>
      </c>
      <c r="U2362" s="5">
        <f>IF(Merge1[[#This Row],[team_defense_snaps]]=0, "", Merge1[[#This Row],[defense_snaps]] / Merge1[[#This Row],[team_defense_snaps]])</f>
        <v>0.36363636363636365</v>
      </c>
      <c r="V2362">
        <v>55</v>
      </c>
      <c r="W2362">
        <v>0</v>
      </c>
      <c r="X2362" s="5" t="s">
        <v>29</v>
      </c>
      <c r="Y2362">
        <v>3</v>
      </c>
      <c r="Z2362">
        <v>0</v>
      </c>
      <c r="AA2362" t="s">
        <v>25</v>
      </c>
      <c r="AB2362" t="s">
        <v>26</v>
      </c>
      <c r="AC2362" t="s">
        <v>27</v>
      </c>
      <c r="AD2362" t="s">
        <v>42</v>
      </c>
      <c r="AE2362" t="s">
        <v>25</v>
      </c>
      <c r="AF23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2362" t="s">
        <v>942</v>
      </c>
      <c r="AH2362">
        <v>72</v>
      </c>
      <c r="AI2362" t="s">
        <v>939</v>
      </c>
      <c r="AJ2362">
        <v>2</v>
      </c>
      <c r="AK23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MIN(AJ2362/8, 1) +
  Merge1[[#This Row],[index_defensive_effort]],
  2
)</f>
        <v>0.85</v>
      </c>
    </row>
    <row r="2363" spans="1:37" x14ac:dyDescent="0.25">
      <c r="A2363" t="s">
        <v>651</v>
      </c>
      <c r="B2363" t="s">
        <v>652</v>
      </c>
      <c r="C2363">
        <v>24</v>
      </c>
      <c r="D2363" t="s">
        <v>22</v>
      </c>
      <c r="E2363">
        <v>72</v>
      </c>
      <c r="F2363">
        <v>195</v>
      </c>
      <c r="G2363" t="s">
        <v>150</v>
      </c>
      <c r="H2363">
        <v>2020</v>
      </c>
      <c r="I2363" t="s">
        <v>33</v>
      </c>
      <c r="J2363">
        <v>1</v>
      </c>
      <c r="K2363">
        <v>1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31</v>
      </c>
      <c r="T2363">
        <v>3</v>
      </c>
      <c r="U2363" s="5">
        <f>IF(Merge1[[#This Row],[team_defense_snaps]]=0, "", Merge1[[#This Row],[defense_snaps]] / Merge1[[#This Row],[team_defense_snaps]])</f>
        <v>0.04</v>
      </c>
      <c r="V2363">
        <v>75</v>
      </c>
      <c r="W2363">
        <v>28</v>
      </c>
      <c r="X2363" s="5" t="s">
        <v>331</v>
      </c>
      <c r="Y2363">
        <v>1</v>
      </c>
      <c r="Z2363">
        <v>0</v>
      </c>
      <c r="AA2363" t="s">
        <v>25</v>
      </c>
      <c r="AB2363" t="s">
        <v>26</v>
      </c>
      <c r="AC2363" t="s">
        <v>27</v>
      </c>
      <c r="AD2363" t="s">
        <v>28</v>
      </c>
      <c r="AE2363" t="s">
        <v>25</v>
      </c>
      <c r="AF23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3.2258064516129031E-2</v>
      </c>
      <c r="AG2363" t="s">
        <v>943</v>
      </c>
      <c r="AH2363">
        <v>49</v>
      </c>
      <c r="AI2363" t="s">
        <v>939</v>
      </c>
      <c r="AJ2363">
        <v>1</v>
      </c>
      <c r="AK23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MIN(AJ2363/8, 1) +
  Merge1[[#This Row],[index_defensive_effort]],
  2
)</f>
        <v>0.56000000000000005</v>
      </c>
    </row>
    <row r="2364" spans="1:37" x14ac:dyDescent="0.25">
      <c r="A2364" t="s">
        <v>651</v>
      </c>
      <c r="B2364" t="s">
        <v>652</v>
      </c>
      <c r="C2364">
        <v>24</v>
      </c>
      <c r="D2364" t="s">
        <v>22</v>
      </c>
      <c r="E2364">
        <v>72</v>
      </c>
      <c r="F2364">
        <v>195</v>
      </c>
      <c r="G2364" t="s">
        <v>150</v>
      </c>
      <c r="H2364">
        <v>2020</v>
      </c>
      <c r="I2364" t="s">
        <v>33</v>
      </c>
      <c r="J2364">
        <v>2</v>
      </c>
      <c r="K2364">
        <v>3</v>
      </c>
      <c r="L2364">
        <v>2</v>
      </c>
      <c r="M2364">
        <v>0</v>
      </c>
      <c r="N2364">
        <v>2</v>
      </c>
      <c r="O2364">
        <v>0</v>
      </c>
      <c r="P2364">
        <v>1</v>
      </c>
      <c r="Q2364">
        <v>0</v>
      </c>
      <c r="R2364">
        <v>0</v>
      </c>
      <c r="S2364">
        <v>37</v>
      </c>
      <c r="T2364">
        <v>16</v>
      </c>
      <c r="U2364" s="5">
        <f>IF(Merge1[[#This Row],[team_defense_snaps]]=0, "", Merge1[[#This Row],[defense_snaps]] / Merge1[[#This Row],[team_defense_snaps]])</f>
        <v>0.22857142857142856</v>
      </c>
      <c r="V2364">
        <v>70</v>
      </c>
      <c r="W2364">
        <v>21</v>
      </c>
      <c r="X2364" s="5" t="s">
        <v>48</v>
      </c>
      <c r="Y2364">
        <v>1</v>
      </c>
      <c r="Z2364">
        <v>0</v>
      </c>
      <c r="AA2364" t="s">
        <v>25</v>
      </c>
      <c r="AB2364" t="s">
        <v>26</v>
      </c>
      <c r="AC2364" t="s">
        <v>27</v>
      </c>
      <c r="AD2364" t="s">
        <v>42</v>
      </c>
      <c r="AE2364" t="s">
        <v>25</v>
      </c>
      <c r="AF23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0.16216216216216217</v>
      </c>
      <c r="AG2364" t="s">
        <v>943</v>
      </c>
      <c r="AH2364">
        <v>62.5</v>
      </c>
      <c r="AI2364" t="s">
        <v>939</v>
      </c>
      <c r="AJ2364">
        <v>2</v>
      </c>
      <c r="AK23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MIN(AJ2364/8, 1) +
  Merge1[[#This Row],[index_defensive_effort]],
  2
)</f>
        <v>0.81</v>
      </c>
    </row>
    <row r="2365" spans="1:37" x14ac:dyDescent="0.25">
      <c r="A2365" t="s">
        <v>651</v>
      </c>
      <c r="B2365" t="s">
        <v>652</v>
      </c>
      <c r="C2365">
        <v>24</v>
      </c>
      <c r="D2365" t="s">
        <v>22</v>
      </c>
      <c r="E2365">
        <v>72</v>
      </c>
      <c r="F2365">
        <v>195</v>
      </c>
      <c r="G2365" t="s">
        <v>150</v>
      </c>
      <c r="H2365">
        <v>2020</v>
      </c>
      <c r="I2365" t="s">
        <v>33</v>
      </c>
      <c r="J2365">
        <v>3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33</v>
      </c>
      <c r="T2365">
        <v>8</v>
      </c>
      <c r="U2365" s="5">
        <f>IF(Merge1[[#This Row],[team_defense_snaps]]=0, "", Merge1[[#This Row],[defense_snaps]] / Merge1[[#This Row],[team_defense_snaps]])</f>
        <v>0.1095890410958904</v>
      </c>
      <c r="V2365">
        <v>73</v>
      </c>
      <c r="W2365">
        <v>25</v>
      </c>
      <c r="X2365" s="5" t="s">
        <v>100</v>
      </c>
      <c r="Y2365">
        <v>1</v>
      </c>
      <c r="Z2365">
        <v>0</v>
      </c>
      <c r="AA2365" t="s">
        <v>25</v>
      </c>
      <c r="AB2365" t="s">
        <v>26</v>
      </c>
      <c r="AC2365" t="s">
        <v>27</v>
      </c>
      <c r="AD2365" t="s">
        <v>28</v>
      </c>
      <c r="AE2365" t="s">
        <v>25</v>
      </c>
      <c r="AF23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365" t="s">
        <v>943</v>
      </c>
      <c r="AH2365">
        <v>56.5</v>
      </c>
      <c r="AI2365" t="s">
        <v>939</v>
      </c>
      <c r="AJ2365">
        <v>3</v>
      </c>
      <c r="AK23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MIN(AJ2365/8, 1) +
  Merge1[[#This Row],[index_defensive_effort]],
  2
)</f>
        <v>0.78</v>
      </c>
    </row>
    <row r="2366" spans="1:37" x14ac:dyDescent="0.25">
      <c r="A2366" t="s">
        <v>651</v>
      </c>
      <c r="B2366" t="s">
        <v>652</v>
      </c>
      <c r="C2366">
        <v>24</v>
      </c>
      <c r="D2366" t="s">
        <v>22</v>
      </c>
      <c r="E2366">
        <v>72</v>
      </c>
      <c r="F2366">
        <v>195</v>
      </c>
      <c r="G2366" t="s">
        <v>150</v>
      </c>
      <c r="H2366">
        <v>2020</v>
      </c>
      <c r="I2366" t="s">
        <v>33</v>
      </c>
      <c r="J2366">
        <v>4</v>
      </c>
      <c r="K2366">
        <v>4</v>
      </c>
      <c r="L2366">
        <v>3</v>
      </c>
      <c r="M2366">
        <v>0</v>
      </c>
      <c r="N2366">
        <v>3</v>
      </c>
      <c r="O2366">
        <v>0</v>
      </c>
      <c r="P2366">
        <v>1</v>
      </c>
      <c r="Q2366">
        <v>0</v>
      </c>
      <c r="R2366">
        <v>0</v>
      </c>
      <c r="S2366">
        <v>56</v>
      </c>
      <c r="T2366">
        <v>44</v>
      </c>
      <c r="U2366" s="5">
        <f>IF(Merge1[[#This Row],[team_defense_snaps]]=0, "", Merge1[[#This Row],[defense_snaps]] / Merge1[[#This Row],[team_defense_snaps]])</f>
        <v>0.59459459459459463</v>
      </c>
      <c r="V2366">
        <v>74</v>
      </c>
      <c r="W2366">
        <v>12</v>
      </c>
      <c r="X2366" s="5" t="s">
        <v>275</v>
      </c>
      <c r="Y2366">
        <v>1</v>
      </c>
      <c r="Z2366">
        <v>0</v>
      </c>
      <c r="AA2366" t="s">
        <v>25</v>
      </c>
      <c r="AB2366" t="s">
        <v>26</v>
      </c>
      <c r="AC2366" t="s">
        <v>27</v>
      </c>
      <c r="AD2366" t="s">
        <v>28</v>
      </c>
      <c r="AE2366" t="s">
        <v>25</v>
      </c>
      <c r="AF23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0.13392857142857142</v>
      </c>
      <c r="AG2366" t="s">
        <v>943</v>
      </c>
      <c r="AH2366">
        <v>73</v>
      </c>
      <c r="AI2366" t="s">
        <v>939</v>
      </c>
      <c r="AJ2366">
        <v>4</v>
      </c>
      <c r="AK23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MIN(AJ2366/8, 1) +
  Merge1[[#This Row],[index_defensive_effort]],
  2
)</f>
        <v>1.03</v>
      </c>
    </row>
    <row r="2367" spans="1:37" x14ac:dyDescent="0.25">
      <c r="A2367" t="s">
        <v>651</v>
      </c>
      <c r="B2367" t="s">
        <v>652</v>
      </c>
      <c r="C2367">
        <v>24</v>
      </c>
      <c r="D2367" t="s">
        <v>22</v>
      </c>
      <c r="E2367">
        <v>72</v>
      </c>
      <c r="F2367">
        <v>195</v>
      </c>
      <c r="G2367" t="s">
        <v>150</v>
      </c>
      <c r="H2367">
        <v>2020</v>
      </c>
      <c r="I2367" t="s">
        <v>33</v>
      </c>
      <c r="J2367">
        <v>5</v>
      </c>
      <c r="K2367">
        <v>0</v>
      </c>
      <c r="L2367">
        <v>1</v>
      </c>
      <c r="M2367">
        <v>1</v>
      </c>
      <c r="N2367">
        <v>2</v>
      </c>
      <c r="O2367">
        <v>0</v>
      </c>
      <c r="P2367">
        <v>0</v>
      </c>
      <c r="Q2367">
        <v>0</v>
      </c>
      <c r="R2367">
        <v>0</v>
      </c>
      <c r="S2367">
        <v>65</v>
      </c>
      <c r="T2367">
        <v>55</v>
      </c>
      <c r="U2367" s="5">
        <f>IF(Merge1[[#This Row],[team_defense_snaps]]=0, "", Merge1[[#This Row],[defense_snaps]] / Merge1[[#This Row],[team_defense_snaps]])</f>
        <v>0.70512820512820518</v>
      </c>
      <c r="V2367">
        <v>78</v>
      </c>
      <c r="W2367">
        <v>10</v>
      </c>
      <c r="X2367" s="5" t="s">
        <v>158</v>
      </c>
      <c r="Y2367">
        <v>1</v>
      </c>
      <c r="Z2367">
        <v>0</v>
      </c>
      <c r="AA2367" t="s">
        <v>25</v>
      </c>
      <c r="AB2367" t="s">
        <v>26</v>
      </c>
      <c r="AC2367" t="s">
        <v>27</v>
      </c>
      <c r="AD2367" t="s">
        <v>42</v>
      </c>
      <c r="AE2367" t="s">
        <v>25</v>
      </c>
      <c r="AF23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1.5384615384615385E-2</v>
      </c>
      <c r="AG2367" t="s">
        <v>943</v>
      </c>
      <c r="AH2367">
        <v>50.5</v>
      </c>
      <c r="AI2367" t="s">
        <v>939</v>
      </c>
      <c r="AJ2367">
        <v>5</v>
      </c>
      <c r="AK23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MIN(AJ2367/8, 1) +
  Merge1[[#This Row],[index_defensive_effort]],
  2
)</f>
        <v>1.04</v>
      </c>
    </row>
    <row r="2368" spans="1:37" x14ac:dyDescent="0.25">
      <c r="A2368" t="s">
        <v>651</v>
      </c>
      <c r="B2368" t="s">
        <v>652</v>
      </c>
      <c r="C2368">
        <v>24</v>
      </c>
      <c r="D2368" t="s">
        <v>22</v>
      </c>
      <c r="E2368">
        <v>72</v>
      </c>
      <c r="F2368">
        <v>195</v>
      </c>
      <c r="G2368" t="s">
        <v>150</v>
      </c>
      <c r="H2368">
        <v>2020</v>
      </c>
      <c r="I2368" t="s">
        <v>33</v>
      </c>
      <c r="J2368">
        <v>8</v>
      </c>
      <c r="K2368">
        <v>1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27</v>
      </c>
      <c r="T2368">
        <v>16</v>
      </c>
      <c r="U2368" s="5">
        <f>IF(Merge1[[#This Row],[team_defense_snaps]]=0, "", Merge1[[#This Row],[defense_snaps]] / Merge1[[#This Row],[team_defense_snaps]])</f>
        <v>0.2</v>
      </c>
      <c r="V2368">
        <v>80</v>
      </c>
      <c r="W2368">
        <v>11</v>
      </c>
      <c r="X2368" s="5" t="s">
        <v>182</v>
      </c>
      <c r="Y2368">
        <v>1</v>
      </c>
      <c r="Z2368">
        <v>0</v>
      </c>
      <c r="AA2368" t="s">
        <v>25</v>
      </c>
      <c r="AB2368" t="s">
        <v>26</v>
      </c>
      <c r="AC2368" t="s">
        <v>27</v>
      </c>
      <c r="AD2368" t="s">
        <v>28</v>
      </c>
      <c r="AE2368" t="s">
        <v>25</v>
      </c>
      <c r="AF23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3.7037037037037035E-2</v>
      </c>
      <c r="AG2368" t="s">
        <v>943</v>
      </c>
      <c r="AH2368">
        <v>71.5</v>
      </c>
      <c r="AI2368" t="s">
        <v>939</v>
      </c>
      <c r="AJ2368">
        <v>1</v>
      </c>
      <c r="AK23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MIN(AJ2368/8, 1) +
  Merge1[[#This Row],[index_defensive_effort]],
  2
)</f>
        <v>0.56000000000000005</v>
      </c>
    </row>
    <row r="2369" spans="1:37" x14ac:dyDescent="0.25">
      <c r="A2369" t="s">
        <v>651</v>
      </c>
      <c r="B2369" t="s">
        <v>652</v>
      </c>
      <c r="C2369">
        <v>24</v>
      </c>
      <c r="D2369" t="s">
        <v>22</v>
      </c>
      <c r="E2369">
        <v>72</v>
      </c>
      <c r="F2369">
        <v>195</v>
      </c>
      <c r="G2369" t="s">
        <v>150</v>
      </c>
      <c r="H2369">
        <v>2020</v>
      </c>
      <c r="I2369" t="s">
        <v>33</v>
      </c>
      <c r="J2369">
        <v>12</v>
      </c>
      <c r="K2369">
        <v>1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21</v>
      </c>
      <c r="T2369">
        <v>3</v>
      </c>
      <c r="U2369" s="5">
        <f>IF(Merge1[[#This Row],[team_defense_snaps]]=0, "", Merge1[[#This Row],[defense_snaps]] / Merge1[[#This Row],[team_defense_snaps]])</f>
        <v>0.04</v>
      </c>
      <c r="V2369">
        <v>75</v>
      </c>
      <c r="W2369">
        <v>18</v>
      </c>
      <c r="X2369" s="5" t="s">
        <v>183</v>
      </c>
      <c r="Y2369">
        <v>1</v>
      </c>
      <c r="Z2369">
        <v>0</v>
      </c>
      <c r="AA2369" t="s">
        <v>25</v>
      </c>
      <c r="AB2369" t="s">
        <v>26</v>
      </c>
      <c r="AC2369" t="s">
        <v>27</v>
      </c>
      <c r="AD2369" t="s">
        <v>28</v>
      </c>
      <c r="AE2369" t="s">
        <v>25</v>
      </c>
      <c r="AF23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4.7619047619047616E-2</v>
      </c>
      <c r="AG2369" t="s">
        <v>943</v>
      </c>
      <c r="AH2369">
        <v>70</v>
      </c>
      <c r="AI2369" t="s">
        <v>939</v>
      </c>
      <c r="AJ2369">
        <v>1</v>
      </c>
      <c r="AK23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MIN(AJ2369/8, 1) +
  Merge1[[#This Row],[index_defensive_effort]],
  2
)</f>
        <v>0.56999999999999995</v>
      </c>
    </row>
    <row r="2370" spans="1:37" x14ac:dyDescent="0.25">
      <c r="A2370" t="s">
        <v>651</v>
      </c>
      <c r="B2370" t="s">
        <v>652</v>
      </c>
      <c r="C2370">
        <v>24</v>
      </c>
      <c r="D2370" t="s">
        <v>22</v>
      </c>
      <c r="E2370">
        <v>72</v>
      </c>
      <c r="F2370">
        <v>195</v>
      </c>
      <c r="G2370" t="s">
        <v>150</v>
      </c>
      <c r="H2370">
        <v>2020</v>
      </c>
      <c r="I2370" t="s">
        <v>33</v>
      </c>
      <c r="J2370">
        <v>13</v>
      </c>
      <c r="K2370">
        <v>2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30</v>
      </c>
      <c r="T2370">
        <v>11</v>
      </c>
      <c r="U2370" s="5">
        <f>IF(Merge1[[#This Row],[team_defense_snaps]]=0, "", Merge1[[#This Row],[defense_snaps]] / Merge1[[#This Row],[team_defense_snaps]])</f>
        <v>0.17741935483870969</v>
      </c>
      <c r="V2370">
        <v>62</v>
      </c>
      <c r="W2370">
        <v>19</v>
      </c>
      <c r="X2370" s="5" t="s">
        <v>61</v>
      </c>
      <c r="Y2370">
        <v>1</v>
      </c>
      <c r="Z2370">
        <v>0</v>
      </c>
      <c r="AA2370" t="s">
        <v>25</v>
      </c>
      <c r="AB2370" t="s">
        <v>26</v>
      </c>
      <c r="AC2370" t="s">
        <v>27</v>
      </c>
      <c r="AD2370" t="s">
        <v>28</v>
      </c>
      <c r="AE2370" t="s">
        <v>25</v>
      </c>
      <c r="AF23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2370" t="s">
        <v>943</v>
      </c>
      <c r="AH2370">
        <v>67</v>
      </c>
      <c r="AI2370" t="s">
        <v>939</v>
      </c>
      <c r="AJ2370">
        <v>2</v>
      </c>
      <c r="AK23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MIN(AJ2370/8, 1) +
  Merge1[[#This Row],[index_defensive_effort]],
  2
)</f>
        <v>0.72</v>
      </c>
    </row>
    <row r="2371" spans="1:37" x14ac:dyDescent="0.25">
      <c r="A2371" t="s">
        <v>651</v>
      </c>
      <c r="B2371" t="s">
        <v>652</v>
      </c>
      <c r="C2371">
        <v>24</v>
      </c>
      <c r="D2371" t="s">
        <v>22</v>
      </c>
      <c r="E2371">
        <v>72</v>
      </c>
      <c r="F2371">
        <v>195</v>
      </c>
      <c r="G2371" t="s">
        <v>150</v>
      </c>
      <c r="H2371">
        <v>2020</v>
      </c>
      <c r="I2371" t="s">
        <v>33</v>
      </c>
      <c r="J2371">
        <v>14</v>
      </c>
      <c r="K2371">
        <v>2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54</v>
      </c>
      <c r="T2371">
        <v>35</v>
      </c>
      <c r="U2371" s="5">
        <f>IF(Merge1[[#This Row],[team_defense_snaps]]=0, "", Merge1[[#This Row],[defense_snaps]] / Merge1[[#This Row],[team_defense_snaps]])</f>
        <v>0.55555555555555558</v>
      </c>
      <c r="V2371">
        <v>63</v>
      </c>
      <c r="W2371">
        <v>19</v>
      </c>
      <c r="X2371" s="5" t="s">
        <v>87</v>
      </c>
      <c r="Y2371">
        <v>1</v>
      </c>
      <c r="Z2371">
        <v>0</v>
      </c>
      <c r="AA2371" t="s">
        <v>25</v>
      </c>
      <c r="AB2371" t="s">
        <v>26</v>
      </c>
      <c r="AC2371" t="s">
        <v>27</v>
      </c>
      <c r="AD2371" t="s">
        <v>28</v>
      </c>
      <c r="AE2371" t="s">
        <v>25</v>
      </c>
      <c r="AF23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3.7037037037037035E-2</v>
      </c>
      <c r="AG2371" t="s">
        <v>943</v>
      </c>
      <c r="AH2371">
        <v>55</v>
      </c>
      <c r="AI2371" t="s">
        <v>939</v>
      </c>
      <c r="AJ2371">
        <v>3</v>
      </c>
      <c r="AK23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MIN(AJ2371/8, 1) +
  Merge1[[#This Row],[index_defensive_effort]],
  2
)</f>
        <v>0.81</v>
      </c>
    </row>
    <row r="2372" spans="1:37" x14ac:dyDescent="0.25">
      <c r="A2372" t="s">
        <v>651</v>
      </c>
      <c r="B2372" t="s">
        <v>652</v>
      </c>
      <c r="C2372">
        <v>24</v>
      </c>
      <c r="D2372" t="s">
        <v>22</v>
      </c>
      <c r="E2372">
        <v>72</v>
      </c>
      <c r="F2372">
        <v>195</v>
      </c>
      <c r="G2372" t="s">
        <v>150</v>
      </c>
      <c r="H2372">
        <v>2020</v>
      </c>
      <c r="I2372" t="s">
        <v>33</v>
      </c>
      <c r="J2372">
        <v>15</v>
      </c>
      <c r="K2372">
        <v>7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2</v>
      </c>
      <c r="R2372">
        <v>0</v>
      </c>
      <c r="S2372">
        <v>81</v>
      </c>
      <c r="T2372">
        <v>68</v>
      </c>
      <c r="U2372" s="5">
        <f>IF(Merge1[[#This Row],[team_defense_snaps]]=0, "", Merge1[[#This Row],[defense_snaps]] / Merge1[[#This Row],[team_defense_snaps]])</f>
        <v>1</v>
      </c>
      <c r="V2372">
        <v>68</v>
      </c>
      <c r="W2372">
        <v>13</v>
      </c>
      <c r="X2372" s="5" t="s">
        <v>131</v>
      </c>
      <c r="Y2372">
        <v>1</v>
      </c>
      <c r="Z2372">
        <v>0</v>
      </c>
      <c r="AA2372" t="s">
        <v>25</v>
      </c>
      <c r="AB2372" t="s">
        <v>26</v>
      </c>
      <c r="AC2372" t="s">
        <v>27</v>
      </c>
      <c r="AD2372" t="s">
        <v>42</v>
      </c>
      <c r="AE2372" t="s">
        <v>25</v>
      </c>
      <c r="AF23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0.18518518518518517</v>
      </c>
      <c r="AG2372" t="s">
        <v>943</v>
      </c>
      <c r="AH2372">
        <v>52</v>
      </c>
      <c r="AI2372" t="s">
        <v>939</v>
      </c>
      <c r="AJ2372">
        <v>4</v>
      </c>
      <c r="AK23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MIN(AJ2372/8, 1) +
  Merge1[[#This Row],[index_defensive_effort]],
  2
)</f>
        <v>1.0900000000000001</v>
      </c>
    </row>
    <row r="2373" spans="1:37" x14ac:dyDescent="0.25">
      <c r="A2373" t="s">
        <v>651</v>
      </c>
      <c r="B2373" t="s">
        <v>652</v>
      </c>
      <c r="C2373">
        <v>24</v>
      </c>
      <c r="D2373" t="s">
        <v>22</v>
      </c>
      <c r="E2373">
        <v>72</v>
      </c>
      <c r="F2373">
        <v>195</v>
      </c>
      <c r="G2373" t="s">
        <v>150</v>
      </c>
      <c r="H2373">
        <v>2020</v>
      </c>
      <c r="I2373" t="s">
        <v>33</v>
      </c>
      <c r="J2373">
        <v>16</v>
      </c>
      <c r="K2373">
        <v>6</v>
      </c>
      <c r="L2373">
        <v>1</v>
      </c>
      <c r="M2373">
        <v>0</v>
      </c>
      <c r="N2373">
        <v>1</v>
      </c>
      <c r="O2373">
        <v>0</v>
      </c>
      <c r="P2373">
        <v>2</v>
      </c>
      <c r="Q2373">
        <v>0</v>
      </c>
      <c r="R2373">
        <v>0</v>
      </c>
      <c r="S2373">
        <v>53</v>
      </c>
      <c r="T2373">
        <v>40</v>
      </c>
      <c r="U2373" s="5">
        <f>IF(Merge1[[#This Row],[team_defense_snaps]]=0, "", Merge1[[#This Row],[defense_snaps]] / Merge1[[#This Row],[team_defense_snaps]])</f>
        <v>0.56338028169014087</v>
      </c>
      <c r="V2373">
        <v>71</v>
      </c>
      <c r="W2373">
        <v>13</v>
      </c>
      <c r="X2373" s="5" t="s">
        <v>131</v>
      </c>
      <c r="Y2373">
        <v>1</v>
      </c>
      <c r="Z2373">
        <v>0</v>
      </c>
      <c r="AA2373" t="s">
        <v>25</v>
      </c>
      <c r="AB2373" t="s">
        <v>26</v>
      </c>
      <c r="AC2373" t="s">
        <v>27</v>
      </c>
      <c r="AD2373" t="s">
        <v>42</v>
      </c>
      <c r="AE2373" t="s">
        <v>25</v>
      </c>
      <c r="AF23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0.19811320754716982</v>
      </c>
      <c r="AG2373" t="s">
        <v>943</v>
      </c>
      <c r="AH2373">
        <v>68.5</v>
      </c>
      <c r="AI2373" t="s">
        <v>939</v>
      </c>
      <c r="AJ2373">
        <v>5</v>
      </c>
      <c r="AK23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MIN(AJ2373/8, 1) +
  Merge1[[#This Row],[index_defensive_effort]],
  2
)</f>
        <v>1.22</v>
      </c>
    </row>
    <row r="2374" spans="1:37" x14ac:dyDescent="0.25">
      <c r="A2374" t="s">
        <v>651</v>
      </c>
      <c r="B2374" t="s">
        <v>652</v>
      </c>
      <c r="C2374">
        <v>24</v>
      </c>
      <c r="D2374" t="s">
        <v>22</v>
      </c>
      <c r="E2374">
        <v>72</v>
      </c>
      <c r="F2374">
        <v>195</v>
      </c>
      <c r="G2374" t="s">
        <v>150</v>
      </c>
      <c r="H2374">
        <v>2020</v>
      </c>
      <c r="I2374" t="s">
        <v>33</v>
      </c>
      <c r="J2374">
        <v>17</v>
      </c>
      <c r="K2374">
        <v>4</v>
      </c>
      <c r="L2374">
        <v>2</v>
      </c>
      <c r="M2374">
        <v>0</v>
      </c>
      <c r="N2374">
        <v>2</v>
      </c>
      <c r="O2374">
        <v>0</v>
      </c>
      <c r="P2374">
        <v>2</v>
      </c>
      <c r="Q2374">
        <v>2</v>
      </c>
      <c r="R2374">
        <v>0</v>
      </c>
      <c r="S2374">
        <v>76</v>
      </c>
      <c r="T2374">
        <v>63</v>
      </c>
      <c r="U2374" s="5">
        <f>IF(Merge1[[#This Row],[team_defense_snaps]]=0, "", Merge1[[#This Row],[defense_snaps]] / Merge1[[#This Row],[team_defense_snaps]])</f>
        <v>1</v>
      </c>
      <c r="V2374">
        <v>63</v>
      </c>
      <c r="W2374">
        <v>13</v>
      </c>
      <c r="X2374" s="5" t="s">
        <v>52</v>
      </c>
      <c r="Y2374">
        <v>1</v>
      </c>
      <c r="Z2374">
        <v>0</v>
      </c>
      <c r="AA2374" t="s">
        <v>25</v>
      </c>
      <c r="AB2374" t="s">
        <v>26</v>
      </c>
      <c r="AC2374" t="s">
        <v>27</v>
      </c>
      <c r="AD2374" t="s">
        <v>42</v>
      </c>
      <c r="AE2374" t="s">
        <v>25</v>
      </c>
      <c r="AF23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0.22368421052631579</v>
      </c>
      <c r="AG2374" t="s">
        <v>943</v>
      </c>
      <c r="AH2374">
        <v>53.5</v>
      </c>
      <c r="AI2374" t="s">
        <v>939</v>
      </c>
      <c r="AJ2374">
        <v>6</v>
      </c>
      <c r="AK23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MIN(AJ2374/8, 1) +
  Merge1[[#This Row],[index_defensive_effort]],
  2
)</f>
        <v>1.37</v>
      </c>
    </row>
    <row r="2375" spans="1:37" x14ac:dyDescent="0.25">
      <c r="A2375" t="s">
        <v>659</v>
      </c>
      <c r="B2375" t="s">
        <v>660</v>
      </c>
      <c r="C2375">
        <v>32</v>
      </c>
      <c r="D2375" t="s">
        <v>22</v>
      </c>
      <c r="E2375">
        <v>70</v>
      </c>
      <c r="F2375">
        <v>200</v>
      </c>
      <c r="G2375" t="s">
        <v>32</v>
      </c>
      <c r="H2375">
        <v>2020</v>
      </c>
      <c r="I2375" t="s">
        <v>33</v>
      </c>
      <c r="J2375">
        <v>6</v>
      </c>
      <c r="K2375">
        <v>3</v>
      </c>
      <c r="L2375">
        <v>0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31</v>
      </c>
      <c r="T2375">
        <v>22</v>
      </c>
      <c r="U2375" s="5">
        <f>IF(Merge1[[#This Row],[team_defense_snaps]]=0, "", Merge1[[#This Row],[defense_snaps]] / Merge1[[#This Row],[team_defense_snaps]])</f>
        <v>0.30555555555555558</v>
      </c>
      <c r="V2375">
        <v>72</v>
      </c>
      <c r="W2375">
        <v>9</v>
      </c>
      <c r="X2375" s="5" t="s">
        <v>261</v>
      </c>
      <c r="Y2375">
        <v>9</v>
      </c>
      <c r="Z2375">
        <v>0</v>
      </c>
      <c r="AA2375" t="s">
        <v>25</v>
      </c>
      <c r="AB2375" t="s">
        <v>26</v>
      </c>
      <c r="AC2375" t="s">
        <v>27</v>
      </c>
      <c r="AD2375" t="s">
        <v>28</v>
      </c>
      <c r="AE2375" t="s">
        <v>25</v>
      </c>
      <c r="AF23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0.16129032258064516</v>
      </c>
      <c r="AG2375" t="s">
        <v>941</v>
      </c>
      <c r="AH2375">
        <v>64.5</v>
      </c>
      <c r="AI2375" t="s">
        <v>939</v>
      </c>
      <c r="AJ2375">
        <v>1</v>
      </c>
      <c r="AK23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MIN(AJ2375/8, 1) +
  Merge1[[#This Row],[index_defensive_effort]],
  2
)</f>
        <v>0.99</v>
      </c>
    </row>
    <row r="2376" spans="1:37" x14ac:dyDescent="0.25">
      <c r="A2376" t="s">
        <v>683</v>
      </c>
      <c r="B2376" t="s">
        <v>684</v>
      </c>
      <c r="C2376">
        <v>27</v>
      </c>
      <c r="D2376" t="s">
        <v>22</v>
      </c>
      <c r="E2376">
        <v>71</v>
      </c>
      <c r="F2376">
        <v>207</v>
      </c>
      <c r="G2376" t="s">
        <v>107</v>
      </c>
      <c r="H2376">
        <v>2020</v>
      </c>
      <c r="I2376" t="s">
        <v>33</v>
      </c>
      <c r="J2376">
        <v>1</v>
      </c>
      <c r="K2376">
        <v>13</v>
      </c>
      <c r="L2376">
        <v>3</v>
      </c>
      <c r="M2376">
        <v>1</v>
      </c>
      <c r="N2376">
        <v>4</v>
      </c>
      <c r="O2376">
        <v>8</v>
      </c>
      <c r="P2376">
        <v>9</v>
      </c>
      <c r="Q2376">
        <v>0</v>
      </c>
      <c r="R2376">
        <v>2</v>
      </c>
      <c r="S2376">
        <v>87</v>
      </c>
      <c r="T2376">
        <v>87</v>
      </c>
      <c r="U2376" s="5">
        <f>IF(Merge1[[#This Row],[team_defense_snaps]]=0, "", Merge1[[#This Row],[defense_snaps]] / Merge1[[#This Row],[team_defense_snaps]])</f>
        <v>0.98863636363636365</v>
      </c>
      <c r="V2376">
        <v>88</v>
      </c>
      <c r="W2376">
        <v>0</v>
      </c>
      <c r="X2376" s="5" t="s">
        <v>29</v>
      </c>
      <c r="Y2376">
        <v>3</v>
      </c>
      <c r="Z2376">
        <v>0</v>
      </c>
      <c r="AA2376" t="s">
        <v>25</v>
      </c>
      <c r="AB2376" t="s">
        <v>36</v>
      </c>
      <c r="AC2376" t="s">
        <v>177</v>
      </c>
      <c r="AD2376" t="s">
        <v>42</v>
      </c>
      <c r="AE2376" t="s">
        <v>25</v>
      </c>
      <c r="AF23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0.70114942528735635</v>
      </c>
      <c r="AG2376" t="s">
        <v>942</v>
      </c>
      <c r="AH2376">
        <v>49.5</v>
      </c>
      <c r="AI2376" t="s">
        <v>939</v>
      </c>
      <c r="AJ2376">
        <v>1</v>
      </c>
      <c r="AK23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MIN(AJ2376/8, 1) +
  Merge1[[#This Row],[index_defensive_effort]],
  2
)</f>
        <v>1.43</v>
      </c>
    </row>
    <row r="2377" spans="1:37" x14ac:dyDescent="0.25">
      <c r="A2377" t="s">
        <v>683</v>
      </c>
      <c r="B2377" t="s">
        <v>684</v>
      </c>
      <c r="C2377">
        <v>27</v>
      </c>
      <c r="D2377" t="s">
        <v>22</v>
      </c>
      <c r="E2377">
        <v>71</v>
      </c>
      <c r="F2377">
        <v>207</v>
      </c>
      <c r="G2377" t="s">
        <v>107</v>
      </c>
      <c r="H2377">
        <v>2020</v>
      </c>
      <c r="I2377" t="s">
        <v>33</v>
      </c>
      <c r="J2377">
        <v>2</v>
      </c>
      <c r="K2377">
        <v>3</v>
      </c>
      <c r="L2377">
        <v>4</v>
      </c>
      <c r="M2377">
        <v>0</v>
      </c>
      <c r="N2377">
        <v>4</v>
      </c>
      <c r="O2377">
        <v>0</v>
      </c>
      <c r="P2377">
        <v>0</v>
      </c>
      <c r="Q2377">
        <v>0</v>
      </c>
      <c r="R2377">
        <v>0</v>
      </c>
      <c r="S2377">
        <v>60</v>
      </c>
      <c r="T2377">
        <v>60</v>
      </c>
      <c r="U2377" s="5">
        <f>IF(Merge1[[#This Row],[team_defense_snaps]]=0, "", Merge1[[#This Row],[defense_snaps]] / Merge1[[#This Row],[team_defense_snaps]])</f>
        <v>0.98360655737704916</v>
      </c>
      <c r="V2377">
        <v>61</v>
      </c>
      <c r="W2377">
        <v>0</v>
      </c>
      <c r="X2377" s="5" t="s">
        <v>29</v>
      </c>
      <c r="Y2377">
        <v>3</v>
      </c>
      <c r="Z2377">
        <v>0</v>
      </c>
      <c r="AA2377" t="s">
        <v>25</v>
      </c>
      <c r="AB2377" t="s">
        <v>26</v>
      </c>
      <c r="AC2377" t="s">
        <v>27</v>
      </c>
      <c r="AD2377" t="s">
        <v>42</v>
      </c>
      <c r="AE2377" t="s">
        <v>25</v>
      </c>
      <c r="AF23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2377" t="s">
        <v>942</v>
      </c>
      <c r="AH2377">
        <v>55.5</v>
      </c>
      <c r="AI2377" t="s">
        <v>939</v>
      </c>
      <c r="AJ2377">
        <v>2</v>
      </c>
      <c r="AK23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MIN(AJ2377/8, 1) +
  Merge1[[#This Row],[index_defensive_effort]],
  2
)</f>
        <v>0.93</v>
      </c>
    </row>
    <row r="2378" spans="1:37" x14ac:dyDescent="0.25">
      <c r="A2378" t="s">
        <v>683</v>
      </c>
      <c r="B2378" t="s">
        <v>684</v>
      </c>
      <c r="C2378">
        <v>27</v>
      </c>
      <c r="D2378" t="s">
        <v>22</v>
      </c>
      <c r="E2378">
        <v>71</v>
      </c>
      <c r="F2378">
        <v>207</v>
      </c>
      <c r="G2378" t="s">
        <v>107</v>
      </c>
      <c r="H2378">
        <v>2020</v>
      </c>
      <c r="I2378" t="s">
        <v>33</v>
      </c>
      <c r="J2378">
        <v>3</v>
      </c>
      <c r="K2378">
        <v>3</v>
      </c>
      <c r="L2378">
        <v>5</v>
      </c>
      <c r="M2378">
        <v>3</v>
      </c>
      <c r="N2378">
        <v>8</v>
      </c>
      <c r="O2378">
        <v>0</v>
      </c>
      <c r="P2378">
        <v>0</v>
      </c>
      <c r="Q2378">
        <v>0</v>
      </c>
      <c r="R2378">
        <v>0</v>
      </c>
      <c r="S2378">
        <v>59</v>
      </c>
      <c r="T2378">
        <v>59</v>
      </c>
      <c r="U2378" s="5">
        <f>IF(Merge1[[#This Row],[team_defense_snaps]]=0, "", Merge1[[#This Row],[defense_snaps]] / Merge1[[#This Row],[team_defense_snaps]])</f>
        <v>0.98333333333333328</v>
      </c>
      <c r="V2378">
        <v>60</v>
      </c>
      <c r="W2378">
        <v>0</v>
      </c>
      <c r="X2378" s="5" t="s">
        <v>29</v>
      </c>
      <c r="Y2378">
        <v>3</v>
      </c>
      <c r="Z2378">
        <v>0</v>
      </c>
      <c r="AA2378" t="s">
        <v>25</v>
      </c>
      <c r="AB2378" t="s">
        <v>26</v>
      </c>
      <c r="AC2378" t="s">
        <v>27</v>
      </c>
      <c r="AD2378" t="s">
        <v>42</v>
      </c>
      <c r="AE2378" t="s">
        <v>25</v>
      </c>
      <c r="AF23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0.11864406779661017</v>
      </c>
      <c r="AG2378" t="s">
        <v>942</v>
      </c>
      <c r="AH2378">
        <v>57</v>
      </c>
      <c r="AI2378" t="s">
        <v>939</v>
      </c>
      <c r="AJ2378">
        <v>3</v>
      </c>
      <c r="AK23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MIN(AJ2378/8, 1) +
  Merge1[[#This Row],[index_defensive_effort]],
  2
)</f>
        <v>1.0900000000000001</v>
      </c>
    </row>
    <row r="2379" spans="1:37" x14ac:dyDescent="0.25">
      <c r="A2379" t="s">
        <v>683</v>
      </c>
      <c r="B2379" t="s">
        <v>684</v>
      </c>
      <c r="C2379">
        <v>27</v>
      </c>
      <c r="D2379" t="s">
        <v>22</v>
      </c>
      <c r="E2379">
        <v>71</v>
      </c>
      <c r="F2379">
        <v>207</v>
      </c>
      <c r="G2379" t="s">
        <v>107</v>
      </c>
      <c r="H2379">
        <v>2020</v>
      </c>
      <c r="I2379" t="s">
        <v>33</v>
      </c>
      <c r="J2379">
        <v>4</v>
      </c>
      <c r="K2379">
        <v>1</v>
      </c>
      <c r="L2379">
        <v>3</v>
      </c>
      <c r="M2379">
        <v>2</v>
      </c>
      <c r="N2379">
        <v>5</v>
      </c>
      <c r="O2379">
        <v>0</v>
      </c>
      <c r="P2379">
        <v>0</v>
      </c>
      <c r="Q2379">
        <v>0</v>
      </c>
      <c r="R2379">
        <v>0</v>
      </c>
      <c r="S2379">
        <v>70</v>
      </c>
      <c r="T2379">
        <v>70</v>
      </c>
      <c r="U2379" s="5">
        <f>IF(Merge1[[#This Row],[team_defense_snaps]]=0, "", Merge1[[#This Row],[defense_snaps]] / Merge1[[#This Row],[team_defense_snaps]])</f>
        <v>1</v>
      </c>
      <c r="V2379">
        <v>70</v>
      </c>
      <c r="W2379">
        <v>0</v>
      </c>
      <c r="X2379" s="5" t="s">
        <v>29</v>
      </c>
      <c r="Y2379">
        <v>3</v>
      </c>
      <c r="Z2379">
        <v>0</v>
      </c>
      <c r="AA2379" t="s">
        <v>25</v>
      </c>
      <c r="AB2379" t="s">
        <v>26</v>
      </c>
      <c r="AC2379" t="s">
        <v>27</v>
      </c>
      <c r="AD2379" t="s">
        <v>42</v>
      </c>
      <c r="AE2379" t="s">
        <v>25</v>
      </c>
      <c r="AF23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2379" t="s">
        <v>942</v>
      </c>
      <c r="AH2379">
        <v>54</v>
      </c>
      <c r="AI2379" t="s">
        <v>939</v>
      </c>
      <c r="AJ2379">
        <v>4</v>
      </c>
      <c r="AK23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MIN(AJ2379/8, 1) +
  Merge1[[#This Row],[index_defensive_effort]],
  2
)</f>
        <v>1.1499999999999999</v>
      </c>
    </row>
    <row r="2380" spans="1:37" x14ac:dyDescent="0.25">
      <c r="A2380" t="s">
        <v>683</v>
      </c>
      <c r="B2380" t="s">
        <v>684</v>
      </c>
      <c r="C2380">
        <v>27</v>
      </c>
      <c r="D2380" t="s">
        <v>22</v>
      </c>
      <c r="E2380">
        <v>71</v>
      </c>
      <c r="F2380">
        <v>207</v>
      </c>
      <c r="G2380" t="s">
        <v>107</v>
      </c>
      <c r="H2380">
        <v>2020</v>
      </c>
      <c r="I2380" t="s">
        <v>33</v>
      </c>
      <c r="J2380">
        <v>5</v>
      </c>
      <c r="K2380">
        <v>2</v>
      </c>
      <c r="L2380">
        <v>2</v>
      </c>
      <c r="M2380">
        <v>0</v>
      </c>
      <c r="N2380">
        <v>2</v>
      </c>
      <c r="O2380">
        <v>0</v>
      </c>
      <c r="P2380">
        <v>0</v>
      </c>
      <c r="Q2380">
        <v>0</v>
      </c>
      <c r="R2380">
        <v>0</v>
      </c>
      <c r="S2380">
        <v>75</v>
      </c>
      <c r="T2380">
        <v>75</v>
      </c>
      <c r="U2380" s="5">
        <f>IF(Merge1[[#This Row],[team_defense_snaps]]=0, "", Merge1[[#This Row],[defense_snaps]] / Merge1[[#This Row],[team_defense_snaps]])</f>
        <v>0.98684210526315785</v>
      </c>
      <c r="V2380">
        <v>76</v>
      </c>
      <c r="W2380">
        <v>0</v>
      </c>
      <c r="X2380" s="5" t="s">
        <v>29</v>
      </c>
      <c r="Y2380">
        <v>3</v>
      </c>
      <c r="Z2380">
        <v>0</v>
      </c>
      <c r="AA2380" t="s">
        <v>25</v>
      </c>
      <c r="AB2380" t="s">
        <v>26</v>
      </c>
      <c r="AC2380" t="s">
        <v>27</v>
      </c>
      <c r="AD2380" t="s">
        <v>42</v>
      </c>
      <c r="AE2380" t="s">
        <v>25</v>
      </c>
      <c r="AF23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0.04</v>
      </c>
      <c r="AG2380" t="s">
        <v>942</v>
      </c>
      <c r="AH2380">
        <v>66</v>
      </c>
      <c r="AI2380" t="s">
        <v>939</v>
      </c>
      <c r="AJ2380">
        <v>5</v>
      </c>
      <c r="AK23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MIN(AJ2380/8, 1) +
  Merge1[[#This Row],[index_defensive_effort]],
  2
)</f>
        <v>1.27</v>
      </c>
    </row>
    <row r="2381" spans="1:37" x14ac:dyDescent="0.25">
      <c r="A2381" t="s">
        <v>683</v>
      </c>
      <c r="B2381" t="s">
        <v>684</v>
      </c>
      <c r="C2381">
        <v>27</v>
      </c>
      <c r="D2381" t="s">
        <v>22</v>
      </c>
      <c r="E2381">
        <v>71</v>
      </c>
      <c r="F2381">
        <v>207</v>
      </c>
      <c r="G2381" t="s">
        <v>107</v>
      </c>
      <c r="H2381">
        <v>2020</v>
      </c>
      <c r="I2381" t="s">
        <v>33</v>
      </c>
      <c r="J2381">
        <v>6</v>
      </c>
      <c r="K2381">
        <v>4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2</v>
      </c>
      <c r="R2381">
        <v>0</v>
      </c>
      <c r="S2381">
        <v>56</v>
      </c>
      <c r="T2381">
        <v>56</v>
      </c>
      <c r="U2381" s="5">
        <f>IF(Merge1[[#This Row],[team_defense_snaps]]=0, "", Merge1[[#This Row],[defense_snaps]] / Merge1[[#This Row],[team_defense_snaps]])</f>
        <v>1</v>
      </c>
      <c r="V2381">
        <v>56</v>
      </c>
      <c r="W2381">
        <v>0</v>
      </c>
      <c r="X2381" s="5" t="s">
        <v>29</v>
      </c>
      <c r="Y2381">
        <v>3</v>
      </c>
      <c r="Z2381">
        <v>0</v>
      </c>
      <c r="AA2381" t="s">
        <v>25</v>
      </c>
      <c r="AB2381" t="s">
        <v>26</v>
      </c>
      <c r="AC2381" t="s">
        <v>27</v>
      </c>
      <c r="AD2381" t="s">
        <v>42</v>
      </c>
      <c r="AE2381" t="s">
        <v>25</v>
      </c>
      <c r="AF23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0.21428571428571427</v>
      </c>
      <c r="AG2381" t="s">
        <v>942</v>
      </c>
      <c r="AH2381">
        <v>60</v>
      </c>
      <c r="AI2381" t="s">
        <v>939</v>
      </c>
      <c r="AJ2381">
        <v>6</v>
      </c>
      <c r="AK23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MIN(AJ2381/8, 1) +
  Merge1[[#This Row],[index_defensive_effort]],
  2
)</f>
        <v>1.56</v>
      </c>
    </row>
    <row r="2382" spans="1:37" x14ac:dyDescent="0.25">
      <c r="A2382" t="s">
        <v>683</v>
      </c>
      <c r="B2382" t="s">
        <v>684</v>
      </c>
      <c r="C2382">
        <v>27</v>
      </c>
      <c r="D2382" t="s">
        <v>22</v>
      </c>
      <c r="E2382">
        <v>71</v>
      </c>
      <c r="F2382">
        <v>207</v>
      </c>
      <c r="G2382" t="s">
        <v>107</v>
      </c>
      <c r="H2382">
        <v>2020</v>
      </c>
      <c r="I2382" t="s">
        <v>33</v>
      </c>
      <c r="J2382">
        <v>7</v>
      </c>
      <c r="K2382">
        <v>5</v>
      </c>
      <c r="L2382">
        <v>5</v>
      </c>
      <c r="M2382">
        <v>0</v>
      </c>
      <c r="N2382">
        <v>5</v>
      </c>
      <c r="O2382">
        <v>0</v>
      </c>
      <c r="P2382">
        <v>0</v>
      </c>
      <c r="Q2382">
        <v>0</v>
      </c>
      <c r="R2382">
        <v>0</v>
      </c>
      <c r="S2382">
        <v>74</v>
      </c>
      <c r="T2382">
        <v>74</v>
      </c>
      <c r="U2382" s="5">
        <f>IF(Merge1[[#This Row],[team_defense_snaps]]=0, "", Merge1[[#This Row],[defense_snaps]] / Merge1[[#This Row],[team_defense_snaps]])</f>
        <v>0.98666666666666669</v>
      </c>
      <c r="V2382">
        <v>75</v>
      </c>
      <c r="W2382">
        <v>0</v>
      </c>
      <c r="X2382" s="5" t="s">
        <v>29</v>
      </c>
      <c r="Y2382">
        <v>3</v>
      </c>
      <c r="Z2382">
        <v>0</v>
      </c>
      <c r="AA2382" t="s">
        <v>25</v>
      </c>
      <c r="AB2382" t="s">
        <v>26</v>
      </c>
      <c r="AC2382" t="s">
        <v>27</v>
      </c>
      <c r="AD2382" t="s">
        <v>42</v>
      </c>
      <c r="AE2382" t="s">
        <v>25</v>
      </c>
      <c r="AF23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0.10135135135135136</v>
      </c>
      <c r="AG2382" t="s">
        <v>942</v>
      </c>
      <c r="AH2382">
        <v>72</v>
      </c>
      <c r="AI2382" t="s">
        <v>939</v>
      </c>
      <c r="AJ2382">
        <v>7</v>
      </c>
      <c r="AK23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MIN(AJ2382/8, 1) +
  Merge1[[#This Row],[index_defensive_effort]],
  2
)</f>
        <v>1.58</v>
      </c>
    </row>
    <row r="2383" spans="1:37" x14ac:dyDescent="0.25">
      <c r="A2383" t="s">
        <v>683</v>
      </c>
      <c r="B2383" t="s">
        <v>684</v>
      </c>
      <c r="C2383">
        <v>27</v>
      </c>
      <c r="D2383" t="s">
        <v>22</v>
      </c>
      <c r="E2383">
        <v>71</v>
      </c>
      <c r="F2383">
        <v>207</v>
      </c>
      <c r="G2383" t="s">
        <v>107</v>
      </c>
      <c r="H2383">
        <v>2020</v>
      </c>
      <c r="I2383" t="s">
        <v>33</v>
      </c>
      <c r="J2383">
        <v>8</v>
      </c>
      <c r="K2383">
        <v>2</v>
      </c>
      <c r="L2383">
        <v>1</v>
      </c>
      <c r="M2383">
        <v>0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66</v>
      </c>
      <c r="T2383">
        <v>66</v>
      </c>
      <c r="U2383" s="5">
        <f>IF(Merge1[[#This Row],[team_defense_snaps]]=0, "", Merge1[[#This Row],[defense_snaps]] / Merge1[[#This Row],[team_defense_snaps]])</f>
        <v>1</v>
      </c>
      <c r="V2383">
        <v>66</v>
      </c>
      <c r="W2383">
        <v>0</v>
      </c>
      <c r="X2383" s="5" t="s">
        <v>29</v>
      </c>
      <c r="Y2383">
        <v>3</v>
      </c>
      <c r="Z2383">
        <v>0</v>
      </c>
      <c r="AA2383" t="s">
        <v>25</v>
      </c>
      <c r="AB2383" t="s">
        <v>26</v>
      </c>
      <c r="AC2383" t="s">
        <v>27</v>
      </c>
      <c r="AD2383" t="s">
        <v>42</v>
      </c>
      <c r="AE2383" t="s">
        <v>25</v>
      </c>
      <c r="AF23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3.787878787878788E-2</v>
      </c>
      <c r="AG2383" t="s">
        <v>942</v>
      </c>
      <c r="AH2383">
        <v>69</v>
      </c>
      <c r="AI2383" t="s">
        <v>939</v>
      </c>
      <c r="AJ2383">
        <v>8</v>
      </c>
      <c r="AK23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MIN(AJ2383/8, 1) +
  Merge1[[#This Row],[index_defensive_effort]],
  2
)</f>
        <v>1.64</v>
      </c>
    </row>
    <row r="2384" spans="1:37" x14ac:dyDescent="0.25">
      <c r="A2384" t="s">
        <v>683</v>
      </c>
      <c r="B2384" t="s">
        <v>684</v>
      </c>
      <c r="C2384">
        <v>27</v>
      </c>
      <c r="D2384" t="s">
        <v>22</v>
      </c>
      <c r="E2384">
        <v>71</v>
      </c>
      <c r="F2384">
        <v>207</v>
      </c>
      <c r="G2384" t="s">
        <v>107</v>
      </c>
      <c r="H2384">
        <v>2020</v>
      </c>
      <c r="I2384" t="s">
        <v>33</v>
      </c>
      <c r="J2384">
        <v>9</v>
      </c>
      <c r="K2384">
        <v>0</v>
      </c>
      <c r="L2384">
        <v>4</v>
      </c>
      <c r="M2384">
        <v>2</v>
      </c>
      <c r="N2384">
        <v>6</v>
      </c>
      <c r="O2384">
        <v>0</v>
      </c>
      <c r="P2384">
        <v>0</v>
      </c>
      <c r="Q2384">
        <v>0</v>
      </c>
      <c r="R2384">
        <v>0</v>
      </c>
      <c r="S2384">
        <v>88</v>
      </c>
      <c r="T2384">
        <v>81</v>
      </c>
      <c r="U2384" s="5">
        <f>IF(Merge1[[#This Row],[team_defense_snaps]]=0, "", Merge1[[#This Row],[defense_snaps]] / Merge1[[#This Row],[team_defense_snaps]])</f>
        <v>1</v>
      </c>
      <c r="V2384">
        <v>81</v>
      </c>
      <c r="W2384">
        <v>7</v>
      </c>
      <c r="X2384" s="5" t="s">
        <v>137</v>
      </c>
      <c r="Y2384">
        <v>3</v>
      </c>
      <c r="Z2384">
        <v>0</v>
      </c>
      <c r="AA2384" t="s">
        <v>25</v>
      </c>
      <c r="AB2384" t="s">
        <v>26</v>
      </c>
      <c r="AC2384" t="s">
        <v>27</v>
      </c>
      <c r="AD2384" t="s">
        <v>42</v>
      </c>
      <c r="AE2384" t="s">
        <v>25</v>
      </c>
      <c r="AF23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3.4090909090909088E-2</v>
      </c>
      <c r="AG2384" t="s">
        <v>942</v>
      </c>
      <c r="AH2384">
        <v>64.5</v>
      </c>
      <c r="AI2384" t="s">
        <v>939</v>
      </c>
      <c r="AJ2384">
        <v>9</v>
      </c>
      <c r="AK23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MIN(AJ2384/8, 1) +
  Merge1[[#This Row],[index_defensive_effort]],
  2
)</f>
        <v>1.63</v>
      </c>
    </row>
    <row r="2385" spans="1:37" x14ac:dyDescent="0.25">
      <c r="A2385" t="s">
        <v>683</v>
      </c>
      <c r="B2385" t="s">
        <v>684</v>
      </c>
      <c r="C2385">
        <v>27</v>
      </c>
      <c r="D2385" t="s">
        <v>22</v>
      </c>
      <c r="E2385">
        <v>71</v>
      </c>
      <c r="F2385">
        <v>207</v>
      </c>
      <c r="G2385" t="s">
        <v>107</v>
      </c>
      <c r="H2385">
        <v>2020</v>
      </c>
      <c r="I2385" t="s">
        <v>33</v>
      </c>
      <c r="J2385">
        <v>11</v>
      </c>
      <c r="K2385">
        <v>1</v>
      </c>
      <c r="L2385">
        <v>3</v>
      </c>
      <c r="M2385">
        <v>0</v>
      </c>
      <c r="N2385">
        <v>3</v>
      </c>
      <c r="O2385">
        <v>0</v>
      </c>
      <c r="P2385">
        <v>0</v>
      </c>
      <c r="Q2385">
        <v>0</v>
      </c>
      <c r="R2385">
        <v>2</v>
      </c>
      <c r="S2385">
        <v>90</v>
      </c>
      <c r="T2385">
        <v>82</v>
      </c>
      <c r="U2385" s="5">
        <f>IF(Merge1[[#This Row],[team_defense_snaps]]=0, "", Merge1[[#This Row],[defense_snaps]] / Merge1[[#This Row],[team_defense_snaps]])</f>
        <v>1</v>
      </c>
      <c r="V2385">
        <v>82</v>
      </c>
      <c r="W2385">
        <v>8</v>
      </c>
      <c r="X2385" s="5" t="s">
        <v>136</v>
      </c>
      <c r="Y2385">
        <v>3</v>
      </c>
      <c r="Z2385">
        <v>0</v>
      </c>
      <c r="AA2385" t="s">
        <v>25</v>
      </c>
      <c r="AB2385" t="s">
        <v>26</v>
      </c>
      <c r="AC2385" t="s">
        <v>27</v>
      </c>
      <c r="AD2385" t="s">
        <v>42</v>
      </c>
      <c r="AE2385" t="s">
        <v>25</v>
      </c>
      <c r="AF23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7.2222222222222215E-2</v>
      </c>
      <c r="AG2385" t="s">
        <v>942</v>
      </c>
      <c r="AH2385">
        <v>63</v>
      </c>
      <c r="AI2385" t="s">
        <v>939</v>
      </c>
      <c r="AJ2385">
        <v>1</v>
      </c>
      <c r="AK23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MIN(AJ2385/8, 1) +
  Merge1[[#This Row],[index_defensive_effort]],
  2
)</f>
        <v>0.8</v>
      </c>
    </row>
    <row r="2386" spans="1:37" x14ac:dyDescent="0.25">
      <c r="A2386" t="s">
        <v>683</v>
      </c>
      <c r="B2386" t="s">
        <v>684</v>
      </c>
      <c r="C2386">
        <v>27</v>
      </c>
      <c r="D2386" t="s">
        <v>22</v>
      </c>
      <c r="E2386">
        <v>71</v>
      </c>
      <c r="F2386">
        <v>207</v>
      </c>
      <c r="G2386" t="s">
        <v>107</v>
      </c>
      <c r="H2386">
        <v>2020</v>
      </c>
      <c r="I2386" t="s">
        <v>33</v>
      </c>
      <c r="J2386">
        <v>12</v>
      </c>
      <c r="K2386">
        <v>3</v>
      </c>
      <c r="L2386">
        <v>1</v>
      </c>
      <c r="M2386">
        <v>1</v>
      </c>
      <c r="N2386">
        <v>2</v>
      </c>
      <c r="O2386">
        <v>0</v>
      </c>
      <c r="P2386">
        <v>0</v>
      </c>
      <c r="Q2386">
        <v>0</v>
      </c>
      <c r="R2386">
        <v>0</v>
      </c>
      <c r="S2386">
        <v>76</v>
      </c>
      <c r="T2386">
        <v>71</v>
      </c>
      <c r="U2386" s="5">
        <f>IF(Merge1[[#This Row],[team_defense_snaps]]=0, "", Merge1[[#This Row],[defense_snaps]] / Merge1[[#This Row],[team_defense_snaps]])</f>
        <v>1</v>
      </c>
      <c r="V2386">
        <v>71</v>
      </c>
      <c r="W2386">
        <v>5</v>
      </c>
      <c r="X2386" s="5" t="s">
        <v>139</v>
      </c>
      <c r="Y2386">
        <v>3</v>
      </c>
      <c r="Z2386">
        <v>0</v>
      </c>
      <c r="AA2386" t="s">
        <v>25</v>
      </c>
      <c r="AB2386" t="s">
        <v>26</v>
      </c>
      <c r="AC2386" t="s">
        <v>27</v>
      </c>
      <c r="AD2386" t="s">
        <v>42</v>
      </c>
      <c r="AE2386" t="s">
        <v>25</v>
      </c>
      <c r="AF23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5.2631578947368418E-2</v>
      </c>
      <c r="AG2386" t="s">
        <v>942</v>
      </c>
      <c r="AH2386">
        <v>70.5</v>
      </c>
      <c r="AI2386" t="s">
        <v>939</v>
      </c>
      <c r="AJ2386">
        <v>2</v>
      </c>
      <c r="AK23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MIN(AJ2386/8, 1) +
  Merge1[[#This Row],[index_defensive_effort]],
  2
)</f>
        <v>0.9</v>
      </c>
    </row>
    <row r="2387" spans="1:37" x14ac:dyDescent="0.25">
      <c r="A2387" t="s">
        <v>683</v>
      </c>
      <c r="B2387" t="s">
        <v>684</v>
      </c>
      <c r="C2387">
        <v>27</v>
      </c>
      <c r="D2387" t="s">
        <v>22</v>
      </c>
      <c r="E2387">
        <v>71</v>
      </c>
      <c r="F2387">
        <v>207</v>
      </c>
      <c r="G2387" t="s">
        <v>107</v>
      </c>
      <c r="H2387">
        <v>2020</v>
      </c>
      <c r="I2387" t="s">
        <v>33</v>
      </c>
      <c r="J2387">
        <v>13</v>
      </c>
      <c r="K2387">
        <v>2</v>
      </c>
      <c r="L2387">
        <v>1</v>
      </c>
      <c r="M2387">
        <v>0</v>
      </c>
      <c r="N2387">
        <v>1</v>
      </c>
      <c r="O2387">
        <v>0</v>
      </c>
      <c r="P2387">
        <v>1</v>
      </c>
      <c r="Q2387">
        <v>0</v>
      </c>
      <c r="R2387">
        <v>0</v>
      </c>
      <c r="S2387">
        <v>85</v>
      </c>
      <c r="T2387">
        <v>78</v>
      </c>
      <c r="U2387" s="5">
        <f>IF(Merge1[[#This Row],[team_defense_snaps]]=0, "", Merge1[[#This Row],[defense_snaps]] / Merge1[[#This Row],[team_defense_snaps]])</f>
        <v>0.98734177215189878</v>
      </c>
      <c r="V2387">
        <v>79</v>
      </c>
      <c r="W2387">
        <v>7</v>
      </c>
      <c r="X2387" s="5" t="s">
        <v>136</v>
      </c>
      <c r="Y2387">
        <v>3</v>
      </c>
      <c r="Z2387">
        <v>0</v>
      </c>
      <c r="AA2387" t="s">
        <v>25</v>
      </c>
      <c r="AB2387" t="s">
        <v>26</v>
      </c>
      <c r="AC2387" t="s">
        <v>27</v>
      </c>
      <c r="AD2387" t="s">
        <v>42</v>
      </c>
      <c r="AE2387" t="s">
        <v>25</v>
      </c>
      <c r="AF23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5.2941176470588235E-2</v>
      </c>
      <c r="AG2387" t="s">
        <v>942</v>
      </c>
      <c r="AH2387">
        <v>61.5</v>
      </c>
      <c r="AI2387" t="s">
        <v>939</v>
      </c>
      <c r="AJ2387">
        <v>3</v>
      </c>
      <c r="AK23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MIN(AJ2387/8, 1) +
  Merge1[[#This Row],[index_defensive_effort]],
  2
)</f>
        <v>1.03</v>
      </c>
    </row>
    <row r="2388" spans="1:37" x14ac:dyDescent="0.25">
      <c r="A2388" t="s">
        <v>683</v>
      </c>
      <c r="B2388" t="s">
        <v>684</v>
      </c>
      <c r="C2388">
        <v>27</v>
      </c>
      <c r="D2388" t="s">
        <v>22</v>
      </c>
      <c r="E2388">
        <v>71</v>
      </c>
      <c r="F2388">
        <v>207</v>
      </c>
      <c r="G2388" t="s">
        <v>107</v>
      </c>
      <c r="H2388">
        <v>2020</v>
      </c>
      <c r="I2388" t="s">
        <v>33</v>
      </c>
      <c r="J2388">
        <v>14</v>
      </c>
      <c r="K2388">
        <v>3</v>
      </c>
      <c r="L2388">
        <v>1</v>
      </c>
      <c r="M2388">
        <v>0</v>
      </c>
      <c r="N2388">
        <v>1</v>
      </c>
      <c r="O2388">
        <v>0</v>
      </c>
      <c r="P2388">
        <v>0</v>
      </c>
      <c r="Q2388">
        <v>2</v>
      </c>
      <c r="R2388">
        <v>0</v>
      </c>
      <c r="S2388">
        <v>80</v>
      </c>
      <c r="T2388">
        <v>73</v>
      </c>
      <c r="U2388" s="5">
        <f>IF(Merge1[[#This Row],[team_defense_snaps]]=0, "", Merge1[[#This Row],[defense_snaps]] / Merge1[[#This Row],[team_defense_snaps]])</f>
        <v>1</v>
      </c>
      <c r="V2388">
        <v>73</v>
      </c>
      <c r="W2388">
        <v>7</v>
      </c>
      <c r="X2388" s="5" t="s">
        <v>135</v>
      </c>
      <c r="Y2388">
        <v>3</v>
      </c>
      <c r="Z2388">
        <v>0</v>
      </c>
      <c r="AA2388" t="s">
        <v>25</v>
      </c>
      <c r="AB2388" t="s">
        <v>26</v>
      </c>
      <c r="AC2388" t="s">
        <v>27</v>
      </c>
      <c r="AD2388" t="s">
        <v>42</v>
      </c>
      <c r="AE2388" t="s">
        <v>25</v>
      </c>
      <c r="AF23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0.14374999999999999</v>
      </c>
      <c r="AG2388" t="s">
        <v>942</v>
      </c>
      <c r="AH2388">
        <v>51</v>
      </c>
      <c r="AI2388" t="s">
        <v>939</v>
      </c>
      <c r="AJ2388">
        <v>4</v>
      </c>
      <c r="AK23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MIN(AJ2388/8, 1) +
  Merge1[[#This Row],[index_defensive_effort]],
  2
)</f>
        <v>1.24</v>
      </c>
    </row>
    <row r="2389" spans="1:37" x14ac:dyDescent="0.25">
      <c r="A2389" t="s">
        <v>683</v>
      </c>
      <c r="B2389" t="s">
        <v>684</v>
      </c>
      <c r="C2389">
        <v>27</v>
      </c>
      <c r="D2389" t="s">
        <v>22</v>
      </c>
      <c r="E2389">
        <v>71</v>
      </c>
      <c r="F2389">
        <v>207</v>
      </c>
      <c r="G2389" t="s">
        <v>107</v>
      </c>
      <c r="H2389">
        <v>2020</v>
      </c>
      <c r="I2389" t="s">
        <v>33</v>
      </c>
      <c r="J2389">
        <v>15</v>
      </c>
      <c r="K2389">
        <v>4</v>
      </c>
      <c r="L2389">
        <v>2</v>
      </c>
      <c r="M2389">
        <v>0</v>
      </c>
      <c r="N2389">
        <v>2</v>
      </c>
      <c r="O2389">
        <v>0</v>
      </c>
      <c r="P2389">
        <v>0</v>
      </c>
      <c r="Q2389">
        <v>0</v>
      </c>
      <c r="R2389">
        <v>0</v>
      </c>
      <c r="S2389">
        <v>64</v>
      </c>
      <c r="T2389">
        <v>59</v>
      </c>
      <c r="U2389" s="5">
        <f>IF(Merge1[[#This Row],[team_defense_snaps]]=0, "", Merge1[[#This Row],[defense_snaps]] / Merge1[[#This Row],[team_defense_snaps]])</f>
        <v>1</v>
      </c>
      <c r="V2389">
        <v>59</v>
      </c>
      <c r="W2389">
        <v>5</v>
      </c>
      <c r="X2389" s="5" t="s">
        <v>124</v>
      </c>
      <c r="Y2389">
        <v>3</v>
      </c>
      <c r="Z2389">
        <v>0</v>
      </c>
      <c r="AA2389" t="s">
        <v>25</v>
      </c>
      <c r="AB2389" t="s">
        <v>26</v>
      </c>
      <c r="AC2389" t="s">
        <v>27</v>
      </c>
      <c r="AD2389" t="s">
        <v>42</v>
      </c>
      <c r="AE2389" t="s">
        <v>25</v>
      </c>
      <c r="AF23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7.8125E-2</v>
      </c>
      <c r="AG2389" t="s">
        <v>942</v>
      </c>
      <c r="AH2389">
        <v>52.5</v>
      </c>
      <c r="AI2389" t="s">
        <v>939</v>
      </c>
      <c r="AJ2389">
        <v>5</v>
      </c>
      <c r="AK23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MIN(AJ2389/8, 1) +
  Merge1[[#This Row],[index_defensive_effort]],
  2
)</f>
        <v>1.3</v>
      </c>
    </row>
    <row r="2390" spans="1:37" x14ac:dyDescent="0.25">
      <c r="A2390" t="s">
        <v>683</v>
      </c>
      <c r="B2390" t="s">
        <v>684</v>
      </c>
      <c r="C2390">
        <v>27</v>
      </c>
      <c r="D2390" t="s">
        <v>22</v>
      </c>
      <c r="E2390">
        <v>71</v>
      </c>
      <c r="F2390">
        <v>207</v>
      </c>
      <c r="G2390" t="s">
        <v>107</v>
      </c>
      <c r="H2390">
        <v>2020</v>
      </c>
      <c r="I2390" t="s">
        <v>33</v>
      </c>
      <c r="J2390">
        <v>16</v>
      </c>
      <c r="K2390">
        <v>3</v>
      </c>
      <c r="L2390">
        <v>4</v>
      </c>
      <c r="M2390">
        <v>1</v>
      </c>
      <c r="N2390">
        <v>5</v>
      </c>
      <c r="O2390">
        <v>0</v>
      </c>
      <c r="P2390">
        <v>0</v>
      </c>
      <c r="Q2390">
        <v>0</v>
      </c>
      <c r="R2390">
        <v>0</v>
      </c>
      <c r="S2390">
        <v>85</v>
      </c>
      <c r="T2390">
        <v>81</v>
      </c>
      <c r="U2390" s="5">
        <f>IF(Merge1[[#This Row],[team_defense_snaps]]=0, "", Merge1[[#This Row],[defense_snaps]] / Merge1[[#This Row],[team_defense_snaps]])</f>
        <v>1</v>
      </c>
      <c r="V2390">
        <v>81</v>
      </c>
      <c r="W2390">
        <v>4</v>
      </c>
      <c r="X2390" s="5" t="s">
        <v>251</v>
      </c>
      <c r="Y2390">
        <v>3</v>
      </c>
      <c r="Z2390">
        <v>0</v>
      </c>
      <c r="AA2390" t="s">
        <v>25</v>
      </c>
      <c r="AB2390" t="s">
        <v>26</v>
      </c>
      <c r="AC2390" t="s">
        <v>27</v>
      </c>
      <c r="AD2390" t="s">
        <v>42</v>
      </c>
      <c r="AE2390" t="s">
        <v>25</v>
      </c>
      <c r="AF23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6.4705882352941183E-2</v>
      </c>
      <c r="AG2390" t="s">
        <v>942</v>
      </c>
      <c r="AH2390">
        <v>67.5</v>
      </c>
      <c r="AI2390" t="s">
        <v>939</v>
      </c>
      <c r="AJ2390">
        <v>6</v>
      </c>
      <c r="AK23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MIN(AJ2390/8, 1) +
  Merge1[[#This Row],[index_defensive_effort]],
  2
)</f>
        <v>1.41</v>
      </c>
    </row>
    <row r="2391" spans="1:37" x14ac:dyDescent="0.25">
      <c r="A2391" t="s">
        <v>683</v>
      </c>
      <c r="B2391" t="s">
        <v>684</v>
      </c>
      <c r="C2391">
        <v>27</v>
      </c>
      <c r="D2391" t="s">
        <v>22</v>
      </c>
      <c r="E2391">
        <v>71</v>
      </c>
      <c r="F2391">
        <v>207</v>
      </c>
      <c r="G2391" t="s">
        <v>107</v>
      </c>
      <c r="H2391">
        <v>2020</v>
      </c>
      <c r="I2391" t="s">
        <v>33</v>
      </c>
      <c r="J2391">
        <v>17</v>
      </c>
      <c r="K2391">
        <v>6</v>
      </c>
      <c r="L2391">
        <v>5</v>
      </c>
      <c r="M2391">
        <v>4</v>
      </c>
      <c r="N2391">
        <v>9</v>
      </c>
      <c r="O2391">
        <v>0</v>
      </c>
      <c r="P2391">
        <v>0</v>
      </c>
      <c r="Q2391">
        <v>0</v>
      </c>
      <c r="R2391">
        <v>0</v>
      </c>
      <c r="S2391">
        <v>70</v>
      </c>
      <c r="T2391">
        <v>65</v>
      </c>
      <c r="U2391" s="5">
        <f>IF(Merge1[[#This Row],[team_defense_snaps]]=0, "", Merge1[[#This Row],[defense_snaps]] / Merge1[[#This Row],[team_defense_snaps]])</f>
        <v>1</v>
      </c>
      <c r="V2391">
        <v>65</v>
      </c>
      <c r="W2391">
        <v>5</v>
      </c>
      <c r="X2391" s="5" t="s">
        <v>58</v>
      </c>
      <c r="Y2391">
        <v>3</v>
      </c>
      <c r="Z2391">
        <v>0</v>
      </c>
      <c r="AA2391" t="s">
        <v>25</v>
      </c>
      <c r="AB2391" t="s">
        <v>26</v>
      </c>
      <c r="AC2391" t="s">
        <v>27</v>
      </c>
      <c r="AD2391" t="s">
        <v>42</v>
      </c>
      <c r="AE2391" t="s">
        <v>25</v>
      </c>
      <c r="AF23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</v>
      </c>
      <c r="AG2391" t="s">
        <v>942</v>
      </c>
      <c r="AH2391">
        <v>48</v>
      </c>
      <c r="AI2391" t="s">
        <v>939</v>
      </c>
      <c r="AJ2391">
        <v>7</v>
      </c>
      <c r="AK23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MIN(AJ2391/8, 1) +
  Merge1[[#This Row],[index_defensive_effort]],
  2
)</f>
        <v>1.63</v>
      </c>
    </row>
    <row r="2392" spans="1:37" x14ac:dyDescent="0.25">
      <c r="A2392" t="s">
        <v>687</v>
      </c>
      <c r="B2392" t="s">
        <v>688</v>
      </c>
      <c r="C2392">
        <v>27</v>
      </c>
      <c r="D2392" t="s">
        <v>56</v>
      </c>
      <c r="E2392">
        <v>72</v>
      </c>
      <c r="F2392">
        <v>197</v>
      </c>
      <c r="G2392" t="s">
        <v>32</v>
      </c>
      <c r="H2392">
        <v>2020</v>
      </c>
      <c r="I2392" t="s">
        <v>33</v>
      </c>
      <c r="J2392">
        <v>1</v>
      </c>
      <c r="K2392">
        <v>3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71</v>
      </c>
      <c r="T2392">
        <v>71</v>
      </c>
      <c r="U2392" s="5">
        <f>IF(Merge1[[#This Row],[team_defense_snaps]]=0, "", Merge1[[#This Row],[defense_snaps]] / Merge1[[#This Row],[team_defense_snaps]])</f>
        <v>0.9726027397260274</v>
      </c>
      <c r="V2392">
        <v>73</v>
      </c>
      <c r="W2392">
        <v>0</v>
      </c>
      <c r="X2392" s="5" t="s">
        <v>29</v>
      </c>
      <c r="Y2392">
        <v>5</v>
      </c>
      <c r="Z2392">
        <v>0</v>
      </c>
      <c r="AA2392" t="s">
        <v>25</v>
      </c>
      <c r="AB2392" t="s">
        <v>26</v>
      </c>
      <c r="AC2392" t="s">
        <v>27</v>
      </c>
      <c r="AD2392" t="s">
        <v>42</v>
      </c>
      <c r="AE2392" t="s">
        <v>25</v>
      </c>
      <c r="AF23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4.2253521126760563E-2</v>
      </c>
      <c r="AG2392" t="s">
        <v>941</v>
      </c>
      <c r="AH2392">
        <v>72</v>
      </c>
      <c r="AI2392" t="s">
        <v>939</v>
      </c>
      <c r="AJ2392">
        <v>1</v>
      </c>
      <c r="AK23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MIN(AJ2392/8, 1) +
  Merge1[[#This Row],[index_defensive_effort]],
  2
)</f>
        <v>0.67</v>
      </c>
    </row>
    <row r="2393" spans="1:37" x14ac:dyDescent="0.25">
      <c r="A2393" t="s">
        <v>687</v>
      </c>
      <c r="B2393" t="s">
        <v>688</v>
      </c>
      <c r="C2393">
        <v>27</v>
      </c>
      <c r="D2393" t="s">
        <v>56</v>
      </c>
      <c r="E2393">
        <v>72</v>
      </c>
      <c r="F2393">
        <v>197</v>
      </c>
      <c r="G2393" t="s">
        <v>32</v>
      </c>
      <c r="H2393">
        <v>2020</v>
      </c>
      <c r="I2393" t="s">
        <v>33</v>
      </c>
      <c r="J2393">
        <v>2</v>
      </c>
      <c r="K2393">
        <v>2</v>
      </c>
      <c r="L2393">
        <v>3</v>
      </c>
      <c r="M2393">
        <v>0</v>
      </c>
      <c r="N2393">
        <v>3</v>
      </c>
      <c r="O2393">
        <v>0</v>
      </c>
      <c r="P2393">
        <v>1</v>
      </c>
      <c r="Q2393">
        <v>2</v>
      </c>
      <c r="R2393">
        <v>0</v>
      </c>
      <c r="S2393">
        <v>59</v>
      </c>
      <c r="T2393">
        <v>59</v>
      </c>
      <c r="U2393" s="5">
        <f>IF(Merge1[[#This Row],[team_defense_snaps]]=0, "", Merge1[[#This Row],[defense_snaps]] / Merge1[[#This Row],[team_defense_snaps]])</f>
        <v>1</v>
      </c>
      <c r="V2393">
        <v>59</v>
      </c>
      <c r="W2393">
        <v>0</v>
      </c>
      <c r="X2393" s="5" t="s">
        <v>29</v>
      </c>
      <c r="Y2393">
        <v>5</v>
      </c>
      <c r="Z2393">
        <v>0</v>
      </c>
      <c r="AA2393" t="s">
        <v>25</v>
      </c>
      <c r="AB2393" t="s">
        <v>26</v>
      </c>
      <c r="AC2393" t="s">
        <v>27</v>
      </c>
      <c r="AD2393" t="s">
        <v>42</v>
      </c>
      <c r="AE2393" t="s">
        <v>25</v>
      </c>
      <c r="AF23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0.2288135593220339</v>
      </c>
      <c r="AG2393" t="s">
        <v>941</v>
      </c>
      <c r="AH2393">
        <v>69</v>
      </c>
      <c r="AI2393" t="s">
        <v>939</v>
      </c>
      <c r="AJ2393">
        <v>2</v>
      </c>
      <c r="AK23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MIN(AJ2393/8, 1) +
  Merge1[[#This Row],[index_defensive_effort]],
  2
)</f>
        <v>0.98</v>
      </c>
    </row>
    <row r="2394" spans="1:37" x14ac:dyDescent="0.25">
      <c r="A2394" t="s">
        <v>687</v>
      </c>
      <c r="B2394" t="s">
        <v>688</v>
      </c>
      <c r="C2394">
        <v>27</v>
      </c>
      <c r="D2394" t="s">
        <v>56</v>
      </c>
      <c r="E2394">
        <v>72</v>
      </c>
      <c r="F2394">
        <v>197</v>
      </c>
      <c r="G2394" t="s">
        <v>32</v>
      </c>
      <c r="H2394">
        <v>2020</v>
      </c>
      <c r="I2394" t="s">
        <v>33</v>
      </c>
      <c r="J2394">
        <v>3</v>
      </c>
      <c r="K2394">
        <v>3</v>
      </c>
      <c r="L2394">
        <v>1</v>
      </c>
      <c r="M2394">
        <v>0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75</v>
      </c>
      <c r="T2394">
        <v>75</v>
      </c>
      <c r="U2394" s="5">
        <f>IF(Merge1[[#This Row],[team_defense_snaps]]=0, "", Merge1[[#This Row],[defense_snaps]] / Merge1[[#This Row],[team_defense_snaps]])</f>
        <v>0.98684210526315785</v>
      </c>
      <c r="V2394">
        <v>76</v>
      </c>
      <c r="W2394">
        <v>0</v>
      </c>
      <c r="X2394" s="5" t="s">
        <v>29</v>
      </c>
      <c r="Y2394">
        <v>5</v>
      </c>
      <c r="Z2394">
        <v>0</v>
      </c>
      <c r="AA2394" t="s">
        <v>25</v>
      </c>
      <c r="AB2394" t="s">
        <v>26</v>
      </c>
      <c r="AC2394" t="s">
        <v>27</v>
      </c>
      <c r="AD2394" t="s">
        <v>42</v>
      </c>
      <c r="AE2394" t="s">
        <v>25</v>
      </c>
      <c r="AF23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4.6666666666666669E-2</v>
      </c>
      <c r="AG2394" t="s">
        <v>941</v>
      </c>
      <c r="AH2394">
        <v>52</v>
      </c>
      <c r="AI2394" t="s">
        <v>939</v>
      </c>
      <c r="AJ2394">
        <v>3</v>
      </c>
      <c r="AK23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MIN(AJ2394/8, 1) +
  Merge1[[#This Row],[index_defensive_effort]],
  2
)</f>
        <v>0.92</v>
      </c>
    </row>
    <row r="2395" spans="1:37" x14ac:dyDescent="0.25">
      <c r="A2395" t="s">
        <v>687</v>
      </c>
      <c r="B2395" t="s">
        <v>688</v>
      </c>
      <c r="C2395">
        <v>27</v>
      </c>
      <c r="D2395" t="s">
        <v>56</v>
      </c>
      <c r="E2395">
        <v>72</v>
      </c>
      <c r="F2395">
        <v>197</v>
      </c>
      <c r="G2395" t="s">
        <v>32</v>
      </c>
      <c r="H2395">
        <v>2020</v>
      </c>
      <c r="I2395" t="s">
        <v>33</v>
      </c>
      <c r="J2395">
        <v>4</v>
      </c>
      <c r="K2395">
        <v>2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66</v>
      </c>
      <c r="T2395">
        <v>66</v>
      </c>
      <c r="U2395" s="5">
        <f>IF(Merge1[[#This Row],[team_defense_snaps]]=0, "", Merge1[[#This Row],[defense_snaps]] / Merge1[[#This Row],[team_defense_snaps]])</f>
        <v>0.92957746478873238</v>
      </c>
      <c r="V2395">
        <v>71</v>
      </c>
      <c r="W2395">
        <v>0</v>
      </c>
      <c r="X2395" s="5" t="s">
        <v>29</v>
      </c>
      <c r="Y2395">
        <v>5</v>
      </c>
      <c r="Z2395">
        <v>0</v>
      </c>
      <c r="AA2395" t="s">
        <v>25</v>
      </c>
      <c r="AB2395" t="s">
        <v>26</v>
      </c>
      <c r="AC2395" t="s">
        <v>27</v>
      </c>
      <c r="AD2395" t="s">
        <v>42</v>
      </c>
      <c r="AE2395" t="s">
        <v>25</v>
      </c>
      <c r="AF23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3.0303030303030304E-2</v>
      </c>
      <c r="AG2395" t="s">
        <v>941</v>
      </c>
      <c r="AH2395">
        <v>58.5</v>
      </c>
      <c r="AI2395" t="s">
        <v>939</v>
      </c>
      <c r="AJ2395">
        <v>4</v>
      </c>
      <c r="AK23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MIN(AJ2395/8, 1) +
  Merge1[[#This Row],[index_defensive_effort]],
  2
)</f>
        <v>1.03</v>
      </c>
    </row>
    <row r="2396" spans="1:37" x14ac:dyDescent="0.25">
      <c r="A2396" t="s">
        <v>687</v>
      </c>
      <c r="B2396" t="s">
        <v>688</v>
      </c>
      <c r="C2396">
        <v>27</v>
      </c>
      <c r="D2396" t="s">
        <v>56</v>
      </c>
      <c r="E2396">
        <v>72</v>
      </c>
      <c r="F2396">
        <v>197</v>
      </c>
      <c r="G2396" t="s">
        <v>32</v>
      </c>
      <c r="H2396">
        <v>2020</v>
      </c>
      <c r="I2396" t="s">
        <v>33</v>
      </c>
      <c r="J2396">
        <v>5</v>
      </c>
      <c r="K2396">
        <v>8</v>
      </c>
      <c r="L2396">
        <v>0</v>
      </c>
      <c r="M2396">
        <v>0</v>
      </c>
      <c r="N2396">
        <v>0</v>
      </c>
      <c r="O2396">
        <v>3</v>
      </c>
      <c r="P2396">
        <v>5</v>
      </c>
      <c r="Q2396">
        <v>2</v>
      </c>
      <c r="R2396">
        <v>4</v>
      </c>
      <c r="S2396">
        <v>67</v>
      </c>
      <c r="T2396">
        <v>67</v>
      </c>
      <c r="U2396" s="5">
        <f>IF(Merge1[[#This Row],[team_defense_snaps]]=0, "", Merge1[[#This Row],[defense_snaps]] / Merge1[[#This Row],[team_defense_snaps]])</f>
        <v>1</v>
      </c>
      <c r="V2396">
        <v>67</v>
      </c>
      <c r="W2396">
        <v>0</v>
      </c>
      <c r="X2396" s="5" t="s">
        <v>29</v>
      </c>
      <c r="Y2396">
        <v>5</v>
      </c>
      <c r="Z2396">
        <v>0</v>
      </c>
      <c r="AA2396" t="s">
        <v>25</v>
      </c>
      <c r="AB2396" t="s">
        <v>36</v>
      </c>
      <c r="AC2396" t="s">
        <v>325</v>
      </c>
      <c r="AD2396" t="s">
        <v>42</v>
      </c>
      <c r="AE2396" t="s">
        <v>25</v>
      </c>
      <c r="AF23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0.64179104477611937</v>
      </c>
      <c r="AG2396" t="s">
        <v>941</v>
      </c>
      <c r="AH2396">
        <v>54</v>
      </c>
      <c r="AI2396" t="s">
        <v>939</v>
      </c>
      <c r="AJ2396">
        <v>5</v>
      </c>
      <c r="AK23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MIN(AJ2396/8, 1) +
  Merge1[[#This Row],[index_defensive_effort]],
  2
)</f>
        <v>1.77</v>
      </c>
    </row>
    <row r="2397" spans="1:37" x14ac:dyDescent="0.25">
      <c r="A2397" t="s">
        <v>687</v>
      </c>
      <c r="B2397" t="s">
        <v>688</v>
      </c>
      <c r="C2397">
        <v>27</v>
      </c>
      <c r="D2397" t="s">
        <v>56</v>
      </c>
      <c r="E2397">
        <v>72</v>
      </c>
      <c r="F2397">
        <v>197</v>
      </c>
      <c r="G2397" t="s">
        <v>32</v>
      </c>
      <c r="H2397">
        <v>2020</v>
      </c>
      <c r="I2397" t="s">
        <v>33</v>
      </c>
      <c r="J2397">
        <v>6</v>
      </c>
      <c r="K2397">
        <v>3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72</v>
      </c>
      <c r="T2397">
        <v>72</v>
      </c>
      <c r="U2397" s="5">
        <f>IF(Merge1[[#This Row],[team_defense_snaps]]=0, "", Merge1[[#This Row],[defense_snaps]] / Merge1[[#This Row],[team_defense_snaps]])</f>
        <v>1</v>
      </c>
      <c r="V2397">
        <v>72</v>
      </c>
      <c r="W2397">
        <v>0</v>
      </c>
      <c r="X2397" s="5" t="s">
        <v>29</v>
      </c>
      <c r="Y2397">
        <v>5</v>
      </c>
      <c r="Z2397">
        <v>0</v>
      </c>
      <c r="AA2397" t="s">
        <v>25</v>
      </c>
      <c r="AB2397" t="s">
        <v>36</v>
      </c>
      <c r="AC2397" t="s">
        <v>325</v>
      </c>
      <c r="AD2397" t="s">
        <v>42</v>
      </c>
      <c r="AE2397" t="s">
        <v>25</v>
      </c>
      <c r="AF23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2397" t="s">
        <v>941</v>
      </c>
      <c r="AH2397">
        <v>48</v>
      </c>
      <c r="AI2397" t="s">
        <v>939</v>
      </c>
      <c r="AJ2397">
        <v>6</v>
      </c>
      <c r="AK23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MIN(AJ2397/8, 1) +
  Merge1[[#This Row],[index_defensive_effort]],
  2
)</f>
        <v>1.29</v>
      </c>
    </row>
    <row r="2398" spans="1:37" x14ac:dyDescent="0.25">
      <c r="A2398" t="s">
        <v>687</v>
      </c>
      <c r="B2398" t="s">
        <v>688</v>
      </c>
      <c r="C2398">
        <v>27</v>
      </c>
      <c r="D2398" t="s">
        <v>56</v>
      </c>
      <c r="E2398">
        <v>72</v>
      </c>
      <c r="F2398">
        <v>197</v>
      </c>
      <c r="G2398" t="s">
        <v>32</v>
      </c>
      <c r="H2398">
        <v>2020</v>
      </c>
      <c r="I2398" t="s">
        <v>33</v>
      </c>
      <c r="J2398">
        <v>8</v>
      </c>
      <c r="K2398">
        <v>3</v>
      </c>
      <c r="L2398">
        <v>2</v>
      </c>
      <c r="M2398">
        <v>0</v>
      </c>
      <c r="N2398">
        <v>2</v>
      </c>
      <c r="O2398">
        <v>0</v>
      </c>
      <c r="P2398">
        <v>1</v>
      </c>
      <c r="Q2398">
        <v>0</v>
      </c>
      <c r="R2398">
        <v>2</v>
      </c>
      <c r="S2398">
        <v>51</v>
      </c>
      <c r="T2398">
        <v>51</v>
      </c>
      <c r="U2398" s="5">
        <f>IF(Merge1[[#This Row],[team_defense_snaps]]=0, "", Merge1[[#This Row],[defense_snaps]] / Merge1[[#This Row],[team_defense_snaps]])</f>
        <v>0.92727272727272725</v>
      </c>
      <c r="V2398">
        <v>55</v>
      </c>
      <c r="W2398">
        <v>0</v>
      </c>
      <c r="X2398" s="5" t="s">
        <v>29</v>
      </c>
      <c r="Y2398">
        <v>5</v>
      </c>
      <c r="Z2398">
        <v>0</v>
      </c>
      <c r="AA2398" t="s">
        <v>25</v>
      </c>
      <c r="AB2398" t="s">
        <v>26</v>
      </c>
      <c r="AC2398" t="s">
        <v>27</v>
      </c>
      <c r="AD2398" t="s">
        <v>42</v>
      </c>
      <c r="AE2398" t="s">
        <v>25</v>
      </c>
      <c r="AF23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0.19607843137254902</v>
      </c>
      <c r="AG2398" t="s">
        <v>941</v>
      </c>
      <c r="AH2398">
        <v>70.5</v>
      </c>
      <c r="AI2398" t="s">
        <v>939</v>
      </c>
      <c r="AJ2398">
        <v>1</v>
      </c>
      <c r="AK23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MIN(AJ2398/8, 1) +
  Merge1[[#This Row],[index_defensive_effort]],
  2
)</f>
        <v>0.82</v>
      </c>
    </row>
    <row r="2399" spans="1:37" x14ac:dyDescent="0.25">
      <c r="A2399" t="s">
        <v>687</v>
      </c>
      <c r="B2399" t="s">
        <v>688</v>
      </c>
      <c r="C2399">
        <v>27</v>
      </c>
      <c r="D2399" t="s">
        <v>56</v>
      </c>
      <c r="E2399">
        <v>72</v>
      </c>
      <c r="F2399">
        <v>197</v>
      </c>
      <c r="G2399" t="s">
        <v>32</v>
      </c>
      <c r="H2399">
        <v>2020</v>
      </c>
      <c r="I2399" t="s">
        <v>33</v>
      </c>
      <c r="J2399">
        <v>9</v>
      </c>
      <c r="K2399">
        <v>4</v>
      </c>
      <c r="L2399">
        <v>3</v>
      </c>
      <c r="M2399">
        <v>3</v>
      </c>
      <c r="N2399">
        <v>6</v>
      </c>
      <c r="O2399">
        <v>0</v>
      </c>
      <c r="P2399">
        <v>0</v>
      </c>
      <c r="Q2399">
        <v>2</v>
      </c>
      <c r="R2399">
        <v>4</v>
      </c>
      <c r="S2399">
        <v>69</v>
      </c>
      <c r="T2399">
        <v>69</v>
      </c>
      <c r="U2399" s="5">
        <f>IF(Merge1[[#This Row],[team_defense_snaps]]=0, "", Merge1[[#This Row],[defense_snaps]] / Merge1[[#This Row],[team_defense_snaps]])</f>
        <v>1</v>
      </c>
      <c r="V2399">
        <v>69</v>
      </c>
      <c r="W2399">
        <v>0</v>
      </c>
      <c r="X2399" s="5" t="s">
        <v>29</v>
      </c>
      <c r="Y2399">
        <v>5</v>
      </c>
      <c r="Z2399">
        <v>0</v>
      </c>
      <c r="AA2399" t="s">
        <v>25</v>
      </c>
      <c r="AB2399" t="s">
        <v>26</v>
      </c>
      <c r="AC2399" t="s">
        <v>27</v>
      </c>
      <c r="AD2399" t="s">
        <v>42</v>
      </c>
      <c r="AE2399" t="s">
        <v>25</v>
      </c>
      <c r="AF23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0.33333333333333331</v>
      </c>
      <c r="AG2399" t="s">
        <v>941</v>
      </c>
      <c r="AH2399">
        <v>66</v>
      </c>
      <c r="AI2399" t="s">
        <v>939</v>
      </c>
      <c r="AJ2399">
        <v>2</v>
      </c>
      <c r="AK23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MIN(AJ2399/8, 1) +
  Merge1[[#This Row],[index_defensive_effort]],
  2
)</f>
        <v>1.08</v>
      </c>
    </row>
    <row r="2400" spans="1:37" x14ac:dyDescent="0.25">
      <c r="A2400" t="s">
        <v>687</v>
      </c>
      <c r="B2400" t="s">
        <v>688</v>
      </c>
      <c r="C2400">
        <v>27</v>
      </c>
      <c r="D2400" t="s">
        <v>56</v>
      </c>
      <c r="E2400">
        <v>72</v>
      </c>
      <c r="F2400">
        <v>197</v>
      </c>
      <c r="G2400" t="s">
        <v>32</v>
      </c>
      <c r="H2400">
        <v>2020</v>
      </c>
      <c r="I2400" t="s">
        <v>33</v>
      </c>
      <c r="J2400">
        <v>10</v>
      </c>
      <c r="K2400">
        <v>4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59</v>
      </c>
      <c r="T2400">
        <v>58</v>
      </c>
      <c r="U2400" s="5">
        <f>IF(Merge1[[#This Row],[team_defense_snaps]]=0, "", Merge1[[#This Row],[defense_snaps]] / Merge1[[#This Row],[team_defense_snaps]])</f>
        <v>1</v>
      </c>
      <c r="V2400">
        <v>58</v>
      </c>
      <c r="W2400">
        <v>1</v>
      </c>
      <c r="X2400" s="5" t="s">
        <v>193</v>
      </c>
      <c r="Y2400">
        <v>5</v>
      </c>
      <c r="Z2400">
        <v>0</v>
      </c>
      <c r="AA2400" t="s">
        <v>25</v>
      </c>
      <c r="AB2400" t="s">
        <v>26</v>
      </c>
      <c r="AC2400" t="s">
        <v>27</v>
      </c>
      <c r="AD2400" t="s">
        <v>42</v>
      </c>
      <c r="AE2400" t="s">
        <v>25</v>
      </c>
      <c r="AF24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6.7796610169491525E-2</v>
      </c>
      <c r="AG2400" t="s">
        <v>941</v>
      </c>
      <c r="AH2400">
        <v>52</v>
      </c>
      <c r="AI2400" t="s">
        <v>939</v>
      </c>
      <c r="AJ2400">
        <v>3</v>
      </c>
      <c r="AK24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MIN(AJ2400/8, 1) +
  Merge1[[#This Row],[index_defensive_effort]],
  2
)</f>
        <v>0.94</v>
      </c>
    </row>
    <row r="2401" spans="1:37" x14ac:dyDescent="0.25">
      <c r="A2401" t="s">
        <v>687</v>
      </c>
      <c r="B2401" t="s">
        <v>688</v>
      </c>
      <c r="C2401">
        <v>27</v>
      </c>
      <c r="D2401" t="s">
        <v>56</v>
      </c>
      <c r="E2401">
        <v>72</v>
      </c>
      <c r="F2401">
        <v>197</v>
      </c>
      <c r="G2401" t="s">
        <v>32</v>
      </c>
      <c r="H2401">
        <v>2020</v>
      </c>
      <c r="I2401" t="s">
        <v>33</v>
      </c>
      <c r="J2401">
        <v>11</v>
      </c>
      <c r="K2401">
        <v>3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68</v>
      </c>
      <c r="T2401">
        <v>68</v>
      </c>
      <c r="U2401" s="5">
        <f>IF(Merge1[[#This Row],[team_defense_snaps]]=0, "", Merge1[[#This Row],[defense_snaps]] / Merge1[[#This Row],[team_defense_snaps]])</f>
        <v>0.97142857142857142</v>
      </c>
      <c r="V2401">
        <v>70</v>
      </c>
      <c r="W2401">
        <v>0</v>
      </c>
      <c r="X2401" s="5" t="s">
        <v>29</v>
      </c>
      <c r="Y2401">
        <v>5</v>
      </c>
      <c r="Z2401">
        <v>0</v>
      </c>
      <c r="AA2401" t="s">
        <v>25</v>
      </c>
      <c r="AB2401" t="s">
        <v>26</v>
      </c>
      <c r="AC2401" t="s">
        <v>27</v>
      </c>
      <c r="AD2401" t="s">
        <v>42</v>
      </c>
      <c r="AE2401" t="s">
        <v>25</v>
      </c>
      <c r="AF24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4.4117647058823532E-2</v>
      </c>
      <c r="AG2401" t="s">
        <v>941</v>
      </c>
      <c r="AH2401">
        <v>67.5</v>
      </c>
      <c r="AI2401" t="s">
        <v>939</v>
      </c>
      <c r="AJ2401">
        <v>4</v>
      </c>
      <c r="AK24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MIN(AJ2401/8, 1) +
  Merge1[[#This Row],[index_defensive_effort]],
  2
)</f>
        <v>1.04</v>
      </c>
    </row>
    <row r="2402" spans="1:37" x14ac:dyDescent="0.25">
      <c r="A2402" t="s">
        <v>687</v>
      </c>
      <c r="B2402" t="s">
        <v>688</v>
      </c>
      <c r="C2402">
        <v>27</v>
      </c>
      <c r="D2402" t="s">
        <v>56</v>
      </c>
      <c r="E2402">
        <v>72</v>
      </c>
      <c r="F2402">
        <v>197</v>
      </c>
      <c r="G2402" t="s">
        <v>32</v>
      </c>
      <c r="H2402">
        <v>2020</v>
      </c>
      <c r="I2402" t="s">
        <v>33</v>
      </c>
      <c r="J2402">
        <v>12</v>
      </c>
      <c r="K2402">
        <v>6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67</v>
      </c>
      <c r="T2402">
        <v>67</v>
      </c>
      <c r="U2402" s="5">
        <f>IF(Merge1[[#This Row],[team_defense_snaps]]=0, "", Merge1[[#This Row],[defense_snaps]] / Merge1[[#This Row],[team_defense_snaps]])</f>
        <v>0.90540540540540537</v>
      </c>
      <c r="V2402">
        <v>74</v>
      </c>
      <c r="W2402">
        <v>0</v>
      </c>
      <c r="X2402" s="5" t="s">
        <v>29</v>
      </c>
      <c r="Y2402">
        <v>5</v>
      </c>
      <c r="Z2402">
        <v>0</v>
      </c>
      <c r="AA2402" t="s">
        <v>25</v>
      </c>
      <c r="AB2402" t="s">
        <v>26</v>
      </c>
      <c r="AC2402" t="s">
        <v>27</v>
      </c>
      <c r="AD2402" t="s">
        <v>42</v>
      </c>
      <c r="AE2402" t="s">
        <v>25</v>
      </c>
      <c r="AF24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8.9552238805970144E-2</v>
      </c>
      <c r="AG2402" t="s">
        <v>941</v>
      </c>
      <c r="AH2402">
        <v>61.5</v>
      </c>
      <c r="AI2402" t="s">
        <v>939</v>
      </c>
      <c r="AJ2402">
        <v>5</v>
      </c>
      <c r="AK24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MIN(AJ2402/8, 1) +
  Merge1[[#This Row],[index_defensive_effort]],
  2
)</f>
        <v>1.21</v>
      </c>
    </row>
    <row r="2403" spans="1:37" x14ac:dyDescent="0.25">
      <c r="A2403" t="s">
        <v>687</v>
      </c>
      <c r="B2403" t="s">
        <v>688</v>
      </c>
      <c r="C2403">
        <v>27</v>
      </c>
      <c r="D2403" t="s">
        <v>56</v>
      </c>
      <c r="E2403">
        <v>72</v>
      </c>
      <c r="F2403">
        <v>197</v>
      </c>
      <c r="G2403" t="s">
        <v>32</v>
      </c>
      <c r="H2403">
        <v>2020</v>
      </c>
      <c r="I2403" t="s">
        <v>33</v>
      </c>
      <c r="J2403">
        <v>13</v>
      </c>
      <c r="K2403">
        <v>5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79</v>
      </c>
      <c r="T2403">
        <v>79</v>
      </c>
      <c r="U2403" s="5">
        <f>IF(Merge1[[#This Row],[team_defense_snaps]]=0, "", Merge1[[#This Row],[defense_snaps]] / Merge1[[#This Row],[team_defense_snaps]])</f>
        <v>0.98750000000000004</v>
      </c>
      <c r="V2403">
        <v>80</v>
      </c>
      <c r="W2403">
        <v>0</v>
      </c>
      <c r="X2403" s="5" t="s">
        <v>29</v>
      </c>
      <c r="Y2403">
        <v>5</v>
      </c>
      <c r="Z2403">
        <v>0</v>
      </c>
      <c r="AA2403" t="s">
        <v>25</v>
      </c>
      <c r="AB2403" t="s">
        <v>26</v>
      </c>
      <c r="AC2403" t="s">
        <v>27</v>
      </c>
      <c r="AD2403" t="s">
        <v>42</v>
      </c>
      <c r="AE2403" t="s">
        <v>25</v>
      </c>
      <c r="AF24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6.3291139240506333E-2</v>
      </c>
      <c r="AG2403" t="s">
        <v>941</v>
      </c>
      <c r="AH2403">
        <v>55.5</v>
      </c>
      <c r="AI2403" t="s">
        <v>939</v>
      </c>
      <c r="AJ2403">
        <v>6</v>
      </c>
      <c r="AK24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MIN(AJ2403/8, 1) +
  Merge1[[#This Row],[index_defensive_effort]],
  2
)</f>
        <v>1.31</v>
      </c>
    </row>
    <row r="2404" spans="1:37" x14ac:dyDescent="0.25">
      <c r="A2404" t="s">
        <v>687</v>
      </c>
      <c r="B2404" t="s">
        <v>688</v>
      </c>
      <c r="C2404">
        <v>27</v>
      </c>
      <c r="D2404" t="s">
        <v>56</v>
      </c>
      <c r="E2404">
        <v>72</v>
      </c>
      <c r="F2404">
        <v>197</v>
      </c>
      <c r="G2404" t="s">
        <v>32</v>
      </c>
      <c r="H2404">
        <v>2020</v>
      </c>
      <c r="I2404" t="s">
        <v>33</v>
      </c>
      <c r="J2404">
        <v>14</v>
      </c>
      <c r="K2404">
        <v>4</v>
      </c>
      <c r="L2404">
        <v>1</v>
      </c>
      <c r="M2404">
        <v>0</v>
      </c>
      <c r="N2404">
        <v>1</v>
      </c>
      <c r="O2404">
        <v>0</v>
      </c>
      <c r="P2404">
        <v>0</v>
      </c>
      <c r="Q2404">
        <v>0</v>
      </c>
      <c r="R2404">
        <v>2</v>
      </c>
      <c r="S2404">
        <v>79</v>
      </c>
      <c r="T2404">
        <v>79</v>
      </c>
      <c r="U2404" s="5">
        <f>IF(Merge1[[#This Row],[team_defense_snaps]]=0, "", Merge1[[#This Row],[defense_snaps]] / Merge1[[#This Row],[team_defense_snaps]])</f>
        <v>0.92941176470588238</v>
      </c>
      <c r="V2404">
        <v>85</v>
      </c>
      <c r="W2404">
        <v>0</v>
      </c>
      <c r="X2404" s="5" t="s">
        <v>29</v>
      </c>
      <c r="Y2404">
        <v>5</v>
      </c>
      <c r="Z2404">
        <v>0</v>
      </c>
      <c r="AA2404" t="s">
        <v>25</v>
      </c>
      <c r="AB2404" t="s">
        <v>26</v>
      </c>
      <c r="AC2404" t="s">
        <v>27</v>
      </c>
      <c r="AD2404" t="s">
        <v>42</v>
      </c>
      <c r="AE2404" t="s">
        <v>25</v>
      </c>
      <c r="AF24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0.10759493670886076</v>
      </c>
      <c r="AG2404" t="s">
        <v>941</v>
      </c>
      <c r="AH2404">
        <v>57</v>
      </c>
      <c r="AI2404" t="s">
        <v>939</v>
      </c>
      <c r="AJ2404">
        <v>7</v>
      </c>
      <c r="AK24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MIN(AJ2404/8, 1) +
  Merge1[[#This Row],[index_defensive_effort]],
  2
)</f>
        <v>1.48</v>
      </c>
    </row>
    <row r="2405" spans="1:37" x14ac:dyDescent="0.25">
      <c r="A2405" t="s">
        <v>687</v>
      </c>
      <c r="B2405" t="s">
        <v>688</v>
      </c>
      <c r="C2405">
        <v>27</v>
      </c>
      <c r="D2405" t="s">
        <v>56</v>
      </c>
      <c r="E2405">
        <v>72</v>
      </c>
      <c r="F2405">
        <v>197</v>
      </c>
      <c r="G2405" t="s">
        <v>32</v>
      </c>
      <c r="H2405">
        <v>2020</v>
      </c>
      <c r="I2405" t="s">
        <v>33</v>
      </c>
      <c r="J2405">
        <v>17</v>
      </c>
      <c r="K2405">
        <v>1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2</v>
      </c>
      <c r="R2405">
        <v>0</v>
      </c>
      <c r="S2405">
        <v>32</v>
      </c>
      <c r="T2405">
        <v>32</v>
      </c>
      <c r="U2405" s="5">
        <f>IF(Merge1[[#This Row],[team_defense_snaps]]=0, "", Merge1[[#This Row],[defense_snaps]] / Merge1[[#This Row],[team_defense_snaps]])</f>
        <v>0.7441860465116279</v>
      </c>
      <c r="V2405">
        <v>43</v>
      </c>
      <c r="W2405">
        <v>0</v>
      </c>
      <c r="X2405" s="5" t="s">
        <v>29</v>
      </c>
      <c r="Y2405">
        <v>5</v>
      </c>
      <c r="Z2405">
        <v>0</v>
      </c>
      <c r="AA2405" t="s">
        <v>25</v>
      </c>
      <c r="AB2405" t="s">
        <v>36</v>
      </c>
      <c r="AC2405" t="s">
        <v>177</v>
      </c>
      <c r="AD2405" t="s">
        <v>42</v>
      </c>
      <c r="AE2405" t="s">
        <v>25</v>
      </c>
      <c r="AF24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0.28125</v>
      </c>
      <c r="AG2405" t="s">
        <v>941</v>
      </c>
      <c r="AH2405">
        <v>60</v>
      </c>
      <c r="AI2405" t="s">
        <v>939</v>
      </c>
      <c r="AJ2405">
        <v>1</v>
      </c>
      <c r="AK24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MIN(AJ2405/8, 1) +
  Merge1[[#This Row],[index_defensive_effort]],
  2
)</f>
        <v>0.91</v>
      </c>
    </row>
    <row r="2406" spans="1:37" x14ac:dyDescent="0.25">
      <c r="A2406" t="s">
        <v>687</v>
      </c>
      <c r="B2406" t="s">
        <v>688</v>
      </c>
      <c r="C2406">
        <v>27</v>
      </c>
      <c r="D2406" t="s">
        <v>56</v>
      </c>
      <c r="E2406">
        <v>72</v>
      </c>
      <c r="F2406">
        <v>197</v>
      </c>
      <c r="G2406" t="s">
        <v>32</v>
      </c>
      <c r="H2406">
        <v>2020</v>
      </c>
      <c r="I2406" t="s">
        <v>24</v>
      </c>
      <c r="J2406">
        <v>18</v>
      </c>
      <c r="K2406">
        <v>6</v>
      </c>
      <c r="L2406">
        <v>0</v>
      </c>
      <c r="M2406">
        <v>0</v>
      </c>
      <c r="N2406">
        <v>0</v>
      </c>
      <c r="O2406">
        <v>0</v>
      </c>
      <c r="P2406">
        <v>1</v>
      </c>
      <c r="Q2406">
        <v>2</v>
      </c>
      <c r="R2406">
        <v>0</v>
      </c>
      <c r="S2406">
        <v>50</v>
      </c>
      <c r="T2406">
        <v>50</v>
      </c>
      <c r="U2406" s="5">
        <f>IF(Merge1[[#This Row],[team_defense_snaps]]=0, "", Merge1[[#This Row],[defense_snaps]] / Merge1[[#This Row],[team_defense_snaps]])</f>
        <v>1</v>
      </c>
      <c r="V2406">
        <v>50</v>
      </c>
      <c r="W2406">
        <v>0</v>
      </c>
      <c r="X2406" s="5" t="s">
        <v>29</v>
      </c>
      <c r="Y2406">
        <v>5</v>
      </c>
      <c r="Z2406">
        <v>0</v>
      </c>
      <c r="AA2406" t="s">
        <v>25</v>
      </c>
      <c r="AB2406" t="s">
        <v>26</v>
      </c>
      <c r="AC2406" t="s">
        <v>27</v>
      </c>
      <c r="AD2406" t="s">
        <v>42</v>
      </c>
      <c r="AE2406" t="s">
        <v>25</v>
      </c>
      <c r="AF24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0.32</v>
      </c>
      <c r="AG2406" t="s">
        <v>941</v>
      </c>
      <c r="AH2406">
        <v>52.5</v>
      </c>
      <c r="AI2406" t="s">
        <v>939</v>
      </c>
      <c r="AJ2406">
        <v>2</v>
      </c>
      <c r="AK24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MIN(AJ2406/8, 1) +
  Merge1[[#This Row],[index_defensive_effort]],
  2
)</f>
        <v>1.27</v>
      </c>
    </row>
    <row r="2407" spans="1:37" x14ac:dyDescent="0.25">
      <c r="A2407" t="s">
        <v>687</v>
      </c>
      <c r="B2407" t="s">
        <v>688</v>
      </c>
      <c r="C2407">
        <v>27</v>
      </c>
      <c r="D2407" t="s">
        <v>56</v>
      </c>
      <c r="E2407">
        <v>72</v>
      </c>
      <c r="F2407">
        <v>197</v>
      </c>
      <c r="G2407" t="s">
        <v>32</v>
      </c>
      <c r="H2407">
        <v>2020</v>
      </c>
      <c r="I2407" t="s">
        <v>24</v>
      </c>
      <c r="J2407">
        <v>19</v>
      </c>
      <c r="K2407">
        <v>3</v>
      </c>
      <c r="L2407">
        <v>2</v>
      </c>
      <c r="M2407">
        <v>0</v>
      </c>
      <c r="N2407">
        <v>2</v>
      </c>
      <c r="O2407">
        <v>0</v>
      </c>
      <c r="P2407">
        <v>1</v>
      </c>
      <c r="Q2407">
        <v>0</v>
      </c>
      <c r="R2407">
        <v>0</v>
      </c>
      <c r="S2407">
        <v>56</v>
      </c>
      <c r="T2407">
        <v>56</v>
      </c>
      <c r="U2407" s="5">
        <f>IF(Merge1[[#This Row],[team_defense_snaps]]=0, "", Merge1[[#This Row],[defense_snaps]] / Merge1[[#This Row],[team_defense_snaps]])</f>
        <v>0.98245614035087714</v>
      </c>
      <c r="V2407">
        <v>57</v>
      </c>
      <c r="W2407">
        <v>0</v>
      </c>
      <c r="X2407" s="5" t="s">
        <v>29</v>
      </c>
      <c r="Y2407">
        <v>5</v>
      </c>
      <c r="Z2407">
        <v>0</v>
      </c>
      <c r="AA2407" t="s">
        <v>25</v>
      </c>
      <c r="AB2407" t="s">
        <v>36</v>
      </c>
      <c r="AC2407" t="s">
        <v>163</v>
      </c>
      <c r="AD2407" t="s">
        <v>42</v>
      </c>
      <c r="AE2407" t="s">
        <v>25</v>
      </c>
      <c r="AF24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0.10714285714285714</v>
      </c>
      <c r="AG2407" t="s">
        <v>941</v>
      </c>
      <c r="AH2407">
        <v>64.5</v>
      </c>
      <c r="AI2407" t="s">
        <v>939</v>
      </c>
      <c r="AJ2407">
        <v>3</v>
      </c>
      <c r="AK24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MIN(AJ2407/8, 1) +
  Merge1[[#This Row],[index_defensive_effort]],
  2
)</f>
        <v>1.18</v>
      </c>
    </row>
    <row r="2408" spans="1:37" x14ac:dyDescent="0.25">
      <c r="A2408" t="s">
        <v>693</v>
      </c>
      <c r="B2408" t="s">
        <v>694</v>
      </c>
      <c r="C2408">
        <v>24</v>
      </c>
      <c r="D2408" t="s">
        <v>22</v>
      </c>
      <c r="E2408">
        <v>73</v>
      </c>
      <c r="F2408">
        <v>204</v>
      </c>
      <c r="G2408" t="s">
        <v>28</v>
      </c>
      <c r="H2408">
        <v>2020</v>
      </c>
      <c r="I2408" t="s">
        <v>33</v>
      </c>
      <c r="J2408">
        <v>1</v>
      </c>
      <c r="K2408">
        <v>2</v>
      </c>
      <c r="L2408">
        <v>1</v>
      </c>
      <c r="M2408">
        <v>0</v>
      </c>
      <c r="N2408">
        <v>1</v>
      </c>
      <c r="O2408">
        <v>0</v>
      </c>
      <c r="P2408">
        <v>0</v>
      </c>
      <c r="Q2408">
        <v>2</v>
      </c>
      <c r="R2408">
        <v>0</v>
      </c>
      <c r="S2408">
        <v>71</v>
      </c>
      <c r="T2408">
        <v>70</v>
      </c>
      <c r="U2408" s="5">
        <f>IF(Merge1[[#This Row],[team_defense_snaps]]=0, "", Merge1[[#This Row],[defense_snaps]] / Merge1[[#This Row],[team_defense_snaps]])</f>
        <v>1</v>
      </c>
      <c r="V2408">
        <v>70</v>
      </c>
      <c r="W2408">
        <v>1</v>
      </c>
      <c r="X2408" s="5" t="s">
        <v>303</v>
      </c>
      <c r="Y2408">
        <v>3</v>
      </c>
      <c r="Z2408">
        <v>0</v>
      </c>
      <c r="AA2408" t="s">
        <v>25</v>
      </c>
      <c r="AB2408" t="s">
        <v>26</v>
      </c>
      <c r="AC2408" t="s">
        <v>27</v>
      </c>
      <c r="AD2408" t="s">
        <v>42</v>
      </c>
      <c r="AE2408" t="s">
        <v>25</v>
      </c>
      <c r="AF24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0.14788732394366197</v>
      </c>
      <c r="AG2408" t="s">
        <v>942</v>
      </c>
      <c r="AH2408">
        <v>82</v>
      </c>
      <c r="AI2408" t="s">
        <v>939</v>
      </c>
      <c r="AJ2408">
        <v>1</v>
      </c>
      <c r="AK24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MIN(AJ2408/8, 1) +
  Merge1[[#This Row],[index_defensive_effort]],
  2
)</f>
        <v>0.67</v>
      </c>
    </row>
    <row r="2409" spans="1:37" x14ac:dyDescent="0.25">
      <c r="A2409" t="s">
        <v>693</v>
      </c>
      <c r="B2409" t="s">
        <v>694</v>
      </c>
      <c r="C2409">
        <v>24</v>
      </c>
      <c r="D2409" t="s">
        <v>22</v>
      </c>
      <c r="E2409">
        <v>73</v>
      </c>
      <c r="F2409">
        <v>204</v>
      </c>
      <c r="G2409" t="s">
        <v>28</v>
      </c>
      <c r="H2409">
        <v>2020</v>
      </c>
      <c r="I2409" t="s">
        <v>33</v>
      </c>
      <c r="J2409">
        <v>2</v>
      </c>
      <c r="K2409">
        <v>7</v>
      </c>
      <c r="L2409">
        <v>2</v>
      </c>
      <c r="M2409">
        <v>0</v>
      </c>
      <c r="N2409">
        <v>2</v>
      </c>
      <c r="O2409">
        <v>0</v>
      </c>
      <c r="P2409">
        <v>0</v>
      </c>
      <c r="Q2409">
        <v>0</v>
      </c>
      <c r="R2409">
        <v>0</v>
      </c>
      <c r="S2409">
        <v>80</v>
      </c>
      <c r="T2409">
        <v>80</v>
      </c>
      <c r="U2409" s="5">
        <f>IF(Merge1[[#This Row],[team_defense_snaps]]=0, "", Merge1[[#This Row],[defense_snaps]] / Merge1[[#This Row],[team_defense_snaps]])</f>
        <v>0.98765432098765427</v>
      </c>
      <c r="V2409">
        <v>81</v>
      </c>
      <c r="W2409">
        <v>0</v>
      </c>
      <c r="X2409" s="5" t="s">
        <v>29</v>
      </c>
      <c r="Y2409">
        <v>3</v>
      </c>
      <c r="Z2409">
        <v>0</v>
      </c>
      <c r="AA2409" t="s">
        <v>25</v>
      </c>
      <c r="AB2409" t="s">
        <v>26</v>
      </c>
      <c r="AC2409" t="s">
        <v>27</v>
      </c>
      <c r="AD2409" t="s">
        <v>42</v>
      </c>
      <c r="AE2409" t="s">
        <v>25</v>
      </c>
      <c r="AF24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2409" t="s">
        <v>942</v>
      </c>
      <c r="AH2409">
        <v>73</v>
      </c>
      <c r="AI2409" t="s">
        <v>939</v>
      </c>
      <c r="AJ2409">
        <v>2</v>
      </c>
      <c r="AK24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MIN(AJ2409/8, 1) +
  Merge1[[#This Row],[index_defensive_effort]],
  2
)</f>
        <v>0.75</v>
      </c>
    </row>
    <row r="2410" spans="1:37" x14ac:dyDescent="0.25">
      <c r="A2410" t="s">
        <v>693</v>
      </c>
      <c r="B2410" t="s">
        <v>694</v>
      </c>
      <c r="C2410">
        <v>24</v>
      </c>
      <c r="D2410" t="s">
        <v>22</v>
      </c>
      <c r="E2410">
        <v>73</v>
      </c>
      <c r="F2410">
        <v>204</v>
      </c>
      <c r="G2410" t="s">
        <v>28</v>
      </c>
      <c r="H2410">
        <v>2020</v>
      </c>
      <c r="I2410" t="s">
        <v>33</v>
      </c>
      <c r="J2410">
        <v>3</v>
      </c>
      <c r="K2410">
        <v>1</v>
      </c>
      <c r="L2410">
        <v>1</v>
      </c>
      <c r="M2410">
        <v>0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63</v>
      </c>
      <c r="T2410">
        <v>62</v>
      </c>
      <c r="U2410" s="5">
        <f>IF(Merge1[[#This Row],[team_defense_snaps]]=0, "", Merge1[[#This Row],[defense_snaps]] / Merge1[[#This Row],[team_defense_snaps]])</f>
        <v>1</v>
      </c>
      <c r="V2410">
        <v>62</v>
      </c>
      <c r="W2410">
        <v>1</v>
      </c>
      <c r="X2410" s="5" t="s">
        <v>303</v>
      </c>
      <c r="Y2410">
        <v>3</v>
      </c>
      <c r="Z2410">
        <v>0</v>
      </c>
      <c r="AA2410" t="s">
        <v>25</v>
      </c>
      <c r="AB2410" t="s">
        <v>26</v>
      </c>
      <c r="AC2410" t="s">
        <v>27</v>
      </c>
      <c r="AD2410" t="s">
        <v>42</v>
      </c>
      <c r="AE2410" t="s">
        <v>25</v>
      </c>
      <c r="AF24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2.3809523809523808E-2</v>
      </c>
      <c r="AG2410" t="s">
        <v>942</v>
      </c>
      <c r="AH2410">
        <v>65</v>
      </c>
      <c r="AI2410" t="s">
        <v>939</v>
      </c>
      <c r="AJ2410">
        <v>3</v>
      </c>
      <c r="AK24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MIN(AJ2410/8, 1) +
  Merge1[[#This Row],[index_defensive_effort]],
  2
)</f>
        <v>0.8</v>
      </c>
    </row>
    <row r="2411" spans="1:37" x14ac:dyDescent="0.25">
      <c r="A2411" t="s">
        <v>693</v>
      </c>
      <c r="B2411" t="s">
        <v>694</v>
      </c>
      <c r="C2411">
        <v>24</v>
      </c>
      <c r="D2411" t="s">
        <v>22</v>
      </c>
      <c r="E2411">
        <v>73</v>
      </c>
      <c r="F2411">
        <v>204</v>
      </c>
      <c r="G2411" t="s">
        <v>28</v>
      </c>
      <c r="H2411">
        <v>2020</v>
      </c>
      <c r="I2411" t="s">
        <v>33</v>
      </c>
      <c r="J2411">
        <v>4</v>
      </c>
      <c r="K2411">
        <v>5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62</v>
      </c>
      <c r="T2411">
        <v>61</v>
      </c>
      <c r="U2411" s="5">
        <f>IF(Merge1[[#This Row],[team_defense_snaps]]=0, "", Merge1[[#This Row],[defense_snaps]] / Merge1[[#This Row],[team_defense_snaps]])</f>
        <v>1</v>
      </c>
      <c r="V2411">
        <v>61</v>
      </c>
      <c r="W2411">
        <v>1</v>
      </c>
      <c r="X2411" s="5" t="s">
        <v>193</v>
      </c>
      <c r="Y2411">
        <v>3</v>
      </c>
      <c r="Z2411">
        <v>0</v>
      </c>
      <c r="AA2411" t="s">
        <v>25</v>
      </c>
      <c r="AB2411" t="s">
        <v>26</v>
      </c>
      <c r="AC2411" t="s">
        <v>27</v>
      </c>
      <c r="AD2411" t="s">
        <v>42</v>
      </c>
      <c r="AE2411" t="s">
        <v>25</v>
      </c>
      <c r="AF24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8.0645161290322578E-2</v>
      </c>
      <c r="AG2411" t="s">
        <v>942</v>
      </c>
      <c r="AH2411">
        <v>79</v>
      </c>
      <c r="AI2411" t="s">
        <v>939</v>
      </c>
      <c r="AJ2411">
        <v>4</v>
      </c>
      <c r="AK24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MIN(AJ2411/8, 1) +
  Merge1[[#This Row],[index_defensive_effort]],
  2
)</f>
        <v>0.98</v>
      </c>
    </row>
    <row r="2412" spans="1:37" x14ac:dyDescent="0.25">
      <c r="A2412" t="s">
        <v>693</v>
      </c>
      <c r="B2412" t="s">
        <v>694</v>
      </c>
      <c r="C2412">
        <v>24</v>
      </c>
      <c r="D2412" t="s">
        <v>22</v>
      </c>
      <c r="E2412">
        <v>73</v>
      </c>
      <c r="F2412">
        <v>204</v>
      </c>
      <c r="G2412" t="s">
        <v>28</v>
      </c>
      <c r="H2412">
        <v>2020</v>
      </c>
      <c r="I2412" t="s">
        <v>33</v>
      </c>
      <c r="J2412">
        <v>5</v>
      </c>
      <c r="K2412">
        <v>2</v>
      </c>
      <c r="L2412">
        <v>0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71</v>
      </c>
      <c r="T2412">
        <v>71</v>
      </c>
      <c r="U2412" s="5">
        <f>IF(Merge1[[#This Row],[team_defense_snaps]]=0, "", Merge1[[#This Row],[defense_snaps]] / Merge1[[#This Row],[team_defense_snaps]])</f>
        <v>1</v>
      </c>
      <c r="V2412">
        <v>71</v>
      </c>
      <c r="W2412">
        <v>0</v>
      </c>
      <c r="X2412" s="5" t="s">
        <v>29</v>
      </c>
      <c r="Y2412">
        <v>3</v>
      </c>
      <c r="Z2412">
        <v>0</v>
      </c>
      <c r="AA2412" t="s">
        <v>25</v>
      </c>
      <c r="AB2412" t="s">
        <v>26</v>
      </c>
      <c r="AC2412" t="s">
        <v>27</v>
      </c>
      <c r="AD2412" t="s">
        <v>42</v>
      </c>
      <c r="AE2412" t="s">
        <v>25</v>
      </c>
      <c r="AF24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5.6338028169014086E-2</v>
      </c>
      <c r="AG2412" t="s">
        <v>942</v>
      </c>
      <c r="AH2412">
        <v>74.5</v>
      </c>
      <c r="AI2412" t="s">
        <v>939</v>
      </c>
      <c r="AJ2412">
        <v>5</v>
      </c>
      <c r="AK24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MIN(AJ2412/8, 1) +
  Merge1[[#This Row],[index_defensive_effort]],
  2
)</f>
        <v>1.08</v>
      </c>
    </row>
    <row r="2413" spans="1:37" x14ac:dyDescent="0.25">
      <c r="A2413" t="s">
        <v>693</v>
      </c>
      <c r="B2413" t="s">
        <v>694</v>
      </c>
      <c r="C2413">
        <v>24</v>
      </c>
      <c r="D2413" t="s">
        <v>22</v>
      </c>
      <c r="E2413">
        <v>73</v>
      </c>
      <c r="F2413">
        <v>204</v>
      </c>
      <c r="G2413" t="s">
        <v>28</v>
      </c>
      <c r="H2413">
        <v>2020</v>
      </c>
      <c r="I2413" t="s">
        <v>33</v>
      </c>
      <c r="J2413">
        <v>7</v>
      </c>
      <c r="K2413">
        <v>3</v>
      </c>
      <c r="L2413">
        <v>3</v>
      </c>
      <c r="M2413">
        <v>0</v>
      </c>
      <c r="N2413">
        <v>3</v>
      </c>
      <c r="O2413">
        <v>0</v>
      </c>
      <c r="P2413">
        <v>0</v>
      </c>
      <c r="Q2413">
        <v>0</v>
      </c>
      <c r="R2413">
        <v>0</v>
      </c>
      <c r="S2413">
        <v>46</v>
      </c>
      <c r="T2413">
        <v>46</v>
      </c>
      <c r="U2413" s="5">
        <f>IF(Merge1[[#This Row],[team_defense_snaps]]=0, "", Merge1[[#This Row],[defense_snaps]] / Merge1[[#This Row],[team_defense_snaps]])</f>
        <v>1</v>
      </c>
      <c r="V2413">
        <v>46</v>
      </c>
      <c r="W2413">
        <v>0</v>
      </c>
      <c r="X2413" s="5" t="s">
        <v>29</v>
      </c>
      <c r="Y2413">
        <v>3</v>
      </c>
      <c r="Z2413">
        <v>0</v>
      </c>
      <c r="AA2413" t="s">
        <v>25</v>
      </c>
      <c r="AB2413" t="s">
        <v>26</v>
      </c>
      <c r="AC2413" t="s">
        <v>27</v>
      </c>
      <c r="AD2413" t="s">
        <v>42</v>
      </c>
      <c r="AE2413" t="s">
        <v>25</v>
      </c>
      <c r="AF24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9.7826086956521743E-2</v>
      </c>
      <c r="AG2413" t="s">
        <v>942</v>
      </c>
      <c r="AH2413">
        <v>64</v>
      </c>
      <c r="AI2413" t="s">
        <v>939</v>
      </c>
      <c r="AJ2413">
        <v>1</v>
      </c>
      <c r="AK24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MIN(AJ2413/8, 1) +
  Merge1[[#This Row],[index_defensive_effort]],
  2
)</f>
        <v>0.62</v>
      </c>
    </row>
    <row r="2414" spans="1:37" x14ac:dyDescent="0.25">
      <c r="A2414" t="s">
        <v>693</v>
      </c>
      <c r="B2414" t="s">
        <v>694</v>
      </c>
      <c r="C2414">
        <v>24</v>
      </c>
      <c r="D2414" t="s">
        <v>22</v>
      </c>
      <c r="E2414">
        <v>73</v>
      </c>
      <c r="F2414">
        <v>204</v>
      </c>
      <c r="G2414" t="s">
        <v>28</v>
      </c>
      <c r="H2414">
        <v>2020</v>
      </c>
      <c r="I2414" t="s">
        <v>33</v>
      </c>
      <c r="J2414">
        <v>8</v>
      </c>
      <c r="K2414">
        <v>2</v>
      </c>
      <c r="L2414">
        <v>2</v>
      </c>
      <c r="M2414">
        <v>0</v>
      </c>
      <c r="N2414">
        <v>2</v>
      </c>
      <c r="O2414">
        <v>0</v>
      </c>
      <c r="P2414">
        <v>0</v>
      </c>
      <c r="Q2414">
        <v>0</v>
      </c>
      <c r="R2414">
        <v>0</v>
      </c>
      <c r="S2414">
        <v>70</v>
      </c>
      <c r="T2414">
        <v>70</v>
      </c>
      <c r="U2414" s="5">
        <f>IF(Merge1[[#This Row],[team_defense_snaps]]=0, "", Merge1[[#This Row],[defense_snaps]] / Merge1[[#This Row],[team_defense_snaps]])</f>
        <v>1</v>
      </c>
      <c r="V2414">
        <v>70</v>
      </c>
      <c r="W2414">
        <v>0</v>
      </c>
      <c r="X2414" s="5" t="s">
        <v>29</v>
      </c>
      <c r="Y2414">
        <v>3</v>
      </c>
      <c r="Z2414">
        <v>0</v>
      </c>
      <c r="AA2414" t="s">
        <v>25</v>
      </c>
      <c r="AB2414" t="s">
        <v>26</v>
      </c>
      <c r="AC2414" t="s">
        <v>27</v>
      </c>
      <c r="AD2414" t="s">
        <v>42</v>
      </c>
      <c r="AE2414" t="s">
        <v>25</v>
      </c>
      <c r="AF24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4.2857142857142858E-2</v>
      </c>
      <c r="AG2414" t="s">
        <v>942</v>
      </c>
      <c r="AH2414">
        <v>70</v>
      </c>
      <c r="AI2414" t="s">
        <v>939</v>
      </c>
      <c r="AJ2414">
        <v>2</v>
      </c>
      <c r="AK24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MIN(AJ2414/8, 1) +
  Merge1[[#This Row],[index_defensive_effort]],
  2
)</f>
        <v>0.69</v>
      </c>
    </row>
    <row r="2415" spans="1:37" x14ac:dyDescent="0.25">
      <c r="A2415" t="s">
        <v>693</v>
      </c>
      <c r="B2415" t="s">
        <v>694</v>
      </c>
      <c r="C2415">
        <v>24</v>
      </c>
      <c r="D2415" t="s">
        <v>22</v>
      </c>
      <c r="E2415">
        <v>73</v>
      </c>
      <c r="F2415">
        <v>204</v>
      </c>
      <c r="G2415" t="s">
        <v>28</v>
      </c>
      <c r="H2415">
        <v>2020</v>
      </c>
      <c r="I2415" t="s">
        <v>33</v>
      </c>
      <c r="J2415">
        <v>9</v>
      </c>
      <c r="K2415">
        <v>3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2</v>
      </c>
      <c r="R2415">
        <v>0</v>
      </c>
      <c r="S2415">
        <v>50</v>
      </c>
      <c r="T2415">
        <v>49</v>
      </c>
      <c r="U2415" s="5">
        <f>IF(Merge1[[#This Row],[team_defense_snaps]]=0, "", Merge1[[#This Row],[defense_snaps]] / Merge1[[#This Row],[team_defense_snaps]])</f>
        <v>0.98</v>
      </c>
      <c r="V2415">
        <v>50</v>
      </c>
      <c r="W2415">
        <v>1</v>
      </c>
      <c r="X2415" s="5" t="s">
        <v>34</v>
      </c>
      <c r="Y2415">
        <v>3</v>
      </c>
      <c r="Z2415">
        <v>0</v>
      </c>
      <c r="AA2415" t="s">
        <v>25</v>
      </c>
      <c r="AB2415" t="s">
        <v>26</v>
      </c>
      <c r="AC2415" t="s">
        <v>27</v>
      </c>
      <c r="AD2415" t="s">
        <v>42</v>
      </c>
      <c r="AE2415" t="s">
        <v>25</v>
      </c>
      <c r="AF24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0.22</v>
      </c>
      <c r="AG2415" t="s">
        <v>942</v>
      </c>
      <c r="AH2415">
        <v>85</v>
      </c>
      <c r="AI2415" t="s">
        <v>939</v>
      </c>
      <c r="AJ2415">
        <v>3</v>
      </c>
      <c r="AK24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MIN(AJ2415/8, 1) +
  Merge1[[#This Row],[index_defensive_effort]],
  2
)</f>
        <v>1</v>
      </c>
    </row>
    <row r="2416" spans="1:37" x14ac:dyDescent="0.25">
      <c r="A2416" t="s">
        <v>693</v>
      </c>
      <c r="B2416" t="s">
        <v>694</v>
      </c>
      <c r="C2416">
        <v>24</v>
      </c>
      <c r="D2416" t="s">
        <v>22</v>
      </c>
      <c r="E2416">
        <v>73</v>
      </c>
      <c r="F2416">
        <v>204</v>
      </c>
      <c r="G2416" t="s">
        <v>28</v>
      </c>
      <c r="H2416">
        <v>2020</v>
      </c>
      <c r="I2416" t="s">
        <v>33</v>
      </c>
      <c r="J2416">
        <v>10</v>
      </c>
      <c r="K2416">
        <v>4</v>
      </c>
      <c r="L2416">
        <v>5</v>
      </c>
      <c r="M2416">
        <v>0</v>
      </c>
      <c r="N2416">
        <v>5</v>
      </c>
      <c r="O2416">
        <v>0</v>
      </c>
      <c r="P2416">
        <v>1</v>
      </c>
      <c r="Q2416">
        <v>0</v>
      </c>
      <c r="R2416">
        <v>0</v>
      </c>
      <c r="S2416">
        <v>72</v>
      </c>
      <c r="T2416">
        <v>71</v>
      </c>
      <c r="U2416" s="5">
        <f>IF(Merge1[[#This Row],[team_defense_snaps]]=0, "", Merge1[[#This Row],[defense_snaps]] / Merge1[[#This Row],[team_defense_snaps]])</f>
        <v>0.98611111111111116</v>
      </c>
      <c r="V2416">
        <v>72</v>
      </c>
      <c r="W2416">
        <v>1</v>
      </c>
      <c r="X2416" s="5" t="s">
        <v>193</v>
      </c>
      <c r="Y2416">
        <v>3</v>
      </c>
      <c r="Z2416">
        <v>0</v>
      </c>
      <c r="AA2416" t="s">
        <v>25</v>
      </c>
      <c r="AB2416" t="s">
        <v>26</v>
      </c>
      <c r="AC2416" t="s">
        <v>27</v>
      </c>
      <c r="AD2416" t="s">
        <v>42</v>
      </c>
      <c r="AE2416" t="s">
        <v>25</v>
      </c>
      <c r="AF24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0.11805555555555555</v>
      </c>
      <c r="AG2416" t="s">
        <v>942</v>
      </c>
      <c r="AH2416">
        <v>67</v>
      </c>
      <c r="AI2416" t="s">
        <v>939</v>
      </c>
      <c r="AJ2416">
        <v>4</v>
      </c>
      <c r="AK24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MIN(AJ2416/8, 1) +
  Merge1[[#This Row],[index_defensive_effort]],
  2
)</f>
        <v>1.02</v>
      </c>
    </row>
    <row r="2417" spans="1:37" x14ac:dyDescent="0.25">
      <c r="A2417" t="s">
        <v>693</v>
      </c>
      <c r="B2417" t="s">
        <v>694</v>
      </c>
      <c r="C2417">
        <v>24</v>
      </c>
      <c r="D2417" t="s">
        <v>22</v>
      </c>
      <c r="E2417">
        <v>73</v>
      </c>
      <c r="F2417">
        <v>204</v>
      </c>
      <c r="G2417" t="s">
        <v>28</v>
      </c>
      <c r="H2417">
        <v>2020</v>
      </c>
      <c r="I2417" t="s">
        <v>33</v>
      </c>
      <c r="J2417">
        <v>11</v>
      </c>
      <c r="K2417">
        <v>4</v>
      </c>
      <c r="L2417">
        <v>1</v>
      </c>
      <c r="M2417">
        <v>0</v>
      </c>
      <c r="N2417">
        <v>1</v>
      </c>
      <c r="O2417">
        <v>0</v>
      </c>
      <c r="P2417">
        <v>0</v>
      </c>
      <c r="Q2417">
        <v>2</v>
      </c>
      <c r="R2417">
        <v>0</v>
      </c>
      <c r="S2417">
        <v>62</v>
      </c>
      <c r="T2417">
        <v>62</v>
      </c>
      <c r="U2417" s="5">
        <f>IF(Merge1[[#This Row],[team_defense_snaps]]=0, "", Merge1[[#This Row],[defense_snaps]] / Merge1[[#This Row],[team_defense_snaps]])</f>
        <v>1</v>
      </c>
      <c r="V2417">
        <v>62</v>
      </c>
      <c r="W2417">
        <v>0</v>
      </c>
      <c r="X2417" s="5" t="s">
        <v>29</v>
      </c>
      <c r="Y2417">
        <v>3</v>
      </c>
      <c r="Z2417">
        <v>0</v>
      </c>
      <c r="AA2417" t="s">
        <v>25</v>
      </c>
      <c r="AB2417" t="s">
        <v>26</v>
      </c>
      <c r="AC2417" t="s">
        <v>27</v>
      </c>
      <c r="AD2417" t="s">
        <v>42</v>
      </c>
      <c r="AE2417" t="s">
        <v>25</v>
      </c>
      <c r="AF24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0.20161290322580644</v>
      </c>
      <c r="AG2417" t="s">
        <v>942</v>
      </c>
      <c r="AH2417">
        <v>80.5</v>
      </c>
      <c r="AI2417" t="s">
        <v>939</v>
      </c>
      <c r="AJ2417">
        <v>5</v>
      </c>
      <c r="AK24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MIN(AJ2417/8, 1) +
  Merge1[[#This Row],[index_defensive_effort]],
  2
)</f>
        <v>1.23</v>
      </c>
    </row>
    <row r="2418" spans="1:37" x14ac:dyDescent="0.25">
      <c r="A2418" t="s">
        <v>693</v>
      </c>
      <c r="B2418" t="s">
        <v>694</v>
      </c>
      <c r="C2418">
        <v>24</v>
      </c>
      <c r="D2418" t="s">
        <v>22</v>
      </c>
      <c r="E2418">
        <v>73</v>
      </c>
      <c r="F2418">
        <v>204</v>
      </c>
      <c r="G2418" t="s">
        <v>28</v>
      </c>
      <c r="H2418">
        <v>2020</v>
      </c>
      <c r="I2418" t="s">
        <v>33</v>
      </c>
      <c r="J2418">
        <v>12</v>
      </c>
      <c r="K2418">
        <v>1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36</v>
      </c>
      <c r="T2418">
        <v>36</v>
      </c>
      <c r="U2418" s="5">
        <f>IF(Merge1[[#This Row],[team_defense_snaps]]=0, "", Merge1[[#This Row],[defense_snaps]] / Merge1[[#This Row],[team_defense_snaps]])</f>
        <v>0.81818181818181823</v>
      </c>
      <c r="V2418">
        <v>44</v>
      </c>
      <c r="W2418">
        <v>0</v>
      </c>
      <c r="X2418" s="5" t="s">
        <v>29</v>
      </c>
      <c r="Y2418">
        <v>3</v>
      </c>
      <c r="Z2418">
        <v>0</v>
      </c>
      <c r="AA2418" t="s">
        <v>25</v>
      </c>
      <c r="AB2418" t="s">
        <v>26</v>
      </c>
      <c r="AC2418" t="s">
        <v>27</v>
      </c>
      <c r="AD2418" t="s">
        <v>42</v>
      </c>
      <c r="AE2418" t="s">
        <v>25</v>
      </c>
      <c r="AF24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2.7777777777777776E-2</v>
      </c>
      <c r="AG2418" t="s">
        <v>942</v>
      </c>
      <c r="AH2418">
        <v>76</v>
      </c>
      <c r="AI2418" t="s">
        <v>939</v>
      </c>
      <c r="AJ2418">
        <v>6</v>
      </c>
      <c r="AK24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MIN(AJ2418/8, 1) +
  Merge1[[#This Row],[index_defensive_effort]],
  2
)</f>
        <v>1.18</v>
      </c>
    </row>
    <row r="2419" spans="1:37" x14ac:dyDescent="0.25">
      <c r="A2419" t="s">
        <v>693</v>
      </c>
      <c r="B2419" t="s">
        <v>694</v>
      </c>
      <c r="C2419">
        <v>24</v>
      </c>
      <c r="D2419" t="s">
        <v>22</v>
      </c>
      <c r="E2419">
        <v>73</v>
      </c>
      <c r="F2419">
        <v>204</v>
      </c>
      <c r="G2419" t="s">
        <v>28</v>
      </c>
      <c r="H2419">
        <v>2020</v>
      </c>
      <c r="I2419" t="s">
        <v>33</v>
      </c>
      <c r="J2419">
        <v>13</v>
      </c>
      <c r="K2419">
        <v>5</v>
      </c>
      <c r="L2419">
        <v>2</v>
      </c>
      <c r="M2419">
        <v>0</v>
      </c>
      <c r="N2419">
        <v>2</v>
      </c>
      <c r="O2419">
        <v>0</v>
      </c>
      <c r="P2419">
        <v>0</v>
      </c>
      <c r="Q2419">
        <v>0</v>
      </c>
      <c r="R2419">
        <v>0</v>
      </c>
      <c r="S2419">
        <v>67</v>
      </c>
      <c r="T2419">
        <v>67</v>
      </c>
      <c r="U2419" s="5">
        <f>IF(Merge1[[#This Row],[team_defense_snaps]]=0, "", Merge1[[#This Row],[defense_snaps]] / Merge1[[#This Row],[team_defense_snaps]])</f>
        <v>1</v>
      </c>
      <c r="V2419">
        <v>67</v>
      </c>
      <c r="W2419">
        <v>0</v>
      </c>
      <c r="X2419" s="5" t="s">
        <v>29</v>
      </c>
      <c r="Y2419">
        <v>3</v>
      </c>
      <c r="Z2419">
        <v>0</v>
      </c>
      <c r="AA2419" t="s">
        <v>25</v>
      </c>
      <c r="AB2419" t="s">
        <v>26</v>
      </c>
      <c r="AC2419" t="s">
        <v>27</v>
      </c>
      <c r="AD2419" t="s">
        <v>42</v>
      </c>
      <c r="AE2419" t="s">
        <v>25</v>
      </c>
      <c r="AF24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8.9552238805970144E-2</v>
      </c>
      <c r="AG2419" t="s">
        <v>942</v>
      </c>
      <c r="AH2419">
        <v>68.5</v>
      </c>
      <c r="AI2419" t="s">
        <v>939</v>
      </c>
      <c r="AJ2419">
        <v>7</v>
      </c>
      <c r="AK24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MIN(AJ2419/8, 1) +
  Merge1[[#This Row],[index_defensive_effort]],
  2
)</f>
        <v>1.36</v>
      </c>
    </row>
    <row r="2420" spans="1:37" x14ac:dyDescent="0.25">
      <c r="A2420" t="s">
        <v>693</v>
      </c>
      <c r="B2420" t="s">
        <v>694</v>
      </c>
      <c r="C2420">
        <v>24</v>
      </c>
      <c r="D2420" t="s">
        <v>22</v>
      </c>
      <c r="E2420">
        <v>73</v>
      </c>
      <c r="F2420">
        <v>204</v>
      </c>
      <c r="G2420" t="s">
        <v>28</v>
      </c>
      <c r="H2420">
        <v>2020</v>
      </c>
      <c r="I2420" t="s">
        <v>33</v>
      </c>
      <c r="J2420">
        <v>14</v>
      </c>
      <c r="K2420">
        <v>5</v>
      </c>
      <c r="L2420">
        <v>2</v>
      </c>
      <c r="M2420">
        <v>0</v>
      </c>
      <c r="N2420">
        <v>2</v>
      </c>
      <c r="O2420">
        <v>0</v>
      </c>
      <c r="P2420">
        <v>0</v>
      </c>
      <c r="Q2420">
        <v>0</v>
      </c>
      <c r="R2420">
        <v>0</v>
      </c>
      <c r="S2420">
        <v>70</v>
      </c>
      <c r="T2420">
        <v>69</v>
      </c>
      <c r="U2420" s="5">
        <f>IF(Merge1[[#This Row],[team_defense_snaps]]=0, "", Merge1[[#This Row],[defense_snaps]] / Merge1[[#This Row],[team_defense_snaps]])</f>
        <v>1</v>
      </c>
      <c r="V2420">
        <v>69</v>
      </c>
      <c r="W2420">
        <v>1</v>
      </c>
      <c r="X2420" s="5" t="s">
        <v>193</v>
      </c>
      <c r="Y2420">
        <v>3</v>
      </c>
      <c r="Z2420">
        <v>0</v>
      </c>
      <c r="AA2420" t="s">
        <v>25</v>
      </c>
      <c r="AB2420" t="s">
        <v>26</v>
      </c>
      <c r="AC2420" t="s">
        <v>27</v>
      </c>
      <c r="AD2420" t="s">
        <v>42</v>
      </c>
      <c r="AE2420" t="s">
        <v>25</v>
      </c>
      <c r="AF24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8.5714285714285715E-2</v>
      </c>
      <c r="AG2420" t="s">
        <v>942</v>
      </c>
      <c r="AH2420">
        <v>65.5</v>
      </c>
      <c r="AI2420" t="s">
        <v>939</v>
      </c>
      <c r="AJ2420">
        <v>8</v>
      </c>
      <c r="AK24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MIN(AJ2420/8, 1) +
  Merge1[[#This Row],[index_defensive_effort]],
  2
)</f>
        <v>1.49</v>
      </c>
    </row>
    <row r="2421" spans="1:37" x14ac:dyDescent="0.25">
      <c r="A2421" t="s">
        <v>693</v>
      </c>
      <c r="B2421" t="s">
        <v>694</v>
      </c>
      <c r="C2421">
        <v>24</v>
      </c>
      <c r="D2421" t="s">
        <v>22</v>
      </c>
      <c r="E2421">
        <v>73</v>
      </c>
      <c r="F2421">
        <v>204</v>
      </c>
      <c r="G2421" t="s">
        <v>28</v>
      </c>
      <c r="H2421">
        <v>2020</v>
      </c>
      <c r="I2421" t="s">
        <v>33</v>
      </c>
      <c r="J2421">
        <v>15</v>
      </c>
      <c r="K2421">
        <v>1</v>
      </c>
      <c r="L2421">
        <v>1</v>
      </c>
      <c r="M2421">
        <v>0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66</v>
      </c>
      <c r="T2421">
        <v>66</v>
      </c>
      <c r="U2421" s="5">
        <f>IF(Merge1[[#This Row],[team_defense_snaps]]=0, "", Merge1[[#This Row],[defense_snaps]] / Merge1[[#This Row],[team_defense_snaps]])</f>
        <v>0.66666666666666663</v>
      </c>
      <c r="V2421">
        <v>99</v>
      </c>
      <c r="W2421">
        <v>0</v>
      </c>
      <c r="X2421" s="5" t="s">
        <v>29</v>
      </c>
      <c r="Y2421">
        <v>3</v>
      </c>
      <c r="Z2421">
        <v>0</v>
      </c>
      <c r="AA2421" t="s">
        <v>25</v>
      </c>
      <c r="AB2421" t="s">
        <v>26</v>
      </c>
      <c r="AC2421" t="s">
        <v>27</v>
      </c>
      <c r="AD2421" t="s">
        <v>42</v>
      </c>
      <c r="AE2421" t="s">
        <v>25</v>
      </c>
      <c r="AF24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2.2727272727272728E-2</v>
      </c>
      <c r="AG2421" t="s">
        <v>942</v>
      </c>
      <c r="AH2421">
        <v>83.5</v>
      </c>
      <c r="AI2421" t="s">
        <v>939</v>
      </c>
      <c r="AJ2421">
        <v>9</v>
      </c>
      <c r="AK24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MIN(AJ2421/8, 1) +
  Merge1[[#This Row],[index_defensive_effort]],
  2
)</f>
        <v>1.42</v>
      </c>
    </row>
    <row r="2422" spans="1:37" x14ac:dyDescent="0.25">
      <c r="A2422" t="s">
        <v>693</v>
      </c>
      <c r="B2422" t="s">
        <v>694</v>
      </c>
      <c r="C2422">
        <v>24</v>
      </c>
      <c r="D2422" t="s">
        <v>22</v>
      </c>
      <c r="E2422">
        <v>73</v>
      </c>
      <c r="F2422">
        <v>204</v>
      </c>
      <c r="G2422" t="s">
        <v>28</v>
      </c>
      <c r="H2422">
        <v>2020</v>
      </c>
      <c r="I2422" t="s">
        <v>24</v>
      </c>
      <c r="J2422">
        <v>18</v>
      </c>
      <c r="K2422">
        <v>3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49</v>
      </c>
      <c r="T2422">
        <v>49</v>
      </c>
      <c r="U2422" s="5">
        <f>IF(Merge1[[#This Row],[team_defense_snaps]]=0, "", Merge1[[#This Row],[defense_snaps]] / Merge1[[#This Row],[team_defense_snaps]])</f>
        <v>1</v>
      </c>
      <c r="V2422">
        <v>49</v>
      </c>
      <c r="W2422">
        <v>0</v>
      </c>
      <c r="X2422" s="5" t="s">
        <v>29</v>
      </c>
      <c r="Y2422">
        <v>3</v>
      </c>
      <c r="Z2422">
        <v>0</v>
      </c>
      <c r="AA2422" t="s">
        <v>25</v>
      </c>
      <c r="AB2422" t="s">
        <v>26</v>
      </c>
      <c r="AC2422" t="s">
        <v>27</v>
      </c>
      <c r="AD2422" t="s">
        <v>42</v>
      </c>
      <c r="AE2422" t="s">
        <v>25</v>
      </c>
      <c r="AF24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6.1224489795918366E-2</v>
      </c>
      <c r="AG2422" t="s">
        <v>942</v>
      </c>
      <c r="AH2422">
        <v>71.5</v>
      </c>
      <c r="AI2422" t="s">
        <v>939</v>
      </c>
      <c r="AJ2422">
        <v>1</v>
      </c>
      <c r="AK24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MIN(AJ2422/8, 1) +
  Merge1[[#This Row],[index_defensive_effort]],
  2
)</f>
        <v>0.79</v>
      </c>
    </row>
    <row r="2423" spans="1:37" x14ac:dyDescent="0.25">
      <c r="A2423" t="s">
        <v>693</v>
      </c>
      <c r="B2423" t="s">
        <v>694</v>
      </c>
      <c r="C2423">
        <v>24</v>
      </c>
      <c r="D2423" t="s">
        <v>22</v>
      </c>
      <c r="E2423">
        <v>73</v>
      </c>
      <c r="F2423">
        <v>204</v>
      </c>
      <c r="G2423" t="s">
        <v>28</v>
      </c>
      <c r="H2423">
        <v>2020</v>
      </c>
      <c r="I2423" t="s">
        <v>24</v>
      </c>
      <c r="J2423">
        <v>19</v>
      </c>
      <c r="K2423">
        <v>4</v>
      </c>
      <c r="L2423">
        <v>1</v>
      </c>
      <c r="M2423">
        <v>0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70</v>
      </c>
      <c r="T2423">
        <v>70</v>
      </c>
      <c r="U2423" s="5">
        <f>IF(Merge1[[#This Row],[team_defense_snaps]]=0, "", Merge1[[#This Row],[defense_snaps]] / Merge1[[#This Row],[team_defense_snaps]])</f>
        <v>1</v>
      </c>
      <c r="V2423">
        <v>70</v>
      </c>
      <c r="W2423">
        <v>0</v>
      </c>
      <c r="X2423" s="5" t="s">
        <v>29</v>
      </c>
      <c r="Y2423">
        <v>3</v>
      </c>
      <c r="Z2423">
        <v>0</v>
      </c>
      <c r="AA2423" t="s">
        <v>25</v>
      </c>
      <c r="AB2423" t="s">
        <v>26</v>
      </c>
      <c r="AC2423" t="s">
        <v>27</v>
      </c>
      <c r="AD2423" t="s">
        <v>42</v>
      </c>
      <c r="AE2423" t="s">
        <v>25</v>
      </c>
      <c r="AF24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6.4285714285714279E-2</v>
      </c>
      <c r="AG2423" t="s">
        <v>942</v>
      </c>
      <c r="AH2423">
        <v>65</v>
      </c>
      <c r="AI2423" t="s">
        <v>939</v>
      </c>
      <c r="AJ2423">
        <v>2</v>
      </c>
      <c r="AK24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MIN(AJ2423/8, 1) +
  Merge1[[#This Row],[index_defensive_effort]],
  2
)</f>
        <v>0.91</v>
      </c>
    </row>
    <row r="2424" spans="1:37" x14ac:dyDescent="0.25">
      <c r="A2424" t="s">
        <v>904</v>
      </c>
      <c r="B2424" t="s">
        <v>905</v>
      </c>
      <c r="C2424">
        <v>24</v>
      </c>
      <c r="D2424" t="s">
        <v>56</v>
      </c>
      <c r="E2424">
        <v>70</v>
      </c>
      <c r="F2424">
        <v>192</v>
      </c>
      <c r="G2424" t="s">
        <v>117</v>
      </c>
      <c r="H2424">
        <v>2020</v>
      </c>
      <c r="I2424" t="s">
        <v>33</v>
      </c>
      <c r="J2424">
        <v>8</v>
      </c>
      <c r="K2424">
        <v>1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 s="5">
        <f>IF(Merge1[[#This Row],[team_defense_snaps]]=0, "", Merge1[[#This Row],[defense_snaps]] / Merge1[[#This Row],[team_defense_snaps]])</f>
        <v>0</v>
      </c>
      <c r="V2424">
        <v>74</v>
      </c>
      <c r="W2424">
        <v>0</v>
      </c>
      <c r="X2424" s="5">
        <v>0</v>
      </c>
      <c r="Y2424">
        <v>1</v>
      </c>
      <c r="Z2424">
        <v>0</v>
      </c>
      <c r="AA2424" t="s">
        <v>25</v>
      </c>
      <c r="AB2424" t="s">
        <v>36</v>
      </c>
      <c r="AC2424" t="s">
        <v>147</v>
      </c>
      <c r="AD2424" t="s">
        <v>42</v>
      </c>
      <c r="AE2424" t="s">
        <v>25</v>
      </c>
      <c r="AF24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424" t="s">
        <v>942</v>
      </c>
      <c r="AH2424">
        <v>59.5</v>
      </c>
      <c r="AI2424" t="s">
        <v>939</v>
      </c>
      <c r="AJ2424">
        <v>1</v>
      </c>
      <c r="AK24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MIN(AJ2424/8, 1) +
  Merge1[[#This Row],[index_defensive_effort]],
  2
)</f>
        <v>0.63</v>
      </c>
    </row>
    <row r="2425" spans="1:37" x14ac:dyDescent="0.25">
      <c r="A2425" t="s">
        <v>671</v>
      </c>
      <c r="B2425" t="s">
        <v>672</v>
      </c>
      <c r="C2425">
        <v>24</v>
      </c>
      <c r="D2425" t="s">
        <v>56</v>
      </c>
      <c r="E2425">
        <v>72</v>
      </c>
      <c r="F2425">
        <v>203</v>
      </c>
      <c r="G2425" t="s">
        <v>32</v>
      </c>
      <c r="H2425">
        <v>2020</v>
      </c>
      <c r="I2425" t="s">
        <v>33</v>
      </c>
      <c r="J2425">
        <v>1</v>
      </c>
      <c r="K2425">
        <v>3</v>
      </c>
      <c r="L2425">
        <v>0</v>
      </c>
      <c r="M2425">
        <v>0</v>
      </c>
      <c r="N2425">
        <v>0</v>
      </c>
      <c r="O2425">
        <v>0</v>
      </c>
      <c r="P2425">
        <v>1</v>
      </c>
      <c r="Q2425">
        <v>2</v>
      </c>
      <c r="R2425">
        <v>0</v>
      </c>
      <c r="S2425">
        <v>72</v>
      </c>
      <c r="T2425">
        <v>69</v>
      </c>
      <c r="U2425" s="5">
        <f>IF(Merge1[[#This Row],[team_defense_snaps]]=0, "", Merge1[[#This Row],[defense_snaps]] / Merge1[[#This Row],[team_defense_snaps]])</f>
        <v>0.9452054794520548</v>
      </c>
      <c r="V2425">
        <v>73</v>
      </c>
      <c r="W2425">
        <v>3</v>
      </c>
      <c r="X2425" s="5" t="s">
        <v>251</v>
      </c>
      <c r="Y2425">
        <v>3</v>
      </c>
      <c r="Z2425">
        <v>0</v>
      </c>
      <c r="AA2425" t="s">
        <v>25</v>
      </c>
      <c r="AB2425" t="s">
        <v>26</v>
      </c>
      <c r="AC2425" t="s">
        <v>27</v>
      </c>
      <c r="AD2425" t="s">
        <v>42</v>
      </c>
      <c r="AE2425" t="s">
        <v>25</v>
      </c>
      <c r="AF24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0.18055555555555555</v>
      </c>
      <c r="AG2425" t="s">
        <v>941</v>
      </c>
      <c r="AH2425">
        <v>52.5</v>
      </c>
      <c r="AI2425" t="s">
        <v>939</v>
      </c>
      <c r="AJ2425">
        <v>1</v>
      </c>
      <c r="AK24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MIN(AJ2425/8, 1) +
  Merge1[[#This Row],[index_defensive_effort]],
  2
)</f>
        <v>0.81</v>
      </c>
    </row>
    <row r="2426" spans="1:37" x14ac:dyDescent="0.25">
      <c r="A2426" t="s">
        <v>671</v>
      </c>
      <c r="B2426" t="s">
        <v>672</v>
      </c>
      <c r="C2426">
        <v>24</v>
      </c>
      <c r="D2426" t="s">
        <v>56</v>
      </c>
      <c r="E2426">
        <v>72</v>
      </c>
      <c r="F2426">
        <v>203</v>
      </c>
      <c r="G2426" t="s">
        <v>32</v>
      </c>
      <c r="H2426">
        <v>2020</v>
      </c>
      <c r="I2426" t="s">
        <v>33</v>
      </c>
      <c r="J2426">
        <v>2</v>
      </c>
      <c r="K2426">
        <v>5</v>
      </c>
      <c r="L2426">
        <v>4</v>
      </c>
      <c r="M2426">
        <v>1</v>
      </c>
      <c r="N2426">
        <v>5</v>
      </c>
      <c r="O2426">
        <v>3</v>
      </c>
      <c r="P2426">
        <v>4</v>
      </c>
      <c r="Q2426">
        <v>0</v>
      </c>
      <c r="R2426">
        <v>2</v>
      </c>
      <c r="S2426">
        <v>64</v>
      </c>
      <c r="T2426">
        <v>59</v>
      </c>
      <c r="U2426" s="5">
        <f>IF(Merge1[[#This Row],[team_defense_snaps]]=0, "", Merge1[[#This Row],[defense_snaps]] / Merge1[[#This Row],[team_defense_snaps]])</f>
        <v>1</v>
      </c>
      <c r="V2426">
        <v>59</v>
      </c>
      <c r="W2426">
        <v>5</v>
      </c>
      <c r="X2426" s="5" t="s">
        <v>181</v>
      </c>
      <c r="Y2426">
        <v>3</v>
      </c>
      <c r="Z2426">
        <v>0</v>
      </c>
      <c r="AA2426" t="s">
        <v>25</v>
      </c>
      <c r="AB2426" t="s">
        <v>26</v>
      </c>
      <c r="AC2426" t="s">
        <v>27</v>
      </c>
      <c r="AD2426" t="s">
        <v>42</v>
      </c>
      <c r="AE2426" t="s">
        <v>25</v>
      </c>
      <c r="AF24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0.4453125</v>
      </c>
      <c r="AG2426" t="s">
        <v>941</v>
      </c>
      <c r="AH2426">
        <v>67.5</v>
      </c>
      <c r="AI2426" t="s">
        <v>939</v>
      </c>
      <c r="AJ2426">
        <v>2</v>
      </c>
      <c r="AK24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MIN(AJ2426/8, 1) +
  Merge1[[#This Row],[index_defensive_effort]],
  2
)</f>
        <v>1.2</v>
      </c>
    </row>
    <row r="2427" spans="1:37" x14ac:dyDescent="0.25">
      <c r="A2427" t="s">
        <v>671</v>
      </c>
      <c r="B2427" t="s">
        <v>672</v>
      </c>
      <c r="C2427">
        <v>24</v>
      </c>
      <c r="D2427" t="s">
        <v>56</v>
      </c>
      <c r="E2427">
        <v>72</v>
      </c>
      <c r="F2427">
        <v>203</v>
      </c>
      <c r="G2427" t="s">
        <v>32</v>
      </c>
      <c r="H2427">
        <v>2020</v>
      </c>
      <c r="I2427" t="s">
        <v>33</v>
      </c>
      <c r="J2427">
        <v>3</v>
      </c>
      <c r="K2427">
        <v>3</v>
      </c>
      <c r="L2427">
        <v>3</v>
      </c>
      <c r="M2427">
        <v>0</v>
      </c>
      <c r="N2427">
        <v>3</v>
      </c>
      <c r="O2427">
        <v>0</v>
      </c>
      <c r="P2427">
        <v>1</v>
      </c>
      <c r="Q2427">
        <v>0</v>
      </c>
      <c r="R2427">
        <v>0</v>
      </c>
      <c r="S2427">
        <v>80</v>
      </c>
      <c r="T2427">
        <v>74</v>
      </c>
      <c r="U2427" s="5">
        <f>IF(Merge1[[#This Row],[team_defense_snaps]]=0, "", Merge1[[#This Row],[defense_snaps]] / Merge1[[#This Row],[team_defense_snaps]])</f>
        <v>0.97368421052631582</v>
      </c>
      <c r="V2427">
        <v>76</v>
      </c>
      <c r="W2427">
        <v>6</v>
      </c>
      <c r="X2427" s="5" t="s">
        <v>133</v>
      </c>
      <c r="Y2427">
        <v>3</v>
      </c>
      <c r="Z2427">
        <v>0</v>
      </c>
      <c r="AA2427" t="s">
        <v>25</v>
      </c>
      <c r="AB2427" t="s">
        <v>26</v>
      </c>
      <c r="AC2427" t="s">
        <v>27</v>
      </c>
      <c r="AD2427" t="s">
        <v>42</v>
      </c>
      <c r="AE2427" t="s">
        <v>25</v>
      </c>
      <c r="AF24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8.1250000000000003E-2</v>
      </c>
      <c r="AG2427" t="s">
        <v>941</v>
      </c>
      <c r="AH2427">
        <v>49.5</v>
      </c>
      <c r="AI2427" t="s">
        <v>939</v>
      </c>
      <c r="AJ2427">
        <v>3</v>
      </c>
      <c r="AK24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MIN(AJ2427/8, 1) +
  Merge1[[#This Row],[index_defensive_effort]],
  2
)</f>
        <v>0.96</v>
      </c>
    </row>
    <row r="2428" spans="1:37" x14ac:dyDescent="0.25">
      <c r="A2428" t="s">
        <v>671</v>
      </c>
      <c r="B2428" t="s">
        <v>672</v>
      </c>
      <c r="C2428">
        <v>24</v>
      </c>
      <c r="D2428" t="s">
        <v>56</v>
      </c>
      <c r="E2428">
        <v>72</v>
      </c>
      <c r="F2428">
        <v>203</v>
      </c>
      <c r="G2428" t="s">
        <v>32</v>
      </c>
      <c r="H2428">
        <v>2020</v>
      </c>
      <c r="I2428" t="s">
        <v>33</v>
      </c>
      <c r="J2428">
        <v>4</v>
      </c>
      <c r="K2428">
        <v>8</v>
      </c>
      <c r="L2428">
        <v>1</v>
      </c>
      <c r="M2428">
        <v>0</v>
      </c>
      <c r="N2428">
        <v>1</v>
      </c>
      <c r="O2428">
        <v>0</v>
      </c>
      <c r="P2428">
        <v>1</v>
      </c>
      <c r="Q2428">
        <v>0</v>
      </c>
      <c r="R2428">
        <v>2</v>
      </c>
      <c r="S2428">
        <v>75</v>
      </c>
      <c r="T2428">
        <v>71</v>
      </c>
      <c r="U2428" s="5">
        <f>IF(Merge1[[#This Row],[team_defense_snaps]]=0, "", Merge1[[#This Row],[defense_snaps]] / Merge1[[#This Row],[team_defense_snaps]])</f>
        <v>1</v>
      </c>
      <c r="V2428">
        <v>71</v>
      </c>
      <c r="W2428">
        <v>4</v>
      </c>
      <c r="X2428" s="5" t="s">
        <v>168</v>
      </c>
      <c r="Y2428">
        <v>3</v>
      </c>
      <c r="Z2428">
        <v>0</v>
      </c>
      <c r="AA2428" t="s">
        <v>25</v>
      </c>
      <c r="AB2428" t="s">
        <v>26</v>
      </c>
      <c r="AC2428" t="s">
        <v>27</v>
      </c>
      <c r="AD2428" t="s">
        <v>42</v>
      </c>
      <c r="AE2428" t="s">
        <v>25</v>
      </c>
      <c r="AF24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0.19333333333333333</v>
      </c>
      <c r="AG2428" t="s">
        <v>941</v>
      </c>
      <c r="AH2428">
        <v>54</v>
      </c>
      <c r="AI2428" t="s">
        <v>939</v>
      </c>
      <c r="AJ2428">
        <v>4</v>
      </c>
      <c r="AK24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MIN(AJ2428/8, 1) +
  Merge1[[#This Row],[index_defensive_effort]],
  2
)</f>
        <v>1.19</v>
      </c>
    </row>
    <row r="2429" spans="1:37" x14ac:dyDescent="0.25">
      <c r="A2429" t="s">
        <v>671</v>
      </c>
      <c r="B2429" t="s">
        <v>672</v>
      </c>
      <c r="C2429">
        <v>24</v>
      </c>
      <c r="D2429" t="s">
        <v>56</v>
      </c>
      <c r="E2429">
        <v>72</v>
      </c>
      <c r="F2429">
        <v>203</v>
      </c>
      <c r="G2429" t="s">
        <v>32</v>
      </c>
      <c r="H2429">
        <v>2020</v>
      </c>
      <c r="I2429" t="s">
        <v>33</v>
      </c>
      <c r="J2429">
        <v>5</v>
      </c>
      <c r="K2429">
        <v>7</v>
      </c>
      <c r="L2429">
        <v>1</v>
      </c>
      <c r="M2429">
        <v>0</v>
      </c>
      <c r="N2429">
        <v>1</v>
      </c>
      <c r="O2429">
        <v>4</v>
      </c>
      <c r="P2429">
        <v>5</v>
      </c>
      <c r="Q2429">
        <v>0</v>
      </c>
      <c r="R2429">
        <v>2</v>
      </c>
      <c r="S2429">
        <v>68</v>
      </c>
      <c r="T2429">
        <v>67</v>
      </c>
      <c r="U2429" s="5">
        <f>IF(Merge1[[#This Row],[team_defense_snaps]]=0, "", Merge1[[#This Row],[defense_snaps]] / Merge1[[#This Row],[team_defense_snaps]])</f>
        <v>1</v>
      </c>
      <c r="V2429">
        <v>67</v>
      </c>
      <c r="W2429">
        <v>1</v>
      </c>
      <c r="X2429" s="5" t="s">
        <v>193</v>
      </c>
      <c r="Y2429">
        <v>3</v>
      </c>
      <c r="Z2429">
        <v>0</v>
      </c>
      <c r="AA2429" t="s">
        <v>25</v>
      </c>
      <c r="AB2429" t="s">
        <v>26</v>
      </c>
      <c r="AC2429" t="s">
        <v>27</v>
      </c>
      <c r="AD2429" t="s">
        <v>42</v>
      </c>
      <c r="AE2429" t="s">
        <v>25</v>
      </c>
      <c r="AF24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0.49264705882352944</v>
      </c>
      <c r="AG2429" t="s">
        <v>941</v>
      </c>
      <c r="AH2429">
        <v>69</v>
      </c>
      <c r="AI2429" t="s">
        <v>939</v>
      </c>
      <c r="AJ2429">
        <v>5</v>
      </c>
      <c r="AK24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MIN(AJ2429/8, 1) +
  Merge1[[#This Row],[index_defensive_effort]],
  2
)</f>
        <v>1.62</v>
      </c>
    </row>
    <row r="2430" spans="1:37" x14ac:dyDescent="0.25">
      <c r="A2430" t="s">
        <v>671</v>
      </c>
      <c r="B2430" t="s">
        <v>672</v>
      </c>
      <c r="C2430">
        <v>24</v>
      </c>
      <c r="D2430" t="s">
        <v>56</v>
      </c>
      <c r="E2430">
        <v>72</v>
      </c>
      <c r="F2430">
        <v>203</v>
      </c>
      <c r="G2430" t="s">
        <v>32</v>
      </c>
      <c r="H2430">
        <v>2020</v>
      </c>
      <c r="I2430" t="s">
        <v>33</v>
      </c>
      <c r="J2430">
        <v>6</v>
      </c>
      <c r="K2430">
        <v>11</v>
      </c>
      <c r="L2430">
        <v>0</v>
      </c>
      <c r="M2430">
        <v>0</v>
      </c>
      <c r="N2430">
        <v>0</v>
      </c>
      <c r="O2430">
        <v>4</v>
      </c>
      <c r="P2430">
        <v>6</v>
      </c>
      <c r="Q2430">
        <v>0</v>
      </c>
      <c r="R2430">
        <v>2</v>
      </c>
      <c r="S2430">
        <v>73</v>
      </c>
      <c r="T2430">
        <v>72</v>
      </c>
      <c r="U2430" s="5">
        <f>IF(Merge1[[#This Row],[team_defense_snaps]]=0, "", Merge1[[#This Row],[defense_snaps]] / Merge1[[#This Row],[team_defense_snaps]])</f>
        <v>1</v>
      </c>
      <c r="V2430">
        <v>72</v>
      </c>
      <c r="W2430">
        <v>1</v>
      </c>
      <c r="X2430" s="5" t="s">
        <v>303</v>
      </c>
      <c r="Y2430">
        <v>3</v>
      </c>
      <c r="Z2430">
        <v>0</v>
      </c>
      <c r="AA2430" t="s">
        <v>25</v>
      </c>
      <c r="AB2430" t="s">
        <v>26</v>
      </c>
      <c r="AC2430" t="s">
        <v>27</v>
      </c>
      <c r="AD2430" t="s">
        <v>42</v>
      </c>
      <c r="AE2430" t="s">
        <v>25</v>
      </c>
      <c r="AF24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0.53424657534246578</v>
      </c>
      <c r="AG2430" t="s">
        <v>941</v>
      </c>
      <c r="AH2430">
        <v>64.5</v>
      </c>
      <c r="AI2430" t="s">
        <v>939</v>
      </c>
      <c r="AJ2430">
        <v>6</v>
      </c>
      <c r="AK24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MIN(AJ2430/8, 1) +
  Merge1[[#This Row],[index_defensive_effort]],
  2
)</f>
        <v>1.78</v>
      </c>
    </row>
    <row r="2431" spans="1:37" x14ac:dyDescent="0.25">
      <c r="A2431" t="s">
        <v>671</v>
      </c>
      <c r="B2431" t="s">
        <v>672</v>
      </c>
      <c r="C2431">
        <v>24</v>
      </c>
      <c r="D2431" t="s">
        <v>56</v>
      </c>
      <c r="E2431">
        <v>72</v>
      </c>
      <c r="F2431">
        <v>203</v>
      </c>
      <c r="G2431" t="s">
        <v>32</v>
      </c>
      <c r="H2431">
        <v>2020</v>
      </c>
      <c r="I2431" t="s">
        <v>33</v>
      </c>
      <c r="J2431">
        <v>8</v>
      </c>
      <c r="K2431">
        <v>2</v>
      </c>
      <c r="L2431">
        <v>2</v>
      </c>
      <c r="M2431">
        <v>0</v>
      </c>
      <c r="N2431">
        <v>2</v>
      </c>
      <c r="O2431">
        <v>0</v>
      </c>
      <c r="P2431">
        <v>2</v>
      </c>
      <c r="Q2431">
        <v>0</v>
      </c>
      <c r="R2431">
        <v>0</v>
      </c>
      <c r="S2431">
        <v>59</v>
      </c>
      <c r="T2431">
        <v>54</v>
      </c>
      <c r="U2431" s="5">
        <f>IF(Merge1[[#This Row],[team_defense_snaps]]=0, "", Merge1[[#This Row],[defense_snaps]] / Merge1[[#This Row],[team_defense_snaps]])</f>
        <v>0.98181818181818181</v>
      </c>
      <c r="V2431">
        <v>55</v>
      </c>
      <c r="W2431">
        <v>5</v>
      </c>
      <c r="X2431" s="5" t="s">
        <v>59</v>
      </c>
      <c r="Y2431">
        <v>3</v>
      </c>
      <c r="Z2431">
        <v>0</v>
      </c>
      <c r="AA2431" t="s">
        <v>25</v>
      </c>
      <c r="AB2431" t="s">
        <v>26</v>
      </c>
      <c r="AC2431" t="s">
        <v>27</v>
      </c>
      <c r="AD2431" t="s">
        <v>42</v>
      </c>
      <c r="AE2431" t="s">
        <v>25</v>
      </c>
      <c r="AF24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0.11864406779661017</v>
      </c>
      <c r="AG2431" t="s">
        <v>941</v>
      </c>
      <c r="AH2431">
        <v>52</v>
      </c>
      <c r="AI2431" t="s">
        <v>939</v>
      </c>
      <c r="AJ2431">
        <v>1</v>
      </c>
      <c r="AK24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MIN(AJ2431/8, 1) +
  Merge1[[#This Row],[index_defensive_effort]],
  2
)</f>
        <v>0.74</v>
      </c>
    </row>
    <row r="2432" spans="1:37" x14ac:dyDescent="0.25">
      <c r="A2432" t="s">
        <v>671</v>
      </c>
      <c r="B2432" t="s">
        <v>672</v>
      </c>
      <c r="C2432">
        <v>24</v>
      </c>
      <c r="D2432" t="s">
        <v>56</v>
      </c>
      <c r="E2432">
        <v>72</v>
      </c>
      <c r="F2432">
        <v>203</v>
      </c>
      <c r="G2432" t="s">
        <v>32</v>
      </c>
      <c r="H2432">
        <v>2020</v>
      </c>
      <c r="I2432" t="s">
        <v>33</v>
      </c>
      <c r="J2432">
        <v>10</v>
      </c>
      <c r="K2432">
        <v>4</v>
      </c>
      <c r="L2432">
        <v>1</v>
      </c>
      <c r="M2432">
        <v>1</v>
      </c>
      <c r="N2432">
        <v>2</v>
      </c>
      <c r="O2432">
        <v>0</v>
      </c>
      <c r="P2432">
        <v>0</v>
      </c>
      <c r="Q2432">
        <v>0</v>
      </c>
      <c r="R2432">
        <v>0</v>
      </c>
      <c r="S2432">
        <v>60</v>
      </c>
      <c r="T2432">
        <v>55</v>
      </c>
      <c r="U2432" s="5">
        <f>IF(Merge1[[#This Row],[team_defense_snaps]]=0, "", Merge1[[#This Row],[defense_snaps]] / Merge1[[#This Row],[team_defense_snaps]])</f>
        <v>0.94827586206896552</v>
      </c>
      <c r="V2432">
        <v>58</v>
      </c>
      <c r="W2432">
        <v>5</v>
      </c>
      <c r="X2432" s="5" t="s">
        <v>139</v>
      </c>
      <c r="Y2432">
        <v>3</v>
      </c>
      <c r="Z2432">
        <v>0</v>
      </c>
      <c r="AA2432" t="s">
        <v>25</v>
      </c>
      <c r="AB2432" t="s">
        <v>36</v>
      </c>
      <c r="AC2432" t="s">
        <v>188</v>
      </c>
      <c r="AD2432" t="s">
        <v>42</v>
      </c>
      <c r="AE2432" t="s">
        <v>25</v>
      </c>
      <c r="AF24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2432" t="s">
        <v>941</v>
      </c>
      <c r="AH2432">
        <v>70.5</v>
      </c>
      <c r="AI2432" t="s">
        <v>939</v>
      </c>
      <c r="AJ2432">
        <v>1</v>
      </c>
      <c r="AK24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MIN(AJ2432/8, 1) +
  Merge1[[#This Row],[index_defensive_effort]],
  2
)</f>
        <v>0.71</v>
      </c>
    </row>
    <row r="2433" spans="1:37" x14ac:dyDescent="0.25">
      <c r="A2433" t="s">
        <v>671</v>
      </c>
      <c r="B2433" t="s">
        <v>672</v>
      </c>
      <c r="C2433">
        <v>24</v>
      </c>
      <c r="D2433" t="s">
        <v>56</v>
      </c>
      <c r="E2433">
        <v>72</v>
      </c>
      <c r="F2433">
        <v>203</v>
      </c>
      <c r="G2433" t="s">
        <v>32</v>
      </c>
      <c r="H2433">
        <v>2020</v>
      </c>
      <c r="I2433" t="s">
        <v>33</v>
      </c>
      <c r="J2433">
        <v>11</v>
      </c>
      <c r="K2433">
        <v>9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75</v>
      </c>
      <c r="T2433">
        <v>70</v>
      </c>
      <c r="U2433" s="5">
        <f>IF(Merge1[[#This Row],[team_defense_snaps]]=0, "", Merge1[[#This Row],[defense_snaps]] / Merge1[[#This Row],[team_defense_snaps]])</f>
        <v>1</v>
      </c>
      <c r="V2433">
        <v>70</v>
      </c>
      <c r="W2433">
        <v>5</v>
      </c>
      <c r="X2433" s="5" t="s">
        <v>59</v>
      </c>
      <c r="Y2433">
        <v>3</v>
      </c>
      <c r="Z2433">
        <v>0</v>
      </c>
      <c r="AA2433" t="s">
        <v>25</v>
      </c>
      <c r="AB2433" t="s">
        <v>26</v>
      </c>
      <c r="AC2433" t="s">
        <v>27</v>
      </c>
      <c r="AD2433" t="s">
        <v>42</v>
      </c>
      <c r="AE2433" t="s">
        <v>25</v>
      </c>
      <c r="AF24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</v>
      </c>
      <c r="AG2433" t="s">
        <v>941</v>
      </c>
      <c r="AH2433">
        <v>51</v>
      </c>
      <c r="AI2433" t="s">
        <v>939</v>
      </c>
      <c r="AJ2433">
        <v>2</v>
      </c>
      <c r="AK24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MIN(AJ2433/8, 1) +
  Merge1[[#This Row],[index_defensive_effort]],
  2
)</f>
        <v>0.87</v>
      </c>
    </row>
    <row r="2434" spans="1:37" x14ac:dyDescent="0.25">
      <c r="A2434" t="s">
        <v>671</v>
      </c>
      <c r="B2434" t="s">
        <v>672</v>
      </c>
      <c r="C2434">
        <v>24</v>
      </c>
      <c r="D2434" t="s">
        <v>56</v>
      </c>
      <c r="E2434">
        <v>72</v>
      </c>
      <c r="F2434">
        <v>203</v>
      </c>
      <c r="G2434" t="s">
        <v>32</v>
      </c>
      <c r="H2434">
        <v>2020</v>
      </c>
      <c r="I2434" t="s">
        <v>33</v>
      </c>
      <c r="J2434">
        <v>12</v>
      </c>
      <c r="K2434">
        <v>6</v>
      </c>
      <c r="L2434">
        <v>1</v>
      </c>
      <c r="M2434">
        <v>0</v>
      </c>
      <c r="N2434">
        <v>1</v>
      </c>
      <c r="O2434">
        <v>0</v>
      </c>
      <c r="P2434">
        <v>2</v>
      </c>
      <c r="Q2434">
        <v>0</v>
      </c>
      <c r="R2434">
        <v>4</v>
      </c>
      <c r="S2434">
        <v>76</v>
      </c>
      <c r="T2434">
        <v>72</v>
      </c>
      <c r="U2434" s="5">
        <f>IF(Merge1[[#This Row],[team_defense_snaps]]=0, "", Merge1[[#This Row],[defense_snaps]] / Merge1[[#This Row],[team_defense_snaps]])</f>
        <v>0.97297297297297303</v>
      </c>
      <c r="V2434">
        <v>74</v>
      </c>
      <c r="W2434">
        <v>4</v>
      </c>
      <c r="X2434" s="5" t="s">
        <v>159</v>
      </c>
      <c r="Y2434">
        <v>3</v>
      </c>
      <c r="Z2434">
        <v>0</v>
      </c>
      <c r="AA2434" t="s">
        <v>25</v>
      </c>
      <c r="AB2434" t="s">
        <v>26</v>
      </c>
      <c r="AC2434" t="s">
        <v>27</v>
      </c>
      <c r="AD2434" t="s">
        <v>42</v>
      </c>
      <c r="AE2434" t="s">
        <v>25</v>
      </c>
      <c r="AF24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0.24342105263157895</v>
      </c>
      <c r="AG2434" t="s">
        <v>941</v>
      </c>
      <c r="AH2434">
        <v>57</v>
      </c>
      <c r="AI2434" t="s">
        <v>939</v>
      </c>
      <c r="AJ2434">
        <v>3</v>
      </c>
      <c r="AK24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MIN(AJ2434/8, 1) +
  Merge1[[#This Row],[index_defensive_effort]],
  2
)</f>
        <v>1.1200000000000001</v>
      </c>
    </row>
    <row r="2435" spans="1:37" x14ac:dyDescent="0.25">
      <c r="A2435" t="s">
        <v>671</v>
      </c>
      <c r="B2435" t="s">
        <v>672</v>
      </c>
      <c r="C2435">
        <v>24</v>
      </c>
      <c r="D2435" t="s">
        <v>56</v>
      </c>
      <c r="E2435">
        <v>72</v>
      </c>
      <c r="F2435">
        <v>203</v>
      </c>
      <c r="G2435" t="s">
        <v>32</v>
      </c>
      <c r="H2435">
        <v>2020</v>
      </c>
      <c r="I2435" t="s">
        <v>33</v>
      </c>
      <c r="J2435">
        <v>13</v>
      </c>
      <c r="K2435">
        <v>4</v>
      </c>
      <c r="L2435">
        <v>0</v>
      </c>
      <c r="M2435">
        <v>0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84</v>
      </c>
      <c r="T2435">
        <v>78</v>
      </c>
      <c r="U2435" s="5">
        <f>IF(Merge1[[#This Row],[team_defense_snaps]]=0, "", Merge1[[#This Row],[defense_snaps]] / Merge1[[#This Row],[team_defense_snaps]])</f>
        <v>0.97499999999999998</v>
      </c>
      <c r="V2435">
        <v>80</v>
      </c>
      <c r="W2435">
        <v>6</v>
      </c>
      <c r="X2435" s="5" t="s">
        <v>132</v>
      </c>
      <c r="Y2435">
        <v>3</v>
      </c>
      <c r="Z2435">
        <v>0</v>
      </c>
      <c r="AA2435" t="s">
        <v>25</v>
      </c>
      <c r="AB2435" t="s">
        <v>26</v>
      </c>
      <c r="AC2435" t="s">
        <v>27</v>
      </c>
      <c r="AD2435" t="s">
        <v>42</v>
      </c>
      <c r="AE2435" t="s">
        <v>25</v>
      </c>
      <c r="AF24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2435" t="s">
        <v>941</v>
      </c>
      <c r="AH2435">
        <v>55.5</v>
      </c>
      <c r="AI2435" t="s">
        <v>939</v>
      </c>
      <c r="AJ2435">
        <v>4</v>
      </c>
      <c r="AK24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MIN(AJ2435/8, 1) +
  Merge1[[#This Row],[index_defensive_effort]],
  2
)</f>
        <v>1.07</v>
      </c>
    </row>
    <row r="2436" spans="1:37" x14ac:dyDescent="0.25">
      <c r="A2436" t="s">
        <v>671</v>
      </c>
      <c r="B2436" t="s">
        <v>672</v>
      </c>
      <c r="C2436">
        <v>24</v>
      </c>
      <c r="D2436" t="s">
        <v>56</v>
      </c>
      <c r="E2436">
        <v>72</v>
      </c>
      <c r="F2436">
        <v>203</v>
      </c>
      <c r="G2436" t="s">
        <v>32</v>
      </c>
      <c r="H2436">
        <v>2020</v>
      </c>
      <c r="I2436" t="s">
        <v>33</v>
      </c>
      <c r="J2436">
        <v>14</v>
      </c>
      <c r="K2436">
        <v>5</v>
      </c>
      <c r="L2436">
        <v>1</v>
      </c>
      <c r="M2436">
        <v>1</v>
      </c>
      <c r="N2436">
        <v>2</v>
      </c>
      <c r="O2436">
        <v>0</v>
      </c>
      <c r="P2436">
        <v>0</v>
      </c>
      <c r="Q2436">
        <v>0</v>
      </c>
      <c r="R2436">
        <v>4</v>
      </c>
      <c r="S2436">
        <v>90</v>
      </c>
      <c r="T2436">
        <v>84</v>
      </c>
      <c r="U2436" s="5">
        <f>IF(Merge1[[#This Row],[team_defense_snaps]]=0, "", Merge1[[#This Row],[defense_snaps]] / Merge1[[#This Row],[team_defense_snaps]])</f>
        <v>0.9882352941176471</v>
      </c>
      <c r="V2436">
        <v>85</v>
      </c>
      <c r="W2436">
        <v>6</v>
      </c>
      <c r="X2436" s="5" t="s">
        <v>181</v>
      </c>
      <c r="Y2436">
        <v>3</v>
      </c>
      <c r="Z2436">
        <v>0</v>
      </c>
      <c r="AA2436" t="s">
        <v>25</v>
      </c>
      <c r="AB2436" t="s">
        <v>26</v>
      </c>
      <c r="AC2436" t="s">
        <v>27</v>
      </c>
      <c r="AD2436" t="s">
        <v>42</v>
      </c>
      <c r="AE2436" t="s">
        <v>25</v>
      </c>
      <c r="AF24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0.15555555555555556</v>
      </c>
      <c r="AG2436" t="s">
        <v>941</v>
      </c>
      <c r="AH2436">
        <v>66</v>
      </c>
      <c r="AI2436" t="s">
        <v>939</v>
      </c>
      <c r="AJ2436">
        <v>5</v>
      </c>
      <c r="AK24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MIN(AJ2436/8, 1) +
  Merge1[[#This Row],[index_defensive_effort]],
  2
)</f>
        <v>1.28</v>
      </c>
    </row>
    <row r="2437" spans="1:37" x14ac:dyDescent="0.25">
      <c r="A2437" t="s">
        <v>671</v>
      </c>
      <c r="B2437" t="s">
        <v>672</v>
      </c>
      <c r="C2437">
        <v>24</v>
      </c>
      <c r="D2437" t="s">
        <v>56</v>
      </c>
      <c r="E2437">
        <v>72</v>
      </c>
      <c r="F2437">
        <v>203</v>
      </c>
      <c r="G2437" t="s">
        <v>32</v>
      </c>
      <c r="H2437">
        <v>2020</v>
      </c>
      <c r="I2437" t="s">
        <v>33</v>
      </c>
      <c r="J2437">
        <v>15</v>
      </c>
      <c r="K2437">
        <v>6</v>
      </c>
      <c r="L2437">
        <v>1</v>
      </c>
      <c r="M2437">
        <v>0</v>
      </c>
      <c r="N2437">
        <v>1</v>
      </c>
      <c r="O2437">
        <v>0</v>
      </c>
      <c r="P2437">
        <v>2</v>
      </c>
      <c r="Q2437">
        <v>0</v>
      </c>
      <c r="R2437">
        <v>0</v>
      </c>
      <c r="S2437">
        <v>60</v>
      </c>
      <c r="T2437">
        <v>58</v>
      </c>
      <c r="U2437" s="5">
        <f>IF(Merge1[[#This Row],[team_defense_snaps]]=0, "", Merge1[[#This Row],[defense_snaps]] / Merge1[[#This Row],[team_defense_snaps]])</f>
        <v>1</v>
      </c>
      <c r="V2437">
        <v>58</v>
      </c>
      <c r="W2437">
        <v>2</v>
      </c>
      <c r="X2437" s="5" t="s">
        <v>250</v>
      </c>
      <c r="Y2437">
        <v>3</v>
      </c>
      <c r="Z2437">
        <v>0</v>
      </c>
      <c r="AA2437" t="s">
        <v>25</v>
      </c>
      <c r="AB2437" t="s">
        <v>26</v>
      </c>
      <c r="AC2437" t="s">
        <v>27</v>
      </c>
      <c r="AD2437" t="s">
        <v>42</v>
      </c>
      <c r="AE2437" t="s">
        <v>25</v>
      </c>
      <c r="AF24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0.17499999999999999</v>
      </c>
      <c r="AG2437" t="s">
        <v>941</v>
      </c>
      <c r="AH2437">
        <v>52</v>
      </c>
      <c r="AI2437" t="s">
        <v>939</v>
      </c>
      <c r="AJ2437">
        <v>6</v>
      </c>
      <c r="AK24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MIN(AJ2437/8, 1) +
  Merge1[[#This Row],[index_defensive_effort]],
  2
)</f>
        <v>1.43</v>
      </c>
    </row>
    <row r="2438" spans="1:37" x14ac:dyDescent="0.25">
      <c r="A2438" t="s">
        <v>671</v>
      </c>
      <c r="B2438" t="s">
        <v>672</v>
      </c>
      <c r="C2438">
        <v>24</v>
      </c>
      <c r="D2438" t="s">
        <v>56</v>
      </c>
      <c r="E2438">
        <v>72</v>
      </c>
      <c r="F2438">
        <v>203</v>
      </c>
      <c r="G2438" t="s">
        <v>32</v>
      </c>
      <c r="H2438">
        <v>2020</v>
      </c>
      <c r="I2438" t="s">
        <v>33</v>
      </c>
      <c r="J2438">
        <v>16</v>
      </c>
      <c r="K2438">
        <v>5</v>
      </c>
      <c r="L2438">
        <v>1</v>
      </c>
      <c r="M2438">
        <v>0</v>
      </c>
      <c r="N2438">
        <v>1</v>
      </c>
      <c r="O2438">
        <v>0</v>
      </c>
      <c r="P2438">
        <v>1</v>
      </c>
      <c r="Q2438">
        <v>0</v>
      </c>
      <c r="R2438">
        <v>0</v>
      </c>
      <c r="S2438">
        <v>61</v>
      </c>
      <c r="T2438">
        <v>59</v>
      </c>
      <c r="U2438" s="5">
        <f>IF(Merge1[[#This Row],[team_defense_snaps]]=0, "", Merge1[[#This Row],[defense_snaps]] / Merge1[[#This Row],[team_defense_snaps]])</f>
        <v>0.921875</v>
      </c>
      <c r="V2438">
        <v>64</v>
      </c>
      <c r="W2438">
        <v>2</v>
      </c>
      <c r="X2438" s="5" t="s">
        <v>250</v>
      </c>
      <c r="Y2438">
        <v>3</v>
      </c>
      <c r="Z2438">
        <v>0</v>
      </c>
      <c r="AA2438" t="s">
        <v>25</v>
      </c>
      <c r="AB2438" t="s">
        <v>26</v>
      </c>
      <c r="AC2438" t="s">
        <v>27</v>
      </c>
      <c r="AD2438" t="s">
        <v>42</v>
      </c>
      <c r="AE2438" t="s">
        <v>25</v>
      </c>
      <c r="AF24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0.12295081967213115</v>
      </c>
      <c r="AG2438" t="s">
        <v>941</v>
      </c>
      <c r="AH2438">
        <v>72</v>
      </c>
      <c r="AI2438" t="s">
        <v>939</v>
      </c>
      <c r="AJ2438">
        <v>7</v>
      </c>
      <c r="AK24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MIN(AJ2438/8, 1) +
  Merge1[[#This Row],[index_defensive_effort]],
  2
)</f>
        <v>1.5</v>
      </c>
    </row>
    <row r="2439" spans="1:37" x14ac:dyDescent="0.25">
      <c r="A2439" t="s">
        <v>671</v>
      </c>
      <c r="B2439" t="s">
        <v>672</v>
      </c>
      <c r="C2439">
        <v>24</v>
      </c>
      <c r="D2439" t="s">
        <v>56</v>
      </c>
      <c r="E2439">
        <v>72</v>
      </c>
      <c r="F2439">
        <v>203</v>
      </c>
      <c r="G2439" t="s">
        <v>32</v>
      </c>
      <c r="H2439">
        <v>2020</v>
      </c>
      <c r="I2439" t="s">
        <v>33</v>
      </c>
      <c r="J2439">
        <v>17</v>
      </c>
      <c r="K2439">
        <v>1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33</v>
      </c>
      <c r="T2439">
        <v>32</v>
      </c>
      <c r="U2439" s="5">
        <f>IF(Merge1[[#This Row],[team_defense_snaps]]=0, "", Merge1[[#This Row],[defense_snaps]] / Merge1[[#This Row],[team_defense_snaps]])</f>
        <v>0.7441860465116279</v>
      </c>
      <c r="V2439">
        <v>43</v>
      </c>
      <c r="W2439">
        <v>1</v>
      </c>
      <c r="X2439" s="5" t="s">
        <v>193</v>
      </c>
      <c r="Y2439">
        <v>3</v>
      </c>
      <c r="Z2439">
        <v>0</v>
      </c>
      <c r="AA2439" t="s">
        <v>25</v>
      </c>
      <c r="AB2439" t="s">
        <v>36</v>
      </c>
      <c r="AC2439" t="s">
        <v>247</v>
      </c>
      <c r="AD2439" t="s">
        <v>42</v>
      </c>
      <c r="AE2439" t="s">
        <v>25</v>
      </c>
      <c r="AF24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3.0303030303030304E-2</v>
      </c>
      <c r="AG2439" t="s">
        <v>941</v>
      </c>
      <c r="AH2439">
        <v>48</v>
      </c>
      <c r="AI2439" t="s">
        <v>939</v>
      </c>
      <c r="AJ2439">
        <v>8</v>
      </c>
      <c r="AK24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MIN(AJ2439/8, 1) +
  Merge1[[#This Row],[index_defensive_effort]],
  2
)</f>
        <v>1.53</v>
      </c>
    </row>
    <row r="2440" spans="1:37" x14ac:dyDescent="0.25">
      <c r="A2440" t="s">
        <v>671</v>
      </c>
      <c r="B2440" t="s">
        <v>672</v>
      </c>
      <c r="C2440">
        <v>24</v>
      </c>
      <c r="D2440" t="s">
        <v>56</v>
      </c>
      <c r="E2440">
        <v>72</v>
      </c>
      <c r="F2440">
        <v>203</v>
      </c>
      <c r="G2440" t="s">
        <v>32</v>
      </c>
      <c r="H2440">
        <v>2020</v>
      </c>
      <c r="I2440" t="s">
        <v>24</v>
      </c>
      <c r="J2440">
        <v>18</v>
      </c>
      <c r="K2440">
        <v>3</v>
      </c>
      <c r="L2440">
        <v>2</v>
      </c>
      <c r="M2440">
        <v>2</v>
      </c>
      <c r="N2440">
        <v>4</v>
      </c>
      <c r="O2440">
        <v>0</v>
      </c>
      <c r="P2440">
        <v>0</v>
      </c>
      <c r="Q2440">
        <v>0</v>
      </c>
      <c r="R2440">
        <v>0</v>
      </c>
      <c r="S2440">
        <v>53</v>
      </c>
      <c r="T2440">
        <v>50</v>
      </c>
      <c r="U2440" s="5">
        <f>IF(Merge1[[#This Row],[team_defense_snaps]]=0, "", Merge1[[#This Row],[defense_snaps]] / Merge1[[#This Row],[team_defense_snaps]])</f>
        <v>1</v>
      </c>
      <c r="V2440">
        <v>50</v>
      </c>
      <c r="W2440">
        <v>3</v>
      </c>
      <c r="X2440" s="5" t="s">
        <v>251</v>
      </c>
      <c r="Y2440">
        <v>3</v>
      </c>
      <c r="Z2440">
        <v>0</v>
      </c>
      <c r="AA2440" t="s">
        <v>25</v>
      </c>
      <c r="AB2440" t="s">
        <v>36</v>
      </c>
      <c r="AC2440" t="s">
        <v>362</v>
      </c>
      <c r="AD2440" t="s">
        <v>42</v>
      </c>
      <c r="AE2440" t="s">
        <v>25</v>
      </c>
      <c r="AF24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9.4339622641509441E-2</v>
      </c>
      <c r="AG2440" t="s">
        <v>941</v>
      </c>
      <c r="AH2440">
        <v>58.5</v>
      </c>
      <c r="AI2440" t="s">
        <v>939</v>
      </c>
      <c r="AJ2440">
        <v>9</v>
      </c>
      <c r="AK24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MIN(AJ2440/8, 1) +
  Merge1[[#This Row],[index_defensive_effort]],
  2
)</f>
        <v>1.79</v>
      </c>
    </row>
    <row r="2441" spans="1:37" x14ac:dyDescent="0.25">
      <c r="A2441" t="s">
        <v>671</v>
      </c>
      <c r="B2441" t="s">
        <v>672</v>
      </c>
      <c r="C2441">
        <v>24</v>
      </c>
      <c r="D2441" t="s">
        <v>56</v>
      </c>
      <c r="E2441">
        <v>72</v>
      </c>
      <c r="F2441">
        <v>203</v>
      </c>
      <c r="G2441" t="s">
        <v>32</v>
      </c>
      <c r="H2441">
        <v>2020</v>
      </c>
      <c r="I2441" t="s">
        <v>24</v>
      </c>
      <c r="J2441">
        <v>19</v>
      </c>
      <c r="K2441">
        <v>1</v>
      </c>
      <c r="L2441">
        <v>1</v>
      </c>
      <c r="M2441">
        <v>0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61</v>
      </c>
      <c r="T2441">
        <v>56</v>
      </c>
      <c r="U2441" s="5">
        <f>IF(Merge1[[#This Row],[team_defense_snaps]]=0, "", Merge1[[#This Row],[defense_snaps]] / Merge1[[#This Row],[team_defense_snaps]])</f>
        <v>0.98245614035087714</v>
      </c>
      <c r="V2441">
        <v>57</v>
      </c>
      <c r="W2441">
        <v>5</v>
      </c>
      <c r="X2441" s="5" t="s">
        <v>293</v>
      </c>
      <c r="Y2441">
        <v>3</v>
      </c>
      <c r="Z2441">
        <v>0</v>
      </c>
      <c r="AA2441" t="s">
        <v>25</v>
      </c>
      <c r="AB2441" t="s">
        <v>26</v>
      </c>
      <c r="AC2441" t="s">
        <v>27</v>
      </c>
      <c r="AD2441" t="s">
        <v>42</v>
      </c>
      <c r="AE2441" t="s">
        <v>25</v>
      </c>
      <c r="AF24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2.4590163934426229E-2</v>
      </c>
      <c r="AG2441" t="s">
        <v>941</v>
      </c>
      <c r="AH2441">
        <v>61.5</v>
      </c>
      <c r="AI2441" t="s">
        <v>939</v>
      </c>
      <c r="AJ2441">
        <v>10</v>
      </c>
      <c r="AK24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MIN(AJ2441/8, 1) +
  Merge1[[#This Row],[index_defensive_effort]],
  2
)</f>
        <v>1.72</v>
      </c>
    </row>
    <row r="2442" spans="1:37" x14ac:dyDescent="0.25">
      <c r="A2442" t="s">
        <v>643</v>
      </c>
      <c r="B2442" t="s">
        <v>644</v>
      </c>
      <c r="C2442">
        <v>23</v>
      </c>
      <c r="D2442" t="s">
        <v>22</v>
      </c>
      <c r="E2442">
        <v>73</v>
      </c>
      <c r="F2442">
        <v>196</v>
      </c>
      <c r="G2442" t="s">
        <v>330</v>
      </c>
      <c r="H2442">
        <v>2020</v>
      </c>
      <c r="I2442" t="s">
        <v>33</v>
      </c>
      <c r="J2442">
        <v>1</v>
      </c>
      <c r="K2442">
        <v>4</v>
      </c>
      <c r="L2442">
        <v>3</v>
      </c>
      <c r="M2442">
        <v>0</v>
      </c>
      <c r="N2442">
        <v>3</v>
      </c>
      <c r="O2442">
        <v>0</v>
      </c>
      <c r="P2442">
        <v>0</v>
      </c>
      <c r="Q2442">
        <v>0</v>
      </c>
      <c r="R2442">
        <v>2</v>
      </c>
      <c r="S2442">
        <v>68</v>
      </c>
      <c r="T2442">
        <v>56</v>
      </c>
      <c r="U2442" s="5">
        <f>IF(Merge1[[#This Row],[team_defense_snaps]]=0, "", Merge1[[#This Row],[defense_snaps]] / Merge1[[#This Row],[team_defense_snaps]])</f>
        <v>0.7</v>
      </c>
      <c r="V2442">
        <v>80</v>
      </c>
      <c r="W2442">
        <v>12</v>
      </c>
      <c r="X2442" s="5" t="s">
        <v>210</v>
      </c>
      <c r="Y2442">
        <v>1</v>
      </c>
      <c r="Z2442">
        <v>0</v>
      </c>
      <c r="AA2442" t="s">
        <v>25</v>
      </c>
      <c r="AB2442" t="s">
        <v>26</v>
      </c>
      <c r="AC2442" t="s">
        <v>27</v>
      </c>
      <c r="AD2442" t="s">
        <v>28</v>
      </c>
      <c r="AE2442" t="s">
        <v>25</v>
      </c>
      <c r="AF24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0.13970588235294118</v>
      </c>
      <c r="AG2442" t="s">
        <v>942</v>
      </c>
      <c r="AH2442">
        <v>70</v>
      </c>
      <c r="AI2442" t="s">
        <v>939</v>
      </c>
      <c r="AJ2442">
        <v>1</v>
      </c>
      <c r="AK24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MIN(AJ2442/8, 1) +
  Merge1[[#This Row],[index_defensive_effort]],
  2
)</f>
        <v>0.66</v>
      </c>
    </row>
    <row r="2443" spans="1:37" x14ac:dyDescent="0.25">
      <c r="A2443" t="s">
        <v>643</v>
      </c>
      <c r="B2443" t="s">
        <v>644</v>
      </c>
      <c r="C2443">
        <v>23</v>
      </c>
      <c r="D2443" t="s">
        <v>22</v>
      </c>
      <c r="E2443">
        <v>73</v>
      </c>
      <c r="F2443">
        <v>196</v>
      </c>
      <c r="G2443" t="s">
        <v>330</v>
      </c>
      <c r="H2443">
        <v>2020</v>
      </c>
      <c r="I2443" t="s">
        <v>33</v>
      </c>
      <c r="J2443">
        <v>2</v>
      </c>
      <c r="K2443">
        <v>1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10</v>
      </c>
      <c r="T2443">
        <v>7</v>
      </c>
      <c r="U2443" s="5">
        <f>IF(Merge1[[#This Row],[team_defense_snaps]]=0, "", Merge1[[#This Row],[defense_snaps]] / Merge1[[#This Row],[team_defense_snaps]])</f>
        <v>9.7222222222222224E-2</v>
      </c>
      <c r="V2443">
        <v>72</v>
      </c>
      <c r="W2443">
        <v>3</v>
      </c>
      <c r="X2443" s="5" t="s">
        <v>35</v>
      </c>
      <c r="Y2443">
        <v>1</v>
      </c>
      <c r="Z2443">
        <v>0</v>
      </c>
      <c r="AA2443" t="s">
        <v>25</v>
      </c>
      <c r="AB2443" t="s">
        <v>26</v>
      </c>
      <c r="AC2443" t="s">
        <v>27</v>
      </c>
      <c r="AD2443" t="s">
        <v>28</v>
      </c>
      <c r="AE2443" t="s">
        <v>25</v>
      </c>
      <c r="AF24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2443" t="s">
        <v>942</v>
      </c>
      <c r="AH2443">
        <v>68.5</v>
      </c>
      <c r="AI2443" t="s">
        <v>939</v>
      </c>
      <c r="AJ2443">
        <v>2</v>
      </c>
      <c r="AK24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MIN(AJ2443/8, 1) +
  Merge1[[#This Row],[index_defensive_effort]],
  2
)</f>
        <v>0.75</v>
      </c>
    </row>
    <row r="2444" spans="1:37" x14ac:dyDescent="0.25">
      <c r="A2444" t="s">
        <v>681</v>
      </c>
      <c r="B2444" t="s">
        <v>682</v>
      </c>
      <c r="C2444">
        <v>24</v>
      </c>
      <c r="D2444" t="s">
        <v>56</v>
      </c>
      <c r="E2444">
        <v>72</v>
      </c>
      <c r="F2444">
        <v>192</v>
      </c>
      <c r="G2444" t="s">
        <v>28</v>
      </c>
      <c r="H2444">
        <v>2020</v>
      </c>
      <c r="I2444" t="s">
        <v>33</v>
      </c>
      <c r="J2444">
        <v>1</v>
      </c>
      <c r="K2444">
        <v>1</v>
      </c>
      <c r="L2444">
        <v>1</v>
      </c>
      <c r="M2444">
        <v>0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70</v>
      </c>
      <c r="T2444">
        <v>70</v>
      </c>
      <c r="U2444" s="5">
        <f>IF(Merge1[[#This Row],[team_defense_snaps]]=0, "", Merge1[[#This Row],[defense_snaps]] / Merge1[[#This Row],[team_defense_snaps]])</f>
        <v>1</v>
      </c>
      <c r="V2444">
        <v>70</v>
      </c>
      <c r="W2444">
        <v>0</v>
      </c>
      <c r="X2444" s="5" t="s">
        <v>29</v>
      </c>
      <c r="Y2444">
        <v>3</v>
      </c>
      <c r="Z2444">
        <v>0</v>
      </c>
      <c r="AA2444" t="s">
        <v>25</v>
      </c>
      <c r="AB2444" t="s">
        <v>26</v>
      </c>
      <c r="AC2444" t="s">
        <v>27</v>
      </c>
      <c r="AD2444" t="s">
        <v>42</v>
      </c>
      <c r="AE2444" t="s">
        <v>25</v>
      </c>
      <c r="AF24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2.1428571428571429E-2</v>
      </c>
      <c r="AG2444" t="s">
        <v>942</v>
      </c>
      <c r="AH2444">
        <v>64</v>
      </c>
      <c r="AI2444" t="s">
        <v>939</v>
      </c>
      <c r="AJ2444">
        <v>1</v>
      </c>
      <c r="AK24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MIN(AJ2444/8, 1) +
  Merge1[[#This Row],[index_defensive_effort]],
  2
)</f>
        <v>0.55000000000000004</v>
      </c>
    </row>
    <row r="2445" spans="1:37" x14ac:dyDescent="0.25">
      <c r="A2445" t="s">
        <v>681</v>
      </c>
      <c r="B2445" t="s">
        <v>682</v>
      </c>
      <c r="C2445">
        <v>24</v>
      </c>
      <c r="D2445" t="s">
        <v>56</v>
      </c>
      <c r="E2445">
        <v>72</v>
      </c>
      <c r="F2445">
        <v>192</v>
      </c>
      <c r="G2445" t="s">
        <v>28</v>
      </c>
      <c r="H2445">
        <v>2020</v>
      </c>
      <c r="I2445" t="s">
        <v>33</v>
      </c>
      <c r="J2445">
        <v>2</v>
      </c>
      <c r="K2445">
        <v>7</v>
      </c>
      <c r="L2445">
        <v>1</v>
      </c>
      <c r="M2445">
        <v>0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77</v>
      </c>
      <c r="T2445">
        <v>77</v>
      </c>
      <c r="U2445" s="5">
        <f>IF(Merge1[[#This Row],[team_defense_snaps]]=0, "", Merge1[[#This Row],[defense_snaps]] / Merge1[[#This Row],[team_defense_snaps]])</f>
        <v>0.95061728395061729</v>
      </c>
      <c r="V2445">
        <v>81</v>
      </c>
      <c r="W2445">
        <v>0</v>
      </c>
      <c r="X2445" s="5" t="s">
        <v>29</v>
      </c>
      <c r="Y2445">
        <v>3</v>
      </c>
      <c r="Z2445">
        <v>0</v>
      </c>
      <c r="AA2445" t="s">
        <v>25</v>
      </c>
      <c r="AB2445" t="s">
        <v>26</v>
      </c>
      <c r="AC2445" t="s">
        <v>27</v>
      </c>
      <c r="AD2445" t="s">
        <v>42</v>
      </c>
      <c r="AE2445" t="s">
        <v>25</v>
      </c>
      <c r="AF24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9.7402597402597407E-2</v>
      </c>
      <c r="AG2445" t="s">
        <v>942</v>
      </c>
      <c r="AH2445">
        <v>82</v>
      </c>
      <c r="AI2445" t="s">
        <v>939</v>
      </c>
      <c r="AJ2445">
        <v>2</v>
      </c>
      <c r="AK24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MIN(AJ2445/8, 1) +
  Merge1[[#This Row],[index_defensive_effort]],
  2
)</f>
        <v>0.75</v>
      </c>
    </row>
    <row r="2446" spans="1:37" x14ac:dyDescent="0.25">
      <c r="A2446" t="s">
        <v>681</v>
      </c>
      <c r="B2446" t="s">
        <v>682</v>
      </c>
      <c r="C2446">
        <v>24</v>
      </c>
      <c r="D2446" t="s">
        <v>56</v>
      </c>
      <c r="E2446">
        <v>72</v>
      </c>
      <c r="F2446">
        <v>192</v>
      </c>
      <c r="G2446" t="s">
        <v>28</v>
      </c>
      <c r="H2446">
        <v>2020</v>
      </c>
      <c r="I2446" t="s">
        <v>33</v>
      </c>
      <c r="J2446">
        <v>3</v>
      </c>
      <c r="K2446">
        <v>5</v>
      </c>
      <c r="L2446">
        <v>1</v>
      </c>
      <c r="M2446">
        <v>1</v>
      </c>
      <c r="N2446">
        <v>2</v>
      </c>
      <c r="O2446">
        <v>0</v>
      </c>
      <c r="P2446">
        <v>0</v>
      </c>
      <c r="Q2446">
        <v>0</v>
      </c>
      <c r="R2446">
        <v>0</v>
      </c>
      <c r="S2446">
        <v>62</v>
      </c>
      <c r="T2446">
        <v>62</v>
      </c>
      <c r="U2446" s="5">
        <f>IF(Merge1[[#This Row],[team_defense_snaps]]=0, "", Merge1[[#This Row],[defense_snaps]] / Merge1[[#This Row],[team_defense_snaps]])</f>
        <v>1</v>
      </c>
      <c r="V2446">
        <v>62</v>
      </c>
      <c r="W2446">
        <v>0</v>
      </c>
      <c r="X2446" s="5" t="s">
        <v>29</v>
      </c>
      <c r="Y2446">
        <v>3</v>
      </c>
      <c r="Z2446">
        <v>0</v>
      </c>
      <c r="AA2446" t="s">
        <v>25</v>
      </c>
      <c r="AB2446" t="s">
        <v>26</v>
      </c>
      <c r="AC2446" t="s">
        <v>27</v>
      </c>
      <c r="AD2446" t="s">
        <v>42</v>
      </c>
      <c r="AE2446" t="s">
        <v>25</v>
      </c>
      <c r="AF24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9.6774193548387094E-2</v>
      </c>
      <c r="AG2446" t="s">
        <v>942</v>
      </c>
      <c r="AH2446">
        <v>83.5</v>
      </c>
      <c r="AI2446" t="s">
        <v>939</v>
      </c>
      <c r="AJ2446">
        <v>3</v>
      </c>
      <c r="AK24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MIN(AJ2446/8, 1) +
  Merge1[[#This Row],[index_defensive_effort]],
  2
)</f>
        <v>0.87</v>
      </c>
    </row>
    <row r="2447" spans="1:37" x14ac:dyDescent="0.25">
      <c r="A2447" t="s">
        <v>681</v>
      </c>
      <c r="B2447" t="s">
        <v>682</v>
      </c>
      <c r="C2447">
        <v>24</v>
      </c>
      <c r="D2447" t="s">
        <v>56</v>
      </c>
      <c r="E2447">
        <v>72</v>
      </c>
      <c r="F2447">
        <v>192</v>
      </c>
      <c r="G2447" t="s">
        <v>28</v>
      </c>
      <c r="H2447">
        <v>2020</v>
      </c>
      <c r="I2447" t="s">
        <v>33</v>
      </c>
      <c r="J2447">
        <v>5</v>
      </c>
      <c r="K2447">
        <v>4</v>
      </c>
      <c r="L2447">
        <v>2</v>
      </c>
      <c r="M2447">
        <v>0</v>
      </c>
      <c r="N2447">
        <v>2</v>
      </c>
      <c r="O2447">
        <v>0</v>
      </c>
      <c r="P2447">
        <v>0</v>
      </c>
      <c r="Q2447">
        <v>0</v>
      </c>
      <c r="R2447">
        <v>0</v>
      </c>
      <c r="S2447">
        <v>70</v>
      </c>
      <c r="T2447">
        <v>70</v>
      </c>
      <c r="U2447" s="5">
        <f>IF(Merge1[[#This Row],[team_defense_snaps]]=0, "", Merge1[[#This Row],[defense_snaps]] / Merge1[[#This Row],[team_defense_snaps]])</f>
        <v>0.9859154929577465</v>
      </c>
      <c r="V2447">
        <v>71</v>
      </c>
      <c r="W2447">
        <v>0</v>
      </c>
      <c r="X2447" s="5" t="s">
        <v>29</v>
      </c>
      <c r="Y2447">
        <v>3</v>
      </c>
      <c r="Z2447">
        <v>0</v>
      </c>
      <c r="AA2447" t="s">
        <v>25</v>
      </c>
      <c r="AB2447" t="s">
        <v>36</v>
      </c>
      <c r="AC2447" t="s">
        <v>147</v>
      </c>
      <c r="AD2447" t="s">
        <v>42</v>
      </c>
      <c r="AE2447" t="s">
        <v>25</v>
      </c>
      <c r="AF24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2447" t="s">
        <v>942</v>
      </c>
      <c r="AH2447">
        <v>67</v>
      </c>
      <c r="AI2447" t="s">
        <v>939</v>
      </c>
      <c r="AJ2447">
        <v>1</v>
      </c>
      <c r="AK24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MIN(AJ2447/8, 1) +
  Merge1[[#This Row],[index_defensive_effort]],
  2
)</f>
        <v>0.6</v>
      </c>
    </row>
    <row r="2448" spans="1:37" x14ac:dyDescent="0.25">
      <c r="A2448" t="s">
        <v>681</v>
      </c>
      <c r="B2448" t="s">
        <v>682</v>
      </c>
      <c r="C2448">
        <v>24</v>
      </c>
      <c r="D2448" t="s">
        <v>56</v>
      </c>
      <c r="E2448">
        <v>72</v>
      </c>
      <c r="F2448">
        <v>192</v>
      </c>
      <c r="G2448" t="s">
        <v>28</v>
      </c>
      <c r="H2448">
        <v>2020</v>
      </c>
      <c r="I2448" t="s">
        <v>33</v>
      </c>
      <c r="J2448">
        <v>7</v>
      </c>
      <c r="K2448">
        <v>4</v>
      </c>
      <c r="L2448">
        <v>2</v>
      </c>
      <c r="M2448">
        <v>0</v>
      </c>
      <c r="N2448">
        <v>2</v>
      </c>
      <c r="O2448">
        <v>0</v>
      </c>
      <c r="P2448">
        <v>0</v>
      </c>
      <c r="Q2448">
        <v>0</v>
      </c>
      <c r="R2448">
        <v>0</v>
      </c>
      <c r="S2448">
        <v>46</v>
      </c>
      <c r="T2448">
        <v>46</v>
      </c>
      <c r="U2448" s="5">
        <f>IF(Merge1[[#This Row],[team_defense_snaps]]=0, "", Merge1[[#This Row],[defense_snaps]] / Merge1[[#This Row],[team_defense_snaps]])</f>
        <v>1</v>
      </c>
      <c r="V2448">
        <v>46</v>
      </c>
      <c r="W2448">
        <v>0</v>
      </c>
      <c r="X2448" s="5" t="s">
        <v>29</v>
      </c>
      <c r="Y2448">
        <v>3</v>
      </c>
      <c r="Z2448">
        <v>0</v>
      </c>
      <c r="AA2448" t="s">
        <v>25</v>
      </c>
      <c r="AB2448" t="s">
        <v>26</v>
      </c>
      <c r="AC2448" t="s">
        <v>27</v>
      </c>
      <c r="AD2448" t="s">
        <v>42</v>
      </c>
      <c r="AE2448" t="s">
        <v>25</v>
      </c>
      <c r="AF24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0.10869565217391304</v>
      </c>
      <c r="AG2448" t="s">
        <v>942</v>
      </c>
      <c r="AH2448">
        <v>73</v>
      </c>
      <c r="AI2448" t="s">
        <v>939</v>
      </c>
      <c r="AJ2448">
        <v>1</v>
      </c>
      <c r="AK24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MIN(AJ2448/8, 1) +
  Merge1[[#This Row],[index_defensive_effort]],
  2
)</f>
        <v>0.63</v>
      </c>
    </row>
    <row r="2449" spans="1:37" x14ac:dyDescent="0.25">
      <c r="A2449" t="s">
        <v>681</v>
      </c>
      <c r="B2449" t="s">
        <v>682</v>
      </c>
      <c r="C2449">
        <v>24</v>
      </c>
      <c r="D2449" t="s">
        <v>56</v>
      </c>
      <c r="E2449">
        <v>72</v>
      </c>
      <c r="F2449">
        <v>192</v>
      </c>
      <c r="G2449" t="s">
        <v>28</v>
      </c>
      <c r="H2449">
        <v>2020</v>
      </c>
      <c r="I2449" t="s">
        <v>33</v>
      </c>
      <c r="J2449">
        <v>8</v>
      </c>
      <c r="K2449">
        <v>10</v>
      </c>
      <c r="L2449">
        <v>1</v>
      </c>
      <c r="M2449">
        <v>0</v>
      </c>
      <c r="N2449">
        <v>1</v>
      </c>
      <c r="O2449">
        <v>0</v>
      </c>
      <c r="P2449">
        <v>0</v>
      </c>
      <c r="Q2449">
        <v>2</v>
      </c>
      <c r="R2449">
        <v>0</v>
      </c>
      <c r="S2449">
        <v>70</v>
      </c>
      <c r="T2449">
        <v>70</v>
      </c>
      <c r="U2449" s="5">
        <f>IF(Merge1[[#This Row],[team_defense_snaps]]=0, "", Merge1[[#This Row],[defense_snaps]] / Merge1[[#This Row],[team_defense_snaps]])</f>
        <v>1</v>
      </c>
      <c r="V2449">
        <v>70</v>
      </c>
      <c r="W2449">
        <v>0</v>
      </c>
      <c r="X2449" s="5" t="s">
        <v>29</v>
      </c>
      <c r="Y2449">
        <v>3</v>
      </c>
      <c r="Z2449">
        <v>0</v>
      </c>
      <c r="AA2449" t="s">
        <v>25</v>
      </c>
      <c r="AB2449" t="s">
        <v>26</v>
      </c>
      <c r="AC2449" t="s">
        <v>27</v>
      </c>
      <c r="AD2449" t="s">
        <v>42</v>
      </c>
      <c r="AE2449" t="s">
        <v>25</v>
      </c>
      <c r="AF24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0.26428571428571429</v>
      </c>
      <c r="AG2449" t="s">
        <v>942</v>
      </c>
      <c r="AH2449">
        <v>71.5</v>
      </c>
      <c r="AI2449" t="s">
        <v>939</v>
      </c>
      <c r="AJ2449">
        <v>2</v>
      </c>
      <c r="AK24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MIN(AJ2449/8, 1) +
  Merge1[[#This Row],[index_defensive_effort]],
  2
)</f>
        <v>0.91</v>
      </c>
    </row>
    <row r="2450" spans="1:37" x14ac:dyDescent="0.25">
      <c r="A2450" t="s">
        <v>681</v>
      </c>
      <c r="B2450" t="s">
        <v>682</v>
      </c>
      <c r="C2450">
        <v>24</v>
      </c>
      <c r="D2450" t="s">
        <v>56</v>
      </c>
      <c r="E2450">
        <v>72</v>
      </c>
      <c r="F2450">
        <v>192</v>
      </c>
      <c r="G2450" t="s">
        <v>28</v>
      </c>
      <c r="H2450">
        <v>2020</v>
      </c>
      <c r="I2450" t="s">
        <v>33</v>
      </c>
      <c r="J2450">
        <v>9</v>
      </c>
      <c r="K2450">
        <v>3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36</v>
      </c>
      <c r="T2450">
        <v>36</v>
      </c>
      <c r="U2450" s="5">
        <f>IF(Merge1[[#This Row],[team_defense_snaps]]=0, "", Merge1[[#This Row],[defense_snaps]] / Merge1[[#This Row],[team_defense_snaps]])</f>
        <v>0.72</v>
      </c>
      <c r="V2450">
        <v>50</v>
      </c>
      <c r="W2450">
        <v>0</v>
      </c>
      <c r="X2450" s="5" t="s">
        <v>29</v>
      </c>
      <c r="Y2450">
        <v>3</v>
      </c>
      <c r="Z2450">
        <v>0</v>
      </c>
      <c r="AA2450" t="s">
        <v>25</v>
      </c>
      <c r="AB2450" t="s">
        <v>26</v>
      </c>
      <c r="AC2450" t="s">
        <v>27</v>
      </c>
      <c r="AD2450" t="s">
        <v>42</v>
      </c>
      <c r="AE2450" t="s">
        <v>25</v>
      </c>
      <c r="AF24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2450" t="s">
        <v>942</v>
      </c>
      <c r="AH2450">
        <v>61</v>
      </c>
      <c r="AI2450" t="s">
        <v>939</v>
      </c>
      <c r="AJ2450">
        <v>3</v>
      </c>
      <c r="AK24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MIN(AJ2450/8, 1) +
  Merge1[[#This Row],[index_defensive_effort]],
  2
)</f>
        <v>0.86</v>
      </c>
    </row>
    <row r="2451" spans="1:37" x14ac:dyDescent="0.25">
      <c r="A2451" t="s">
        <v>681</v>
      </c>
      <c r="B2451" t="s">
        <v>682</v>
      </c>
      <c r="C2451">
        <v>24</v>
      </c>
      <c r="D2451" t="s">
        <v>56</v>
      </c>
      <c r="E2451">
        <v>72</v>
      </c>
      <c r="F2451">
        <v>192</v>
      </c>
      <c r="G2451" t="s">
        <v>28</v>
      </c>
      <c r="H2451">
        <v>2020</v>
      </c>
      <c r="I2451" t="s">
        <v>33</v>
      </c>
      <c r="J2451">
        <v>10</v>
      </c>
      <c r="K2451">
        <v>3</v>
      </c>
      <c r="L2451">
        <v>2</v>
      </c>
      <c r="M2451">
        <v>1</v>
      </c>
      <c r="N2451">
        <v>3</v>
      </c>
      <c r="O2451">
        <v>0</v>
      </c>
      <c r="P2451">
        <v>0</v>
      </c>
      <c r="Q2451">
        <v>0</v>
      </c>
      <c r="R2451">
        <v>0</v>
      </c>
      <c r="S2451">
        <v>49</v>
      </c>
      <c r="T2451">
        <v>48</v>
      </c>
      <c r="U2451" s="5">
        <f>IF(Merge1[[#This Row],[team_defense_snaps]]=0, "", Merge1[[#This Row],[defense_snaps]] / Merge1[[#This Row],[team_defense_snaps]])</f>
        <v>0.66666666666666663</v>
      </c>
      <c r="V2451">
        <v>72</v>
      </c>
      <c r="W2451">
        <v>1</v>
      </c>
      <c r="X2451" s="5" t="s">
        <v>193</v>
      </c>
      <c r="Y2451">
        <v>3</v>
      </c>
      <c r="Z2451">
        <v>0</v>
      </c>
      <c r="AA2451" t="s">
        <v>25</v>
      </c>
      <c r="AB2451" t="s">
        <v>26</v>
      </c>
      <c r="AC2451" t="s">
        <v>27</v>
      </c>
      <c r="AD2451" t="s">
        <v>42</v>
      </c>
      <c r="AE2451" t="s">
        <v>25</v>
      </c>
      <c r="AF24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9.1836734693877556E-2</v>
      </c>
      <c r="AG2451" t="s">
        <v>942</v>
      </c>
      <c r="AH2451">
        <v>68.5</v>
      </c>
      <c r="AI2451" t="s">
        <v>939</v>
      </c>
      <c r="AJ2451">
        <v>4</v>
      </c>
      <c r="AK24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MIN(AJ2451/8, 1) +
  Merge1[[#This Row],[index_defensive_effort]],
  2
)</f>
        <v>0.99</v>
      </c>
    </row>
    <row r="2452" spans="1:37" x14ac:dyDescent="0.25">
      <c r="A2452" t="s">
        <v>681</v>
      </c>
      <c r="B2452" t="s">
        <v>682</v>
      </c>
      <c r="C2452">
        <v>24</v>
      </c>
      <c r="D2452" t="s">
        <v>56</v>
      </c>
      <c r="E2452">
        <v>72</v>
      </c>
      <c r="F2452">
        <v>192</v>
      </c>
      <c r="G2452" t="s">
        <v>28</v>
      </c>
      <c r="H2452">
        <v>2020</v>
      </c>
      <c r="I2452" t="s">
        <v>33</v>
      </c>
      <c r="J2452">
        <v>12</v>
      </c>
      <c r="K2452">
        <v>1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38</v>
      </c>
      <c r="T2452">
        <v>36</v>
      </c>
      <c r="U2452" s="5">
        <f>IF(Merge1[[#This Row],[team_defense_snaps]]=0, "", Merge1[[#This Row],[defense_snaps]] / Merge1[[#This Row],[team_defense_snaps]])</f>
        <v>0.81818181818181823</v>
      </c>
      <c r="V2452">
        <v>44</v>
      </c>
      <c r="W2452">
        <v>2</v>
      </c>
      <c r="X2452" s="5" t="s">
        <v>208</v>
      </c>
      <c r="Y2452">
        <v>3</v>
      </c>
      <c r="Z2452">
        <v>0</v>
      </c>
      <c r="AA2452" t="s">
        <v>25</v>
      </c>
      <c r="AB2452" t="s">
        <v>26</v>
      </c>
      <c r="AC2452" t="s">
        <v>27</v>
      </c>
      <c r="AD2452" t="s">
        <v>42</v>
      </c>
      <c r="AE2452" t="s">
        <v>25</v>
      </c>
      <c r="AF24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2.6315789473684209E-2</v>
      </c>
      <c r="AG2452" t="s">
        <v>942</v>
      </c>
      <c r="AH2452">
        <v>65</v>
      </c>
      <c r="AI2452" t="s">
        <v>939</v>
      </c>
      <c r="AJ2452">
        <v>1</v>
      </c>
      <c r="AK24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MIN(AJ2452/8, 1) +
  Merge1[[#This Row],[index_defensive_effort]],
  2
)</f>
        <v>0.55000000000000004</v>
      </c>
    </row>
    <row r="2453" spans="1:37" x14ac:dyDescent="0.25">
      <c r="A2453" t="s">
        <v>681</v>
      </c>
      <c r="B2453" t="s">
        <v>682</v>
      </c>
      <c r="C2453">
        <v>24</v>
      </c>
      <c r="D2453" t="s">
        <v>56</v>
      </c>
      <c r="E2453">
        <v>72</v>
      </c>
      <c r="F2453">
        <v>192</v>
      </c>
      <c r="G2453" t="s">
        <v>28</v>
      </c>
      <c r="H2453">
        <v>2020</v>
      </c>
      <c r="I2453" t="s">
        <v>33</v>
      </c>
      <c r="J2453">
        <v>13</v>
      </c>
      <c r="K2453">
        <v>4</v>
      </c>
      <c r="L2453">
        <v>0</v>
      </c>
      <c r="M2453">
        <v>0</v>
      </c>
      <c r="N2453">
        <v>0</v>
      </c>
      <c r="O2453">
        <v>0</v>
      </c>
      <c r="P2453">
        <v>2</v>
      </c>
      <c r="Q2453">
        <v>0</v>
      </c>
      <c r="R2453">
        <v>0</v>
      </c>
      <c r="S2453">
        <v>68</v>
      </c>
      <c r="T2453">
        <v>67</v>
      </c>
      <c r="U2453" s="5">
        <f>IF(Merge1[[#This Row],[team_defense_snaps]]=0, "", Merge1[[#This Row],[defense_snaps]] / Merge1[[#This Row],[team_defense_snaps]])</f>
        <v>1</v>
      </c>
      <c r="V2453">
        <v>67</v>
      </c>
      <c r="W2453">
        <v>1</v>
      </c>
      <c r="X2453" s="5" t="s">
        <v>193</v>
      </c>
      <c r="Y2453">
        <v>3</v>
      </c>
      <c r="Z2453">
        <v>0</v>
      </c>
      <c r="AA2453" t="s">
        <v>25</v>
      </c>
      <c r="AB2453" t="s">
        <v>26</v>
      </c>
      <c r="AC2453" t="s">
        <v>27</v>
      </c>
      <c r="AD2453" t="s">
        <v>42</v>
      </c>
      <c r="AE2453" t="s">
        <v>25</v>
      </c>
      <c r="AF24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0.11764705882352941</v>
      </c>
      <c r="AG2453" t="s">
        <v>942</v>
      </c>
      <c r="AH2453">
        <v>65.5</v>
      </c>
      <c r="AI2453" t="s">
        <v>939</v>
      </c>
      <c r="AJ2453">
        <v>2</v>
      </c>
      <c r="AK24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MIN(AJ2453/8, 1) +
  Merge1[[#This Row],[index_defensive_effort]],
  2
)</f>
        <v>0.77</v>
      </c>
    </row>
    <row r="2454" spans="1:37" x14ac:dyDescent="0.25">
      <c r="A2454" t="s">
        <v>681</v>
      </c>
      <c r="B2454" t="s">
        <v>682</v>
      </c>
      <c r="C2454">
        <v>24</v>
      </c>
      <c r="D2454" t="s">
        <v>56</v>
      </c>
      <c r="E2454">
        <v>72</v>
      </c>
      <c r="F2454">
        <v>192</v>
      </c>
      <c r="G2454" t="s">
        <v>28</v>
      </c>
      <c r="H2454">
        <v>2020</v>
      </c>
      <c r="I2454" t="s">
        <v>33</v>
      </c>
      <c r="J2454">
        <v>14</v>
      </c>
      <c r="K2454">
        <v>3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69</v>
      </c>
      <c r="T2454">
        <v>69</v>
      </c>
      <c r="U2454" s="5">
        <f>IF(Merge1[[#This Row],[team_defense_snaps]]=0, "", Merge1[[#This Row],[defense_snaps]] / Merge1[[#This Row],[team_defense_snaps]])</f>
        <v>1</v>
      </c>
      <c r="V2454">
        <v>69</v>
      </c>
      <c r="W2454">
        <v>0</v>
      </c>
      <c r="X2454" s="5" t="s">
        <v>29</v>
      </c>
      <c r="Y2454">
        <v>3</v>
      </c>
      <c r="Z2454">
        <v>0</v>
      </c>
      <c r="AA2454" t="s">
        <v>25</v>
      </c>
      <c r="AB2454" t="s">
        <v>26</v>
      </c>
      <c r="AC2454" t="s">
        <v>27</v>
      </c>
      <c r="AD2454" t="s">
        <v>42</v>
      </c>
      <c r="AE2454" t="s">
        <v>25</v>
      </c>
      <c r="AF24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4.3478260869565216E-2</v>
      </c>
      <c r="AG2454" t="s">
        <v>942</v>
      </c>
      <c r="AH2454">
        <v>76</v>
      </c>
      <c r="AI2454" t="s">
        <v>939</v>
      </c>
      <c r="AJ2454">
        <v>3</v>
      </c>
      <c r="AK24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MIN(AJ2454/8, 1) +
  Merge1[[#This Row],[index_defensive_effort]],
  2
)</f>
        <v>0.82</v>
      </c>
    </row>
    <row r="2455" spans="1:37" x14ac:dyDescent="0.25">
      <c r="A2455" t="s">
        <v>681</v>
      </c>
      <c r="B2455" t="s">
        <v>682</v>
      </c>
      <c r="C2455">
        <v>24</v>
      </c>
      <c r="D2455" t="s">
        <v>56</v>
      </c>
      <c r="E2455">
        <v>72</v>
      </c>
      <c r="F2455">
        <v>192</v>
      </c>
      <c r="G2455" t="s">
        <v>28</v>
      </c>
      <c r="H2455">
        <v>2020</v>
      </c>
      <c r="I2455" t="s">
        <v>33</v>
      </c>
      <c r="J2455">
        <v>15</v>
      </c>
      <c r="K2455">
        <v>4</v>
      </c>
      <c r="L2455">
        <v>1</v>
      </c>
      <c r="M2455">
        <v>0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99</v>
      </c>
      <c r="T2455">
        <v>98</v>
      </c>
      <c r="U2455" s="5">
        <f>IF(Merge1[[#This Row],[team_defense_snaps]]=0, "", Merge1[[#This Row],[defense_snaps]] / Merge1[[#This Row],[team_defense_snaps]])</f>
        <v>0.98989898989898994</v>
      </c>
      <c r="V2455">
        <v>99</v>
      </c>
      <c r="W2455">
        <v>1</v>
      </c>
      <c r="X2455" s="5" t="s">
        <v>303</v>
      </c>
      <c r="Y2455">
        <v>3</v>
      </c>
      <c r="Z2455">
        <v>0</v>
      </c>
      <c r="AA2455" t="s">
        <v>25</v>
      </c>
      <c r="AB2455" t="s">
        <v>26</v>
      </c>
      <c r="AC2455" t="s">
        <v>27</v>
      </c>
      <c r="AD2455" t="s">
        <v>42</v>
      </c>
      <c r="AE2455" t="s">
        <v>25</v>
      </c>
      <c r="AF24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G2455" t="s">
        <v>942</v>
      </c>
      <c r="AH2455">
        <v>65</v>
      </c>
      <c r="AI2455" t="s">
        <v>939</v>
      </c>
      <c r="AJ2455">
        <v>4</v>
      </c>
      <c r="AK24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MIN(AJ2455/8, 1) +
  Merge1[[#This Row],[index_defensive_effort]],
  2
)</f>
        <v>0.95</v>
      </c>
    </row>
    <row r="2456" spans="1:37" x14ac:dyDescent="0.25">
      <c r="A2456" t="s">
        <v>681</v>
      </c>
      <c r="B2456" t="s">
        <v>682</v>
      </c>
      <c r="C2456">
        <v>24</v>
      </c>
      <c r="D2456" t="s">
        <v>56</v>
      </c>
      <c r="E2456">
        <v>72</v>
      </c>
      <c r="F2456">
        <v>192</v>
      </c>
      <c r="G2456" t="s">
        <v>28</v>
      </c>
      <c r="H2456">
        <v>2020</v>
      </c>
      <c r="I2456" t="s">
        <v>33</v>
      </c>
      <c r="J2456">
        <v>16</v>
      </c>
      <c r="K2456">
        <v>4</v>
      </c>
      <c r="L2456">
        <v>2</v>
      </c>
      <c r="M2456">
        <v>1</v>
      </c>
      <c r="N2456">
        <v>3</v>
      </c>
      <c r="O2456">
        <v>0</v>
      </c>
      <c r="P2456">
        <v>1</v>
      </c>
      <c r="Q2456">
        <v>0</v>
      </c>
      <c r="R2456">
        <v>0</v>
      </c>
      <c r="S2456">
        <v>62</v>
      </c>
      <c r="T2456">
        <v>62</v>
      </c>
      <c r="U2456" s="5">
        <f>IF(Merge1[[#This Row],[team_defense_snaps]]=0, "", Merge1[[#This Row],[defense_snaps]] / Merge1[[#This Row],[team_defense_snaps]])</f>
        <v>0.96875</v>
      </c>
      <c r="V2456">
        <v>64</v>
      </c>
      <c r="W2456">
        <v>0</v>
      </c>
      <c r="X2456" s="5" t="s">
        <v>29</v>
      </c>
      <c r="Y2456">
        <v>3</v>
      </c>
      <c r="Z2456">
        <v>0</v>
      </c>
      <c r="AA2456" t="s">
        <v>25</v>
      </c>
      <c r="AB2456" t="s">
        <v>26</v>
      </c>
      <c r="AC2456" t="s">
        <v>27</v>
      </c>
      <c r="AD2456" t="s">
        <v>42</v>
      </c>
      <c r="AE2456" t="s">
        <v>25</v>
      </c>
      <c r="AF24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0.12096774193548387</v>
      </c>
      <c r="AG2456" t="s">
        <v>942</v>
      </c>
      <c r="AH2456">
        <v>79</v>
      </c>
      <c r="AI2456" t="s">
        <v>939</v>
      </c>
      <c r="AJ2456">
        <v>5</v>
      </c>
      <c r="AK24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MIN(AJ2456/8, 1) +
  Merge1[[#This Row],[index_defensive_effort]],
  2
)</f>
        <v>1.1499999999999999</v>
      </c>
    </row>
    <row r="2457" spans="1:37" x14ac:dyDescent="0.25">
      <c r="A2457" t="s">
        <v>681</v>
      </c>
      <c r="B2457" t="s">
        <v>682</v>
      </c>
      <c r="C2457">
        <v>24</v>
      </c>
      <c r="D2457" t="s">
        <v>56</v>
      </c>
      <c r="E2457">
        <v>72</v>
      </c>
      <c r="F2457">
        <v>192</v>
      </c>
      <c r="G2457" t="s">
        <v>28</v>
      </c>
      <c r="H2457">
        <v>2020</v>
      </c>
      <c r="I2457" t="s">
        <v>33</v>
      </c>
      <c r="J2457">
        <v>17</v>
      </c>
      <c r="K2457">
        <v>2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2</v>
      </c>
      <c r="R2457">
        <v>0</v>
      </c>
      <c r="S2457">
        <v>60</v>
      </c>
      <c r="T2457">
        <v>60</v>
      </c>
      <c r="U2457" s="5">
        <f>IF(Merge1[[#This Row],[team_defense_snaps]]=0, "", Merge1[[#This Row],[defense_snaps]] / Merge1[[#This Row],[team_defense_snaps]])</f>
        <v>0.967741935483871</v>
      </c>
      <c r="V2457">
        <v>62</v>
      </c>
      <c r="W2457">
        <v>0</v>
      </c>
      <c r="X2457" s="5" t="s">
        <v>29</v>
      </c>
      <c r="Y2457">
        <v>3</v>
      </c>
      <c r="Z2457">
        <v>0</v>
      </c>
      <c r="AA2457" t="s">
        <v>25</v>
      </c>
      <c r="AB2457" t="s">
        <v>26</v>
      </c>
      <c r="AC2457" t="s">
        <v>27</v>
      </c>
      <c r="AD2457" t="s">
        <v>42</v>
      </c>
      <c r="AE2457" t="s">
        <v>25</v>
      </c>
      <c r="AF24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AG2457" t="s">
        <v>942</v>
      </c>
      <c r="AH2457">
        <v>85</v>
      </c>
      <c r="AI2457" t="s">
        <v>939</v>
      </c>
      <c r="AJ2457">
        <v>6</v>
      </c>
      <c r="AK24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MIN(AJ2457/8, 1) +
  Merge1[[#This Row],[index_defensive_effort]],
  2
)</f>
        <v>1.32</v>
      </c>
    </row>
    <row r="2458" spans="1:37" x14ac:dyDescent="0.25">
      <c r="A2458" t="s">
        <v>681</v>
      </c>
      <c r="B2458" t="s">
        <v>682</v>
      </c>
      <c r="C2458">
        <v>24</v>
      </c>
      <c r="D2458" t="s">
        <v>56</v>
      </c>
      <c r="E2458">
        <v>72</v>
      </c>
      <c r="F2458">
        <v>192</v>
      </c>
      <c r="G2458" t="s">
        <v>28</v>
      </c>
      <c r="H2458">
        <v>2020</v>
      </c>
      <c r="I2458" t="s">
        <v>24</v>
      </c>
      <c r="J2458">
        <v>18</v>
      </c>
      <c r="K2458">
        <v>2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51</v>
      </c>
      <c r="T2458">
        <v>49</v>
      </c>
      <c r="U2458" s="5">
        <f>IF(Merge1[[#This Row],[team_defense_snaps]]=0, "", Merge1[[#This Row],[defense_snaps]] / Merge1[[#This Row],[team_defense_snaps]])</f>
        <v>1</v>
      </c>
      <c r="V2458">
        <v>49</v>
      </c>
      <c r="W2458">
        <v>2</v>
      </c>
      <c r="X2458" s="5" t="s">
        <v>167</v>
      </c>
      <c r="Y2458">
        <v>3</v>
      </c>
      <c r="Z2458">
        <v>0</v>
      </c>
      <c r="AA2458" t="s">
        <v>25</v>
      </c>
      <c r="AB2458" t="s">
        <v>26</v>
      </c>
      <c r="AC2458" t="s">
        <v>27</v>
      </c>
      <c r="AD2458" t="s">
        <v>42</v>
      </c>
      <c r="AE2458" t="s">
        <v>25</v>
      </c>
      <c r="AF24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3.9215686274509803E-2</v>
      </c>
      <c r="AG2458" t="s">
        <v>942</v>
      </c>
      <c r="AH2458">
        <v>74.5</v>
      </c>
      <c r="AI2458" t="s">
        <v>939</v>
      </c>
      <c r="AJ2458">
        <v>7</v>
      </c>
      <c r="AK24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MIN(AJ2458/8, 1) +
  Merge1[[#This Row],[index_defensive_effort]],
  2
)</f>
        <v>1.51</v>
      </c>
    </row>
    <row r="2459" spans="1:37" x14ac:dyDescent="0.25">
      <c r="A2459" t="s">
        <v>681</v>
      </c>
      <c r="B2459" t="s">
        <v>682</v>
      </c>
      <c r="C2459">
        <v>24</v>
      </c>
      <c r="D2459" t="s">
        <v>56</v>
      </c>
      <c r="E2459">
        <v>72</v>
      </c>
      <c r="F2459">
        <v>192</v>
      </c>
      <c r="G2459" t="s">
        <v>28</v>
      </c>
      <c r="H2459">
        <v>2020</v>
      </c>
      <c r="I2459" t="s">
        <v>24</v>
      </c>
      <c r="J2459">
        <v>19</v>
      </c>
      <c r="K2459">
        <v>0</v>
      </c>
      <c r="L2459">
        <v>1</v>
      </c>
      <c r="M2459">
        <v>0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71</v>
      </c>
      <c r="T2459">
        <v>70</v>
      </c>
      <c r="U2459" s="5">
        <f>IF(Merge1[[#This Row],[team_defense_snaps]]=0, "", Merge1[[#This Row],[defense_snaps]] / Merge1[[#This Row],[team_defense_snaps]])</f>
        <v>1</v>
      </c>
      <c r="V2459">
        <v>70</v>
      </c>
      <c r="W2459">
        <v>1</v>
      </c>
      <c r="X2459" s="5" t="s">
        <v>193</v>
      </c>
      <c r="Y2459">
        <v>3</v>
      </c>
      <c r="Z2459">
        <v>0</v>
      </c>
      <c r="AA2459" t="s">
        <v>25</v>
      </c>
      <c r="AB2459" t="s">
        <v>26</v>
      </c>
      <c r="AC2459" t="s">
        <v>27</v>
      </c>
      <c r="AD2459" t="s">
        <v>42</v>
      </c>
      <c r="AE2459" t="s">
        <v>25</v>
      </c>
      <c r="AF24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7.0422535211267607E-3</v>
      </c>
      <c r="AG2459" t="s">
        <v>942</v>
      </c>
      <c r="AH2459">
        <v>62.5</v>
      </c>
      <c r="AI2459" t="s">
        <v>939</v>
      </c>
      <c r="AJ2459">
        <v>8</v>
      </c>
      <c r="AK24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MIN(AJ2459/8, 1) +
  Merge1[[#This Row],[index_defensive_effort]],
  2
)</f>
        <v>1.61</v>
      </c>
    </row>
    <row r="2460" spans="1:37" x14ac:dyDescent="0.25">
      <c r="A2460" t="s">
        <v>653</v>
      </c>
      <c r="B2460" t="s">
        <v>654</v>
      </c>
      <c r="C2460">
        <v>28</v>
      </c>
      <c r="D2460" t="s">
        <v>22</v>
      </c>
      <c r="E2460">
        <v>71</v>
      </c>
      <c r="F2460">
        <v>210</v>
      </c>
      <c r="G2460" t="s">
        <v>107</v>
      </c>
      <c r="H2460">
        <v>2020</v>
      </c>
      <c r="I2460" t="s">
        <v>33</v>
      </c>
      <c r="J2460">
        <v>3</v>
      </c>
      <c r="K2460">
        <v>0</v>
      </c>
      <c r="L2460">
        <v>1</v>
      </c>
      <c r="M2460">
        <v>1</v>
      </c>
      <c r="N2460">
        <v>2</v>
      </c>
      <c r="O2460">
        <v>0</v>
      </c>
      <c r="P2460">
        <v>0</v>
      </c>
      <c r="Q2460">
        <v>0</v>
      </c>
      <c r="R2460">
        <v>0</v>
      </c>
      <c r="S2460">
        <v>27</v>
      </c>
      <c r="T2460">
        <v>3</v>
      </c>
      <c r="U2460" s="5">
        <f>IF(Merge1[[#This Row],[team_defense_snaps]]=0, "", Merge1[[#This Row],[defense_snaps]] / Merge1[[#This Row],[team_defense_snaps]])</f>
        <v>0.05</v>
      </c>
      <c r="V2460">
        <v>60</v>
      </c>
      <c r="W2460">
        <v>24</v>
      </c>
      <c r="X2460" s="5" t="s">
        <v>104</v>
      </c>
      <c r="Y2460">
        <v>4</v>
      </c>
      <c r="Z2460">
        <v>0</v>
      </c>
      <c r="AA2460" t="s">
        <v>25</v>
      </c>
      <c r="AB2460" t="s">
        <v>26</v>
      </c>
      <c r="AC2460" t="s">
        <v>27</v>
      </c>
      <c r="AD2460" t="s">
        <v>28</v>
      </c>
      <c r="AE2460" t="s">
        <v>25</v>
      </c>
      <c r="AF24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3.7037037037037035E-2</v>
      </c>
      <c r="AG2460" t="s">
        <v>942</v>
      </c>
      <c r="AH2460">
        <v>48</v>
      </c>
      <c r="AI2460" t="s">
        <v>939</v>
      </c>
      <c r="AJ2460">
        <v>1</v>
      </c>
      <c r="AK24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MIN(AJ2460/8, 1) +
  Merge1[[#This Row],[index_defensive_effort]],
  2
)</f>
        <v>0.76</v>
      </c>
    </row>
    <row r="2461" spans="1:37" x14ac:dyDescent="0.25">
      <c r="A2461" t="s">
        <v>653</v>
      </c>
      <c r="B2461" t="s">
        <v>654</v>
      </c>
      <c r="C2461">
        <v>28</v>
      </c>
      <c r="D2461" t="s">
        <v>22</v>
      </c>
      <c r="E2461">
        <v>71</v>
      </c>
      <c r="F2461">
        <v>210</v>
      </c>
      <c r="G2461" t="s">
        <v>107</v>
      </c>
      <c r="H2461">
        <v>2020</v>
      </c>
      <c r="I2461" t="s">
        <v>33</v>
      </c>
      <c r="J2461">
        <v>13</v>
      </c>
      <c r="K2461">
        <v>1</v>
      </c>
      <c r="L2461">
        <v>0</v>
      </c>
      <c r="M2461">
        <v>0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48</v>
      </c>
      <c r="T2461">
        <v>34</v>
      </c>
      <c r="U2461" s="5">
        <f>IF(Merge1[[#This Row],[team_defense_snaps]]=0, "", Merge1[[#This Row],[defense_snaps]] / Merge1[[#This Row],[team_defense_snaps]])</f>
        <v>0.43037974683544306</v>
      </c>
      <c r="V2461">
        <v>79</v>
      </c>
      <c r="W2461">
        <v>14</v>
      </c>
      <c r="X2461" s="5" t="s">
        <v>112</v>
      </c>
      <c r="Y2461">
        <v>4</v>
      </c>
      <c r="Z2461">
        <v>0</v>
      </c>
      <c r="AA2461" t="s">
        <v>25</v>
      </c>
      <c r="AB2461" t="s">
        <v>26</v>
      </c>
      <c r="AC2461" t="s">
        <v>27</v>
      </c>
      <c r="AD2461" t="s">
        <v>28</v>
      </c>
      <c r="AE2461" t="s">
        <v>25</v>
      </c>
      <c r="AF24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2461" t="s">
        <v>942</v>
      </c>
      <c r="AH2461">
        <v>52.5</v>
      </c>
      <c r="AI2461" t="s">
        <v>939</v>
      </c>
      <c r="AJ2461">
        <v>1</v>
      </c>
      <c r="AK24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MIN(AJ2461/8, 1) +
  Merge1[[#This Row],[index_defensive_effort]],
  2
)</f>
        <v>0.79</v>
      </c>
    </row>
    <row r="2462" spans="1:37" x14ac:dyDescent="0.25">
      <c r="A2462" t="s">
        <v>653</v>
      </c>
      <c r="B2462" t="s">
        <v>654</v>
      </c>
      <c r="C2462">
        <v>28</v>
      </c>
      <c r="D2462" t="s">
        <v>22</v>
      </c>
      <c r="E2462">
        <v>71</v>
      </c>
      <c r="F2462">
        <v>210</v>
      </c>
      <c r="G2462" t="s">
        <v>107</v>
      </c>
      <c r="H2462">
        <v>2020</v>
      </c>
      <c r="I2462" t="s">
        <v>33</v>
      </c>
      <c r="J2462">
        <v>14</v>
      </c>
      <c r="K2462">
        <v>3</v>
      </c>
      <c r="L2462">
        <v>5</v>
      </c>
      <c r="M2462">
        <v>2</v>
      </c>
      <c r="N2462">
        <v>7</v>
      </c>
      <c r="O2462">
        <v>0</v>
      </c>
      <c r="P2462">
        <v>0</v>
      </c>
      <c r="Q2462">
        <v>0</v>
      </c>
      <c r="R2462">
        <v>0</v>
      </c>
      <c r="S2462">
        <v>62</v>
      </c>
      <c r="T2462">
        <v>51</v>
      </c>
      <c r="U2462" s="5">
        <f>IF(Merge1[[#This Row],[team_defense_snaps]]=0, "", Merge1[[#This Row],[defense_snaps]] / Merge1[[#This Row],[team_defense_snaps]])</f>
        <v>0.69863013698630139</v>
      </c>
      <c r="V2462">
        <v>73</v>
      </c>
      <c r="W2462">
        <v>11</v>
      </c>
      <c r="X2462" s="5" t="s">
        <v>57</v>
      </c>
      <c r="Y2462">
        <v>4</v>
      </c>
      <c r="Z2462">
        <v>0</v>
      </c>
      <c r="AA2462" t="s">
        <v>25</v>
      </c>
      <c r="AB2462" t="s">
        <v>26</v>
      </c>
      <c r="AC2462" t="s">
        <v>27</v>
      </c>
      <c r="AD2462" t="s">
        <v>42</v>
      </c>
      <c r="AE2462" t="s">
        <v>25</v>
      </c>
      <c r="AF24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0.10483870967741936</v>
      </c>
      <c r="AG2462" t="s">
        <v>942</v>
      </c>
      <c r="AH2462">
        <v>49.5</v>
      </c>
      <c r="AI2462" t="s">
        <v>939</v>
      </c>
      <c r="AJ2462">
        <v>2</v>
      </c>
      <c r="AK24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MIN(AJ2462/8, 1) +
  Merge1[[#This Row],[index_defensive_effort]],
  2
)</f>
        <v>0.95</v>
      </c>
    </row>
    <row r="2463" spans="1:37" x14ac:dyDescent="0.25">
      <c r="A2463" t="s">
        <v>653</v>
      </c>
      <c r="B2463" t="s">
        <v>654</v>
      </c>
      <c r="C2463">
        <v>28</v>
      </c>
      <c r="D2463" t="s">
        <v>22</v>
      </c>
      <c r="E2463">
        <v>71</v>
      </c>
      <c r="F2463">
        <v>210</v>
      </c>
      <c r="G2463" t="s">
        <v>107</v>
      </c>
      <c r="H2463">
        <v>2020</v>
      </c>
      <c r="I2463" t="s">
        <v>33</v>
      </c>
      <c r="J2463">
        <v>16</v>
      </c>
      <c r="K2463">
        <v>1</v>
      </c>
      <c r="L2463">
        <v>4</v>
      </c>
      <c r="M2463">
        <v>3</v>
      </c>
      <c r="N2463">
        <v>7</v>
      </c>
      <c r="O2463">
        <v>0</v>
      </c>
      <c r="P2463">
        <v>0</v>
      </c>
      <c r="Q2463">
        <v>0</v>
      </c>
      <c r="R2463">
        <v>0</v>
      </c>
      <c r="S2463">
        <v>78</v>
      </c>
      <c r="T2463">
        <v>65</v>
      </c>
      <c r="U2463" s="5">
        <f>IF(Merge1[[#This Row],[team_defense_snaps]]=0, "", Merge1[[#This Row],[defense_snaps]] / Merge1[[#This Row],[team_defense_snaps]])</f>
        <v>0.80246913580246915</v>
      </c>
      <c r="V2463">
        <v>81</v>
      </c>
      <c r="W2463">
        <v>13</v>
      </c>
      <c r="X2463" s="5" t="s">
        <v>210</v>
      </c>
      <c r="Y2463">
        <v>4</v>
      </c>
      <c r="Z2463">
        <v>0</v>
      </c>
      <c r="AA2463" t="s">
        <v>25</v>
      </c>
      <c r="AB2463" t="s">
        <v>26</v>
      </c>
      <c r="AC2463" t="s">
        <v>27</v>
      </c>
      <c r="AD2463" t="s">
        <v>28</v>
      </c>
      <c r="AE2463" t="s">
        <v>25</v>
      </c>
      <c r="AF24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5.7692307692307696E-2</v>
      </c>
      <c r="AG2463" t="s">
        <v>942</v>
      </c>
      <c r="AH2463">
        <v>69</v>
      </c>
      <c r="AI2463" t="s">
        <v>939</v>
      </c>
      <c r="AJ2463">
        <v>1</v>
      </c>
      <c r="AK24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MIN(AJ2463/8, 1) +
  Merge1[[#This Row],[index_defensive_effort]],
  2
)</f>
        <v>0.78</v>
      </c>
    </row>
    <row r="2464" spans="1:37" x14ac:dyDescent="0.25">
      <c r="A2464" t="s">
        <v>653</v>
      </c>
      <c r="B2464" t="s">
        <v>654</v>
      </c>
      <c r="C2464">
        <v>28</v>
      </c>
      <c r="D2464" t="s">
        <v>22</v>
      </c>
      <c r="E2464">
        <v>71</v>
      </c>
      <c r="F2464">
        <v>210</v>
      </c>
      <c r="G2464" t="s">
        <v>107</v>
      </c>
      <c r="H2464">
        <v>2020</v>
      </c>
      <c r="I2464" t="s">
        <v>33</v>
      </c>
      <c r="J2464">
        <v>17</v>
      </c>
      <c r="K2464">
        <v>1</v>
      </c>
      <c r="L2464">
        <v>1</v>
      </c>
      <c r="M2464">
        <v>0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58</v>
      </c>
      <c r="T2464">
        <v>46</v>
      </c>
      <c r="U2464" s="5">
        <f>IF(Merge1[[#This Row],[team_defense_snaps]]=0, "", Merge1[[#This Row],[defense_snaps]] / Merge1[[#This Row],[team_defense_snaps]])</f>
        <v>0.70769230769230773</v>
      </c>
      <c r="V2464">
        <v>65</v>
      </c>
      <c r="W2464">
        <v>12</v>
      </c>
      <c r="X2464" s="5" t="s">
        <v>200</v>
      </c>
      <c r="Y2464">
        <v>4</v>
      </c>
      <c r="Z2464">
        <v>0</v>
      </c>
      <c r="AA2464" t="s">
        <v>25</v>
      </c>
      <c r="AB2464" t="s">
        <v>26</v>
      </c>
      <c r="AC2464" t="s">
        <v>27</v>
      </c>
      <c r="AD2464" t="s">
        <v>42</v>
      </c>
      <c r="AE2464" t="s">
        <v>25</v>
      </c>
      <c r="AF24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2.5862068965517241E-2</v>
      </c>
      <c r="AG2464" t="s">
        <v>942</v>
      </c>
      <c r="AH2464">
        <v>54</v>
      </c>
      <c r="AI2464" t="s">
        <v>939</v>
      </c>
      <c r="AJ2464">
        <v>2</v>
      </c>
      <c r="AK24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MIN(AJ2464/8, 1) +
  Merge1[[#This Row],[index_defensive_effort]],
  2
)</f>
        <v>0.88</v>
      </c>
    </row>
    <row r="2465" spans="1:37" x14ac:dyDescent="0.25">
      <c r="A2465" t="s">
        <v>673</v>
      </c>
      <c r="B2465" t="s">
        <v>674</v>
      </c>
      <c r="C2465">
        <v>30</v>
      </c>
      <c r="D2465" t="s">
        <v>22</v>
      </c>
      <c r="E2465">
        <v>72</v>
      </c>
      <c r="F2465">
        <v>197</v>
      </c>
      <c r="G2465" t="s">
        <v>339</v>
      </c>
      <c r="H2465">
        <v>2020</v>
      </c>
      <c r="I2465" t="s">
        <v>33</v>
      </c>
      <c r="J2465">
        <v>1</v>
      </c>
      <c r="K2465">
        <v>2</v>
      </c>
      <c r="L2465">
        <v>2</v>
      </c>
      <c r="M2465">
        <v>0</v>
      </c>
      <c r="N2465">
        <v>2</v>
      </c>
      <c r="O2465">
        <v>0</v>
      </c>
      <c r="P2465">
        <v>0</v>
      </c>
      <c r="Q2465">
        <v>0</v>
      </c>
      <c r="R2465">
        <v>0</v>
      </c>
      <c r="S2465">
        <v>59</v>
      </c>
      <c r="T2465">
        <v>55</v>
      </c>
      <c r="U2465" s="5">
        <f>IF(Merge1[[#This Row],[team_defense_snaps]]=0, "", Merge1[[#This Row],[defense_snaps]] / Merge1[[#This Row],[team_defense_snaps]])</f>
        <v>0.9821428571428571</v>
      </c>
      <c r="V2465">
        <v>56</v>
      </c>
      <c r="W2465">
        <v>4</v>
      </c>
      <c r="X2465" s="5" t="s">
        <v>168</v>
      </c>
      <c r="Y2465">
        <v>7</v>
      </c>
      <c r="Z2465">
        <v>0</v>
      </c>
      <c r="AA2465" t="s">
        <v>25</v>
      </c>
      <c r="AB2465" t="s">
        <v>26</v>
      </c>
      <c r="AC2465" t="s">
        <v>27</v>
      </c>
      <c r="AD2465" t="s">
        <v>42</v>
      </c>
      <c r="AE2465" t="s">
        <v>25</v>
      </c>
      <c r="AF24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5.0847457627118647E-2</v>
      </c>
      <c r="AG2465" t="s">
        <v>942</v>
      </c>
      <c r="AH2465">
        <v>48</v>
      </c>
      <c r="AI2465" t="s">
        <v>939</v>
      </c>
      <c r="AJ2465">
        <v>1</v>
      </c>
      <c r="AK24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MIN(AJ2465/8, 1) +
  Merge1[[#This Row],[index_defensive_effort]],
  2
)</f>
        <v>0.68</v>
      </c>
    </row>
    <row r="2466" spans="1:37" x14ac:dyDescent="0.25">
      <c r="A2466" t="s">
        <v>673</v>
      </c>
      <c r="B2466" t="s">
        <v>674</v>
      </c>
      <c r="C2466">
        <v>30</v>
      </c>
      <c r="D2466" t="s">
        <v>22</v>
      </c>
      <c r="E2466">
        <v>72</v>
      </c>
      <c r="F2466">
        <v>197</v>
      </c>
      <c r="G2466" t="s">
        <v>339</v>
      </c>
      <c r="H2466">
        <v>2020</v>
      </c>
      <c r="I2466" t="s">
        <v>33</v>
      </c>
      <c r="J2466">
        <v>2</v>
      </c>
      <c r="K2466">
        <v>6</v>
      </c>
      <c r="L2466">
        <v>3</v>
      </c>
      <c r="M2466">
        <v>2</v>
      </c>
      <c r="N2466">
        <v>5</v>
      </c>
      <c r="O2466">
        <v>0</v>
      </c>
      <c r="P2466">
        <v>1</v>
      </c>
      <c r="Q2466">
        <v>0</v>
      </c>
      <c r="R2466">
        <v>0</v>
      </c>
      <c r="S2466">
        <v>79</v>
      </c>
      <c r="T2466">
        <v>74</v>
      </c>
      <c r="U2466" s="5">
        <f>IF(Merge1[[#This Row],[team_defense_snaps]]=0, "", Merge1[[#This Row],[defense_snaps]] / Merge1[[#This Row],[team_defense_snaps]])</f>
        <v>0.98666666666666669</v>
      </c>
      <c r="V2466">
        <v>75</v>
      </c>
      <c r="W2466">
        <v>5</v>
      </c>
      <c r="X2466" s="5" t="s">
        <v>124</v>
      </c>
      <c r="Y2466">
        <v>7</v>
      </c>
      <c r="Z2466">
        <v>0</v>
      </c>
      <c r="AA2466" t="s">
        <v>25</v>
      </c>
      <c r="AB2466" t="s">
        <v>26</v>
      </c>
      <c r="AC2466" t="s">
        <v>27</v>
      </c>
      <c r="AD2466" t="s">
        <v>42</v>
      </c>
      <c r="AE2466" t="s">
        <v>25</v>
      </c>
      <c r="AF24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0.13291139240506328</v>
      </c>
      <c r="AG2466" t="s">
        <v>942</v>
      </c>
      <c r="AH2466">
        <v>48</v>
      </c>
      <c r="AI2466" t="s">
        <v>939</v>
      </c>
      <c r="AJ2466">
        <v>2</v>
      </c>
      <c r="AK24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MIN(AJ2466/8, 1) +
  Merge1[[#This Row],[index_defensive_effort]],
  2
)</f>
        <v>0.88</v>
      </c>
    </row>
    <row r="2467" spans="1:37" x14ac:dyDescent="0.25">
      <c r="A2467" t="s">
        <v>673</v>
      </c>
      <c r="B2467" t="s">
        <v>674</v>
      </c>
      <c r="C2467">
        <v>30</v>
      </c>
      <c r="D2467" t="s">
        <v>22</v>
      </c>
      <c r="E2467">
        <v>72</v>
      </c>
      <c r="F2467">
        <v>197</v>
      </c>
      <c r="G2467" t="s">
        <v>339</v>
      </c>
      <c r="H2467">
        <v>2020</v>
      </c>
      <c r="I2467" t="s">
        <v>33</v>
      </c>
      <c r="J2467">
        <v>3</v>
      </c>
      <c r="K2467">
        <v>7</v>
      </c>
      <c r="L2467">
        <v>2</v>
      </c>
      <c r="M2467">
        <v>2</v>
      </c>
      <c r="N2467">
        <v>4</v>
      </c>
      <c r="O2467">
        <v>0</v>
      </c>
      <c r="P2467">
        <v>0</v>
      </c>
      <c r="Q2467">
        <v>0</v>
      </c>
      <c r="R2467">
        <v>0</v>
      </c>
      <c r="S2467">
        <v>72</v>
      </c>
      <c r="T2467">
        <v>67</v>
      </c>
      <c r="U2467" s="5">
        <f>IF(Merge1[[#This Row],[team_defense_snaps]]=0, "", Merge1[[#This Row],[defense_snaps]] / Merge1[[#This Row],[team_defense_snaps]])</f>
        <v>0.97101449275362317</v>
      </c>
      <c r="V2467">
        <v>69</v>
      </c>
      <c r="W2467">
        <v>5</v>
      </c>
      <c r="X2467" s="5" t="s">
        <v>293</v>
      </c>
      <c r="Y2467">
        <v>7</v>
      </c>
      <c r="Z2467">
        <v>0</v>
      </c>
      <c r="AA2467" t="s">
        <v>25</v>
      </c>
      <c r="AB2467" t="s">
        <v>26</v>
      </c>
      <c r="AC2467" t="s">
        <v>27</v>
      </c>
      <c r="AD2467" t="s">
        <v>42</v>
      </c>
      <c r="AE2467" t="s">
        <v>25</v>
      </c>
      <c r="AF24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2467" t="s">
        <v>942</v>
      </c>
      <c r="AH2467">
        <v>45.5</v>
      </c>
      <c r="AI2467" t="s">
        <v>939</v>
      </c>
      <c r="AJ2467">
        <v>3</v>
      </c>
      <c r="AK24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MIN(AJ2467/8, 1) +
  Merge1[[#This Row],[index_defensive_effort]],
  2
)</f>
        <v>1</v>
      </c>
    </row>
    <row r="2468" spans="1:37" x14ac:dyDescent="0.25">
      <c r="A2468" t="s">
        <v>673</v>
      </c>
      <c r="B2468" t="s">
        <v>674</v>
      </c>
      <c r="C2468">
        <v>30</v>
      </c>
      <c r="D2468" t="s">
        <v>22</v>
      </c>
      <c r="E2468">
        <v>72</v>
      </c>
      <c r="F2468">
        <v>197</v>
      </c>
      <c r="G2468" t="s">
        <v>339</v>
      </c>
      <c r="H2468">
        <v>2020</v>
      </c>
      <c r="I2468" t="s">
        <v>33</v>
      </c>
      <c r="J2468">
        <v>4</v>
      </c>
      <c r="K2468">
        <v>5</v>
      </c>
      <c r="L2468">
        <v>1</v>
      </c>
      <c r="M2468">
        <v>0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79</v>
      </c>
      <c r="T2468">
        <v>73</v>
      </c>
      <c r="U2468" s="5">
        <f>IF(Merge1[[#This Row],[team_defense_snaps]]=0, "", Merge1[[#This Row],[defense_snaps]] / Merge1[[#This Row],[team_defense_snaps]])</f>
        <v>0.97333333333333338</v>
      </c>
      <c r="V2468">
        <v>75</v>
      </c>
      <c r="W2468">
        <v>6</v>
      </c>
      <c r="X2468" s="5" t="s">
        <v>132</v>
      </c>
      <c r="Y2468">
        <v>7</v>
      </c>
      <c r="Z2468">
        <v>0</v>
      </c>
      <c r="AA2468" t="s">
        <v>25</v>
      </c>
      <c r="AB2468" t="s">
        <v>26</v>
      </c>
      <c r="AC2468" t="s">
        <v>27</v>
      </c>
      <c r="AD2468" t="s">
        <v>42</v>
      </c>
      <c r="AE2468" t="s">
        <v>25</v>
      </c>
      <c r="AF24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6.9620253164556958E-2</v>
      </c>
      <c r="AG2468" t="s">
        <v>942</v>
      </c>
      <c r="AH2468">
        <v>60.5</v>
      </c>
      <c r="AI2468" t="s">
        <v>939</v>
      </c>
      <c r="AJ2468">
        <v>4</v>
      </c>
      <c r="AK24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MIN(AJ2468/8, 1) +
  Merge1[[#This Row],[index_defensive_effort]],
  2
)</f>
        <v>1.07</v>
      </c>
    </row>
    <row r="2469" spans="1:37" x14ac:dyDescent="0.25">
      <c r="A2469" t="s">
        <v>673</v>
      </c>
      <c r="B2469" t="s">
        <v>674</v>
      </c>
      <c r="C2469">
        <v>30</v>
      </c>
      <c r="D2469" t="s">
        <v>22</v>
      </c>
      <c r="E2469">
        <v>72</v>
      </c>
      <c r="F2469">
        <v>197</v>
      </c>
      <c r="G2469" t="s">
        <v>339</v>
      </c>
      <c r="H2469">
        <v>2020</v>
      </c>
      <c r="I2469" t="s">
        <v>33</v>
      </c>
      <c r="J2469">
        <v>5</v>
      </c>
      <c r="K2469">
        <v>1</v>
      </c>
      <c r="L2469">
        <v>3</v>
      </c>
      <c r="M2469">
        <v>1</v>
      </c>
      <c r="N2469">
        <v>4</v>
      </c>
      <c r="O2469">
        <v>0</v>
      </c>
      <c r="P2469">
        <v>0</v>
      </c>
      <c r="Q2469">
        <v>0</v>
      </c>
      <c r="R2469">
        <v>0</v>
      </c>
      <c r="S2469">
        <v>72</v>
      </c>
      <c r="T2469">
        <v>66</v>
      </c>
      <c r="U2469" s="5">
        <f>IF(Merge1[[#This Row],[team_defense_snaps]]=0, "", Merge1[[#This Row],[defense_snaps]] / Merge1[[#This Row],[team_defense_snaps]])</f>
        <v>0.9850746268656716</v>
      </c>
      <c r="V2469">
        <v>67</v>
      </c>
      <c r="W2469">
        <v>6</v>
      </c>
      <c r="X2469" s="5" t="s">
        <v>135</v>
      </c>
      <c r="Y2469">
        <v>7</v>
      </c>
      <c r="Z2469">
        <v>0</v>
      </c>
      <c r="AA2469" t="s">
        <v>25</v>
      </c>
      <c r="AB2469" t="s">
        <v>26</v>
      </c>
      <c r="AC2469" t="s">
        <v>27</v>
      </c>
      <c r="AD2469" t="s">
        <v>42</v>
      </c>
      <c r="AE2469" t="s">
        <v>25</v>
      </c>
      <c r="AF24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2469" t="s">
        <v>942</v>
      </c>
      <c r="AH2469">
        <v>68</v>
      </c>
      <c r="AI2469" t="s">
        <v>939</v>
      </c>
      <c r="AJ2469">
        <v>5</v>
      </c>
      <c r="AK24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MIN(AJ2469/8, 1) +
  Merge1[[#This Row],[index_defensive_effort]],
  2
)</f>
        <v>1.17</v>
      </c>
    </row>
    <row r="2470" spans="1:37" x14ac:dyDescent="0.25">
      <c r="A2470" t="s">
        <v>673</v>
      </c>
      <c r="B2470" t="s">
        <v>674</v>
      </c>
      <c r="C2470">
        <v>30</v>
      </c>
      <c r="D2470" t="s">
        <v>22</v>
      </c>
      <c r="E2470">
        <v>72</v>
      </c>
      <c r="F2470">
        <v>197</v>
      </c>
      <c r="G2470" t="s">
        <v>339</v>
      </c>
      <c r="H2470">
        <v>2020</v>
      </c>
      <c r="I2470" t="s">
        <v>33</v>
      </c>
      <c r="J2470">
        <v>6</v>
      </c>
      <c r="K2470">
        <v>1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78</v>
      </c>
      <c r="T2470">
        <v>73</v>
      </c>
      <c r="U2470" s="5">
        <f>IF(Merge1[[#This Row],[team_defense_snaps]]=0, "", Merge1[[#This Row],[defense_snaps]] / Merge1[[#This Row],[team_defense_snaps]])</f>
        <v>0.97333333333333338</v>
      </c>
      <c r="V2470">
        <v>75</v>
      </c>
      <c r="W2470">
        <v>5</v>
      </c>
      <c r="X2470" s="5" t="s">
        <v>58</v>
      </c>
      <c r="Y2470">
        <v>7</v>
      </c>
      <c r="Z2470">
        <v>0</v>
      </c>
      <c r="AA2470" t="s">
        <v>25</v>
      </c>
      <c r="AB2470" t="s">
        <v>26</v>
      </c>
      <c r="AC2470" t="s">
        <v>27</v>
      </c>
      <c r="AD2470" t="s">
        <v>42</v>
      </c>
      <c r="AE2470" t="s">
        <v>25</v>
      </c>
      <c r="AF24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1.282051282051282E-2</v>
      </c>
      <c r="AG2470" t="s">
        <v>942</v>
      </c>
      <c r="AH2470">
        <v>44</v>
      </c>
      <c r="AI2470" t="s">
        <v>939</v>
      </c>
      <c r="AJ2470">
        <v>6</v>
      </c>
      <c r="AK24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MIN(AJ2470/8, 1) +
  Merge1[[#This Row],[index_defensive_effort]],
  2
)</f>
        <v>1.26</v>
      </c>
    </row>
    <row r="2471" spans="1:37" x14ac:dyDescent="0.25">
      <c r="A2471" t="s">
        <v>673</v>
      </c>
      <c r="B2471" t="s">
        <v>674</v>
      </c>
      <c r="C2471">
        <v>30</v>
      </c>
      <c r="D2471" t="s">
        <v>22</v>
      </c>
      <c r="E2471">
        <v>72</v>
      </c>
      <c r="F2471">
        <v>197</v>
      </c>
      <c r="G2471" t="s">
        <v>339</v>
      </c>
      <c r="H2471">
        <v>2020</v>
      </c>
      <c r="I2471" t="s">
        <v>33</v>
      </c>
      <c r="J2471">
        <v>7</v>
      </c>
      <c r="K2471">
        <v>1</v>
      </c>
      <c r="L2471">
        <v>1</v>
      </c>
      <c r="M2471">
        <v>0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56</v>
      </c>
      <c r="T2471">
        <v>54</v>
      </c>
      <c r="U2471" s="5">
        <f>IF(Merge1[[#This Row],[team_defense_snaps]]=0, "", Merge1[[#This Row],[defense_snaps]] / Merge1[[#This Row],[team_defense_snaps]])</f>
        <v>0.94736842105263153</v>
      </c>
      <c r="V2471">
        <v>57</v>
      </c>
      <c r="W2471">
        <v>2</v>
      </c>
      <c r="X2471" s="5" t="s">
        <v>250</v>
      </c>
      <c r="Y2471">
        <v>7</v>
      </c>
      <c r="Z2471">
        <v>0</v>
      </c>
      <c r="AA2471" t="s">
        <v>25</v>
      </c>
      <c r="AB2471" t="s">
        <v>26</v>
      </c>
      <c r="AC2471" t="s">
        <v>27</v>
      </c>
      <c r="AD2471" t="s">
        <v>42</v>
      </c>
      <c r="AE2471" t="s">
        <v>25</v>
      </c>
      <c r="AF24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2.6785714285714284E-2</v>
      </c>
      <c r="AG2471" t="s">
        <v>942</v>
      </c>
      <c r="AH2471">
        <v>62</v>
      </c>
      <c r="AI2471" t="s">
        <v>939</v>
      </c>
      <c r="AJ2471">
        <v>7</v>
      </c>
      <c r="AK24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MIN(AJ2471/8, 1) +
  Merge1[[#This Row],[index_defensive_effort]],
  2
)</f>
        <v>1.4</v>
      </c>
    </row>
    <row r="2472" spans="1:37" x14ac:dyDescent="0.25">
      <c r="A2472" t="s">
        <v>673</v>
      </c>
      <c r="B2472" t="s">
        <v>674</v>
      </c>
      <c r="C2472">
        <v>30</v>
      </c>
      <c r="D2472" t="s">
        <v>22</v>
      </c>
      <c r="E2472">
        <v>72</v>
      </c>
      <c r="F2472">
        <v>197</v>
      </c>
      <c r="G2472" t="s">
        <v>339</v>
      </c>
      <c r="H2472">
        <v>2020</v>
      </c>
      <c r="I2472" t="s">
        <v>33</v>
      </c>
      <c r="J2472">
        <v>9</v>
      </c>
      <c r="K2472">
        <v>5</v>
      </c>
      <c r="L2472">
        <v>1</v>
      </c>
      <c r="M2472">
        <v>0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72</v>
      </c>
      <c r="T2472">
        <v>65</v>
      </c>
      <c r="U2472" s="5">
        <f>IF(Merge1[[#This Row],[team_defense_snaps]]=0, "", Merge1[[#This Row],[defense_snaps]] / Merge1[[#This Row],[team_defense_snaps]])</f>
        <v>0.97014925373134331</v>
      </c>
      <c r="V2472">
        <v>67</v>
      </c>
      <c r="W2472">
        <v>7</v>
      </c>
      <c r="X2472" s="5" t="s">
        <v>293</v>
      </c>
      <c r="Y2472">
        <v>7</v>
      </c>
      <c r="Z2472">
        <v>0</v>
      </c>
      <c r="AA2472" t="s">
        <v>25</v>
      </c>
      <c r="AB2472" t="s">
        <v>26</v>
      </c>
      <c r="AC2472" t="s">
        <v>27</v>
      </c>
      <c r="AD2472" t="s">
        <v>42</v>
      </c>
      <c r="AE2472" t="s">
        <v>25</v>
      </c>
      <c r="AF24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7.6388888888888895E-2</v>
      </c>
      <c r="AG2472" t="s">
        <v>942</v>
      </c>
      <c r="AH2472">
        <v>59</v>
      </c>
      <c r="AI2472" t="s">
        <v>939</v>
      </c>
      <c r="AJ2472">
        <v>1</v>
      </c>
      <c r="AK24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MIN(AJ2472/8, 1) +
  Merge1[[#This Row],[index_defensive_effort]],
  2
)</f>
        <v>0.7</v>
      </c>
    </row>
    <row r="2473" spans="1:37" x14ac:dyDescent="0.25">
      <c r="A2473" t="s">
        <v>673</v>
      </c>
      <c r="B2473" t="s">
        <v>674</v>
      </c>
      <c r="C2473">
        <v>30</v>
      </c>
      <c r="D2473" t="s">
        <v>22</v>
      </c>
      <c r="E2473">
        <v>72</v>
      </c>
      <c r="F2473">
        <v>197</v>
      </c>
      <c r="G2473" t="s">
        <v>339</v>
      </c>
      <c r="H2473">
        <v>2020</v>
      </c>
      <c r="I2473" t="s">
        <v>33</v>
      </c>
      <c r="J2473">
        <v>10</v>
      </c>
      <c r="K2473">
        <v>5</v>
      </c>
      <c r="L2473">
        <v>3</v>
      </c>
      <c r="M2473">
        <v>2</v>
      </c>
      <c r="N2473">
        <v>5</v>
      </c>
      <c r="O2473">
        <v>0</v>
      </c>
      <c r="P2473">
        <v>0</v>
      </c>
      <c r="Q2473">
        <v>0</v>
      </c>
      <c r="R2473">
        <v>0</v>
      </c>
      <c r="S2473">
        <v>80</v>
      </c>
      <c r="T2473">
        <v>73</v>
      </c>
      <c r="U2473" s="5">
        <f>IF(Merge1[[#This Row],[team_defense_snaps]]=0, "", Merge1[[#This Row],[defense_snaps]] / Merge1[[#This Row],[team_defense_snaps]])</f>
        <v>0.97333333333333338</v>
      </c>
      <c r="V2473">
        <v>75</v>
      </c>
      <c r="W2473">
        <v>7</v>
      </c>
      <c r="X2473" s="5" t="s">
        <v>293</v>
      </c>
      <c r="Y2473">
        <v>7</v>
      </c>
      <c r="Z2473">
        <v>0</v>
      </c>
      <c r="AA2473" t="s">
        <v>25</v>
      </c>
      <c r="AB2473" t="s">
        <v>36</v>
      </c>
      <c r="AC2473" t="s">
        <v>63</v>
      </c>
      <c r="AD2473" t="s">
        <v>42</v>
      </c>
      <c r="AE2473" t="s">
        <v>25</v>
      </c>
      <c r="AF24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9.375E-2</v>
      </c>
      <c r="AG2473" t="s">
        <v>942</v>
      </c>
      <c r="AH2473">
        <v>51.5</v>
      </c>
      <c r="AI2473" t="s">
        <v>939</v>
      </c>
      <c r="AJ2473">
        <v>2</v>
      </c>
      <c r="AK24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MIN(AJ2473/8, 1) +
  Merge1[[#This Row],[index_defensive_effort]],
  2
)</f>
        <v>0.84</v>
      </c>
    </row>
    <row r="2474" spans="1:37" x14ac:dyDescent="0.25">
      <c r="A2474" t="s">
        <v>673</v>
      </c>
      <c r="B2474" t="s">
        <v>674</v>
      </c>
      <c r="C2474">
        <v>30</v>
      </c>
      <c r="D2474" t="s">
        <v>22</v>
      </c>
      <c r="E2474">
        <v>72</v>
      </c>
      <c r="F2474">
        <v>197</v>
      </c>
      <c r="G2474" t="s">
        <v>339</v>
      </c>
      <c r="H2474">
        <v>2020</v>
      </c>
      <c r="I2474" t="s">
        <v>33</v>
      </c>
      <c r="J2474">
        <v>12</v>
      </c>
      <c r="K2474">
        <v>3</v>
      </c>
      <c r="L2474">
        <v>1</v>
      </c>
      <c r="M2474">
        <v>1</v>
      </c>
      <c r="N2474">
        <v>2</v>
      </c>
      <c r="O2474">
        <v>0</v>
      </c>
      <c r="P2474">
        <v>0</v>
      </c>
      <c r="Q2474">
        <v>0</v>
      </c>
      <c r="R2474">
        <v>0</v>
      </c>
      <c r="S2474">
        <v>84</v>
      </c>
      <c r="T2474">
        <v>82</v>
      </c>
      <c r="U2474" s="5">
        <f>IF(Merge1[[#This Row],[team_defense_snaps]]=0, "", Merge1[[#This Row],[defense_snaps]] / Merge1[[#This Row],[team_defense_snaps]])</f>
        <v>0.98795180722891562</v>
      </c>
      <c r="V2474">
        <v>83</v>
      </c>
      <c r="W2474">
        <v>2</v>
      </c>
      <c r="X2474" s="5" t="s">
        <v>208</v>
      </c>
      <c r="Y2474">
        <v>7</v>
      </c>
      <c r="Z2474">
        <v>0</v>
      </c>
      <c r="AA2474" t="s">
        <v>25</v>
      </c>
      <c r="AB2474" t="s">
        <v>26</v>
      </c>
      <c r="AC2474" t="s">
        <v>27</v>
      </c>
      <c r="AD2474" t="s">
        <v>42</v>
      </c>
      <c r="AE2474" t="s">
        <v>25</v>
      </c>
      <c r="AF24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4.7619047619047616E-2</v>
      </c>
      <c r="AG2474" t="s">
        <v>942</v>
      </c>
      <c r="AH2474">
        <v>48.5</v>
      </c>
      <c r="AI2474" t="s">
        <v>939</v>
      </c>
      <c r="AJ2474">
        <v>1</v>
      </c>
      <c r="AK24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MIN(AJ2474/8, 1) +
  Merge1[[#This Row],[index_defensive_effort]],
  2
)</f>
        <v>0.67</v>
      </c>
    </row>
    <row r="2475" spans="1:37" x14ac:dyDescent="0.25">
      <c r="A2475" t="s">
        <v>673</v>
      </c>
      <c r="B2475" t="s">
        <v>674</v>
      </c>
      <c r="C2475">
        <v>30</v>
      </c>
      <c r="D2475" t="s">
        <v>22</v>
      </c>
      <c r="E2475">
        <v>72</v>
      </c>
      <c r="F2475">
        <v>197</v>
      </c>
      <c r="G2475" t="s">
        <v>339</v>
      </c>
      <c r="H2475">
        <v>2020</v>
      </c>
      <c r="I2475" t="s">
        <v>33</v>
      </c>
      <c r="J2475">
        <v>13</v>
      </c>
      <c r="K2475">
        <v>7</v>
      </c>
      <c r="L2475">
        <v>7</v>
      </c>
      <c r="M2475">
        <v>3</v>
      </c>
      <c r="N2475">
        <v>10</v>
      </c>
      <c r="O2475">
        <v>0</v>
      </c>
      <c r="P2475">
        <v>0</v>
      </c>
      <c r="Q2475">
        <v>2</v>
      </c>
      <c r="R2475">
        <v>0</v>
      </c>
      <c r="S2475">
        <v>65</v>
      </c>
      <c r="T2475">
        <v>60</v>
      </c>
      <c r="U2475" s="5">
        <f>IF(Merge1[[#This Row],[team_defense_snaps]]=0, "", Merge1[[#This Row],[defense_snaps]] / Merge1[[#This Row],[team_defense_snaps]])</f>
        <v>0.98360655737704916</v>
      </c>
      <c r="V2475">
        <v>61</v>
      </c>
      <c r="W2475">
        <v>5</v>
      </c>
      <c r="X2475" s="5" t="s">
        <v>293</v>
      </c>
      <c r="Y2475">
        <v>7</v>
      </c>
      <c r="Z2475">
        <v>0</v>
      </c>
      <c r="AA2475" t="s">
        <v>25</v>
      </c>
      <c r="AB2475" t="s">
        <v>26</v>
      </c>
      <c r="AC2475" t="s">
        <v>27</v>
      </c>
      <c r="AD2475" t="s">
        <v>42</v>
      </c>
      <c r="AE2475" t="s">
        <v>25</v>
      </c>
      <c r="AF24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0.30769230769230771</v>
      </c>
      <c r="AG2475" t="s">
        <v>942</v>
      </c>
      <c r="AH2475">
        <v>48</v>
      </c>
      <c r="AI2475" t="s">
        <v>939</v>
      </c>
      <c r="AJ2475">
        <v>2</v>
      </c>
      <c r="AK24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MIN(AJ2475/8, 1) +
  Merge1[[#This Row],[index_defensive_effort]],
  2
)</f>
        <v>1.06</v>
      </c>
    </row>
    <row r="2476" spans="1:37" x14ac:dyDescent="0.25">
      <c r="A2476" t="s">
        <v>673</v>
      </c>
      <c r="B2476" t="s">
        <v>674</v>
      </c>
      <c r="C2476">
        <v>30</v>
      </c>
      <c r="D2476" t="s">
        <v>22</v>
      </c>
      <c r="E2476">
        <v>72</v>
      </c>
      <c r="F2476">
        <v>197</v>
      </c>
      <c r="G2476" t="s">
        <v>339</v>
      </c>
      <c r="H2476">
        <v>2020</v>
      </c>
      <c r="I2476" t="s">
        <v>33</v>
      </c>
      <c r="J2476">
        <v>14</v>
      </c>
      <c r="K2476">
        <v>3</v>
      </c>
      <c r="L2476">
        <v>1</v>
      </c>
      <c r="M2476">
        <v>0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58</v>
      </c>
      <c r="T2476">
        <v>57</v>
      </c>
      <c r="U2476" s="5">
        <f>IF(Merge1[[#This Row],[team_defense_snaps]]=0, "", Merge1[[#This Row],[defense_snaps]] / Merge1[[#This Row],[team_defense_snaps]])</f>
        <v>1</v>
      </c>
      <c r="V2476">
        <v>57</v>
      </c>
      <c r="W2476">
        <v>1</v>
      </c>
      <c r="X2476" s="5" t="s">
        <v>193</v>
      </c>
      <c r="Y2476">
        <v>7</v>
      </c>
      <c r="Z2476">
        <v>0</v>
      </c>
      <c r="AA2476" t="s">
        <v>25</v>
      </c>
      <c r="AB2476" t="s">
        <v>26</v>
      </c>
      <c r="AC2476" t="s">
        <v>27</v>
      </c>
      <c r="AD2476" t="s">
        <v>42</v>
      </c>
      <c r="AE2476" t="s">
        <v>25</v>
      </c>
      <c r="AF24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6.0344827586206899E-2</v>
      </c>
      <c r="AG2476" t="s">
        <v>942</v>
      </c>
      <c r="AH2476">
        <v>63.5</v>
      </c>
      <c r="AI2476" t="s">
        <v>939</v>
      </c>
      <c r="AJ2476">
        <v>3</v>
      </c>
      <c r="AK24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MIN(AJ2476/8, 1) +
  Merge1[[#This Row],[index_defensive_effort]],
  2
)</f>
        <v>0.94</v>
      </c>
    </row>
    <row r="2477" spans="1:37" x14ac:dyDescent="0.25">
      <c r="A2477" t="s">
        <v>673</v>
      </c>
      <c r="B2477" t="s">
        <v>674</v>
      </c>
      <c r="C2477">
        <v>30</v>
      </c>
      <c r="D2477" t="s">
        <v>22</v>
      </c>
      <c r="E2477">
        <v>72</v>
      </c>
      <c r="F2477">
        <v>197</v>
      </c>
      <c r="G2477" t="s">
        <v>339</v>
      </c>
      <c r="H2477">
        <v>2020</v>
      </c>
      <c r="I2477" t="s">
        <v>33</v>
      </c>
      <c r="J2477">
        <v>16</v>
      </c>
      <c r="K2477">
        <v>1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46</v>
      </c>
      <c r="T2477">
        <v>44</v>
      </c>
      <c r="U2477" s="5">
        <f>IF(Merge1[[#This Row],[team_defense_snaps]]=0, "", Merge1[[#This Row],[defense_snaps]] / Merge1[[#This Row],[team_defense_snaps]])</f>
        <v>0.88</v>
      </c>
      <c r="V2477">
        <v>50</v>
      </c>
      <c r="W2477">
        <v>2</v>
      </c>
      <c r="X2477" s="5" t="s">
        <v>208</v>
      </c>
      <c r="Y2477">
        <v>7</v>
      </c>
      <c r="Z2477">
        <v>0</v>
      </c>
      <c r="AA2477" t="s">
        <v>25</v>
      </c>
      <c r="AB2477" t="s">
        <v>26</v>
      </c>
      <c r="AC2477" t="s">
        <v>27</v>
      </c>
      <c r="AD2477" t="s">
        <v>42</v>
      </c>
      <c r="AE2477" t="s">
        <v>25</v>
      </c>
      <c r="AF24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2.1739130434782608E-2</v>
      </c>
      <c r="AG2477" t="s">
        <v>942</v>
      </c>
      <c r="AH2477">
        <v>50</v>
      </c>
      <c r="AI2477" t="s">
        <v>939</v>
      </c>
      <c r="AJ2477">
        <v>1</v>
      </c>
      <c r="AK24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MIN(AJ2477/8, 1) +
  Merge1[[#This Row],[index_defensive_effort]],
  2
)</f>
        <v>0.65</v>
      </c>
    </row>
    <row r="2478" spans="1:37" x14ac:dyDescent="0.25">
      <c r="A2478" t="s">
        <v>673</v>
      </c>
      <c r="B2478" t="s">
        <v>674</v>
      </c>
      <c r="C2478">
        <v>30</v>
      </c>
      <c r="D2478" t="s">
        <v>22</v>
      </c>
      <c r="E2478">
        <v>72</v>
      </c>
      <c r="F2478">
        <v>197</v>
      </c>
      <c r="G2478" t="s">
        <v>339</v>
      </c>
      <c r="H2478">
        <v>2020</v>
      </c>
      <c r="I2478" t="s">
        <v>33</v>
      </c>
      <c r="J2478">
        <v>17</v>
      </c>
      <c r="K2478">
        <v>1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42</v>
      </c>
      <c r="T2478">
        <v>42</v>
      </c>
      <c r="U2478" s="5">
        <f>IF(Merge1[[#This Row],[team_defense_snaps]]=0, "", Merge1[[#This Row],[defense_snaps]] / Merge1[[#This Row],[team_defense_snaps]])</f>
        <v>0.5</v>
      </c>
      <c r="V2478">
        <v>84</v>
      </c>
      <c r="W2478">
        <v>0</v>
      </c>
      <c r="X2478" s="5" t="s">
        <v>29</v>
      </c>
      <c r="Y2478">
        <v>7</v>
      </c>
      <c r="Z2478">
        <v>0</v>
      </c>
      <c r="AA2478" t="s">
        <v>25</v>
      </c>
      <c r="AB2478" t="s">
        <v>26</v>
      </c>
      <c r="AC2478" t="s">
        <v>27</v>
      </c>
      <c r="AD2478" t="s">
        <v>42</v>
      </c>
      <c r="AE2478" t="s">
        <v>25</v>
      </c>
      <c r="AF24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2.3809523809523808E-2</v>
      </c>
      <c r="AG2478" t="s">
        <v>942</v>
      </c>
      <c r="AH2478">
        <v>56</v>
      </c>
      <c r="AI2478" t="s">
        <v>939</v>
      </c>
      <c r="AJ2478">
        <v>2</v>
      </c>
      <c r="AK24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MIN(AJ2478/8, 1) +
  Merge1[[#This Row],[index_defensive_effort]],
  2
)</f>
        <v>0.77</v>
      </c>
    </row>
    <row r="2479" spans="1:37" x14ac:dyDescent="0.25">
      <c r="A2479" t="s">
        <v>673</v>
      </c>
      <c r="B2479" t="s">
        <v>674</v>
      </c>
      <c r="C2479">
        <v>30</v>
      </c>
      <c r="D2479" t="s">
        <v>22</v>
      </c>
      <c r="E2479">
        <v>72</v>
      </c>
      <c r="F2479">
        <v>197</v>
      </c>
      <c r="G2479" t="s">
        <v>339</v>
      </c>
      <c r="H2479">
        <v>2020</v>
      </c>
      <c r="I2479" t="s">
        <v>24</v>
      </c>
      <c r="J2479">
        <v>18</v>
      </c>
      <c r="K2479">
        <v>4</v>
      </c>
      <c r="L2479">
        <v>3</v>
      </c>
      <c r="M2479">
        <v>3</v>
      </c>
      <c r="N2479">
        <v>6</v>
      </c>
      <c r="O2479">
        <v>0</v>
      </c>
      <c r="P2479">
        <v>0</v>
      </c>
      <c r="Q2479">
        <v>0</v>
      </c>
      <c r="R2479">
        <v>1</v>
      </c>
      <c r="S2479">
        <v>82</v>
      </c>
      <c r="T2479">
        <v>78</v>
      </c>
      <c r="U2479" s="5">
        <f>IF(Merge1[[#This Row],[team_defense_snaps]]=0, "", Merge1[[#This Row],[defense_snaps]] / Merge1[[#This Row],[team_defense_snaps]])</f>
        <v>0.98734177215189878</v>
      </c>
      <c r="V2479">
        <v>79</v>
      </c>
      <c r="W2479">
        <v>4</v>
      </c>
      <c r="X2479" s="5" t="s">
        <v>168</v>
      </c>
      <c r="Y2479">
        <v>7</v>
      </c>
      <c r="Z2479">
        <v>0</v>
      </c>
      <c r="AA2479" t="s">
        <v>25</v>
      </c>
      <c r="AB2479" t="s">
        <v>26</v>
      </c>
      <c r="AC2479" t="s">
        <v>27</v>
      </c>
      <c r="AD2479" t="s">
        <v>42</v>
      </c>
      <c r="AE2479" t="s">
        <v>25</v>
      </c>
      <c r="AF24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0.10975609756097561</v>
      </c>
      <c r="AG2479" t="s">
        <v>942</v>
      </c>
      <c r="AH2479">
        <v>65</v>
      </c>
      <c r="AI2479" t="s">
        <v>939</v>
      </c>
      <c r="AJ2479">
        <v>3</v>
      </c>
      <c r="AK24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MIN(AJ2479/8, 1) +
  Merge1[[#This Row],[index_defensive_effort]],
  2
)</f>
        <v>1.18</v>
      </c>
    </row>
    <row r="2480" spans="1:37" x14ac:dyDescent="0.25">
      <c r="A2480" t="s">
        <v>673</v>
      </c>
      <c r="B2480" t="s">
        <v>674</v>
      </c>
      <c r="C2480">
        <v>30</v>
      </c>
      <c r="D2480" t="s">
        <v>22</v>
      </c>
      <c r="E2480">
        <v>72</v>
      </c>
      <c r="F2480">
        <v>197</v>
      </c>
      <c r="G2480" t="s">
        <v>339</v>
      </c>
      <c r="H2480">
        <v>2020</v>
      </c>
      <c r="I2480" t="s">
        <v>24</v>
      </c>
      <c r="J2480">
        <v>19</v>
      </c>
      <c r="K2480">
        <v>6</v>
      </c>
      <c r="L2480">
        <v>1</v>
      </c>
      <c r="M2480">
        <v>1</v>
      </c>
      <c r="N2480">
        <v>2</v>
      </c>
      <c r="O2480">
        <v>0</v>
      </c>
      <c r="P2480">
        <v>1</v>
      </c>
      <c r="Q2480">
        <v>0</v>
      </c>
      <c r="R2480">
        <v>0</v>
      </c>
      <c r="S2480">
        <v>79</v>
      </c>
      <c r="T2480">
        <v>76</v>
      </c>
      <c r="U2480" s="5">
        <f>IF(Merge1[[#This Row],[team_defense_snaps]]=0, "", Merge1[[#This Row],[defense_snaps]] / Merge1[[#This Row],[team_defense_snaps]])</f>
        <v>1</v>
      </c>
      <c r="V2480">
        <v>76</v>
      </c>
      <c r="W2480">
        <v>3</v>
      </c>
      <c r="X2480" s="5" t="s">
        <v>251</v>
      </c>
      <c r="Y2480">
        <v>7</v>
      </c>
      <c r="Z2480">
        <v>0</v>
      </c>
      <c r="AA2480" t="s">
        <v>25</v>
      </c>
      <c r="AB2480" t="s">
        <v>26</v>
      </c>
      <c r="AC2480" t="s">
        <v>27</v>
      </c>
      <c r="AD2480" t="s">
        <v>42</v>
      </c>
      <c r="AE2480" t="s">
        <v>25</v>
      </c>
      <c r="AF24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0.11392405063291139</v>
      </c>
      <c r="AG2480" t="s">
        <v>942</v>
      </c>
      <c r="AH2480">
        <v>54.5</v>
      </c>
      <c r="AI2480" t="s">
        <v>939</v>
      </c>
      <c r="AJ2480">
        <v>4</v>
      </c>
      <c r="AK24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MIN(AJ2480/8, 1) +
  Merge1[[#This Row],[index_defensive_effort]],
  2
)</f>
        <v>1.31</v>
      </c>
    </row>
    <row r="2481" spans="1:37" x14ac:dyDescent="0.25">
      <c r="A2481" t="s">
        <v>673</v>
      </c>
      <c r="B2481" t="s">
        <v>674</v>
      </c>
      <c r="C2481">
        <v>30</v>
      </c>
      <c r="D2481" t="s">
        <v>22</v>
      </c>
      <c r="E2481">
        <v>72</v>
      </c>
      <c r="F2481">
        <v>197</v>
      </c>
      <c r="G2481" t="s">
        <v>339</v>
      </c>
      <c r="H2481">
        <v>2020</v>
      </c>
      <c r="I2481" t="s">
        <v>24</v>
      </c>
      <c r="J2481">
        <v>20</v>
      </c>
      <c r="K2481">
        <v>2</v>
      </c>
      <c r="L2481">
        <v>1</v>
      </c>
      <c r="M2481">
        <v>0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72</v>
      </c>
      <c r="T2481">
        <v>64</v>
      </c>
      <c r="U2481" s="5">
        <f>IF(Merge1[[#This Row],[team_defense_snaps]]=0, "", Merge1[[#This Row],[defense_snaps]] / Merge1[[#This Row],[team_defense_snaps]])</f>
        <v>0.98461538461538467</v>
      </c>
      <c r="V2481">
        <v>65</v>
      </c>
      <c r="W2481">
        <v>8</v>
      </c>
      <c r="X2481" s="5" t="s">
        <v>261</v>
      </c>
      <c r="Y2481">
        <v>7</v>
      </c>
      <c r="Z2481">
        <v>0</v>
      </c>
      <c r="AA2481" t="s">
        <v>25</v>
      </c>
      <c r="AB2481" t="s">
        <v>26</v>
      </c>
      <c r="AC2481" t="s">
        <v>27</v>
      </c>
      <c r="AD2481" t="s">
        <v>42</v>
      </c>
      <c r="AE2481" t="s">
        <v>25</v>
      </c>
      <c r="AF24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3.4722222222222224E-2</v>
      </c>
      <c r="AG2481" t="s">
        <v>942</v>
      </c>
      <c r="AH2481">
        <v>66.5</v>
      </c>
      <c r="AI2481" t="s">
        <v>939</v>
      </c>
      <c r="AJ2481">
        <v>5</v>
      </c>
      <c r="AK24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MIN(AJ2481/8, 1) +
  Merge1[[#This Row],[index_defensive_effort]],
  2
)</f>
        <v>1.36</v>
      </c>
    </row>
    <row r="2482" spans="1:37" x14ac:dyDescent="0.25">
      <c r="A2482" t="s">
        <v>649</v>
      </c>
      <c r="B2482" t="s">
        <v>650</v>
      </c>
      <c r="C2482">
        <v>25</v>
      </c>
      <c r="D2482" t="s">
        <v>56</v>
      </c>
      <c r="E2482">
        <v>74</v>
      </c>
      <c r="F2482">
        <v>196</v>
      </c>
      <c r="G2482" t="s">
        <v>120</v>
      </c>
      <c r="H2482">
        <v>2020</v>
      </c>
      <c r="I2482" t="s">
        <v>33</v>
      </c>
      <c r="J2482">
        <v>1</v>
      </c>
      <c r="K2482">
        <v>1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75</v>
      </c>
      <c r="T2482">
        <v>60</v>
      </c>
      <c r="U2482" s="5">
        <f>IF(Merge1[[#This Row],[team_defense_snaps]]=0, "", Merge1[[#This Row],[defense_snaps]] / Merge1[[#This Row],[team_defense_snaps]])</f>
        <v>0.88235294117647056</v>
      </c>
      <c r="V2482">
        <v>68</v>
      </c>
      <c r="W2482">
        <v>15</v>
      </c>
      <c r="X2482" s="5" t="s">
        <v>52</v>
      </c>
      <c r="Y2482">
        <v>3</v>
      </c>
      <c r="Z2482">
        <v>0</v>
      </c>
      <c r="AA2482" t="s">
        <v>25</v>
      </c>
      <c r="AB2482" t="s">
        <v>26</v>
      </c>
      <c r="AC2482" t="s">
        <v>27</v>
      </c>
      <c r="AD2482" t="s">
        <v>42</v>
      </c>
      <c r="AE2482" t="s">
        <v>25</v>
      </c>
      <c r="AF24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1.3333333333333334E-2</v>
      </c>
      <c r="AG2482" t="s">
        <v>942</v>
      </c>
      <c r="AH2482">
        <v>58</v>
      </c>
      <c r="AI2482" t="s">
        <v>939</v>
      </c>
      <c r="AJ2482">
        <v>1</v>
      </c>
      <c r="AK24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MIN(AJ2482/8, 1) +
  Merge1[[#This Row],[index_defensive_effort]],
  2
)</f>
        <v>0.54</v>
      </c>
    </row>
    <row r="2483" spans="1:37" x14ac:dyDescent="0.25">
      <c r="A2483" t="s">
        <v>649</v>
      </c>
      <c r="B2483" t="s">
        <v>650</v>
      </c>
      <c r="C2483">
        <v>25</v>
      </c>
      <c r="D2483" t="s">
        <v>56</v>
      </c>
      <c r="E2483">
        <v>74</v>
      </c>
      <c r="F2483">
        <v>196</v>
      </c>
      <c r="G2483" t="s">
        <v>120</v>
      </c>
      <c r="H2483">
        <v>2020</v>
      </c>
      <c r="I2483" t="s">
        <v>33</v>
      </c>
      <c r="J2483">
        <v>2</v>
      </c>
      <c r="K2483">
        <v>4</v>
      </c>
      <c r="L2483">
        <v>1</v>
      </c>
      <c r="M2483">
        <v>0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90</v>
      </c>
      <c r="T2483">
        <v>74</v>
      </c>
      <c r="U2483" s="5">
        <f>IF(Merge1[[#This Row],[team_defense_snaps]]=0, "", Merge1[[#This Row],[defense_snaps]] / Merge1[[#This Row],[team_defense_snaps]])</f>
        <v>0.96103896103896103</v>
      </c>
      <c r="V2483">
        <v>77</v>
      </c>
      <c r="W2483">
        <v>16</v>
      </c>
      <c r="X2483" s="5" t="s">
        <v>102</v>
      </c>
      <c r="Y2483">
        <v>3</v>
      </c>
      <c r="Z2483">
        <v>0</v>
      </c>
      <c r="AA2483" t="s">
        <v>25</v>
      </c>
      <c r="AB2483" t="s">
        <v>26</v>
      </c>
      <c r="AC2483" t="s">
        <v>27</v>
      </c>
      <c r="AD2483" t="s">
        <v>42</v>
      </c>
      <c r="AE2483" t="s">
        <v>25</v>
      </c>
      <c r="AF24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2483" t="s">
        <v>942</v>
      </c>
      <c r="AH2483">
        <v>71.5</v>
      </c>
      <c r="AI2483" t="s">
        <v>939</v>
      </c>
      <c r="AJ2483">
        <v>2</v>
      </c>
      <c r="AK24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MIN(AJ2483/8, 1) +
  Merge1[[#This Row],[index_defensive_effort]],
  2
)</f>
        <v>0.7</v>
      </c>
    </row>
    <row r="2484" spans="1:37" x14ac:dyDescent="0.25">
      <c r="A2484" t="s">
        <v>649</v>
      </c>
      <c r="B2484" t="s">
        <v>650</v>
      </c>
      <c r="C2484">
        <v>25</v>
      </c>
      <c r="D2484" t="s">
        <v>56</v>
      </c>
      <c r="E2484">
        <v>74</v>
      </c>
      <c r="F2484">
        <v>196</v>
      </c>
      <c r="G2484" t="s">
        <v>120</v>
      </c>
      <c r="H2484">
        <v>2020</v>
      </c>
      <c r="I2484" t="s">
        <v>33</v>
      </c>
      <c r="J2484">
        <v>3</v>
      </c>
      <c r="K2484">
        <v>5</v>
      </c>
      <c r="L2484">
        <v>1</v>
      </c>
      <c r="M2484">
        <v>0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58</v>
      </c>
      <c r="T2484">
        <v>43</v>
      </c>
      <c r="U2484" s="5">
        <f>IF(Merge1[[#This Row],[team_defense_snaps]]=0, "", Merge1[[#This Row],[defense_snaps]] / Merge1[[#This Row],[team_defense_snaps]])</f>
        <v>0.84313725490196079</v>
      </c>
      <c r="V2484">
        <v>51</v>
      </c>
      <c r="W2484">
        <v>15</v>
      </c>
      <c r="X2484" s="5" t="s">
        <v>189</v>
      </c>
      <c r="Y2484">
        <v>3</v>
      </c>
      <c r="Z2484">
        <v>0</v>
      </c>
      <c r="AA2484" t="s">
        <v>25</v>
      </c>
      <c r="AB2484" t="s">
        <v>26</v>
      </c>
      <c r="AC2484" t="s">
        <v>27</v>
      </c>
      <c r="AD2484" t="s">
        <v>42</v>
      </c>
      <c r="AE2484" t="s">
        <v>25</v>
      </c>
      <c r="AF24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9.4827586206896547E-2</v>
      </c>
      <c r="AG2484" t="s">
        <v>942</v>
      </c>
      <c r="AH2484">
        <v>59.5</v>
      </c>
      <c r="AI2484" t="s">
        <v>939</v>
      </c>
      <c r="AJ2484">
        <v>3</v>
      </c>
      <c r="AK24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MIN(AJ2484/8, 1) +
  Merge1[[#This Row],[index_defensive_effort]],
  2
)</f>
        <v>0.87</v>
      </c>
    </row>
    <row r="2485" spans="1:37" x14ac:dyDescent="0.25">
      <c r="A2485" t="s">
        <v>649</v>
      </c>
      <c r="B2485" t="s">
        <v>650</v>
      </c>
      <c r="C2485">
        <v>25</v>
      </c>
      <c r="D2485" t="s">
        <v>56</v>
      </c>
      <c r="E2485">
        <v>74</v>
      </c>
      <c r="F2485">
        <v>196</v>
      </c>
      <c r="G2485" t="s">
        <v>120</v>
      </c>
      <c r="H2485">
        <v>2020</v>
      </c>
      <c r="I2485" t="s">
        <v>33</v>
      </c>
      <c r="J2485">
        <v>4</v>
      </c>
      <c r="K2485">
        <v>3</v>
      </c>
      <c r="L2485">
        <v>3</v>
      </c>
      <c r="M2485">
        <v>1</v>
      </c>
      <c r="N2485">
        <v>4</v>
      </c>
      <c r="O2485">
        <v>0</v>
      </c>
      <c r="P2485">
        <v>1</v>
      </c>
      <c r="Q2485">
        <v>2</v>
      </c>
      <c r="R2485">
        <v>0</v>
      </c>
      <c r="S2485">
        <v>83</v>
      </c>
      <c r="T2485">
        <v>76</v>
      </c>
      <c r="U2485" s="5">
        <f>IF(Merge1[[#This Row],[team_defense_snaps]]=0, "", Merge1[[#This Row],[defense_snaps]] / Merge1[[#This Row],[team_defense_snaps]])</f>
        <v>0.76</v>
      </c>
      <c r="V2485">
        <v>100</v>
      </c>
      <c r="W2485">
        <v>7</v>
      </c>
      <c r="X2485" s="5" t="s">
        <v>139</v>
      </c>
      <c r="Y2485">
        <v>3</v>
      </c>
      <c r="Z2485">
        <v>0</v>
      </c>
      <c r="AA2485" t="s">
        <v>25</v>
      </c>
      <c r="AB2485" t="s">
        <v>26</v>
      </c>
      <c r="AC2485" t="s">
        <v>27</v>
      </c>
      <c r="AD2485" t="s">
        <v>42</v>
      </c>
      <c r="AE2485" t="s">
        <v>25</v>
      </c>
      <c r="AF24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0.18072289156626506</v>
      </c>
      <c r="AG2485" t="s">
        <v>942</v>
      </c>
      <c r="AH2485">
        <v>80.5</v>
      </c>
      <c r="AI2485" t="s">
        <v>939</v>
      </c>
      <c r="AJ2485">
        <v>4</v>
      </c>
      <c r="AK24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MIN(AJ2485/8, 1) +
  Merge1[[#This Row],[index_defensive_effort]],
  2
)</f>
        <v>1.08</v>
      </c>
    </row>
    <row r="2486" spans="1:37" x14ac:dyDescent="0.25">
      <c r="A2486" t="s">
        <v>649</v>
      </c>
      <c r="B2486" t="s">
        <v>650</v>
      </c>
      <c r="C2486">
        <v>25</v>
      </c>
      <c r="D2486" t="s">
        <v>56</v>
      </c>
      <c r="E2486">
        <v>74</v>
      </c>
      <c r="F2486">
        <v>196</v>
      </c>
      <c r="G2486" t="s">
        <v>120</v>
      </c>
      <c r="H2486">
        <v>2020</v>
      </c>
      <c r="I2486" t="s">
        <v>33</v>
      </c>
      <c r="J2486">
        <v>5</v>
      </c>
      <c r="K2486">
        <v>6</v>
      </c>
      <c r="L2486">
        <v>1</v>
      </c>
      <c r="M2486">
        <v>0</v>
      </c>
      <c r="N2486">
        <v>1</v>
      </c>
      <c r="O2486">
        <v>0</v>
      </c>
      <c r="P2486">
        <v>2</v>
      </c>
      <c r="Q2486">
        <v>0</v>
      </c>
      <c r="R2486">
        <v>0</v>
      </c>
      <c r="S2486">
        <v>81</v>
      </c>
      <c r="T2486">
        <v>73</v>
      </c>
      <c r="U2486" s="5">
        <f>IF(Merge1[[#This Row],[team_defense_snaps]]=0, "", Merge1[[#This Row],[defense_snaps]] / Merge1[[#This Row],[team_defense_snaps]])</f>
        <v>0.96052631578947367</v>
      </c>
      <c r="V2486">
        <v>76</v>
      </c>
      <c r="W2486">
        <v>8</v>
      </c>
      <c r="X2486" s="5" t="s">
        <v>293</v>
      </c>
      <c r="Y2486">
        <v>3</v>
      </c>
      <c r="Z2486">
        <v>0</v>
      </c>
      <c r="AA2486" t="s">
        <v>25</v>
      </c>
      <c r="AB2486" t="s">
        <v>26</v>
      </c>
      <c r="AC2486" t="s">
        <v>27</v>
      </c>
      <c r="AD2486" t="s">
        <v>42</v>
      </c>
      <c r="AE2486" t="s">
        <v>25</v>
      </c>
      <c r="AF24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0.12962962962962962</v>
      </c>
      <c r="AG2486" t="s">
        <v>942</v>
      </c>
      <c r="AH2486">
        <v>79</v>
      </c>
      <c r="AI2486" t="s">
        <v>939</v>
      </c>
      <c r="AJ2486">
        <v>5</v>
      </c>
      <c r="AK24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MIN(AJ2486/8, 1) +
  Merge1[[#This Row],[index_defensive_effort]],
  2
)</f>
        <v>1.1499999999999999</v>
      </c>
    </row>
    <row r="2487" spans="1:37" x14ac:dyDescent="0.25">
      <c r="A2487" t="s">
        <v>649</v>
      </c>
      <c r="B2487" t="s">
        <v>650</v>
      </c>
      <c r="C2487">
        <v>25</v>
      </c>
      <c r="D2487" t="s">
        <v>56</v>
      </c>
      <c r="E2487">
        <v>74</v>
      </c>
      <c r="F2487">
        <v>196</v>
      </c>
      <c r="G2487" t="s">
        <v>120</v>
      </c>
      <c r="H2487">
        <v>2020</v>
      </c>
      <c r="I2487" t="s">
        <v>33</v>
      </c>
      <c r="J2487">
        <v>7</v>
      </c>
      <c r="K2487">
        <v>1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64</v>
      </c>
      <c r="T2487">
        <v>63</v>
      </c>
      <c r="U2487" s="5">
        <f>IF(Merge1[[#This Row],[team_defense_snaps]]=0, "", Merge1[[#This Row],[defense_snaps]] / Merge1[[#This Row],[team_defense_snaps]])</f>
        <v>1</v>
      </c>
      <c r="V2487">
        <v>63</v>
      </c>
      <c r="W2487">
        <v>1</v>
      </c>
      <c r="X2487" s="5" t="s">
        <v>303</v>
      </c>
      <c r="Y2487">
        <v>3</v>
      </c>
      <c r="Z2487">
        <v>0</v>
      </c>
      <c r="AA2487" t="s">
        <v>25</v>
      </c>
      <c r="AB2487" t="s">
        <v>26</v>
      </c>
      <c r="AC2487" t="s">
        <v>27</v>
      </c>
      <c r="AD2487" t="s">
        <v>42</v>
      </c>
      <c r="AE2487" t="s">
        <v>25</v>
      </c>
      <c r="AF24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1.5625E-2</v>
      </c>
      <c r="AG2487" t="s">
        <v>942</v>
      </c>
      <c r="AH2487">
        <v>77.5</v>
      </c>
      <c r="AI2487" t="s">
        <v>939</v>
      </c>
      <c r="AJ2487">
        <v>1</v>
      </c>
      <c r="AK24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MIN(AJ2487/8, 1) +
  Merge1[[#This Row],[index_defensive_effort]],
  2
)</f>
        <v>0.54</v>
      </c>
    </row>
    <row r="2488" spans="1:37" x14ac:dyDescent="0.25">
      <c r="A2488" t="s">
        <v>649</v>
      </c>
      <c r="B2488" t="s">
        <v>650</v>
      </c>
      <c r="C2488">
        <v>25</v>
      </c>
      <c r="D2488" t="s">
        <v>56</v>
      </c>
      <c r="E2488">
        <v>74</v>
      </c>
      <c r="F2488">
        <v>196</v>
      </c>
      <c r="G2488" t="s">
        <v>120</v>
      </c>
      <c r="H2488">
        <v>2020</v>
      </c>
      <c r="I2488" t="s">
        <v>33</v>
      </c>
      <c r="J2488">
        <v>8</v>
      </c>
      <c r="K2488">
        <v>3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71</v>
      </c>
      <c r="T2488">
        <v>65</v>
      </c>
      <c r="U2488" s="5">
        <f>IF(Merge1[[#This Row],[team_defense_snaps]]=0, "", Merge1[[#This Row],[defense_snaps]] / Merge1[[#This Row],[team_defense_snaps]])</f>
        <v>1</v>
      </c>
      <c r="V2488">
        <v>65</v>
      </c>
      <c r="W2488">
        <v>6</v>
      </c>
      <c r="X2488" s="5" t="s">
        <v>59</v>
      </c>
      <c r="Y2488">
        <v>3</v>
      </c>
      <c r="Z2488">
        <v>0</v>
      </c>
      <c r="AA2488" t="s">
        <v>25</v>
      </c>
      <c r="AB2488" t="s">
        <v>26</v>
      </c>
      <c r="AC2488" t="s">
        <v>27</v>
      </c>
      <c r="AD2488" t="s">
        <v>42</v>
      </c>
      <c r="AE2488" t="s">
        <v>25</v>
      </c>
      <c r="AF24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4.2253521126760563E-2</v>
      </c>
      <c r="AG2488" t="s">
        <v>942</v>
      </c>
      <c r="AH2488">
        <v>68.5</v>
      </c>
      <c r="AI2488" t="s">
        <v>939</v>
      </c>
      <c r="AJ2488">
        <v>2</v>
      </c>
      <c r="AK24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MIN(AJ2488/8, 1) +
  Merge1[[#This Row],[index_defensive_effort]],
  2
)</f>
        <v>0.69</v>
      </c>
    </row>
    <row r="2489" spans="1:37" x14ac:dyDescent="0.25">
      <c r="A2489" t="s">
        <v>649</v>
      </c>
      <c r="B2489" t="s">
        <v>650</v>
      </c>
      <c r="C2489">
        <v>25</v>
      </c>
      <c r="D2489" t="s">
        <v>56</v>
      </c>
      <c r="E2489">
        <v>74</v>
      </c>
      <c r="F2489">
        <v>196</v>
      </c>
      <c r="G2489" t="s">
        <v>120</v>
      </c>
      <c r="H2489">
        <v>2020</v>
      </c>
      <c r="I2489" t="s">
        <v>33</v>
      </c>
      <c r="J2489">
        <v>9</v>
      </c>
      <c r="K2489">
        <v>4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58</v>
      </c>
      <c r="T2489">
        <v>51</v>
      </c>
      <c r="U2489" s="5">
        <f>IF(Merge1[[#This Row],[team_defense_snaps]]=0, "", Merge1[[#This Row],[defense_snaps]] / Merge1[[#This Row],[team_defense_snaps]])</f>
        <v>1</v>
      </c>
      <c r="V2489">
        <v>51</v>
      </c>
      <c r="W2489">
        <v>7</v>
      </c>
      <c r="X2489" s="5" t="s">
        <v>133</v>
      </c>
      <c r="Y2489">
        <v>3</v>
      </c>
      <c r="Z2489">
        <v>0</v>
      </c>
      <c r="AA2489" t="s">
        <v>25</v>
      </c>
      <c r="AB2489" t="s">
        <v>26</v>
      </c>
      <c r="AC2489" t="s">
        <v>27</v>
      </c>
      <c r="AD2489" t="s">
        <v>42</v>
      </c>
      <c r="AE2489" t="s">
        <v>25</v>
      </c>
      <c r="AF24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6.8965517241379309E-2</v>
      </c>
      <c r="AG2489" t="s">
        <v>942</v>
      </c>
      <c r="AH2489">
        <v>73</v>
      </c>
      <c r="AI2489" t="s">
        <v>939</v>
      </c>
      <c r="AJ2489">
        <v>3</v>
      </c>
      <c r="AK24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MIN(AJ2489/8, 1) +
  Merge1[[#This Row],[index_defensive_effort]],
  2
)</f>
        <v>0.84</v>
      </c>
    </row>
    <row r="2490" spans="1:37" x14ac:dyDescent="0.25">
      <c r="A2490" t="s">
        <v>649</v>
      </c>
      <c r="B2490" t="s">
        <v>650</v>
      </c>
      <c r="C2490">
        <v>25</v>
      </c>
      <c r="D2490" t="s">
        <v>56</v>
      </c>
      <c r="E2490">
        <v>74</v>
      </c>
      <c r="F2490">
        <v>196</v>
      </c>
      <c r="G2490" t="s">
        <v>120</v>
      </c>
      <c r="H2490">
        <v>2020</v>
      </c>
      <c r="I2490" t="s">
        <v>33</v>
      </c>
      <c r="J2490">
        <v>10</v>
      </c>
      <c r="K2490">
        <v>5</v>
      </c>
      <c r="L2490">
        <v>1</v>
      </c>
      <c r="M2490">
        <v>1</v>
      </c>
      <c r="N2490">
        <v>2</v>
      </c>
      <c r="O2490">
        <v>0</v>
      </c>
      <c r="P2490">
        <v>0</v>
      </c>
      <c r="Q2490">
        <v>0</v>
      </c>
      <c r="R2490">
        <v>0</v>
      </c>
      <c r="S2490">
        <v>63</v>
      </c>
      <c r="T2490">
        <v>56</v>
      </c>
      <c r="U2490" s="5">
        <f>IF(Merge1[[#This Row],[team_defense_snaps]]=0, "", Merge1[[#This Row],[defense_snaps]] / Merge1[[#This Row],[team_defense_snaps]])</f>
        <v>0.96551724137931039</v>
      </c>
      <c r="V2490">
        <v>58</v>
      </c>
      <c r="W2490">
        <v>7</v>
      </c>
      <c r="X2490" s="5" t="s">
        <v>135</v>
      </c>
      <c r="Y2490">
        <v>3</v>
      </c>
      <c r="Z2490">
        <v>0</v>
      </c>
      <c r="AA2490" t="s">
        <v>25</v>
      </c>
      <c r="AB2490" t="s">
        <v>26</v>
      </c>
      <c r="AC2490" t="s">
        <v>27</v>
      </c>
      <c r="AD2490" t="s">
        <v>28</v>
      </c>
      <c r="AE2490" t="s">
        <v>25</v>
      </c>
      <c r="AF24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9.5238095238095233E-2</v>
      </c>
      <c r="AG2490" t="s">
        <v>942</v>
      </c>
      <c r="AH2490">
        <v>61</v>
      </c>
      <c r="AI2490" t="s">
        <v>939</v>
      </c>
      <c r="AJ2490">
        <v>4</v>
      </c>
      <c r="AK24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MIN(AJ2490/8, 1) +
  Merge1[[#This Row],[index_defensive_effort]],
  2
)</f>
        <v>1</v>
      </c>
    </row>
    <row r="2491" spans="1:37" x14ac:dyDescent="0.25">
      <c r="A2491" t="s">
        <v>649</v>
      </c>
      <c r="B2491" t="s">
        <v>650</v>
      </c>
      <c r="C2491">
        <v>25</v>
      </c>
      <c r="D2491" t="s">
        <v>56</v>
      </c>
      <c r="E2491">
        <v>74</v>
      </c>
      <c r="F2491">
        <v>196</v>
      </c>
      <c r="G2491" t="s">
        <v>120</v>
      </c>
      <c r="H2491">
        <v>2020</v>
      </c>
      <c r="I2491" t="s">
        <v>33</v>
      </c>
      <c r="J2491">
        <v>11</v>
      </c>
      <c r="K2491">
        <v>1</v>
      </c>
      <c r="L2491">
        <v>1</v>
      </c>
      <c r="M2491">
        <v>1</v>
      </c>
      <c r="N2491">
        <v>2</v>
      </c>
      <c r="O2491">
        <v>0</v>
      </c>
      <c r="P2491">
        <v>1</v>
      </c>
      <c r="Q2491">
        <v>0</v>
      </c>
      <c r="R2491">
        <v>0</v>
      </c>
      <c r="S2491">
        <v>66</v>
      </c>
      <c r="T2491">
        <v>60</v>
      </c>
      <c r="U2491" s="5">
        <f>IF(Merge1[[#This Row],[team_defense_snaps]]=0, "", Merge1[[#This Row],[defense_snaps]] / Merge1[[#This Row],[team_defense_snaps]])</f>
        <v>0.98360655737704916</v>
      </c>
      <c r="V2491">
        <v>61</v>
      </c>
      <c r="W2491">
        <v>6</v>
      </c>
      <c r="X2491" s="5" t="s">
        <v>58</v>
      </c>
      <c r="Y2491">
        <v>3</v>
      </c>
      <c r="Z2491">
        <v>0</v>
      </c>
      <c r="AA2491" t="s">
        <v>25</v>
      </c>
      <c r="AB2491" t="s">
        <v>26</v>
      </c>
      <c r="AC2491" t="s">
        <v>27</v>
      </c>
      <c r="AD2491" t="s">
        <v>42</v>
      </c>
      <c r="AE2491" t="s">
        <v>25</v>
      </c>
      <c r="AF24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6.0606060606060608E-2</v>
      </c>
      <c r="AG2491" t="s">
        <v>942</v>
      </c>
      <c r="AH2491">
        <v>67</v>
      </c>
      <c r="AI2491" t="s">
        <v>939</v>
      </c>
      <c r="AJ2491">
        <v>5</v>
      </c>
      <c r="AK24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MIN(AJ2491/8, 1) +
  Merge1[[#This Row],[index_defensive_effort]],
  2
)</f>
        <v>1.0900000000000001</v>
      </c>
    </row>
    <row r="2492" spans="1:37" x14ac:dyDescent="0.25">
      <c r="A2492" t="s">
        <v>649</v>
      </c>
      <c r="B2492" t="s">
        <v>650</v>
      </c>
      <c r="C2492">
        <v>25</v>
      </c>
      <c r="D2492" t="s">
        <v>56</v>
      </c>
      <c r="E2492">
        <v>74</v>
      </c>
      <c r="F2492">
        <v>196</v>
      </c>
      <c r="G2492" t="s">
        <v>120</v>
      </c>
      <c r="H2492">
        <v>2020</v>
      </c>
      <c r="I2492" t="s">
        <v>33</v>
      </c>
      <c r="J2492">
        <v>12</v>
      </c>
      <c r="K2492">
        <v>4</v>
      </c>
      <c r="L2492">
        <v>2</v>
      </c>
      <c r="M2492">
        <v>0</v>
      </c>
      <c r="N2492">
        <v>2</v>
      </c>
      <c r="O2492">
        <v>0</v>
      </c>
      <c r="P2492">
        <v>3</v>
      </c>
      <c r="Q2492">
        <v>2</v>
      </c>
      <c r="R2492">
        <v>0</v>
      </c>
      <c r="S2492">
        <v>66</v>
      </c>
      <c r="T2492">
        <v>61</v>
      </c>
      <c r="U2492" s="5">
        <f>IF(Merge1[[#This Row],[team_defense_snaps]]=0, "", Merge1[[#This Row],[defense_snaps]] / Merge1[[#This Row],[team_defense_snaps]])</f>
        <v>0.9838709677419355</v>
      </c>
      <c r="V2492">
        <v>62</v>
      </c>
      <c r="W2492">
        <v>5</v>
      </c>
      <c r="X2492" s="5" t="s">
        <v>59</v>
      </c>
      <c r="Y2492">
        <v>3</v>
      </c>
      <c r="Z2492">
        <v>0</v>
      </c>
      <c r="AA2492" t="s">
        <v>25</v>
      </c>
      <c r="AB2492" t="s">
        <v>26</v>
      </c>
      <c r="AC2492" t="s">
        <v>27</v>
      </c>
      <c r="AD2492" t="s">
        <v>42</v>
      </c>
      <c r="AE2492" t="s">
        <v>25</v>
      </c>
      <c r="AF24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0.2878787878787879</v>
      </c>
      <c r="AG2492" t="s">
        <v>942</v>
      </c>
      <c r="AH2492">
        <v>70</v>
      </c>
      <c r="AI2492" t="s">
        <v>939</v>
      </c>
      <c r="AJ2492">
        <v>6</v>
      </c>
      <c r="AK24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MIN(AJ2492/8, 1) +
  Merge1[[#This Row],[index_defensive_effort]],
  2
)</f>
        <v>1.44</v>
      </c>
    </row>
    <row r="2493" spans="1:37" x14ac:dyDescent="0.25">
      <c r="A2493" t="s">
        <v>649</v>
      </c>
      <c r="B2493" t="s">
        <v>650</v>
      </c>
      <c r="C2493">
        <v>25</v>
      </c>
      <c r="D2493" t="s">
        <v>56</v>
      </c>
      <c r="E2493">
        <v>74</v>
      </c>
      <c r="F2493">
        <v>196</v>
      </c>
      <c r="G2493" t="s">
        <v>120</v>
      </c>
      <c r="H2493">
        <v>2020</v>
      </c>
      <c r="I2493" t="s">
        <v>33</v>
      </c>
      <c r="J2493">
        <v>13</v>
      </c>
      <c r="K2493">
        <v>2</v>
      </c>
      <c r="L2493">
        <v>2</v>
      </c>
      <c r="M2493">
        <v>0</v>
      </c>
      <c r="N2493">
        <v>2</v>
      </c>
      <c r="O2493">
        <v>0</v>
      </c>
      <c r="P2493">
        <v>0</v>
      </c>
      <c r="Q2493">
        <v>0</v>
      </c>
      <c r="R2493">
        <v>0</v>
      </c>
      <c r="S2493">
        <v>75</v>
      </c>
      <c r="T2493">
        <v>66</v>
      </c>
      <c r="U2493" s="5">
        <f>IF(Merge1[[#This Row],[team_defense_snaps]]=0, "", Merge1[[#This Row],[defense_snaps]] / Merge1[[#This Row],[team_defense_snaps]])</f>
        <v>0.9850746268656716</v>
      </c>
      <c r="V2493">
        <v>67</v>
      </c>
      <c r="W2493">
        <v>9</v>
      </c>
      <c r="X2493" s="5" t="s">
        <v>70</v>
      </c>
      <c r="Y2493">
        <v>3</v>
      </c>
      <c r="Z2493">
        <v>0</v>
      </c>
      <c r="AA2493" t="s">
        <v>25</v>
      </c>
      <c r="AB2493" t="s">
        <v>26</v>
      </c>
      <c r="AC2493" t="s">
        <v>27</v>
      </c>
      <c r="AD2493" t="s">
        <v>42</v>
      </c>
      <c r="AE2493" t="s">
        <v>25</v>
      </c>
      <c r="AF24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0.04</v>
      </c>
      <c r="AG2493" t="s">
        <v>942</v>
      </c>
      <c r="AH2493">
        <v>65.5</v>
      </c>
      <c r="AI2493" t="s">
        <v>939</v>
      </c>
      <c r="AJ2493">
        <v>7</v>
      </c>
      <c r="AK24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MIN(AJ2493/8, 1) +
  Merge1[[#This Row],[index_defensive_effort]],
  2
)</f>
        <v>1.32</v>
      </c>
    </row>
    <row r="2494" spans="1:37" x14ac:dyDescent="0.25">
      <c r="A2494" t="s">
        <v>649</v>
      </c>
      <c r="B2494" t="s">
        <v>650</v>
      </c>
      <c r="C2494">
        <v>25</v>
      </c>
      <c r="D2494" t="s">
        <v>56</v>
      </c>
      <c r="E2494">
        <v>74</v>
      </c>
      <c r="F2494">
        <v>196</v>
      </c>
      <c r="G2494" t="s">
        <v>120</v>
      </c>
      <c r="H2494">
        <v>2020</v>
      </c>
      <c r="I2494" t="s">
        <v>33</v>
      </c>
      <c r="J2494">
        <v>14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2</v>
      </c>
      <c r="R2494">
        <v>0</v>
      </c>
      <c r="S2494">
        <v>43</v>
      </c>
      <c r="T2494">
        <v>40</v>
      </c>
      <c r="U2494" s="5">
        <f>IF(Merge1[[#This Row],[team_defense_snaps]]=0, "", Merge1[[#This Row],[defense_snaps]] / Merge1[[#This Row],[team_defense_snaps]])</f>
        <v>0.70175438596491224</v>
      </c>
      <c r="V2494">
        <v>57</v>
      </c>
      <c r="W2494">
        <v>3</v>
      </c>
      <c r="X2494" s="5" t="s">
        <v>212</v>
      </c>
      <c r="Y2494">
        <v>3</v>
      </c>
      <c r="Z2494">
        <v>0</v>
      </c>
      <c r="AA2494" t="s">
        <v>25</v>
      </c>
      <c r="AB2494" t="s">
        <v>26</v>
      </c>
      <c r="AC2494" t="s">
        <v>27</v>
      </c>
      <c r="AD2494" t="s">
        <v>42</v>
      </c>
      <c r="AE2494" t="s">
        <v>25</v>
      </c>
      <c r="AF24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0.18604651162790697</v>
      </c>
      <c r="AG2494" t="s">
        <v>942</v>
      </c>
      <c r="AH2494">
        <v>82</v>
      </c>
      <c r="AI2494" t="s">
        <v>939</v>
      </c>
      <c r="AJ2494">
        <v>8</v>
      </c>
      <c r="AK24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MIN(AJ2494/8, 1) +
  Merge1[[#This Row],[index_defensive_effort]],
  2
)</f>
        <v>1.59</v>
      </c>
    </row>
    <row r="2495" spans="1:37" x14ac:dyDescent="0.25">
      <c r="A2495" t="s">
        <v>649</v>
      </c>
      <c r="B2495" t="s">
        <v>650</v>
      </c>
      <c r="C2495">
        <v>25</v>
      </c>
      <c r="D2495" t="s">
        <v>56</v>
      </c>
      <c r="E2495">
        <v>74</v>
      </c>
      <c r="F2495">
        <v>196</v>
      </c>
      <c r="G2495" t="s">
        <v>120</v>
      </c>
      <c r="H2495">
        <v>2020</v>
      </c>
      <c r="I2495" t="s">
        <v>33</v>
      </c>
      <c r="J2495">
        <v>15</v>
      </c>
      <c r="K2495">
        <v>3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55</v>
      </c>
      <c r="T2495">
        <v>49</v>
      </c>
      <c r="U2495" s="5">
        <f>IF(Merge1[[#This Row],[team_defense_snaps]]=0, "", Merge1[[#This Row],[defense_snaps]] / Merge1[[#This Row],[team_defense_snaps]])</f>
        <v>0.63636363636363635</v>
      </c>
      <c r="V2495">
        <v>77</v>
      </c>
      <c r="W2495">
        <v>6</v>
      </c>
      <c r="X2495" s="5" t="s">
        <v>293</v>
      </c>
      <c r="Y2495">
        <v>3</v>
      </c>
      <c r="Z2495">
        <v>0</v>
      </c>
      <c r="AA2495" t="s">
        <v>25</v>
      </c>
      <c r="AB2495" t="s">
        <v>26</v>
      </c>
      <c r="AC2495" t="s">
        <v>27</v>
      </c>
      <c r="AD2495" t="s">
        <v>28</v>
      </c>
      <c r="AE2495" t="s">
        <v>25</v>
      </c>
      <c r="AF24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5.4545454545454543E-2</v>
      </c>
      <c r="AG2495" t="s">
        <v>942</v>
      </c>
      <c r="AH2495">
        <v>64</v>
      </c>
      <c r="AI2495" t="s">
        <v>939</v>
      </c>
      <c r="AJ2495">
        <v>9</v>
      </c>
      <c r="AK24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MIN(AJ2495/8, 1) +
  Merge1[[#This Row],[index_defensive_effort]],
  2
)</f>
        <v>1.45</v>
      </c>
    </row>
    <row r="2496" spans="1:37" x14ac:dyDescent="0.25">
      <c r="A2496" t="s">
        <v>649</v>
      </c>
      <c r="B2496" t="s">
        <v>650</v>
      </c>
      <c r="C2496">
        <v>25</v>
      </c>
      <c r="D2496" t="s">
        <v>56</v>
      </c>
      <c r="E2496">
        <v>74</v>
      </c>
      <c r="F2496">
        <v>196</v>
      </c>
      <c r="G2496" t="s">
        <v>120</v>
      </c>
      <c r="H2496">
        <v>2020</v>
      </c>
      <c r="I2496" t="s">
        <v>33</v>
      </c>
      <c r="J2496">
        <v>16</v>
      </c>
      <c r="K2496">
        <v>5</v>
      </c>
      <c r="L2496">
        <v>4</v>
      </c>
      <c r="M2496">
        <v>0</v>
      </c>
      <c r="N2496">
        <v>4</v>
      </c>
      <c r="O2496">
        <v>0</v>
      </c>
      <c r="P2496">
        <v>0</v>
      </c>
      <c r="Q2496">
        <v>0</v>
      </c>
      <c r="R2496">
        <v>0</v>
      </c>
      <c r="S2496">
        <v>74</v>
      </c>
      <c r="T2496">
        <v>68</v>
      </c>
      <c r="U2496" s="5">
        <f>IF(Merge1[[#This Row],[team_defense_snaps]]=0, "", Merge1[[#This Row],[defense_snaps]] / Merge1[[#This Row],[team_defense_snaps]])</f>
        <v>0.88311688311688308</v>
      </c>
      <c r="V2496">
        <v>77</v>
      </c>
      <c r="W2496">
        <v>6</v>
      </c>
      <c r="X2496" s="5" t="s">
        <v>293</v>
      </c>
      <c r="Y2496">
        <v>3</v>
      </c>
      <c r="Z2496">
        <v>0</v>
      </c>
      <c r="AA2496" t="s">
        <v>25</v>
      </c>
      <c r="AB2496" t="s">
        <v>26</v>
      </c>
      <c r="AC2496" t="s">
        <v>27</v>
      </c>
      <c r="AD2496" t="s">
        <v>42</v>
      </c>
      <c r="AE2496" t="s">
        <v>25</v>
      </c>
      <c r="AF24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9.45945945945946E-2</v>
      </c>
      <c r="AG2496" t="s">
        <v>942</v>
      </c>
      <c r="AH2496">
        <v>76</v>
      </c>
      <c r="AI2496" t="s">
        <v>939</v>
      </c>
      <c r="AJ2496">
        <v>10</v>
      </c>
      <c r="AK24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MIN(AJ2496/8, 1) +
  Merge1[[#This Row],[index_defensive_effort]],
  2
)</f>
        <v>1.49</v>
      </c>
    </row>
    <row r="2497" spans="1:37" x14ac:dyDescent="0.25">
      <c r="A2497" t="s">
        <v>649</v>
      </c>
      <c r="B2497" t="s">
        <v>650</v>
      </c>
      <c r="C2497">
        <v>25</v>
      </c>
      <c r="D2497" t="s">
        <v>56</v>
      </c>
      <c r="E2497">
        <v>74</v>
      </c>
      <c r="F2497">
        <v>196</v>
      </c>
      <c r="G2497" t="s">
        <v>120</v>
      </c>
      <c r="H2497">
        <v>2020</v>
      </c>
      <c r="I2497" t="s">
        <v>33</v>
      </c>
      <c r="J2497">
        <v>17</v>
      </c>
      <c r="K2497">
        <v>3</v>
      </c>
      <c r="L2497">
        <v>1</v>
      </c>
      <c r="M2497">
        <v>0</v>
      </c>
      <c r="N2497">
        <v>1</v>
      </c>
      <c r="O2497">
        <v>0</v>
      </c>
      <c r="P2497">
        <v>1</v>
      </c>
      <c r="Q2497">
        <v>0</v>
      </c>
      <c r="R2497">
        <v>0</v>
      </c>
      <c r="S2497">
        <v>56</v>
      </c>
      <c r="T2497">
        <v>53</v>
      </c>
      <c r="U2497" s="5">
        <f>IF(Merge1[[#This Row],[team_defense_snaps]]=0, "", Merge1[[#This Row],[defense_snaps]] / Merge1[[#This Row],[team_defense_snaps]])</f>
        <v>1</v>
      </c>
      <c r="V2497">
        <v>53</v>
      </c>
      <c r="W2497">
        <v>3</v>
      </c>
      <c r="X2497" s="5" t="s">
        <v>212</v>
      </c>
      <c r="Y2497">
        <v>3</v>
      </c>
      <c r="Z2497">
        <v>0</v>
      </c>
      <c r="AA2497" t="s">
        <v>25</v>
      </c>
      <c r="AB2497" t="s">
        <v>26</v>
      </c>
      <c r="AC2497" t="s">
        <v>27</v>
      </c>
      <c r="AD2497" t="s">
        <v>42</v>
      </c>
      <c r="AE2497" t="s">
        <v>25</v>
      </c>
      <c r="AF24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9.8214285714285712E-2</v>
      </c>
      <c r="AG2497" t="s">
        <v>942</v>
      </c>
      <c r="AH2497">
        <v>62.5</v>
      </c>
      <c r="AI2497" t="s">
        <v>939</v>
      </c>
      <c r="AJ2497">
        <v>11</v>
      </c>
      <c r="AK24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MIN(AJ2497/8, 1) +
  Merge1[[#This Row],[index_defensive_effort]],
  2
)</f>
        <v>1.5</v>
      </c>
    </row>
    <row r="2498" spans="1:37" x14ac:dyDescent="0.25">
      <c r="A2498" t="s">
        <v>675</v>
      </c>
      <c r="B2498" t="s">
        <v>676</v>
      </c>
      <c r="C2498">
        <v>23</v>
      </c>
      <c r="D2498" t="s">
        <v>56</v>
      </c>
      <c r="E2498">
        <v>73</v>
      </c>
      <c r="F2498">
        <v>210</v>
      </c>
      <c r="G2498" t="s">
        <v>99</v>
      </c>
      <c r="H2498">
        <v>2020</v>
      </c>
      <c r="I2498" t="s">
        <v>33</v>
      </c>
      <c r="J2498">
        <v>17</v>
      </c>
      <c r="K2498">
        <v>1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4</v>
      </c>
      <c r="T2498">
        <v>4</v>
      </c>
      <c r="U2498" s="5">
        <f>IF(Merge1[[#This Row],[team_defense_snaps]]=0, "", Merge1[[#This Row],[defense_snaps]] / Merge1[[#This Row],[team_defense_snaps]])</f>
        <v>5.9701492537313432E-2</v>
      </c>
      <c r="V2498">
        <v>67</v>
      </c>
      <c r="W2498">
        <v>0</v>
      </c>
      <c r="X2498" s="5" t="s">
        <v>29</v>
      </c>
      <c r="Y2498">
        <v>1</v>
      </c>
      <c r="Z2498">
        <v>0</v>
      </c>
      <c r="AA2498" t="s">
        <v>25</v>
      </c>
      <c r="AB2498" t="s">
        <v>26</v>
      </c>
      <c r="AC2498" t="s">
        <v>27</v>
      </c>
      <c r="AD2498" t="s">
        <v>28</v>
      </c>
      <c r="AE2498" t="s">
        <v>25</v>
      </c>
      <c r="AF24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</v>
      </c>
      <c r="AG2498" t="s">
        <v>942</v>
      </c>
      <c r="AH2498">
        <v>44</v>
      </c>
      <c r="AI2498" t="s">
        <v>939</v>
      </c>
      <c r="AJ2498">
        <v>1</v>
      </c>
      <c r="AK24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MIN(AJ2498/8, 1) +
  Merge1[[#This Row],[index_defensive_effort]],
  2
)</f>
        <v>0.88</v>
      </c>
    </row>
    <row r="2499" spans="1:37" x14ac:dyDescent="0.25">
      <c r="A2499" t="s">
        <v>677</v>
      </c>
      <c r="B2499" t="s">
        <v>678</v>
      </c>
      <c r="C2499">
        <v>23</v>
      </c>
      <c r="D2499" t="s">
        <v>56</v>
      </c>
      <c r="E2499">
        <v>74</v>
      </c>
      <c r="F2499">
        <v>201</v>
      </c>
      <c r="G2499" t="s">
        <v>150</v>
      </c>
      <c r="H2499">
        <v>2020</v>
      </c>
      <c r="I2499" t="s">
        <v>33</v>
      </c>
      <c r="J2499">
        <v>8</v>
      </c>
      <c r="K2499">
        <v>3</v>
      </c>
      <c r="L2499">
        <v>1</v>
      </c>
      <c r="M2499">
        <v>0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35</v>
      </c>
      <c r="T2499">
        <v>30</v>
      </c>
      <c r="U2499" s="5">
        <f>IF(Merge1[[#This Row],[team_defense_snaps]]=0, "", Merge1[[#This Row],[defense_snaps]] / Merge1[[#This Row],[team_defense_snaps]])</f>
        <v>0.375</v>
      </c>
      <c r="V2499">
        <v>80</v>
      </c>
      <c r="W2499">
        <v>5</v>
      </c>
      <c r="X2499" s="5" t="s">
        <v>135</v>
      </c>
      <c r="Y2499">
        <v>0</v>
      </c>
      <c r="Z2499">
        <v>0</v>
      </c>
      <c r="AA2499" t="s">
        <v>25</v>
      </c>
      <c r="AB2499" t="s">
        <v>26</v>
      </c>
      <c r="AC2499" t="s">
        <v>27</v>
      </c>
      <c r="AD2499" t="s">
        <v>28</v>
      </c>
      <c r="AE2499" t="s">
        <v>25</v>
      </c>
      <c r="AF24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2499" t="s">
        <v>943</v>
      </c>
      <c r="AH2499">
        <v>55</v>
      </c>
      <c r="AI2499" t="s">
        <v>939</v>
      </c>
      <c r="AJ2499">
        <v>1</v>
      </c>
      <c r="AK24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MIN(AJ2499/8, 1) +
  Merge1[[#This Row],[index_defensive_effort]],
  2
)</f>
        <v>0.63</v>
      </c>
    </row>
    <row r="2500" spans="1:37" x14ac:dyDescent="0.25">
      <c r="A2500" t="s">
        <v>677</v>
      </c>
      <c r="B2500" t="s">
        <v>678</v>
      </c>
      <c r="C2500">
        <v>23</v>
      </c>
      <c r="D2500" t="s">
        <v>56</v>
      </c>
      <c r="E2500">
        <v>74</v>
      </c>
      <c r="F2500">
        <v>201</v>
      </c>
      <c r="G2500" t="s">
        <v>150</v>
      </c>
      <c r="H2500">
        <v>2020</v>
      </c>
      <c r="I2500" t="s">
        <v>33</v>
      </c>
      <c r="J2500">
        <v>13</v>
      </c>
      <c r="K2500">
        <v>1</v>
      </c>
      <c r="L2500">
        <v>1</v>
      </c>
      <c r="M2500">
        <v>0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33</v>
      </c>
      <c r="T2500">
        <v>21</v>
      </c>
      <c r="U2500" s="5">
        <f>IF(Merge1[[#This Row],[team_defense_snaps]]=0, "", Merge1[[#This Row],[defense_snaps]] / Merge1[[#This Row],[team_defense_snaps]])</f>
        <v>0.33870967741935482</v>
      </c>
      <c r="V2500">
        <v>62</v>
      </c>
      <c r="W2500">
        <v>12</v>
      </c>
      <c r="X2500" s="5" t="s">
        <v>243</v>
      </c>
      <c r="Y2500">
        <v>0</v>
      </c>
      <c r="Z2500">
        <v>0</v>
      </c>
      <c r="AA2500" t="s">
        <v>25</v>
      </c>
      <c r="AB2500" t="s">
        <v>26</v>
      </c>
      <c r="AC2500" t="s">
        <v>27</v>
      </c>
      <c r="AD2500" t="s">
        <v>28</v>
      </c>
      <c r="AE2500" t="s">
        <v>25</v>
      </c>
      <c r="AF25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G2500" t="s">
        <v>943</v>
      </c>
      <c r="AH2500">
        <v>62.5</v>
      </c>
      <c r="AI2500" t="s">
        <v>939</v>
      </c>
      <c r="AJ2500">
        <v>1</v>
      </c>
      <c r="AK25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MIN(AJ2500/8, 1) +
  Merge1[[#This Row],[index_defensive_effort]],
  2
)</f>
        <v>0.56999999999999995</v>
      </c>
    </row>
    <row r="2501" spans="1:37" x14ac:dyDescent="0.25">
      <c r="A2501" t="s">
        <v>677</v>
      </c>
      <c r="B2501" t="s">
        <v>678</v>
      </c>
      <c r="C2501">
        <v>23</v>
      </c>
      <c r="D2501" t="s">
        <v>56</v>
      </c>
      <c r="E2501">
        <v>74</v>
      </c>
      <c r="F2501">
        <v>201</v>
      </c>
      <c r="G2501" t="s">
        <v>150</v>
      </c>
      <c r="H2501">
        <v>2020</v>
      </c>
      <c r="I2501" t="s">
        <v>33</v>
      </c>
      <c r="J2501">
        <v>15</v>
      </c>
      <c r="K2501">
        <v>7</v>
      </c>
      <c r="L2501">
        <v>2</v>
      </c>
      <c r="M2501">
        <v>0</v>
      </c>
      <c r="N2501">
        <v>2</v>
      </c>
      <c r="O2501">
        <v>3</v>
      </c>
      <c r="P2501">
        <v>3</v>
      </c>
      <c r="Q2501">
        <v>0</v>
      </c>
      <c r="R2501">
        <v>5</v>
      </c>
      <c r="S2501">
        <v>75</v>
      </c>
      <c r="T2501">
        <v>68</v>
      </c>
      <c r="U2501" s="5">
        <f>IF(Merge1[[#This Row],[team_defense_snaps]]=0, "", Merge1[[#This Row],[defense_snaps]] / Merge1[[#This Row],[team_defense_snaps]])</f>
        <v>1</v>
      </c>
      <c r="V2501">
        <v>68</v>
      </c>
      <c r="W2501">
        <v>7</v>
      </c>
      <c r="X2501" s="5" t="s">
        <v>132</v>
      </c>
      <c r="Y2501">
        <v>0</v>
      </c>
      <c r="Z2501">
        <v>0</v>
      </c>
      <c r="AA2501" t="s">
        <v>25</v>
      </c>
      <c r="AB2501" t="s">
        <v>26</v>
      </c>
      <c r="AC2501" t="s">
        <v>27</v>
      </c>
      <c r="AD2501" t="s">
        <v>42</v>
      </c>
      <c r="AE2501" t="s">
        <v>25</v>
      </c>
      <c r="AF25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0.44</v>
      </c>
      <c r="AG2501" t="s">
        <v>943</v>
      </c>
      <c r="AH2501">
        <v>52</v>
      </c>
      <c r="AI2501" t="s">
        <v>939</v>
      </c>
      <c r="AJ2501">
        <v>1</v>
      </c>
      <c r="AK25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MIN(AJ2501/8, 1) +
  Merge1[[#This Row],[index_defensive_effort]],
  2
)</f>
        <v>0.97</v>
      </c>
    </row>
    <row r="2502" spans="1:37" x14ac:dyDescent="0.25">
      <c r="A2502" t="s">
        <v>677</v>
      </c>
      <c r="B2502" t="s">
        <v>678</v>
      </c>
      <c r="C2502">
        <v>23</v>
      </c>
      <c r="D2502" t="s">
        <v>56</v>
      </c>
      <c r="E2502">
        <v>74</v>
      </c>
      <c r="F2502">
        <v>201</v>
      </c>
      <c r="G2502" t="s">
        <v>150</v>
      </c>
      <c r="H2502">
        <v>2020</v>
      </c>
      <c r="I2502" t="s">
        <v>33</v>
      </c>
      <c r="J2502">
        <v>16</v>
      </c>
      <c r="K2502">
        <v>3</v>
      </c>
      <c r="L2502">
        <v>1</v>
      </c>
      <c r="M2502">
        <v>0</v>
      </c>
      <c r="N2502">
        <v>1</v>
      </c>
      <c r="O2502">
        <v>0</v>
      </c>
      <c r="P2502">
        <v>1</v>
      </c>
      <c r="Q2502">
        <v>0</v>
      </c>
      <c r="R2502">
        <v>0</v>
      </c>
      <c r="S2502">
        <v>48</v>
      </c>
      <c r="T2502">
        <v>40</v>
      </c>
      <c r="U2502" s="5">
        <f>IF(Merge1[[#This Row],[team_defense_snaps]]=0, "", Merge1[[#This Row],[defense_snaps]] / Merge1[[#This Row],[team_defense_snaps]])</f>
        <v>0.56338028169014087</v>
      </c>
      <c r="V2502">
        <v>71</v>
      </c>
      <c r="W2502">
        <v>8</v>
      </c>
      <c r="X2502" s="5" t="s">
        <v>137</v>
      </c>
      <c r="Y2502">
        <v>0</v>
      </c>
      <c r="Z2502">
        <v>0</v>
      </c>
      <c r="AA2502" t="s">
        <v>25</v>
      </c>
      <c r="AB2502" t="s">
        <v>26</v>
      </c>
      <c r="AC2502" t="s">
        <v>27</v>
      </c>
      <c r="AD2502" t="s">
        <v>42</v>
      </c>
      <c r="AE2502" t="s">
        <v>25</v>
      </c>
      <c r="AF25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0.11458333333333333</v>
      </c>
      <c r="AG2502" t="s">
        <v>943</v>
      </c>
      <c r="AH2502">
        <v>50.5</v>
      </c>
      <c r="AI2502" t="s">
        <v>939</v>
      </c>
      <c r="AJ2502">
        <v>2</v>
      </c>
      <c r="AK25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MIN(AJ2502/8, 1) +
  Merge1[[#This Row],[index_defensive_effort]],
  2
)</f>
        <v>0.76</v>
      </c>
    </row>
    <row r="2503" spans="1:37" x14ac:dyDescent="0.25">
      <c r="A2503" t="s">
        <v>685</v>
      </c>
      <c r="B2503" t="s">
        <v>686</v>
      </c>
      <c r="C2503">
        <v>23</v>
      </c>
      <c r="D2503" t="s">
        <v>56</v>
      </c>
      <c r="E2503">
        <v>73</v>
      </c>
      <c r="F2503">
        <v>200</v>
      </c>
      <c r="G2503" t="s">
        <v>67</v>
      </c>
      <c r="H2503">
        <v>2020</v>
      </c>
      <c r="I2503" t="s">
        <v>33</v>
      </c>
      <c r="J2503">
        <v>1</v>
      </c>
      <c r="K2503">
        <v>2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64</v>
      </c>
      <c r="T2503">
        <v>64</v>
      </c>
      <c r="U2503" s="5">
        <f>IF(Merge1[[#This Row],[team_defense_snaps]]=0, "", Merge1[[#This Row],[defense_snaps]] / Merge1[[#This Row],[team_defense_snaps]])</f>
        <v>0.79012345679012341</v>
      </c>
      <c r="V2503">
        <v>81</v>
      </c>
      <c r="W2503">
        <v>0</v>
      </c>
      <c r="X2503" s="5" t="s">
        <v>29</v>
      </c>
      <c r="Y2503">
        <v>0</v>
      </c>
      <c r="Z2503">
        <v>0</v>
      </c>
      <c r="AA2503" t="s">
        <v>25</v>
      </c>
      <c r="AB2503" t="s">
        <v>26</v>
      </c>
      <c r="AC2503" t="s">
        <v>27</v>
      </c>
      <c r="AD2503" t="s">
        <v>28</v>
      </c>
      <c r="AE2503" t="s">
        <v>25</v>
      </c>
      <c r="AF25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3.125E-2</v>
      </c>
      <c r="AG2503" t="s">
        <v>941</v>
      </c>
      <c r="AH2503">
        <v>54</v>
      </c>
      <c r="AI2503" t="s">
        <v>939</v>
      </c>
      <c r="AJ2503">
        <v>1</v>
      </c>
      <c r="AK25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MIN(AJ2503/8, 1) +
  Merge1[[#This Row],[index_defensive_effort]],
  2
)</f>
        <v>0.56000000000000005</v>
      </c>
    </row>
    <row r="2504" spans="1:37" x14ac:dyDescent="0.25">
      <c r="A2504" t="s">
        <v>685</v>
      </c>
      <c r="B2504" t="s">
        <v>686</v>
      </c>
      <c r="C2504">
        <v>23</v>
      </c>
      <c r="D2504" t="s">
        <v>56</v>
      </c>
      <c r="E2504">
        <v>73</v>
      </c>
      <c r="F2504">
        <v>200</v>
      </c>
      <c r="G2504" t="s">
        <v>67</v>
      </c>
      <c r="H2504">
        <v>2020</v>
      </c>
      <c r="I2504" t="s">
        <v>33</v>
      </c>
      <c r="J2504">
        <v>2</v>
      </c>
      <c r="K2504">
        <v>5</v>
      </c>
      <c r="L2504">
        <v>1</v>
      </c>
      <c r="M2504">
        <v>0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65</v>
      </c>
      <c r="T2504">
        <v>65</v>
      </c>
      <c r="U2504" s="5">
        <f>IF(Merge1[[#This Row],[team_defense_snaps]]=0, "", Merge1[[#This Row],[defense_snaps]] / Merge1[[#This Row],[team_defense_snaps]])</f>
        <v>1</v>
      </c>
      <c r="V2504">
        <v>65</v>
      </c>
      <c r="W2504">
        <v>0</v>
      </c>
      <c r="X2504" s="5" t="s">
        <v>29</v>
      </c>
      <c r="Y2504">
        <v>0</v>
      </c>
      <c r="Z2504">
        <v>0</v>
      </c>
      <c r="AA2504" t="s">
        <v>25</v>
      </c>
      <c r="AB2504" t="s">
        <v>26</v>
      </c>
      <c r="AC2504" t="s">
        <v>27</v>
      </c>
      <c r="AD2504" t="s">
        <v>42</v>
      </c>
      <c r="AE2504" t="s">
        <v>25</v>
      </c>
      <c r="AF25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8.461538461538462E-2</v>
      </c>
      <c r="AG2504" t="s">
        <v>941</v>
      </c>
      <c r="AH2504">
        <v>57</v>
      </c>
      <c r="AI2504" t="s">
        <v>939</v>
      </c>
      <c r="AJ2504">
        <v>2</v>
      </c>
      <c r="AK25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MIN(AJ2504/8, 1) +
  Merge1[[#This Row],[index_defensive_effort]],
  2
)</f>
        <v>0.73</v>
      </c>
    </row>
    <row r="2505" spans="1:37" x14ac:dyDescent="0.25">
      <c r="A2505" t="s">
        <v>685</v>
      </c>
      <c r="B2505" t="s">
        <v>686</v>
      </c>
      <c r="C2505">
        <v>23</v>
      </c>
      <c r="D2505" t="s">
        <v>56</v>
      </c>
      <c r="E2505">
        <v>73</v>
      </c>
      <c r="F2505">
        <v>200</v>
      </c>
      <c r="G2505" t="s">
        <v>67</v>
      </c>
      <c r="H2505">
        <v>2020</v>
      </c>
      <c r="I2505" t="s">
        <v>33</v>
      </c>
      <c r="J2505">
        <v>3</v>
      </c>
      <c r="K2505">
        <v>4</v>
      </c>
      <c r="L2505">
        <v>1</v>
      </c>
      <c r="M2505">
        <v>0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66</v>
      </c>
      <c r="T2505">
        <v>66</v>
      </c>
      <c r="U2505" s="5">
        <f>IF(Merge1[[#This Row],[team_defense_snaps]]=0, "", Merge1[[#This Row],[defense_snaps]] / Merge1[[#This Row],[team_defense_snaps]])</f>
        <v>0.97058823529411764</v>
      </c>
      <c r="V2505">
        <v>68</v>
      </c>
      <c r="W2505">
        <v>0</v>
      </c>
      <c r="X2505" s="5" t="s">
        <v>29</v>
      </c>
      <c r="Y2505">
        <v>0</v>
      </c>
      <c r="Z2505">
        <v>0</v>
      </c>
      <c r="AA2505" t="s">
        <v>25</v>
      </c>
      <c r="AB2505" t="s">
        <v>26</v>
      </c>
      <c r="AC2505" t="s">
        <v>27</v>
      </c>
      <c r="AD2505" t="s">
        <v>42</v>
      </c>
      <c r="AE2505" t="s">
        <v>25</v>
      </c>
      <c r="AF25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6.8181818181818177E-2</v>
      </c>
      <c r="AG2505" t="s">
        <v>941</v>
      </c>
      <c r="AH2505">
        <v>58.5</v>
      </c>
      <c r="AI2505" t="s">
        <v>939</v>
      </c>
      <c r="AJ2505">
        <v>3</v>
      </c>
      <c r="AK25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MIN(AJ2505/8, 1) +
  Merge1[[#This Row],[index_defensive_effort]],
  2
)</f>
        <v>0.84</v>
      </c>
    </row>
    <row r="2506" spans="1:37" x14ac:dyDescent="0.25">
      <c r="A2506" t="s">
        <v>685</v>
      </c>
      <c r="B2506" t="s">
        <v>686</v>
      </c>
      <c r="C2506">
        <v>23</v>
      </c>
      <c r="D2506" t="s">
        <v>56</v>
      </c>
      <c r="E2506">
        <v>73</v>
      </c>
      <c r="F2506">
        <v>200</v>
      </c>
      <c r="G2506" t="s">
        <v>67</v>
      </c>
      <c r="H2506">
        <v>2020</v>
      </c>
      <c r="I2506" t="s">
        <v>33</v>
      </c>
      <c r="J2506">
        <v>4</v>
      </c>
      <c r="K2506">
        <v>2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77</v>
      </c>
      <c r="T2506">
        <v>77</v>
      </c>
      <c r="U2506" s="5">
        <f>IF(Merge1[[#This Row],[team_defense_snaps]]=0, "", Merge1[[#This Row],[defense_snaps]] / Merge1[[#This Row],[team_defense_snaps]])</f>
        <v>1</v>
      </c>
      <c r="V2506">
        <v>77</v>
      </c>
      <c r="W2506">
        <v>0</v>
      </c>
      <c r="X2506" s="5" t="s">
        <v>29</v>
      </c>
      <c r="Y2506">
        <v>0</v>
      </c>
      <c r="Z2506">
        <v>0</v>
      </c>
      <c r="AA2506" t="s">
        <v>25</v>
      </c>
      <c r="AB2506" t="s">
        <v>26</v>
      </c>
      <c r="AC2506" t="s">
        <v>27</v>
      </c>
      <c r="AD2506" t="s">
        <v>42</v>
      </c>
      <c r="AE2506" t="s">
        <v>25</v>
      </c>
      <c r="AF25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2.5974025974025976E-2</v>
      </c>
      <c r="AG2506" t="s">
        <v>941</v>
      </c>
      <c r="AH2506">
        <v>61.5</v>
      </c>
      <c r="AI2506" t="s">
        <v>939</v>
      </c>
      <c r="AJ2506">
        <v>4</v>
      </c>
      <c r="AK25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MIN(AJ2506/8, 1) +
  Merge1[[#This Row],[index_defensive_effort]],
  2
)</f>
        <v>0.93</v>
      </c>
    </row>
    <row r="2507" spans="1:37" x14ac:dyDescent="0.25">
      <c r="A2507" t="s">
        <v>685</v>
      </c>
      <c r="B2507" t="s">
        <v>686</v>
      </c>
      <c r="C2507">
        <v>23</v>
      </c>
      <c r="D2507" t="s">
        <v>56</v>
      </c>
      <c r="E2507">
        <v>73</v>
      </c>
      <c r="F2507">
        <v>200</v>
      </c>
      <c r="G2507" t="s">
        <v>67</v>
      </c>
      <c r="H2507">
        <v>2020</v>
      </c>
      <c r="I2507" t="s">
        <v>33</v>
      </c>
      <c r="J2507">
        <v>6</v>
      </c>
      <c r="K2507">
        <v>6</v>
      </c>
      <c r="L2507">
        <v>2</v>
      </c>
      <c r="M2507">
        <v>1</v>
      </c>
      <c r="N2507">
        <v>3</v>
      </c>
      <c r="O2507">
        <v>0</v>
      </c>
      <c r="P2507">
        <v>2</v>
      </c>
      <c r="Q2507">
        <v>0</v>
      </c>
      <c r="R2507">
        <v>4</v>
      </c>
      <c r="S2507">
        <v>57</v>
      </c>
      <c r="T2507">
        <v>57</v>
      </c>
      <c r="U2507" s="5">
        <f>IF(Merge1[[#This Row],[team_defense_snaps]]=0, "", Merge1[[#This Row],[defense_snaps]] / Merge1[[#This Row],[team_defense_snaps]])</f>
        <v>1</v>
      </c>
      <c r="V2507">
        <v>57</v>
      </c>
      <c r="W2507">
        <v>0</v>
      </c>
      <c r="X2507" s="5" t="s">
        <v>29</v>
      </c>
      <c r="Y2507">
        <v>0</v>
      </c>
      <c r="Z2507">
        <v>0</v>
      </c>
      <c r="AA2507" t="s">
        <v>25</v>
      </c>
      <c r="AB2507" t="s">
        <v>26</v>
      </c>
      <c r="AC2507" t="s">
        <v>27</v>
      </c>
      <c r="AD2507" t="s">
        <v>42</v>
      </c>
      <c r="AE2507" t="s">
        <v>25</v>
      </c>
      <c r="AF25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0.34210526315789475</v>
      </c>
      <c r="AG2507" t="s">
        <v>941</v>
      </c>
      <c r="AH2507">
        <v>66</v>
      </c>
      <c r="AI2507" t="s">
        <v>939</v>
      </c>
      <c r="AJ2507">
        <v>1</v>
      </c>
      <c r="AK25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MIN(AJ2507/8, 1) +
  Merge1[[#This Row],[index_defensive_effort]],
  2
)</f>
        <v>0.87</v>
      </c>
    </row>
    <row r="2508" spans="1:37" x14ac:dyDescent="0.25">
      <c r="A2508" t="s">
        <v>685</v>
      </c>
      <c r="B2508" t="s">
        <v>686</v>
      </c>
      <c r="C2508">
        <v>23</v>
      </c>
      <c r="D2508" t="s">
        <v>56</v>
      </c>
      <c r="E2508">
        <v>73</v>
      </c>
      <c r="F2508">
        <v>200</v>
      </c>
      <c r="G2508" t="s">
        <v>67</v>
      </c>
      <c r="H2508">
        <v>2020</v>
      </c>
      <c r="I2508" t="s">
        <v>33</v>
      </c>
      <c r="J2508">
        <v>7</v>
      </c>
      <c r="K2508">
        <v>2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37</v>
      </c>
      <c r="T2508">
        <v>37</v>
      </c>
      <c r="U2508" s="5">
        <f>IF(Merge1[[#This Row],[team_defense_snaps]]=0, "", Merge1[[#This Row],[defense_snaps]] / Merge1[[#This Row],[team_defense_snaps]])</f>
        <v>0.72549019607843135</v>
      </c>
      <c r="V2508">
        <v>51</v>
      </c>
      <c r="W2508">
        <v>0</v>
      </c>
      <c r="X2508" s="5" t="s">
        <v>29</v>
      </c>
      <c r="Y2508">
        <v>0</v>
      </c>
      <c r="Z2508">
        <v>0</v>
      </c>
      <c r="AA2508" t="s">
        <v>25</v>
      </c>
      <c r="AB2508" t="s">
        <v>26</v>
      </c>
      <c r="AC2508" t="s">
        <v>27</v>
      </c>
      <c r="AD2508" t="s">
        <v>42</v>
      </c>
      <c r="AE2508" t="s">
        <v>25</v>
      </c>
      <c r="AF25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5.4054054054054057E-2</v>
      </c>
      <c r="AG2508" t="s">
        <v>941</v>
      </c>
      <c r="AH2508">
        <v>60</v>
      </c>
      <c r="AI2508" t="s">
        <v>939</v>
      </c>
      <c r="AJ2508">
        <v>2</v>
      </c>
      <c r="AK25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MIN(AJ2508/8, 1) +
  Merge1[[#This Row],[index_defensive_effort]],
  2
)</f>
        <v>0.7</v>
      </c>
    </row>
    <row r="2509" spans="1:37" x14ac:dyDescent="0.25">
      <c r="A2509" t="s">
        <v>685</v>
      </c>
      <c r="B2509" t="s">
        <v>686</v>
      </c>
      <c r="C2509">
        <v>23</v>
      </c>
      <c r="D2509" t="s">
        <v>56</v>
      </c>
      <c r="E2509">
        <v>73</v>
      </c>
      <c r="F2509">
        <v>200</v>
      </c>
      <c r="G2509" t="s">
        <v>67</v>
      </c>
      <c r="H2509">
        <v>2020</v>
      </c>
      <c r="I2509" t="s">
        <v>33</v>
      </c>
      <c r="J2509">
        <v>8</v>
      </c>
      <c r="K2509">
        <v>3</v>
      </c>
      <c r="L2509">
        <v>1</v>
      </c>
      <c r="M2509">
        <v>0</v>
      </c>
      <c r="N2509">
        <v>1</v>
      </c>
      <c r="O2509">
        <v>0</v>
      </c>
      <c r="P2509">
        <v>1</v>
      </c>
      <c r="Q2509">
        <v>0</v>
      </c>
      <c r="R2509">
        <v>0</v>
      </c>
      <c r="S2509">
        <v>80</v>
      </c>
      <c r="T2509">
        <v>80</v>
      </c>
      <c r="U2509" s="5">
        <f>IF(Merge1[[#This Row],[team_defense_snaps]]=0, "", Merge1[[#This Row],[defense_snaps]] / Merge1[[#This Row],[team_defense_snaps]])</f>
        <v>0.898876404494382</v>
      </c>
      <c r="V2509">
        <v>89</v>
      </c>
      <c r="W2509">
        <v>0</v>
      </c>
      <c r="X2509" s="5" t="s">
        <v>29</v>
      </c>
      <c r="Y2509">
        <v>0</v>
      </c>
      <c r="Z2509">
        <v>0</v>
      </c>
      <c r="AA2509" t="s">
        <v>25</v>
      </c>
      <c r="AB2509" t="s">
        <v>26</v>
      </c>
      <c r="AC2509" t="s">
        <v>27</v>
      </c>
      <c r="AD2509" t="s">
        <v>28</v>
      </c>
      <c r="AE2509" t="s">
        <v>25</v>
      </c>
      <c r="AF25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6.8750000000000006E-2</v>
      </c>
      <c r="AG2509" t="s">
        <v>941</v>
      </c>
      <c r="AH2509">
        <v>55.5</v>
      </c>
      <c r="AI2509" t="s">
        <v>939</v>
      </c>
      <c r="AJ2509">
        <v>3</v>
      </c>
      <c r="AK25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MIN(AJ2509/8, 1) +
  Merge1[[#This Row],[index_defensive_effort]],
  2
)</f>
        <v>0.84</v>
      </c>
    </row>
    <row r="2510" spans="1:37" x14ac:dyDescent="0.25">
      <c r="A2510" t="s">
        <v>685</v>
      </c>
      <c r="B2510" t="s">
        <v>686</v>
      </c>
      <c r="C2510">
        <v>23</v>
      </c>
      <c r="D2510" t="s">
        <v>56</v>
      </c>
      <c r="E2510">
        <v>73</v>
      </c>
      <c r="F2510">
        <v>200</v>
      </c>
      <c r="G2510" t="s">
        <v>67</v>
      </c>
      <c r="H2510">
        <v>2020</v>
      </c>
      <c r="I2510" t="s">
        <v>33</v>
      </c>
      <c r="J2510">
        <v>9</v>
      </c>
      <c r="K2510">
        <v>2</v>
      </c>
      <c r="L2510">
        <v>1</v>
      </c>
      <c r="M2510">
        <v>0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77</v>
      </c>
      <c r="T2510">
        <v>71</v>
      </c>
      <c r="U2510" s="5">
        <f>IF(Merge1[[#This Row],[team_defense_snaps]]=0, "", Merge1[[#This Row],[defense_snaps]] / Merge1[[#This Row],[team_defense_snaps]])</f>
        <v>1</v>
      </c>
      <c r="V2510">
        <v>71</v>
      </c>
      <c r="W2510">
        <v>6</v>
      </c>
      <c r="X2510" s="5" t="s">
        <v>181</v>
      </c>
      <c r="Y2510">
        <v>0</v>
      </c>
      <c r="Z2510">
        <v>0</v>
      </c>
      <c r="AA2510" t="s">
        <v>25</v>
      </c>
      <c r="AB2510" t="s">
        <v>26</v>
      </c>
      <c r="AC2510" t="s">
        <v>27</v>
      </c>
      <c r="AD2510" t="s">
        <v>42</v>
      </c>
      <c r="AE2510" t="s">
        <v>25</v>
      </c>
      <c r="AF25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3.2467532467532464E-2</v>
      </c>
      <c r="AG2510" t="s">
        <v>941</v>
      </c>
      <c r="AH2510">
        <v>78</v>
      </c>
      <c r="AI2510" t="s">
        <v>939</v>
      </c>
      <c r="AJ2510">
        <v>4</v>
      </c>
      <c r="AK25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MIN(AJ2510/8, 1) +
  Merge1[[#This Row],[index_defensive_effort]],
  2
)</f>
        <v>0.93</v>
      </c>
    </row>
    <row r="2511" spans="1:37" x14ac:dyDescent="0.25">
      <c r="A2511" t="s">
        <v>685</v>
      </c>
      <c r="B2511" t="s">
        <v>686</v>
      </c>
      <c r="C2511">
        <v>23</v>
      </c>
      <c r="D2511" t="s">
        <v>56</v>
      </c>
      <c r="E2511">
        <v>73</v>
      </c>
      <c r="F2511">
        <v>200</v>
      </c>
      <c r="G2511" t="s">
        <v>67</v>
      </c>
      <c r="H2511">
        <v>2020</v>
      </c>
      <c r="I2511" t="s">
        <v>33</v>
      </c>
      <c r="J2511">
        <v>12</v>
      </c>
      <c r="K2511">
        <v>3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35</v>
      </c>
      <c r="T2511">
        <v>25</v>
      </c>
      <c r="U2511" s="5">
        <f>IF(Merge1[[#This Row],[team_defense_snaps]]=0, "", Merge1[[#This Row],[defense_snaps]] / Merge1[[#This Row],[team_defense_snaps]])</f>
        <v>0.390625</v>
      </c>
      <c r="V2511">
        <v>64</v>
      </c>
      <c r="W2511">
        <v>10</v>
      </c>
      <c r="X2511" s="5" t="s">
        <v>60</v>
      </c>
      <c r="Y2511">
        <v>0</v>
      </c>
      <c r="Z2511">
        <v>0</v>
      </c>
      <c r="AA2511" t="s">
        <v>25</v>
      </c>
      <c r="AB2511" t="s">
        <v>26</v>
      </c>
      <c r="AC2511" t="s">
        <v>27</v>
      </c>
      <c r="AD2511" t="s">
        <v>28</v>
      </c>
      <c r="AE2511" t="s">
        <v>25</v>
      </c>
      <c r="AF25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8.5714285714285715E-2</v>
      </c>
      <c r="AG2511" t="s">
        <v>941</v>
      </c>
      <c r="AH2511">
        <v>67.5</v>
      </c>
      <c r="AI2511" t="s">
        <v>939</v>
      </c>
      <c r="AJ2511">
        <v>1</v>
      </c>
      <c r="AK25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MIN(AJ2511/8, 1) +
  Merge1[[#This Row],[index_defensive_effort]],
  2
)</f>
        <v>0.61</v>
      </c>
    </row>
    <row r="2512" spans="1:37" x14ac:dyDescent="0.25">
      <c r="A2512" t="s">
        <v>685</v>
      </c>
      <c r="B2512" t="s">
        <v>686</v>
      </c>
      <c r="C2512">
        <v>23</v>
      </c>
      <c r="D2512" t="s">
        <v>56</v>
      </c>
      <c r="E2512">
        <v>73</v>
      </c>
      <c r="F2512">
        <v>200</v>
      </c>
      <c r="G2512" t="s">
        <v>67</v>
      </c>
      <c r="H2512">
        <v>2020</v>
      </c>
      <c r="I2512" t="s">
        <v>33</v>
      </c>
      <c r="J2512">
        <v>13</v>
      </c>
      <c r="K2512">
        <v>6</v>
      </c>
      <c r="L2512">
        <v>1</v>
      </c>
      <c r="M2512">
        <v>0</v>
      </c>
      <c r="N2512">
        <v>1</v>
      </c>
      <c r="O2512">
        <v>0</v>
      </c>
      <c r="P2512">
        <v>1</v>
      </c>
      <c r="Q2512">
        <v>0</v>
      </c>
      <c r="R2512">
        <v>0</v>
      </c>
      <c r="S2512">
        <v>65</v>
      </c>
      <c r="T2512">
        <v>64</v>
      </c>
      <c r="U2512" s="5">
        <f>IF(Merge1[[#This Row],[team_defense_snaps]]=0, "", Merge1[[#This Row],[defense_snaps]] / Merge1[[#This Row],[team_defense_snaps]])</f>
        <v>0.98461538461538467</v>
      </c>
      <c r="V2512">
        <v>65</v>
      </c>
      <c r="W2512">
        <v>1</v>
      </c>
      <c r="X2512" s="5" t="s">
        <v>193</v>
      </c>
      <c r="Y2512">
        <v>0</v>
      </c>
      <c r="Z2512">
        <v>0</v>
      </c>
      <c r="AA2512" t="s">
        <v>25</v>
      </c>
      <c r="AB2512" t="s">
        <v>26</v>
      </c>
      <c r="AC2512" t="s">
        <v>27</v>
      </c>
      <c r="AD2512" t="s">
        <v>42</v>
      </c>
      <c r="AE2512" t="s">
        <v>25</v>
      </c>
      <c r="AF25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0.13076923076923078</v>
      </c>
      <c r="AG2512" t="s">
        <v>941</v>
      </c>
      <c r="AH2512">
        <v>70.5</v>
      </c>
      <c r="AI2512" t="s">
        <v>939</v>
      </c>
      <c r="AJ2512">
        <v>2</v>
      </c>
      <c r="AK25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MIN(AJ2512/8, 1) +
  Merge1[[#This Row],[index_defensive_effort]],
  2
)</f>
        <v>0.78</v>
      </c>
    </row>
    <row r="2513" spans="1:37" x14ac:dyDescent="0.25">
      <c r="A2513" t="s">
        <v>685</v>
      </c>
      <c r="B2513" t="s">
        <v>686</v>
      </c>
      <c r="C2513">
        <v>23</v>
      </c>
      <c r="D2513" t="s">
        <v>56</v>
      </c>
      <c r="E2513">
        <v>73</v>
      </c>
      <c r="F2513">
        <v>200</v>
      </c>
      <c r="G2513" t="s">
        <v>67</v>
      </c>
      <c r="H2513">
        <v>2020</v>
      </c>
      <c r="I2513" t="s">
        <v>33</v>
      </c>
      <c r="J2513">
        <v>14</v>
      </c>
      <c r="K2513">
        <v>5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67</v>
      </c>
      <c r="T2513">
        <v>67</v>
      </c>
      <c r="U2513" s="5">
        <f>IF(Merge1[[#This Row],[team_defense_snaps]]=0, "", Merge1[[#This Row],[defense_snaps]] / Merge1[[#This Row],[team_defense_snaps]])</f>
        <v>0.95714285714285718</v>
      </c>
      <c r="V2513">
        <v>70</v>
      </c>
      <c r="W2513">
        <v>0</v>
      </c>
      <c r="X2513" s="5" t="s">
        <v>29</v>
      </c>
      <c r="Y2513">
        <v>0</v>
      </c>
      <c r="Z2513">
        <v>0</v>
      </c>
      <c r="AA2513" t="s">
        <v>25</v>
      </c>
      <c r="AB2513" t="s">
        <v>26</v>
      </c>
      <c r="AC2513" t="s">
        <v>27</v>
      </c>
      <c r="AD2513" t="s">
        <v>42</v>
      </c>
      <c r="AE2513" t="s">
        <v>25</v>
      </c>
      <c r="AF25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7.4626865671641784E-2</v>
      </c>
      <c r="AG2513" t="s">
        <v>941</v>
      </c>
      <c r="AH2513">
        <v>76.5</v>
      </c>
      <c r="AI2513" t="s">
        <v>939</v>
      </c>
      <c r="AJ2513">
        <v>3</v>
      </c>
      <c r="AK25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MIN(AJ2513/8, 1) +
  Merge1[[#This Row],[index_defensive_effort]],
  2
)</f>
        <v>0.85</v>
      </c>
    </row>
    <row r="2514" spans="1:37" x14ac:dyDescent="0.25">
      <c r="A2514" t="s">
        <v>685</v>
      </c>
      <c r="B2514" t="s">
        <v>686</v>
      </c>
      <c r="C2514">
        <v>23</v>
      </c>
      <c r="D2514" t="s">
        <v>56</v>
      </c>
      <c r="E2514">
        <v>73</v>
      </c>
      <c r="F2514">
        <v>200</v>
      </c>
      <c r="G2514" t="s">
        <v>67</v>
      </c>
      <c r="H2514">
        <v>2020</v>
      </c>
      <c r="I2514" t="s">
        <v>33</v>
      </c>
      <c r="J2514">
        <v>15</v>
      </c>
      <c r="K2514">
        <v>3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55</v>
      </c>
      <c r="T2514">
        <v>55</v>
      </c>
      <c r="U2514" s="5">
        <f>IF(Merge1[[#This Row],[team_defense_snaps]]=0, "", Merge1[[#This Row],[defense_snaps]] / Merge1[[#This Row],[team_defense_snaps]])</f>
        <v>0.75342465753424659</v>
      </c>
      <c r="V2514">
        <v>73</v>
      </c>
      <c r="W2514">
        <v>0</v>
      </c>
      <c r="X2514" s="5" t="s">
        <v>29</v>
      </c>
      <c r="Y2514">
        <v>0</v>
      </c>
      <c r="Z2514">
        <v>0</v>
      </c>
      <c r="AA2514" t="s">
        <v>25</v>
      </c>
      <c r="AB2514" t="s">
        <v>26</v>
      </c>
      <c r="AC2514" t="s">
        <v>27</v>
      </c>
      <c r="AD2514" t="s">
        <v>42</v>
      </c>
      <c r="AE2514" t="s">
        <v>25</v>
      </c>
      <c r="AF25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5.4545454545454543E-2</v>
      </c>
      <c r="AG2514" t="s">
        <v>941</v>
      </c>
      <c r="AH2514">
        <v>69</v>
      </c>
      <c r="AI2514" t="s">
        <v>939</v>
      </c>
      <c r="AJ2514">
        <v>4</v>
      </c>
      <c r="AK25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MIN(AJ2514/8, 1) +
  Merge1[[#This Row],[index_defensive_effort]],
  2
)</f>
        <v>0.95</v>
      </c>
    </row>
    <row r="2515" spans="1:37" x14ac:dyDescent="0.25">
      <c r="A2515" t="s">
        <v>685</v>
      </c>
      <c r="B2515" t="s">
        <v>686</v>
      </c>
      <c r="C2515">
        <v>23</v>
      </c>
      <c r="D2515" t="s">
        <v>56</v>
      </c>
      <c r="E2515">
        <v>73</v>
      </c>
      <c r="F2515">
        <v>200</v>
      </c>
      <c r="G2515" t="s">
        <v>67</v>
      </c>
      <c r="H2515">
        <v>2020</v>
      </c>
      <c r="I2515" t="s">
        <v>33</v>
      </c>
      <c r="J2515">
        <v>16</v>
      </c>
      <c r="K2515">
        <v>7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58</v>
      </c>
      <c r="T2515">
        <v>57</v>
      </c>
      <c r="U2515" s="5">
        <f>IF(Merge1[[#This Row],[team_defense_snaps]]=0, "", Merge1[[#This Row],[defense_snaps]] / Merge1[[#This Row],[team_defense_snaps]])</f>
        <v>0.98275862068965514</v>
      </c>
      <c r="V2515">
        <v>58</v>
      </c>
      <c r="W2515">
        <v>1</v>
      </c>
      <c r="X2515" s="5" t="s">
        <v>303</v>
      </c>
      <c r="Y2515">
        <v>0</v>
      </c>
      <c r="Z2515">
        <v>0</v>
      </c>
      <c r="AA2515" t="s">
        <v>25</v>
      </c>
      <c r="AB2515" t="s">
        <v>26</v>
      </c>
      <c r="AC2515" t="s">
        <v>27</v>
      </c>
      <c r="AD2515" t="s">
        <v>42</v>
      </c>
      <c r="AE2515" t="s">
        <v>25</v>
      </c>
      <c r="AF25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0.1206896551724138</v>
      </c>
      <c r="AG2515" t="s">
        <v>941</v>
      </c>
      <c r="AH2515">
        <v>73.5</v>
      </c>
      <c r="AI2515" t="s">
        <v>939</v>
      </c>
      <c r="AJ2515">
        <v>5</v>
      </c>
      <c r="AK25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MIN(AJ2515/8, 1) +
  Merge1[[#This Row],[index_defensive_effort]],
  2
)</f>
        <v>1.1499999999999999</v>
      </c>
    </row>
    <row r="2516" spans="1:37" x14ac:dyDescent="0.25">
      <c r="A2516" t="s">
        <v>685</v>
      </c>
      <c r="B2516" t="s">
        <v>686</v>
      </c>
      <c r="C2516">
        <v>23</v>
      </c>
      <c r="D2516" t="s">
        <v>56</v>
      </c>
      <c r="E2516">
        <v>73</v>
      </c>
      <c r="F2516">
        <v>200</v>
      </c>
      <c r="G2516" t="s">
        <v>67</v>
      </c>
      <c r="H2516">
        <v>2020</v>
      </c>
      <c r="I2516" t="s">
        <v>33</v>
      </c>
      <c r="J2516">
        <v>17</v>
      </c>
      <c r="K2516">
        <v>5</v>
      </c>
      <c r="L2516">
        <v>2</v>
      </c>
      <c r="M2516">
        <v>0</v>
      </c>
      <c r="N2516">
        <v>2</v>
      </c>
      <c r="O2516">
        <v>0</v>
      </c>
      <c r="P2516">
        <v>0</v>
      </c>
      <c r="Q2516">
        <v>0</v>
      </c>
      <c r="R2516">
        <v>4</v>
      </c>
      <c r="S2516">
        <v>69</v>
      </c>
      <c r="T2516">
        <v>67</v>
      </c>
      <c r="U2516" s="5">
        <f>IF(Merge1[[#This Row],[team_defense_snaps]]=0, "", Merge1[[#This Row],[defense_snaps]] / Merge1[[#This Row],[team_defense_snaps]])</f>
        <v>0.94366197183098588</v>
      </c>
      <c r="V2516">
        <v>71</v>
      </c>
      <c r="W2516">
        <v>2</v>
      </c>
      <c r="X2516" s="5" t="s">
        <v>114</v>
      </c>
      <c r="Y2516">
        <v>0</v>
      </c>
      <c r="Z2516">
        <v>0</v>
      </c>
      <c r="AA2516" t="s">
        <v>25</v>
      </c>
      <c r="AB2516" t="s">
        <v>26</v>
      </c>
      <c r="AC2516" t="s">
        <v>27</v>
      </c>
      <c r="AD2516" t="s">
        <v>42</v>
      </c>
      <c r="AE2516" t="s">
        <v>25</v>
      </c>
      <c r="AF25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0.20289855072463769</v>
      </c>
      <c r="AG2516" t="s">
        <v>941</v>
      </c>
      <c r="AH2516">
        <v>75</v>
      </c>
      <c r="AI2516" t="s">
        <v>939</v>
      </c>
      <c r="AJ2516">
        <v>6</v>
      </c>
      <c r="AK25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MIN(AJ2516/8, 1) +
  Merge1[[#This Row],[index_defensive_effort]],
  2
)</f>
        <v>1.35</v>
      </c>
    </row>
    <row r="2517" spans="1:37" x14ac:dyDescent="0.25">
      <c r="A2517" t="s">
        <v>691</v>
      </c>
      <c r="B2517" t="s">
        <v>692</v>
      </c>
      <c r="C2517">
        <v>31</v>
      </c>
      <c r="D2517" t="s">
        <v>22</v>
      </c>
      <c r="E2517">
        <v>71</v>
      </c>
      <c r="F2517">
        <v>192</v>
      </c>
      <c r="G2517" t="s">
        <v>157</v>
      </c>
      <c r="H2517">
        <v>2020</v>
      </c>
      <c r="I2517" t="s">
        <v>33</v>
      </c>
      <c r="J2517">
        <v>5</v>
      </c>
      <c r="K2517">
        <v>2</v>
      </c>
      <c r="L2517">
        <v>3</v>
      </c>
      <c r="M2517">
        <v>1</v>
      </c>
      <c r="N2517">
        <v>4</v>
      </c>
      <c r="O2517">
        <v>0</v>
      </c>
      <c r="P2517">
        <v>1</v>
      </c>
      <c r="Q2517">
        <v>0</v>
      </c>
      <c r="R2517">
        <v>0</v>
      </c>
      <c r="S2517">
        <v>49</v>
      </c>
      <c r="T2517">
        <v>31</v>
      </c>
      <c r="U2517" s="5">
        <f>IF(Merge1[[#This Row],[team_defense_snaps]]=0, "", Merge1[[#This Row],[defense_snaps]] / Merge1[[#This Row],[team_defense_snaps]])</f>
        <v>0.40789473684210525</v>
      </c>
      <c r="V2517">
        <v>76</v>
      </c>
      <c r="W2517">
        <v>18</v>
      </c>
      <c r="X2517" s="5" t="s">
        <v>81</v>
      </c>
      <c r="Y2517">
        <v>8</v>
      </c>
      <c r="Z2517">
        <v>0</v>
      </c>
      <c r="AA2517" t="s">
        <v>25</v>
      </c>
      <c r="AB2517" t="s">
        <v>26</v>
      </c>
      <c r="AC2517" t="s">
        <v>27</v>
      </c>
      <c r="AD2517" t="s">
        <v>28</v>
      </c>
      <c r="AE2517" t="s">
        <v>25</v>
      </c>
      <c r="AF25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0.12244897959183673</v>
      </c>
      <c r="AG2517" t="s">
        <v>942</v>
      </c>
      <c r="AH2517">
        <v>79</v>
      </c>
      <c r="AI2517" t="s">
        <v>939</v>
      </c>
      <c r="AJ2517">
        <v>1</v>
      </c>
      <c r="AK25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MIN(AJ2517/8, 1) +
  Merge1[[#This Row],[index_defensive_effort]],
  2
)</f>
        <v>0.85</v>
      </c>
    </row>
    <row r="2518" spans="1:37" x14ac:dyDescent="0.25">
      <c r="A2518" t="s">
        <v>691</v>
      </c>
      <c r="B2518" t="s">
        <v>692</v>
      </c>
      <c r="C2518">
        <v>31</v>
      </c>
      <c r="D2518" t="s">
        <v>22</v>
      </c>
      <c r="E2518">
        <v>71</v>
      </c>
      <c r="F2518">
        <v>192</v>
      </c>
      <c r="G2518" t="s">
        <v>157</v>
      </c>
      <c r="H2518">
        <v>2020</v>
      </c>
      <c r="I2518" t="s">
        <v>33</v>
      </c>
      <c r="J2518">
        <v>5</v>
      </c>
      <c r="K2518">
        <v>2</v>
      </c>
      <c r="L2518">
        <v>3</v>
      </c>
      <c r="M2518">
        <v>1</v>
      </c>
      <c r="N2518">
        <v>4</v>
      </c>
      <c r="O2518">
        <v>0</v>
      </c>
      <c r="P2518">
        <v>1</v>
      </c>
      <c r="Q2518">
        <v>0</v>
      </c>
      <c r="R2518">
        <v>0</v>
      </c>
      <c r="S2518">
        <v>31</v>
      </c>
      <c r="T2518">
        <v>31</v>
      </c>
      <c r="U2518" s="5">
        <f>IF(Merge1[[#This Row],[team_defense_snaps]]=0, "", Merge1[[#This Row],[defense_snaps]] / Merge1[[#This Row],[team_defense_snaps]])</f>
        <v>0.40789473684210525</v>
      </c>
      <c r="V2518">
        <v>76</v>
      </c>
      <c r="W2518">
        <v>0</v>
      </c>
      <c r="X2518" s="5" t="s">
        <v>29</v>
      </c>
      <c r="Y2518">
        <v>8</v>
      </c>
      <c r="Z2518">
        <v>0</v>
      </c>
      <c r="AA2518" t="s">
        <v>207</v>
      </c>
      <c r="AB2518" t="s">
        <v>36</v>
      </c>
      <c r="AC2518" t="s">
        <v>63</v>
      </c>
      <c r="AD2518" t="s">
        <v>28</v>
      </c>
      <c r="AE2518" t="s">
        <v>25</v>
      </c>
      <c r="AF25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0.19354838709677419</v>
      </c>
      <c r="AG2518" t="s">
        <v>942</v>
      </c>
      <c r="AH2518">
        <v>82</v>
      </c>
      <c r="AI2518" t="s">
        <v>940</v>
      </c>
      <c r="AJ2518">
        <v>1</v>
      </c>
      <c r="AK25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MIN(AJ2518/8, 1) +
  Merge1[[#This Row],[index_defensive_effort]],
  2
)</f>
        <v>0.92</v>
      </c>
    </row>
    <row r="2519" spans="1:37" x14ac:dyDescent="0.25">
      <c r="A2519" t="s">
        <v>691</v>
      </c>
      <c r="B2519" t="s">
        <v>692</v>
      </c>
      <c r="C2519">
        <v>31</v>
      </c>
      <c r="D2519" t="s">
        <v>22</v>
      </c>
      <c r="E2519">
        <v>71</v>
      </c>
      <c r="F2519">
        <v>192</v>
      </c>
      <c r="G2519" t="s">
        <v>157</v>
      </c>
      <c r="H2519">
        <v>2020</v>
      </c>
      <c r="I2519" t="s">
        <v>33</v>
      </c>
      <c r="J2519">
        <v>6</v>
      </c>
      <c r="K2519">
        <v>0</v>
      </c>
      <c r="L2519">
        <v>1</v>
      </c>
      <c r="M2519">
        <v>0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41</v>
      </c>
      <c r="T2519">
        <v>18</v>
      </c>
      <c r="U2519" s="5">
        <f>IF(Merge1[[#This Row],[team_defense_snaps]]=0, "", Merge1[[#This Row],[defense_snaps]] / Merge1[[#This Row],[team_defense_snaps]])</f>
        <v>0.24</v>
      </c>
      <c r="V2519">
        <v>75</v>
      </c>
      <c r="W2519">
        <v>23</v>
      </c>
      <c r="X2519" s="5" t="s">
        <v>49</v>
      </c>
      <c r="Y2519">
        <v>8</v>
      </c>
      <c r="Z2519">
        <v>0</v>
      </c>
      <c r="AA2519" t="s">
        <v>25</v>
      </c>
      <c r="AB2519" t="s">
        <v>26</v>
      </c>
      <c r="AC2519" t="s">
        <v>27</v>
      </c>
      <c r="AD2519" t="s">
        <v>28</v>
      </c>
      <c r="AE2519" t="s">
        <v>25</v>
      </c>
      <c r="AF25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1.2195121951219513E-2</v>
      </c>
      <c r="AG2519" t="s">
        <v>942</v>
      </c>
      <c r="AH2519">
        <v>74.5</v>
      </c>
      <c r="AI2519" t="s">
        <v>939</v>
      </c>
      <c r="AJ2519">
        <v>2</v>
      </c>
      <c r="AK25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MIN(AJ2519/8, 1) +
  Merge1[[#This Row],[index_defensive_effort]],
  2
)</f>
        <v>0.86</v>
      </c>
    </row>
    <row r="2520" spans="1:37" x14ac:dyDescent="0.25">
      <c r="A2520" t="s">
        <v>691</v>
      </c>
      <c r="B2520" t="s">
        <v>692</v>
      </c>
      <c r="C2520">
        <v>31</v>
      </c>
      <c r="D2520" t="s">
        <v>22</v>
      </c>
      <c r="E2520">
        <v>71</v>
      </c>
      <c r="F2520">
        <v>192</v>
      </c>
      <c r="G2520" t="s">
        <v>157</v>
      </c>
      <c r="H2520">
        <v>2020</v>
      </c>
      <c r="I2520" t="s">
        <v>33</v>
      </c>
      <c r="J2520">
        <v>7</v>
      </c>
      <c r="K2520">
        <v>0</v>
      </c>
      <c r="L2520">
        <v>2</v>
      </c>
      <c r="M2520">
        <v>1</v>
      </c>
      <c r="N2520">
        <v>3</v>
      </c>
      <c r="O2520">
        <v>0</v>
      </c>
      <c r="P2520">
        <v>0</v>
      </c>
      <c r="Q2520">
        <v>0</v>
      </c>
      <c r="R2520">
        <v>0</v>
      </c>
      <c r="S2520">
        <v>35</v>
      </c>
      <c r="T2520">
        <v>15</v>
      </c>
      <c r="U2520" s="5">
        <f>IF(Merge1[[#This Row],[team_defense_snaps]]=0, "", Merge1[[#This Row],[defense_snaps]] / Merge1[[#This Row],[team_defense_snaps]])</f>
        <v>0.24193548387096775</v>
      </c>
      <c r="V2520">
        <v>62</v>
      </c>
      <c r="W2520">
        <v>20</v>
      </c>
      <c r="X2520" s="5" t="s">
        <v>83</v>
      </c>
      <c r="Y2520">
        <v>8</v>
      </c>
      <c r="Z2520">
        <v>0</v>
      </c>
      <c r="AA2520" t="s">
        <v>25</v>
      </c>
      <c r="AB2520" t="s">
        <v>26</v>
      </c>
      <c r="AC2520" t="s">
        <v>27</v>
      </c>
      <c r="AD2520" t="s">
        <v>28</v>
      </c>
      <c r="AE2520" t="s">
        <v>25</v>
      </c>
      <c r="AF25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4.2857142857142858E-2</v>
      </c>
      <c r="AG2520" t="s">
        <v>942</v>
      </c>
      <c r="AH2520">
        <v>76</v>
      </c>
      <c r="AI2520" t="s">
        <v>939</v>
      </c>
      <c r="AJ2520">
        <v>3</v>
      </c>
      <c r="AK25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MIN(AJ2520/8, 1) +
  Merge1[[#This Row],[index_defensive_effort]],
  2
)</f>
        <v>1.02</v>
      </c>
    </row>
    <row r="2521" spans="1:37" x14ac:dyDescent="0.25">
      <c r="A2521" t="s">
        <v>691</v>
      </c>
      <c r="B2521" t="s">
        <v>692</v>
      </c>
      <c r="C2521">
        <v>31</v>
      </c>
      <c r="D2521" t="s">
        <v>22</v>
      </c>
      <c r="E2521">
        <v>71</v>
      </c>
      <c r="F2521">
        <v>192</v>
      </c>
      <c r="G2521" t="s">
        <v>157</v>
      </c>
      <c r="H2521">
        <v>2020</v>
      </c>
      <c r="I2521" t="s">
        <v>33</v>
      </c>
      <c r="J2521">
        <v>7</v>
      </c>
      <c r="K2521">
        <v>0</v>
      </c>
      <c r="L2521">
        <v>2</v>
      </c>
      <c r="M2521">
        <v>1</v>
      </c>
      <c r="N2521">
        <v>3</v>
      </c>
      <c r="O2521">
        <v>0</v>
      </c>
      <c r="P2521">
        <v>0</v>
      </c>
      <c r="Q2521">
        <v>0</v>
      </c>
      <c r="R2521">
        <v>0</v>
      </c>
      <c r="S2521">
        <v>15</v>
      </c>
      <c r="T2521">
        <v>15</v>
      </c>
      <c r="U2521" s="5">
        <f>IF(Merge1[[#This Row],[team_defense_snaps]]=0, "", Merge1[[#This Row],[defense_snaps]] / Merge1[[#This Row],[team_defense_snaps]])</f>
        <v>0.24193548387096775</v>
      </c>
      <c r="V2521">
        <v>62</v>
      </c>
      <c r="W2521">
        <v>0</v>
      </c>
      <c r="X2521" s="5" t="s">
        <v>29</v>
      </c>
      <c r="Y2521">
        <v>8</v>
      </c>
      <c r="Z2521">
        <v>0</v>
      </c>
      <c r="AA2521" t="s">
        <v>207</v>
      </c>
      <c r="AB2521" t="s">
        <v>207</v>
      </c>
      <c r="AC2521" t="s">
        <v>63</v>
      </c>
      <c r="AD2521" t="s">
        <v>28</v>
      </c>
      <c r="AE2521" t="s">
        <v>25</v>
      </c>
      <c r="AF25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2521" t="s">
        <v>942</v>
      </c>
      <c r="AH2521">
        <v>80.5</v>
      </c>
      <c r="AI2521" t="s">
        <v>940</v>
      </c>
      <c r="AJ2521">
        <v>1</v>
      </c>
      <c r="AK25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MIN(AJ2521/8, 1) +
  Merge1[[#This Row],[index_defensive_effort]],
  2
)</f>
        <v>0.83</v>
      </c>
    </row>
    <row r="2522" spans="1:37" x14ac:dyDescent="0.25">
      <c r="A2522" t="s">
        <v>691</v>
      </c>
      <c r="B2522" t="s">
        <v>692</v>
      </c>
      <c r="C2522">
        <v>31</v>
      </c>
      <c r="D2522" t="s">
        <v>22</v>
      </c>
      <c r="E2522">
        <v>71</v>
      </c>
      <c r="F2522">
        <v>192</v>
      </c>
      <c r="G2522" t="s">
        <v>157</v>
      </c>
      <c r="H2522">
        <v>2020</v>
      </c>
      <c r="I2522" t="s">
        <v>33</v>
      </c>
      <c r="J2522">
        <v>9</v>
      </c>
      <c r="K2522">
        <v>1</v>
      </c>
      <c r="L2522">
        <v>2</v>
      </c>
      <c r="M2522">
        <v>0</v>
      </c>
      <c r="N2522">
        <v>2</v>
      </c>
      <c r="O2522">
        <v>0</v>
      </c>
      <c r="P2522">
        <v>0</v>
      </c>
      <c r="Q2522">
        <v>0</v>
      </c>
      <c r="R2522">
        <v>0</v>
      </c>
      <c r="S2522">
        <v>38</v>
      </c>
      <c r="T2522">
        <v>16</v>
      </c>
      <c r="U2522" s="5">
        <f>IF(Merge1[[#This Row],[team_defense_snaps]]=0, "", Merge1[[#This Row],[defense_snaps]] / Merge1[[#This Row],[team_defense_snaps]])</f>
        <v>0.22857142857142856</v>
      </c>
      <c r="V2522">
        <v>70</v>
      </c>
      <c r="W2522">
        <v>22</v>
      </c>
      <c r="X2522" s="5" t="s">
        <v>87</v>
      </c>
      <c r="Y2522">
        <v>8</v>
      </c>
      <c r="Z2522">
        <v>0</v>
      </c>
      <c r="AA2522" t="s">
        <v>25</v>
      </c>
      <c r="AB2522" t="s">
        <v>26</v>
      </c>
      <c r="AC2522" t="s">
        <v>27</v>
      </c>
      <c r="AD2522" t="s">
        <v>28</v>
      </c>
      <c r="AE2522" t="s">
        <v>25</v>
      </c>
      <c r="AF25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5.2631578947368418E-2</v>
      </c>
      <c r="AG2522" t="s">
        <v>942</v>
      </c>
      <c r="AH2522">
        <v>82</v>
      </c>
      <c r="AI2522" t="s">
        <v>939</v>
      </c>
      <c r="AJ2522">
        <v>1</v>
      </c>
      <c r="AK25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MIN(AJ2522/8, 1) +
  Merge1[[#This Row],[index_defensive_effort]],
  2
)</f>
        <v>0.78</v>
      </c>
    </row>
    <row r="2523" spans="1:37" x14ac:dyDescent="0.25">
      <c r="A2523" t="s">
        <v>691</v>
      </c>
      <c r="B2523" t="s">
        <v>692</v>
      </c>
      <c r="C2523">
        <v>31</v>
      </c>
      <c r="D2523" t="s">
        <v>22</v>
      </c>
      <c r="E2523">
        <v>71</v>
      </c>
      <c r="F2523">
        <v>192</v>
      </c>
      <c r="G2523" t="s">
        <v>157</v>
      </c>
      <c r="H2523">
        <v>2020</v>
      </c>
      <c r="I2523" t="s">
        <v>33</v>
      </c>
      <c r="J2523">
        <v>9</v>
      </c>
      <c r="K2523">
        <v>1</v>
      </c>
      <c r="L2523">
        <v>2</v>
      </c>
      <c r="M2523">
        <v>0</v>
      </c>
      <c r="N2523">
        <v>2</v>
      </c>
      <c r="O2523">
        <v>0</v>
      </c>
      <c r="P2523">
        <v>0</v>
      </c>
      <c r="Q2523">
        <v>0</v>
      </c>
      <c r="R2523">
        <v>0</v>
      </c>
      <c r="S2523">
        <v>16</v>
      </c>
      <c r="T2523">
        <v>16</v>
      </c>
      <c r="U2523" s="5">
        <f>IF(Merge1[[#This Row],[team_defense_snaps]]=0, "", Merge1[[#This Row],[defense_snaps]] / Merge1[[#This Row],[team_defense_snaps]])</f>
        <v>0.22857142857142856</v>
      </c>
      <c r="V2523">
        <v>70</v>
      </c>
      <c r="W2523">
        <v>0</v>
      </c>
      <c r="X2523" s="5" t="s">
        <v>29</v>
      </c>
      <c r="Y2523">
        <v>8</v>
      </c>
      <c r="Z2523">
        <v>0</v>
      </c>
      <c r="AA2523" t="s">
        <v>25</v>
      </c>
      <c r="AB2523" t="s">
        <v>36</v>
      </c>
      <c r="AC2523" t="s">
        <v>63</v>
      </c>
      <c r="AD2523" t="s">
        <v>42</v>
      </c>
      <c r="AE2523" t="s">
        <v>25</v>
      </c>
      <c r="AF25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2523" t="s">
        <v>942</v>
      </c>
      <c r="AH2523">
        <v>76</v>
      </c>
      <c r="AI2523" t="s">
        <v>939</v>
      </c>
      <c r="AJ2523">
        <v>1</v>
      </c>
      <c r="AK25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MIN(AJ2523/8, 1) +
  Merge1[[#This Row],[index_defensive_effort]],
  2
)</f>
        <v>0.85</v>
      </c>
    </row>
    <row r="2524" spans="1:37" x14ac:dyDescent="0.25">
      <c r="A2524" t="s">
        <v>691</v>
      </c>
      <c r="B2524" t="s">
        <v>692</v>
      </c>
      <c r="C2524">
        <v>31</v>
      </c>
      <c r="D2524" t="s">
        <v>22</v>
      </c>
      <c r="E2524">
        <v>71</v>
      </c>
      <c r="F2524">
        <v>192</v>
      </c>
      <c r="G2524" t="s">
        <v>157</v>
      </c>
      <c r="H2524">
        <v>2020</v>
      </c>
      <c r="I2524" t="s">
        <v>33</v>
      </c>
      <c r="J2524">
        <v>10</v>
      </c>
      <c r="K2524">
        <v>1</v>
      </c>
      <c r="L2524">
        <v>1</v>
      </c>
      <c r="M2524">
        <v>0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28</v>
      </c>
      <c r="T2524">
        <v>14</v>
      </c>
      <c r="U2524" s="5">
        <f>IF(Merge1[[#This Row],[team_defense_snaps]]=0, "", Merge1[[#This Row],[defense_snaps]] / Merge1[[#This Row],[team_defense_snaps]])</f>
        <v>0.2153846153846154</v>
      </c>
      <c r="V2524">
        <v>65</v>
      </c>
      <c r="W2524">
        <v>14</v>
      </c>
      <c r="X2524" s="5" t="s">
        <v>244</v>
      </c>
      <c r="Y2524">
        <v>8</v>
      </c>
      <c r="Z2524">
        <v>0</v>
      </c>
      <c r="AA2524" t="s">
        <v>25</v>
      </c>
      <c r="AB2524" t="s">
        <v>26</v>
      </c>
      <c r="AC2524" t="s">
        <v>27</v>
      </c>
      <c r="AD2524" t="s">
        <v>28</v>
      </c>
      <c r="AE2524" t="s">
        <v>25</v>
      </c>
      <c r="AF25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5.3571428571428568E-2</v>
      </c>
      <c r="AG2524" t="s">
        <v>942</v>
      </c>
      <c r="AH2524">
        <v>74.5</v>
      </c>
      <c r="AI2524" t="s">
        <v>939</v>
      </c>
      <c r="AJ2524">
        <v>2</v>
      </c>
      <c r="AK25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MIN(AJ2524/8, 1) +
  Merge1[[#This Row],[index_defensive_effort]],
  2
)</f>
        <v>0.9</v>
      </c>
    </row>
    <row r="2525" spans="1:37" x14ac:dyDescent="0.25">
      <c r="A2525" t="s">
        <v>691</v>
      </c>
      <c r="B2525" t="s">
        <v>692</v>
      </c>
      <c r="C2525">
        <v>31</v>
      </c>
      <c r="D2525" t="s">
        <v>22</v>
      </c>
      <c r="E2525">
        <v>71</v>
      </c>
      <c r="F2525">
        <v>192</v>
      </c>
      <c r="G2525" t="s">
        <v>157</v>
      </c>
      <c r="H2525">
        <v>2020</v>
      </c>
      <c r="I2525" t="s">
        <v>33</v>
      </c>
      <c r="J2525">
        <v>10</v>
      </c>
      <c r="K2525">
        <v>1</v>
      </c>
      <c r="L2525">
        <v>1</v>
      </c>
      <c r="M2525">
        <v>0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14</v>
      </c>
      <c r="T2525">
        <v>14</v>
      </c>
      <c r="U2525" s="5">
        <f>IF(Merge1[[#This Row],[team_defense_snaps]]=0, "", Merge1[[#This Row],[defense_snaps]] / Merge1[[#This Row],[team_defense_snaps]])</f>
        <v>0.2153846153846154</v>
      </c>
      <c r="V2525">
        <v>65</v>
      </c>
      <c r="W2525">
        <v>0</v>
      </c>
      <c r="X2525" s="5" t="s">
        <v>29</v>
      </c>
      <c r="Y2525">
        <v>8</v>
      </c>
      <c r="Z2525">
        <v>0</v>
      </c>
      <c r="AA2525" t="s">
        <v>25</v>
      </c>
      <c r="AB2525" t="s">
        <v>26</v>
      </c>
      <c r="AC2525" t="s">
        <v>27</v>
      </c>
      <c r="AD2525" t="s">
        <v>42</v>
      </c>
      <c r="AE2525" t="s">
        <v>25</v>
      </c>
      <c r="AF25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0.10714285714285714</v>
      </c>
      <c r="AG2525" t="s">
        <v>942</v>
      </c>
      <c r="AH2525">
        <v>79</v>
      </c>
      <c r="AI2525" t="s">
        <v>939</v>
      </c>
      <c r="AJ2525">
        <v>1</v>
      </c>
      <c r="AK25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MIN(AJ2525/8, 1) +
  Merge1[[#This Row],[index_defensive_effort]],
  2
)</f>
        <v>0.83</v>
      </c>
    </row>
    <row r="2526" spans="1:37" x14ac:dyDescent="0.25">
      <c r="A2526" t="s">
        <v>657</v>
      </c>
      <c r="B2526" t="s">
        <v>658</v>
      </c>
      <c r="C2526">
        <v>25</v>
      </c>
      <c r="D2526" t="s">
        <v>56</v>
      </c>
      <c r="E2526">
        <v>72</v>
      </c>
      <c r="F2526">
        <v>194</v>
      </c>
      <c r="G2526" t="s">
        <v>162</v>
      </c>
      <c r="H2526">
        <v>2020</v>
      </c>
      <c r="I2526" t="s">
        <v>33</v>
      </c>
      <c r="J2526">
        <v>13</v>
      </c>
      <c r="K2526">
        <v>1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31</v>
      </c>
      <c r="T2526">
        <v>10</v>
      </c>
      <c r="U2526" s="5">
        <f>IF(Merge1[[#This Row],[team_defense_snaps]]=0, "", Merge1[[#This Row],[defense_snaps]] / Merge1[[#This Row],[team_defense_snaps]])</f>
        <v>0.14084507042253522</v>
      </c>
      <c r="V2526">
        <v>71</v>
      </c>
      <c r="W2526">
        <v>21</v>
      </c>
      <c r="X2526" s="5" t="s">
        <v>61</v>
      </c>
      <c r="Y2526">
        <v>2</v>
      </c>
      <c r="Z2526">
        <v>0</v>
      </c>
      <c r="AA2526" t="s">
        <v>25</v>
      </c>
      <c r="AB2526" t="s">
        <v>26</v>
      </c>
      <c r="AC2526" t="s">
        <v>27</v>
      </c>
      <c r="AD2526" t="s">
        <v>28</v>
      </c>
      <c r="AE2526" t="s">
        <v>25</v>
      </c>
      <c r="AF25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3.2258064516129031E-2</v>
      </c>
      <c r="AG2526" t="s">
        <v>942</v>
      </c>
      <c r="AH2526">
        <v>50.5</v>
      </c>
      <c r="AI2526" t="s">
        <v>939</v>
      </c>
      <c r="AJ2526">
        <v>1</v>
      </c>
      <c r="AK25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MIN(AJ2526/8, 1) +
  Merge1[[#This Row],[index_defensive_effort]],
  2
)</f>
        <v>0.56000000000000005</v>
      </c>
    </row>
    <row r="2527" spans="1:37" x14ac:dyDescent="0.25">
      <c r="A2527" t="s">
        <v>657</v>
      </c>
      <c r="B2527" t="s">
        <v>658</v>
      </c>
      <c r="C2527">
        <v>25</v>
      </c>
      <c r="D2527" t="s">
        <v>56</v>
      </c>
      <c r="E2527">
        <v>72</v>
      </c>
      <c r="F2527">
        <v>194</v>
      </c>
      <c r="G2527" t="s">
        <v>162</v>
      </c>
      <c r="H2527">
        <v>2020</v>
      </c>
      <c r="I2527" t="s">
        <v>33</v>
      </c>
      <c r="J2527">
        <v>14</v>
      </c>
      <c r="K2527">
        <v>2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43</v>
      </c>
      <c r="T2527">
        <v>24</v>
      </c>
      <c r="U2527" s="5">
        <f>IF(Merge1[[#This Row],[team_defense_snaps]]=0, "", Merge1[[#This Row],[defense_snaps]] / Merge1[[#This Row],[team_defense_snaps]])</f>
        <v>0.35820895522388058</v>
      </c>
      <c r="V2527">
        <v>67</v>
      </c>
      <c r="W2527">
        <v>19</v>
      </c>
      <c r="X2527" s="5" t="s">
        <v>95</v>
      </c>
      <c r="Y2527">
        <v>2</v>
      </c>
      <c r="Z2527">
        <v>0</v>
      </c>
      <c r="AA2527" t="s">
        <v>25</v>
      </c>
      <c r="AB2527" t="s">
        <v>26</v>
      </c>
      <c r="AC2527" t="s">
        <v>27</v>
      </c>
      <c r="AD2527" t="s">
        <v>28</v>
      </c>
      <c r="AE2527" t="s">
        <v>25</v>
      </c>
      <c r="AF25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4.6511627906976744E-2</v>
      </c>
      <c r="AG2527" t="s">
        <v>942</v>
      </c>
      <c r="AH2527">
        <v>49</v>
      </c>
      <c r="AI2527" t="s">
        <v>939</v>
      </c>
      <c r="AJ2527">
        <v>2</v>
      </c>
      <c r="AK25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MIN(AJ2527/8, 1) +
  Merge1[[#This Row],[index_defensive_effort]],
  2
)</f>
        <v>0.7</v>
      </c>
    </row>
    <row r="2528" spans="1:37" x14ac:dyDescent="0.25">
      <c r="A2528" t="s">
        <v>657</v>
      </c>
      <c r="B2528" t="s">
        <v>658</v>
      </c>
      <c r="C2528">
        <v>25</v>
      </c>
      <c r="D2528" t="s">
        <v>56</v>
      </c>
      <c r="E2528">
        <v>72</v>
      </c>
      <c r="F2528">
        <v>194</v>
      </c>
      <c r="G2528" t="s">
        <v>162</v>
      </c>
      <c r="H2528">
        <v>2020</v>
      </c>
      <c r="I2528" t="s">
        <v>33</v>
      </c>
      <c r="J2528">
        <v>15</v>
      </c>
      <c r="K2528">
        <v>0</v>
      </c>
      <c r="L2528">
        <v>1</v>
      </c>
      <c r="M2528">
        <v>0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26</v>
      </c>
      <c r="T2528">
        <v>15</v>
      </c>
      <c r="U2528" s="5">
        <f>IF(Merge1[[#This Row],[team_defense_snaps]]=0, "", Merge1[[#This Row],[defense_snaps]] / Merge1[[#This Row],[team_defense_snaps]])</f>
        <v>0.22058823529411764</v>
      </c>
      <c r="V2528">
        <v>68</v>
      </c>
      <c r="W2528">
        <v>11</v>
      </c>
      <c r="X2528" s="5" t="s">
        <v>131</v>
      </c>
      <c r="Y2528">
        <v>2</v>
      </c>
      <c r="Z2528">
        <v>0</v>
      </c>
      <c r="AA2528" t="s">
        <v>25</v>
      </c>
      <c r="AB2528" t="s">
        <v>26</v>
      </c>
      <c r="AC2528" t="s">
        <v>27</v>
      </c>
      <c r="AD2528" t="s">
        <v>42</v>
      </c>
      <c r="AE2528" t="s">
        <v>25</v>
      </c>
      <c r="AF25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1.9230769230769232E-2</v>
      </c>
      <c r="AG2528" t="s">
        <v>942</v>
      </c>
      <c r="AH2528">
        <v>52</v>
      </c>
      <c r="AI2528" t="s">
        <v>939</v>
      </c>
      <c r="AJ2528">
        <v>3</v>
      </c>
      <c r="AK25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MIN(AJ2528/8, 1) +
  Merge1[[#This Row],[index_defensive_effort]],
  2
)</f>
        <v>0.79</v>
      </c>
    </row>
    <row r="2529" spans="1:37" x14ac:dyDescent="0.25">
      <c r="A2529" t="s">
        <v>665</v>
      </c>
      <c r="B2529" t="s">
        <v>666</v>
      </c>
      <c r="C2529">
        <v>26</v>
      </c>
      <c r="D2529" t="s">
        <v>56</v>
      </c>
      <c r="E2529">
        <v>69</v>
      </c>
      <c r="F2529">
        <v>184</v>
      </c>
      <c r="G2529" t="s">
        <v>74</v>
      </c>
      <c r="H2529">
        <v>2020</v>
      </c>
      <c r="I2529" t="s">
        <v>33</v>
      </c>
      <c r="J2529">
        <v>1</v>
      </c>
      <c r="K2529">
        <v>6</v>
      </c>
      <c r="L2529">
        <v>2</v>
      </c>
      <c r="M2529">
        <v>1</v>
      </c>
      <c r="N2529">
        <v>3</v>
      </c>
      <c r="O2529">
        <v>4</v>
      </c>
      <c r="P2529">
        <v>5</v>
      </c>
      <c r="Q2529">
        <v>0</v>
      </c>
      <c r="R2529">
        <v>0</v>
      </c>
      <c r="S2529">
        <v>51</v>
      </c>
      <c r="T2529">
        <v>42</v>
      </c>
      <c r="U2529" s="5">
        <f>IF(Merge1[[#This Row],[team_defense_snaps]]=0, "", Merge1[[#This Row],[defense_snaps]] / Merge1[[#This Row],[team_defense_snaps]])</f>
        <v>0.60869565217391308</v>
      </c>
      <c r="V2529">
        <v>69</v>
      </c>
      <c r="W2529">
        <v>9</v>
      </c>
      <c r="X2529" s="5" t="s">
        <v>70</v>
      </c>
      <c r="Y2529">
        <v>4</v>
      </c>
      <c r="Z2529">
        <v>0</v>
      </c>
      <c r="AA2529" t="s">
        <v>25</v>
      </c>
      <c r="AB2529" t="s">
        <v>26</v>
      </c>
      <c r="AC2529" t="s">
        <v>27</v>
      </c>
      <c r="AD2529" t="s">
        <v>28</v>
      </c>
      <c r="AE2529" t="s">
        <v>25</v>
      </c>
      <c r="AF25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0.57843137254901966</v>
      </c>
      <c r="AG2529" t="s">
        <v>941</v>
      </c>
      <c r="AH2529">
        <v>47</v>
      </c>
      <c r="AI2529" t="s">
        <v>939</v>
      </c>
      <c r="AJ2529">
        <v>1</v>
      </c>
      <c r="AK25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MIN(AJ2529/8, 1) +
  Merge1[[#This Row],[index_defensive_effort]],
  2
)</f>
        <v>1.3</v>
      </c>
    </row>
    <row r="2530" spans="1:37" x14ac:dyDescent="0.25">
      <c r="A2530" t="s">
        <v>665</v>
      </c>
      <c r="B2530" t="s">
        <v>666</v>
      </c>
      <c r="C2530">
        <v>26</v>
      </c>
      <c r="D2530" t="s">
        <v>56</v>
      </c>
      <c r="E2530">
        <v>69</v>
      </c>
      <c r="F2530">
        <v>184</v>
      </c>
      <c r="G2530" t="s">
        <v>74</v>
      </c>
      <c r="H2530">
        <v>2020</v>
      </c>
      <c r="I2530" t="s">
        <v>33</v>
      </c>
      <c r="J2530">
        <v>2</v>
      </c>
      <c r="K2530">
        <v>11</v>
      </c>
      <c r="L2530">
        <v>1</v>
      </c>
      <c r="M2530">
        <v>1</v>
      </c>
      <c r="N2530">
        <v>2</v>
      </c>
      <c r="O2530">
        <v>4</v>
      </c>
      <c r="P2530">
        <v>6</v>
      </c>
      <c r="Q2530">
        <v>0</v>
      </c>
      <c r="R2530">
        <v>0</v>
      </c>
      <c r="S2530">
        <v>61</v>
      </c>
      <c r="T2530">
        <v>55</v>
      </c>
      <c r="U2530" s="5">
        <f>IF(Merge1[[#This Row],[team_defense_snaps]]=0, "", Merge1[[#This Row],[defense_snaps]] / Merge1[[#This Row],[team_defense_snaps]])</f>
        <v>0.7142857142857143</v>
      </c>
      <c r="V2530">
        <v>77</v>
      </c>
      <c r="W2530">
        <v>6</v>
      </c>
      <c r="X2530" s="5" t="s">
        <v>293</v>
      </c>
      <c r="Y2530">
        <v>4</v>
      </c>
      <c r="Z2530">
        <v>0</v>
      </c>
      <c r="AA2530" t="s">
        <v>25</v>
      </c>
      <c r="AB2530" t="s">
        <v>26</v>
      </c>
      <c r="AC2530" t="s">
        <v>27</v>
      </c>
      <c r="AD2530" t="s">
        <v>42</v>
      </c>
      <c r="AE2530" t="s">
        <v>25</v>
      </c>
      <c r="AF25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0.5901639344262295</v>
      </c>
      <c r="AG2530" t="s">
        <v>941</v>
      </c>
      <c r="AH2530">
        <v>51.5</v>
      </c>
      <c r="AI2530" t="s">
        <v>939</v>
      </c>
      <c r="AJ2530">
        <v>2</v>
      </c>
      <c r="AK25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MIN(AJ2530/8, 1) +
  Merge1[[#This Row],[index_defensive_effort]],
  2
)</f>
        <v>1.44</v>
      </c>
    </row>
    <row r="2531" spans="1:37" x14ac:dyDescent="0.25">
      <c r="A2531" t="s">
        <v>665</v>
      </c>
      <c r="B2531" t="s">
        <v>666</v>
      </c>
      <c r="C2531">
        <v>26</v>
      </c>
      <c r="D2531" t="s">
        <v>56</v>
      </c>
      <c r="E2531">
        <v>69</v>
      </c>
      <c r="F2531">
        <v>184</v>
      </c>
      <c r="G2531" t="s">
        <v>74</v>
      </c>
      <c r="H2531">
        <v>2020</v>
      </c>
      <c r="I2531" t="s">
        <v>33</v>
      </c>
      <c r="J2531">
        <v>3</v>
      </c>
      <c r="K2531">
        <v>10</v>
      </c>
      <c r="L2531">
        <v>0</v>
      </c>
      <c r="M2531">
        <v>0</v>
      </c>
      <c r="N2531">
        <v>0</v>
      </c>
      <c r="O2531">
        <v>0</v>
      </c>
      <c r="P2531">
        <v>3</v>
      </c>
      <c r="Q2531">
        <v>2</v>
      </c>
      <c r="R2531">
        <v>0</v>
      </c>
      <c r="S2531">
        <v>47</v>
      </c>
      <c r="T2531">
        <v>37</v>
      </c>
      <c r="U2531" s="5">
        <f>IF(Merge1[[#This Row],[team_defense_snaps]]=0, "", Merge1[[#This Row],[defense_snaps]] / Merge1[[#This Row],[team_defense_snaps]])</f>
        <v>0.78723404255319152</v>
      </c>
      <c r="V2531">
        <v>47</v>
      </c>
      <c r="W2531">
        <v>10</v>
      </c>
      <c r="X2531" s="5" t="s">
        <v>60</v>
      </c>
      <c r="Y2531">
        <v>4</v>
      </c>
      <c r="Z2531">
        <v>0</v>
      </c>
      <c r="AA2531" t="s">
        <v>25</v>
      </c>
      <c r="AB2531" t="s">
        <v>26</v>
      </c>
      <c r="AC2531" t="s">
        <v>27</v>
      </c>
      <c r="AD2531" t="s">
        <v>42</v>
      </c>
      <c r="AE2531" t="s">
        <v>25</v>
      </c>
      <c r="AF25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0.51063829787234039</v>
      </c>
      <c r="AG2531" t="s">
        <v>941</v>
      </c>
      <c r="AH2531">
        <v>65</v>
      </c>
      <c r="AI2531" t="s">
        <v>939</v>
      </c>
      <c r="AJ2531">
        <v>3</v>
      </c>
      <c r="AK25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MIN(AJ2531/8, 1) +
  Merge1[[#This Row],[index_defensive_effort]],
  2
)</f>
        <v>1.49</v>
      </c>
    </row>
    <row r="2532" spans="1:37" x14ac:dyDescent="0.25">
      <c r="A2532" t="s">
        <v>665</v>
      </c>
      <c r="B2532" t="s">
        <v>666</v>
      </c>
      <c r="C2532">
        <v>26</v>
      </c>
      <c r="D2532" t="s">
        <v>56</v>
      </c>
      <c r="E2532">
        <v>69</v>
      </c>
      <c r="F2532">
        <v>184</v>
      </c>
      <c r="G2532" t="s">
        <v>74</v>
      </c>
      <c r="H2532">
        <v>2020</v>
      </c>
      <c r="I2532" t="s">
        <v>33</v>
      </c>
      <c r="J2532">
        <v>5</v>
      </c>
      <c r="K2532">
        <v>9</v>
      </c>
      <c r="L2532">
        <v>2</v>
      </c>
      <c r="M2532">
        <v>2</v>
      </c>
      <c r="N2532">
        <v>4</v>
      </c>
      <c r="O2532">
        <v>4</v>
      </c>
      <c r="P2532">
        <v>4</v>
      </c>
      <c r="Q2532">
        <v>0</v>
      </c>
      <c r="R2532">
        <v>0</v>
      </c>
      <c r="S2532">
        <v>50</v>
      </c>
      <c r="T2532">
        <v>48</v>
      </c>
      <c r="U2532" s="5">
        <f>IF(Merge1[[#This Row],[team_defense_snaps]]=0, "", Merge1[[#This Row],[defense_snaps]] / Merge1[[#This Row],[team_defense_snaps]])</f>
        <v>0.81355932203389836</v>
      </c>
      <c r="V2532">
        <v>59</v>
      </c>
      <c r="W2532">
        <v>2</v>
      </c>
      <c r="X2532" s="5" t="s">
        <v>167</v>
      </c>
      <c r="Y2532">
        <v>4</v>
      </c>
      <c r="Z2532">
        <v>0</v>
      </c>
      <c r="AA2532" t="s">
        <v>25</v>
      </c>
      <c r="AB2532" t="s">
        <v>26</v>
      </c>
      <c r="AC2532" t="s">
        <v>27</v>
      </c>
      <c r="AD2532" t="s">
        <v>42</v>
      </c>
      <c r="AE2532" t="s">
        <v>25</v>
      </c>
      <c r="AF25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0.62</v>
      </c>
      <c r="AG2532" t="s">
        <v>941</v>
      </c>
      <c r="AH2532">
        <v>68</v>
      </c>
      <c r="AI2532" t="s">
        <v>939</v>
      </c>
      <c r="AJ2532">
        <v>1</v>
      </c>
      <c r="AK25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MIN(AJ2532/8, 1) +
  Merge1[[#This Row],[index_defensive_effort]],
  2
)</f>
        <v>1.35</v>
      </c>
    </row>
    <row r="2533" spans="1:37" x14ac:dyDescent="0.25">
      <c r="A2533" t="s">
        <v>665</v>
      </c>
      <c r="B2533" t="s">
        <v>666</v>
      </c>
      <c r="C2533">
        <v>26</v>
      </c>
      <c r="D2533" t="s">
        <v>56</v>
      </c>
      <c r="E2533">
        <v>69</v>
      </c>
      <c r="F2533">
        <v>184</v>
      </c>
      <c r="G2533" t="s">
        <v>74</v>
      </c>
      <c r="H2533">
        <v>2020</v>
      </c>
      <c r="I2533" t="s">
        <v>33</v>
      </c>
      <c r="J2533">
        <v>11</v>
      </c>
      <c r="K2533">
        <v>0</v>
      </c>
      <c r="L2533">
        <v>1</v>
      </c>
      <c r="M2533">
        <v>0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21</v>
      </c>
      <c r="T2533">
        <v>21</v>
      </c>
      <c r="U2533" s="5">
        <f>IF(Merge1[[#This Row],[team_defense_snaps]]=0, "", Merge1[[#This Row],[defense_snaps]] / Merge1[[#This Row],[team_defense_snaps]])</f>
        <v>0.36206896551724138</v>
      </c>
      <c r="V2533">
        <v>58</v>
      </c>
      <c r="W2533">
        <v>0</v>
      </c>
      <c r="X2533" s="5" t="s">
        <v>29</v>
      </c>
      <c r="Y2533">
        <v>4</v>
      </c>
      <c r="Z2533">
        <v>0</v>
      </c>
      <c r="AA2533" t="s">
        <v>25</v>
      </c>
      <c r="AB2533" t="s">
        <v>26</v>
      </c>
      <c r="AC2533" t="s">
        <v>27</v>
      </c>
      <c r="AD2533" t="s">
        <v>28</v>
      </c>
      <c r="AE2533" t="s">
        <v>25</v>
      </c>
      <c r="AF25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2.3809523809523808E-2</v>
      </c>
      <c r="AG2533" t="s">
        <v>941</v>
      </c>
      <c r="AH2533">
        <v>54.5</v>
      </c>
      <c r="AI2533" t="s">
        <v>939</v>
      </c>
      <c r="AJ2533">
        <v>1</v>
      </c>
      <c r="AK25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MIN(AJ2533/8, 1) +
  Merge1[[#This Row],[index_defensive_effort]],
  2
)</f>
        <v>0.75</v>
      </c>
    </row>
    <row r="2534" spans="1:37" x14ac:dyDescent="0.25">
      <c r="A2534" t="s">
        <v>665</v>
      </c>
      <c r="B2534" t="s">
        <v>666</v>
      </c>
      <c r="C2534">
        <v>26</v>
      </c>
      <c r="D2534" t="s">
        <v>56</v>
      </c>
      <c r="E2534">
        <v>69</v>
      </c>
      <c r="F2534">
        <v>184</v>
      </c>
      <c r="G2534" t="s">
        <v>74</v>
      </c>
      <c r="H2534">
        <v>2020</v>
      </c>
      <c r="I2534" t="s">
        <v>33</v>
      </c>
      <c r="J2534">
        <v>12</v>
      </c>
      <c r="K2534">
        <v>2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29</v>
      </c>
      <c r="T2534">
        <v>29</v>
      </c>
      <c r="U2534" s="5">
        <f>IF(Merge1[[#This Row],[team_defense_snaps]]=0, "", Merge1[[#This Row],[defense_snaps]] / Merge1[[#This Row],[team_defense_snaps]])</f>
        <v>0.54716981132075471</v>
      </c>
      <c r="V2534">
        <v>53</v>
      </c>
      <c r="W2534">
        <v>0</v>
      </c>
      <c r="X2534" s="5" t="s">
        <v>29</v>
      </c>
      <c r="Y2534">
        <v>4</v>
      </c>
      <c r="Z2534">
        <v>0</v>
      </c>
      <c r="AA2534" t="s">
        <v>25</v>
      </c>
      <c r="AB2534" t="s">
        <v>26</v>
      </c>
      <c r="AC2534" t="s">
        <v>27</v>
      </c>
      <c r="AD2534" t="s">
        <v>42</v>
      </c>
      <c r="AE2534" t="s">
        <v>25</v>
      </c>
      <c r="AF25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6.8965517241379309E-2</v>
      </c>
      <c r="AG2534" t="s">
        <v>941</v>
      </c>
      <c r="AH2534">
        <v>51</v>
      </c>
      <c r="AI2534" t="s">
        <v>939</v>
      </c>
      <c r="AJ2534">
        <v>2</v>
      </c>
      <c r="AK25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MIN(AJ2534/8, 1) +
  Merge1[[#This Row],[index_defensive_effort]],
  2
)</f>
        <v>0.92</v>
      </c>
    </row>
    <row r="2535" spans="1:37" x14ac:dyDescent="0.25">
      <c r="A2535" t="s">
        <v>665</v>
      </c>
      <c r="B2535" t="s">
        <v>666</v>
      </c>
      <c r="C2535">
        <v>26</v>
      </c>
      <c r="D2535" t="s">
        <v>56</v>
      </c>
      <c r="E2535">
        <v>69</v>
      </c>
      <c r="F2535">
        <v>184</v>
      </c>
      <c r="G2535" t="s">
        <v>74</v>
      </c>
      <c r="H2535">
        <v>2020</v>
      </c>
      <c r="I2535" t="s">
        <v>33</v>
      </c>
      <c r="J2535">
        <v>13</v>
      </c>
      <c r="K2535">
        <v>7</v>
      </c>
      <c r="L2535">
        <v>1</v>
      </c>
      <c r="M2535">
        <v>0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57</v>
      </c>
      <c r="T2535">
        <v>57</v>
      </c>
      <c r="U2535" s="5">
        <f>IF(Merge1[[#This Row],[team_defense_snaps]]=0, "", Merge1[[#This Row],[defense_snaps]] / Merge1[[#This Row],[team_defense_snaps]])</f>
        <v>0.79166666666666663</v>
      </c>
      <c r="V2535">
        <v>72</v>
      </c>
      <c r="W2535">
        <v>0</v>
      </c>
      <c r="X2535" s="5" t="s">
        <v>29</v>
      </c>
      <c r="Y2535">
        <v>4</v>
      </c>
      <c r="Z2535">
        <v>0</v>
      </c>
      <c r="AA2535" t="s">
        <v>25</v>
      </c>
      <c r="AB2535" t="s">
        <v>26</v>
      </c>
      <c r="AC2535" t="s">
        <v>27</v>
      </c>
      <c r="AD2535" t="s">
        <v>42</v>
      </c>
      <c r="AE2535" t="s">
        <v>25</v>
      </c>
      <c r="AF25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0.13157894736842105</v>
      </c>
      <c r="AG2535" t="s">
        <v>941</v>
      </c>
      <c r="AH2535">
        <v>69.5</v>
      </c>
      <c r="AI2535" t="s">
        <v>939</v>
      </c>
      <c r="AJ2535">
        <v>3</v>
      </c>
      <c r="AK25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MIN(AJ2535/8, 1) +
  Merge1[[#This Row],[index_defensive_effort]],
  2
)</f>
        <v>1.1100000000000001</v>
      </c>
    </row>
    <row r="2536" spans="1:37" x14ac:dyDescent="0.25">
      <c r="A2536" t="s">
        <v>665</v>
      </c>
      <c r="B2536" t="s">
        <v>666</v>
      </c>
      <c r="C2536">
        <v>26</v>
      </c>
      <c r="D2536" t="s">
        <v>56</v>
      </c>
      <c r="E2536">
        <v>69</v>
      </c>
      <c r="F2536">
        <v>184</v>
      </c>
      <c r="G2536" t="s">
        <v>74</v>
      </c>
      <c r="H2536">
        <v>2020</v>
      </c>
      <c r="I2536" t="s">
        <v>33</v>
      </c>
      <c r="J2536">
        <v>14</v>
      </c>
      <c r="K2536">
        <v>6</v>
      </c>
      <c r="L2536">
        <v>2</v>
      </c>
      <c r="M2536">
        <v>1</v>
      </c>
      <c r="N2536">
        <v>3</v>
      </c>
      <c r="O2536">
        <v>0</v>
      </c>
      <c r="P2536">
        <v>0</v>
      </c>
      <c r="Q2536">
        <v>2</v>
      </c>
      <c r="R2536">
        <v>2</v>
      </c>
      <c r="S2536">
        <v>59</v>
      </c>
      <c r="T2536">
        <v>59</v>
      </c>
      <c r="U2536" s="5">
        <f>IF(Merge1[[#This Row],[team_defense_snaps]]=0, "", Merge1[[#This Row],[defense_snaps]] / Merge1[[#This Row],[team_defense_snaps]])</f>
        <v>0.78666666666666663</v>
      </c>
      <c r="V2536">
        <v>75</v>
      </c>
      <c r="W2536">
        <v>0</v>
      </c>
      <c r="X2536" s="5" t="s">
        <v>29</v>
      </c>
      <c r="Y2536">
        <v>4</v>
      </c>
      <c r="Z2536">
        <v>0</v>
      </c>
      <c r="AA2536" t="s">
        <v>25</v>
      </c>
      <c r="AB2536" t="s">
        <v>26</v>
      </c>
      <c r="AC2536" t="s">
        <v>27</v>
      </c>
      <c r="AD2536" t="s">
        <v>42</v>
      </c>
      <c r="AE2536" t="s">
        <v>25</v>
      </c>
      <c r="AF25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0.33050847457627119</v>
      </c>
      <c r="AG2536" t="s">
        <v>941</v>
      </c>
      <c r="AH2536">
        <v>53</v>
      </c>
      <c r="AI2536" t="s">
        <v>939</v>
      </c>
      <c r="AJ2536">
        <v>4</v>
      </c>
      <c r="AK25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MIN(AJ2536/8, 1) +
  Merge1[[#This Row],[index_defensive_effort]],
  2
)</f>
        <v>1.43</v>
      </c>
    </row>
    <row r="2537" spans="1:37" x14ac:dyDescent="0.25">
      <c r="A2537" t="s">
        <v>665</v>
      </c>
      <c r="B2537" t="s">
        <v>666</v>
      </c>
      <c r="C2537">
        <v>26</v>
      </c>
      <c r="D2537" t="s">
        <v>56</v>
      </c>
      <c r="E2537">
        <v>69</v>
      </c>
      <c r="F2537">
        <v>184</v>
      </c>
      <c r="G2537" t="s">
        <v>74</v>
      </c>
      <c r="H2537">
        <v>2020</v>
      </c>
      <c r="I2537" t="s">
        <v>33</v>
      </c>
      <c r="J2537">
        <v>15</v>
      </c>
      <c r="K2537">
        <v>2</v>
      </c>
      <c r="L2537">
        <v>1</v>
      </c>
      <c r="M2537">
        <v>0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28</v>
      </c>
      <c r="T2537">
        <v>28</v>
      </c>
      <c r="U2537" s="5">
        <f>IF(Merge1[[#This Row],[team_defense_snaps]]=0, "", Merge1[[#This Row],[defense_snaps]] / Merge1[[#This Row],[team_defense_snaps]])</f>
        <v>0.5</v>
      </c>
      <c r="V2537">
        <v>56</v>
      </c>
      <c r="W2537">
        <v>0</v>
      </c>
      <c r="X2537" s="5" t="s">
        <v>29</v>
      </c>
      <c r="Y2537">
        <v>4</v>
      </c>
      <c r="Z2537">
        <v>0</v>
      </c>
      <c r="AA2537" t="s">
        <v>25</v>
      </c>
      <c r="AB2537" t="s">
        <v>26</v>
      </c>
      <c r="AC2537" t="s">
        <v>27</v>
      </c>
      <c r="AD2537" t="s">
        <v>28</v>
      </c>
      <c r="AE2537" t="s">
        <v>25</v>
      </c>
      <c r="AF25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8.9285714285714288E-2</v>
      </c>
      <c r="AG2537" t="s">
        <v>941</v>
      </c>
      <c r="AH2537">
        <v>50</v>
      </c>
      <c r="AI2537" t="s">
        <v>939</v>
      </c>
      <c r="AJ2537">
        <v>5</v>
      </c>
      <c r="AK25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MIN(AJ2537/8, 1) +
  Merge1[[#This Row],[index_defensive_effort]],
  2
)</f>
        <v>1.31</v>
      </c>
    </row>
    <row r="2538" spans="1:37" x14ac:dyDescent="0.25">
      <c r="A2538" t="s">
        <v>665</v>
      </c>
      <c r="B2538" t="s">
        <v>666</v>
      </c>
      <c r="C2538">
        <v>26</v>
      </c>
      <c r="D2538" t="s">
        <v>56</v>
      </c>
      <c r="E2538">
        <v>69</v>
      </c>
      <c r="F2538">
        <v>184</v>
      </c>
      <c r="G2538" t="s">
        <v>74</v>
      </c>
      <c r="H2538">
        <v>2020</v>
      </c>
      <c r="I2538" t="s">
        <v>33</v>
      </c>
      <c r="J2538">
        <v>16</v>
      </c>
      <c r="K2538">
        <v>4</v>
      </c>
      <c r="L2538">
        <v>2</v>
      </c>
      <c r="M2538">
        <v>1</v>
      </c>
      <c r="N2538">
        <v>3</v>
      </c>
      <c r="O2538">
        <v>0</v>
      </c>
      <c r="P2538">
        <v>0</v>
      </c>
      <c r="Q2538">
        <v>2</v>
      </c>
      <c r="R2538">
        <v>0</v>
      </c>
      <c r="S2538">
        <v>42</v>
      </c>
      <c r="T2538">
        <v>42</v>
      </c>
      <c r="U2538" s="5">
        <f>IF(Merge1[[#This Row],[team_defense_snaps]]=0, "", Merge1[[#This Row],[defense_snaps]] / Merge1[[#This Row],[team_defense_snaps]])</f>
        <v>0.60869565217391308</v>
      </c>
      <c r="V2538">
        <v>69</v>
      </c>
      <c r="W2538">
        <v>0</v>
      </c>
      <c r="X2538" s="5" t="s">
        <v>29</v>
      </c>
      <c r="Y2538">
        <v>4</v>
      </c>
      <c r="Z2538">
        <v>0</v>
      </c>
      <c r="AA2538" t="s">
        <v>25</v>
      </c>
      <c r="AB2538" t="s">
        <v>26</v>
      </c>
      <c r="AC2538" t="s">
        <v>27</v>
      </c>
      <c r="AD2538" t="s">
        <v>28</v>
      </c>
      <c r="AE2538" t="s">
        <v>25</v>
      </c>
      <c r="AF25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0.32142857142857145</v>
      </c>
      <c r="AG2538" t="s">
        <v>941</v>
      </c>
      <c r="AH2538">
        <v>71</v>
      </c>
      <c r="AI2538" t="s">
        <v>939</v>
      </c>
      <c r="AJ2538">
        <v>6</v>
      </c>
      <c r="AK25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MIN(AJ2538/8, 1) +
  Merge1[[#This Row],[index_defensive_effort]],
  2
)</f>
        <v>1.67</v>
      </c>
    </row>
    <row r="2539" spans="1:37" x14ac:dyDescent="0.25">
      <c r="A2539" t="s">
        <v>665</v>
      </c>
      <c r="B2539" t="s">
        <v>666</v>
      </c>
      <c r="C2539">
        <v>26</v>
      </c>
      <c r="D2539" t="s">
        <v>56</v>
      </c>
      <c r="E2539">
        <v>69</v>
      </c>
      <c r="F2539">
        <v>184</v>
      </c>
      <c r="G2539" t="s">
        <v>74</v>
      </c>
      <c r="H2539">
        <v>2020</v>
      </c>
      <c r="I2539" t="s">
        <v>33</v>
      </c>
      <c r="J2539">
        <v>17</v>
      </c>
      <c r="K2539">
        <v>1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23</v>
      </c>
      <c r="T2539">
        <v>23</v>
      </c>
      <c r="U2539" s="5">
        <f>IF(Merge1[[#This Row],[team_defense_snaps]]=0, "", Merge1[[#This Row],[defense_snaps]] / Merge1[[#This Row],[team_defense_snaps]])</f>
        <v>0.37096774193548387</v>
      </c>
      <c r="V2539">
        <v>62</v>
      </c>
      <c r="W2539">
        <v>0</v>
      </c>
      <c r="X2539" s="5" t="s">
        <v>29</v>
      </c>
      <c r="Y2539">
        <v>4</v>
      </c>
      <c r="Z2539">
        <v>0</v>
      </c>
      <c r="AA2539" t="s">
        <v>25</v>
      </c>
      <c r="AB2539" t="s">
        <v>26</v>
      </c>
      <c r="AC2539" t="s">
        <v>27</v>
      </c>
      <c r="AD2539" t="s">
        <v>28</v>
      </c>
      <c r="AE2539" t="s">
        <v>25</v>
      </c>
      <c r="AF25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4.3478260869565216E-2</v>
      </c>
      <c r="AG2539" t="s">
        <v>941</v>
      </c>
      <c r="AH2539">
        <v>48.5</v>
      </c>
      <c r="AI2539" t="s">
        <v>939</v>
      </c>
      <c r="AJ2539">
        <v>7</v>
      </c>
      <c r="AK25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MIN(AJ2539/8, 1) +
  Merge1[[#This Row],[index_defensive_effort]],
  2
)</f>
        <v>1.52</v>
      </c>
    </row>
    <row r="2540" spans="1:37" x14ac:dyDescent="0.25">
      <c r="A2540" t="s">
        <v>665</v>
      </c>
      <c r="B2540" t="s">
        <v>666</v>
      </c>
      <c r="C2540">
        <v>26</v>
      </c>
      <c r="D2540" t="s">
        <v>56</v>
      </c>
      <c r="E2540">
        <v>69</v>
      </c>
      <c r="F2540">
        <v>184</v>
      </c>
      <c r="G2540" t="s">
        <v>74</v>
      </c>
      <c r="H2540">
        <v>2020</v>
      </c>
      <c r="I2540" t="s">
        <v>24</v>
      </c>
      <c r="J2540">
        <v>18</v>
      </c>
      <c r="K2540">
        <v>2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44</v>
      </c>
      <c r="T2540">
        <v>44</v>
      </c>
      <c r="U2540" s="5">
        <f>IF(Merge1[[#This Row],[team_defense_snaps]]=0, "", Merge1[[#This Row],[defense_snaps]] / Merge1[[#This Row],[team_defense_snaps]])</f>
        <v>0.65671641791044777</v>
      </c>
      <c r="V2540">
        <v>67</v>
      </c>
      <c r="W2540">
        <v>0</v>
      </c>
      <c r="X2540" s="5" t="s">
        <v>29</v>
      </c>
      <c r="Y2540">
        <v>4</v>
      </c>
      <c r="Z2540">
        <v>0</v>
      </c>
      <c r="AA2540" t="s">
        <v>25</v>
      </c>
      <c r="AB2540" t="s">
        <v>26</v>
      </c>
      <c r="AC2540" t="s">
        <v>27</v>
      </c>
      <c r="AD2540" t="s">
        <v>28</v>
      </c>
      <c r="AE2540" t="s">
        <v>25</v>
      </c>
      <c r="AF25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G2540" t="s">
        <v>941</v>
      </c>
      <c r="AH2540">
        <v>56</v>
      </c>
      <c r="AI2540" t="s">
        <v>939</v>
      </c>
      <c r="AJ2540">
        <v>8</v>
      </c>
      <c r="AK25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MIN(AJ2540/8, 1) +
  Merge1[[#This Row],[index_defensive_effort]],
  2
)</f>
        <v>1.85</v>
      </c>
    </row>
    <row r="2541" spans="1:37" x14ac:dyDescent="0.25">
      <c r="A2541" t="s">
        <v>669</v>
      </c>
      <c r="B2541" t="s">
        <v>670</v>
      </c>
      <c r="C2541">
        <v>23</v>
      </c>
      <c r="D2541" t="s">
        <v>56</v>
      </c>
      <c r="E2541">
        <v>70</v>
      </c>
      <c r="F2541">
        <v>190</v>
      </c>
      <c r="G2541" t="s">
        <v>117</v>
      </c>
      <c r="H2541">
        <v>2020</v>
      </c>
      <c r="I2541" t="s">
        <v>33</v>
      </c>
      <c r="J2541">
        <v>1</v>
      </c>
      <c r="K2541">
        <v>4</v>
      </c>
      <c r="L2541">
        <v>3</v>
      </c>
      <c r="M2541">
        <v>1</v>
      </c>
      <c r="N2541">
        <v>4</v>
      </c>
      <c r="O2541">
        <v>0</v>
      </c>
      <c r="P2541">
        <v>0</v>
      </c>
      <c r="Q2541">
        <v>0</v>
      </c>
      <c r="R2541">
        <v>0</v>
      </c>
      <c r="S2541">
        <v>65</v>
      </c>
      <c r="T2541">
        <v>58</v>
      </c>
      <c r="U2541" s="5">
        <f>IF(Merge1[[#This Row],[team_defense_snaps]]=0, "", Merge1[[#This Row],[defense_snaps]] / Merge1[[#This Row],[team_defense_snaps]])</f>
        <v>0.74358974358974361</v>
      </c>
      <c r="V2541">
        <v>78</v>
      </c>
      <c r="W2541">
        <v>7</v>
      </c>
      <c r="X2541" s="5" t="s">
        <v>136</v>
      </c>
      <c r="Y2541">
        <v>2</v>
      </c>
      <c r="Z2541">
        <v>0</v>
      </c>
      <c r="AA2541" t="s">
        <v>25</v>
      </c>
      <c r="AB2541" t="s">
        <v>26</v>
      </c>
      <c r="AC2541" t="s">
        <v>27</v>
      </c>
      <c r="AD2541" t="s">
        <v>42</v>
      </c>
      <c r="AE2541" t="s">
        <v>25</v>
      </c>
      <c r="AF25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9.2307692307692313E-2</v>
      </c>
      <c r="AG2541" t="s">
        <v>942</v>
      </c>
      <c r="AH2541">
        <v>62.5</v>
      </c>
      <c r="AI2541" t="s">
        <v>939</v>
      </c>
      <c r="AJ2541">
        <v>1</v>
      </c>
      <c r="AK25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MIN(AJ2541/8, 1) +
  Merge1[[#This Row],[index_defensive_effort]],
  2
)</f>
        <v>0.72</v>
      </c>
    </row>
    <row r="2542" spans="1:37" x14ac:dyDescent="0.25">
      <c r="A2542" t="s">
        <v>669</v>
      </c>
      <c r="B2542" t="s">
        <v>670</v>
      </c>
      <c r="C2542">
        <v>23</v>
      </c>
      <c r="D2542" t="s">
        <v>56</v>
      </c>
      <c r="E2542">
        <v>70</v>
      </c>
      <c r="F2542">
        <v>190</v>
      </c>
      <c r="G2542" t="s">
        <v>117</v>
      </c>
      <c r="H2542">
        <v>2020</v>
      </c>
      <c r="I2542" t="s">
        <v>33</v>
      </c>
      <c r="J2542">
        <v>2</v>
      </c>
      <c r="K2542">
        <v>3</v>
      </c>
      <c r="L2542">
        <v>1</v>
      </c>
      <c r="M2542">
        <v>1</v>
      </c>
      <c r="N2542">
        <v>2</v>
      </c>
      <c r="O2542">
        <v>0</v>
      </c>
      <c r="P2542">
        <v>0</v>
      </c>
      <c r="Q2542">
        <v>0</v>
      </c>
      <c r="R2542">
        <v>0</v>
      </c>
      <c r="S2542">
        <v>66</v>
      </c>
      <c r="T2542">
        <v>59</v>
      </c>
      <c r="U2542" s="5">
        <f>IF(Merge1[[#This Row],[team_defense_snaps]]=0, "", Merge1[[#This Row],[defense_snaps]] / Merge1[[#This Row],[team_defense_snaps]])</f>
        <v>0.80821917808219179</v>
      </c>
      <c r="V2542">
        <v>73</v>
      </c>
      <c r="W2542">
        <v>7</v>
      </c>
      <c r="X2542" s="5" t="s">
        <v>261</v>
      </c>
      <c r="Y2542">
        <v>2</v>
      </c>
      <c r="Z2542">
        <v>0</v>
      </c>
      <c r="AA2542" t="s">
        <v>25</v>
      </c>
      <c r="AB2542" t="s">
        <v>26</v>
      </c>
      <c r="AC2542" t="s">
        <v>27</v>
      </c>
      <c r="AD2542" t="s">
        <v>42</v>
      </c>
      <c r="AE2542" t="s">
        <v>25</v>
      </c>
      <c r="AF25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6.0606060606060608E-2</v>
      </c>
      <c r="AG2542" t="s">
        <v>942</v>
      </c>
      <c r="AH2542">
        <v>70</v>
      </c>
      <c r="AI2542" t="s">
        <v>939</v>
      </c>
      <c r="AJ2542">
        <v>2</v>
      </c>
      <c r="AK25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MIN(AJ2542/8, 1) +
  Merge1[[#This Row],[index_defensive_effort]],
  2
)</f>
        <v>0.81</v>
      </c>
    </row>
    <row r="2543" spans="1:37" x14ac:dyDescent="0.25">
      <c r="A2543" t="s">
        <v>669</v>
      </c>
      <c r="B2543" t="s">
        <v>670</v>
      </c>
      <c r="C2543">
        <v>23</v>
      </c>
      <c r="D2543" t="s">
        <v>56</v>
      </c>
      <c r="E2543">
        <v>70</v>
      </c>
      <c r="F2543">
        <v>190</v>
      </c>
      <c r="G2543" t="s">
        <v>117</v>
      </c>
      <c r="H2543">
        <v>2020</v>
      </c>
      <c r="I2543" t="s">
        <v>33</v>
      </c>
      <c r="J2543">
        <v>5</v>
      </c>
      <c r="K2543">
        <v>1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46</v>
      </c>
      <c r="T2543">
        <v>43</v>
      </c>
      <c r="U2543" s="5">
        <f>IF(Merge1[[#This Row],[team_defense_snaps]]=0, "", Merge1[[#This Row],[defense_snaps]] / Merge1[[#This Row],[team_defense_snaps]])</f>
        <v>0.79629629629629628</v>
      </c>
      <c r="V2543">
        <v>54</v>
      </c>
      <c r="W2543">
        <v>3</v>
      </c>
      <c r="X2543" s="5" t="s">
        <v>251</v>
      </c>
      <c r="Y2543">
        <v>2</v>
      </c>
      <c r="Z2543">
        <v>0</v>
      </c>
      <c r="AA2543" t="s">
        <v>25</v>
      </c>
      <c r="AB2543" t="s">
        <v>26</v>
      </c>
      <c r="AC2543" t="s">
        <v>27</v>
      </c>
      <c r="AD2543" t="s">
        <v>28</v>
      </c>
      <c r="AE2543" t="s">
        <v>25</v>
      </c>
      <c r="AF25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2.1739130434782608E-2</v>
      </c>
      <c r="AG2543" t="s">
        <v>942</v>
      </c>
      <c r="AH2543">
        <v>64</v>
      </c>
      <c r="AI2543" t="s">
        <v>939</v>
      </c>
      <c r="AJ2543">
        <v>1</v>
      </c>
      <c r="AK25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MIN(AJ2543/8, 1) +
  Merge1[[#This Row],[index_defensive_effort]],
  2
)</f>
        <v>0.65</v>
      </c>
    </row>
    <row r="2544" spans="1:37" x14ac:dyDescent="0.25">
      <c r="A2544" t="s">
        <v>669</v>
      </c>
      <c r="B2544" t="s">
        <v>670</v>
      </c>
      <c r="C2544">
        <v>23</v>
      </c>
      <c r="D2544" t="s">
        <v>56</v>
      </c>
      <c r="E2544">
        <v>70</v>
      </c>
      <c r="F2544">
        <v>190</v>
      </c>
      <c r="G2544" t="s">
        <v>117</v>
      </c>
      <c r="H2544">
        <v>2020</v>
      </c>
      <c r="I2544" t="s">
        <v>33</v>
      </c>
      <c r="J2544">
        <v>6</v>
      </c>
      <c r="K2544">
        <v>1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15</v>
      </c>
      <c r="T2544">
        <v>13</v>
      </c>
      <c r="U2544" s="5">
        <f>IF(Merge1[[#This Row],[team_defense_snaps]]=0, "", Merge1[[#This Row],[defense_snaps]] / Merge1[[#This Row],[team_defense_snaps]])</f>
        <v>0.16049382716049382</v>
      </c>
      <c r="V2544">
        <v>81</v>
      </c>
      <c r="W2544">
        <v>2</v>
      </c>
      <c r="X2544" s="5" t="s">
        <v>208</v>
      </c>
      <c r="Y2544">
        <v>2</v>
      </c>
      <c r="Z2544">
        <v>0</v>
      </c>
      <c r="AA2544" t="s">
        <v>25</v>
      </c>
      <c r="AB2544" t="s">
        <v>26</v>
      </c>
      <c r="AC2544" t="s">
        <v>27</v>
      </c>
      <c r="AD2544" t="s">
        <v>28</v>
      </c>
      <c r="AE2544" t="s">
        <v>25</v>
      </c>
      <c r="AF25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2544" t="s">
        <v>942</v>
      </c>
      <c r="AH2544">
        <v>68.5</v>
      </c>
      <c r="AI2544" t="s">
        <v>939</v>
      </c>
      <c r="AJ2544">
        <v>2</v>
      </c>
      <c r="AK25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MIN(AJ2544/8, 1) +
  Merge1[[#This Row],[index_defensive_effort]],
  2
)</f>
        <v>0.82</v>
      </c>
    </row>
    <row r="2545" spans="1:37" x14ac:dyDescent="0.25">
      <c r="A2545" t="s">
        <v>655</v>
      </c>
      <c r="B2545" t="s">
        <v>656</v>
      </c>
      <c r="C2545">
        <v>24</v>
      </c>
      <c r="D2545" t="s">
        <v>22</v>
      </c>
      <c r="E2545">
        <v>73</v>
      </c>
      <c r="F2545">
        <v>207</v>
      </c>
      <c r="G2545" t="s">
        <v>74</v>
      </c>
      <c r="H2545">
        <v>2020</v>
      </c>
      <c r="I2545" t="s">
        <v>33</v>
      </c>
      <c r="J2545">
        <v>1</v>
      </c>
      <c r="K2545">
        <v>2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70</v>
      </c>
      <c r="T2545">
        <v>68</v>
      </c>
      <c r="U2545" s="5">
        <f>IF(Merge1[[#This Row],[team_defense_snaps]]=0, "", Merge1[[#This Row],[defense_snaps]] / Merge1[[#This Row],[team_defense_snaps]])</f>
        <v>0.98550724637681164</v>
      </c>
      <c r="V2545">
        <v>69</v>
      </c>
      <c r="W2545">
        <v>2</v>
      </c>
      <c r="X2545" s="5" t="s">
        <v>167</v>
      </c>
      <c r="Y2545">
        <v>2</v>
      </c>
      <c r="Z2545">
        <v>0</v>
      </c>
      <c r="AA2545" t="s">
        <v>25</v>
      </c>
      <c r="AB2545" t="s">
        <v>26</v>
      </c>
      <c r="AC2545" t="s">
        <v>27</v>
      </c>
      <c r="AD2545" t="s">
        <v>42</v>
      </c>
      <c r="AE2545" t="s">
        <v>25</v>
      </c>
      <c r="AF25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2.8571428571428571E-2</v>
      </c>
      <c r="AG2545" t="s">
        <v>941</v>
      </c>
      <c r="AH2545">
        <v>50</v>
      </c>
      <c r="AI2545" t="s">
        <v>939</v>
      </c>
      <c r="AJ2545">
        <v>1</v>
      </c>
      <c r="AK25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MIN(AJ2545/8, 1) +
  Merge1[[#This Row],[index_defensive_effort]],
  2
)</f>
        <v>0.65</v>
      </c>
    </row>
    <row r="2546" spans="1:37" x14ac:dyDescent="0.25">
      <c r="A2546" t="s">
        <v>655</v>
      </c>
      <c r="B2546" t="s">
        <v>656</v>
      </c>
      <c r="C2546">
        <v>24</v>
      </c>
      <c r="D2546" t="s">
        <v>22</v>
      </c>
      <c r="E2546">
        <v>73</v>
      </c>
      <c r="F2546">
        <v>207</v>
      </c>
      <c r="G2546" t="s">
        <v>74</v>
      </c>
      <c r="H2546">
        <v>2020</v>
      </c>
      <c r="I2546" t="s">
        <v>33</v>
      </c>
      <c r="J2546">
        <v>2</v>
      </c>
      <c r="K2546">
        <v>4</v>
      </c>
      <c r="L2546">
        <v>2</v>
      </c>
      <c r="M2546">
        <v>0</v>
      </c>
      <c r="N2546">
        <v>2</v>
      </c>
      <c r="O2546">
        <v>0</v>
      </c>
      <c r="P2546">
        <v>0</v>
      </c>
      <c r="Q2546">
        <v>0</v>
      </c>
      <c r="R2546">
        <v>0</v>
      </c>
      <c r="S2546">
        <v>81</v>
      </c>
      <c r="T2546">
        <v>77</v>
      </c>
      <c r="U2546" s="5">
        <f>IF(Merge1[[#This Row],[team_defense_snaps]]=0, "", Merge1[[#This Row],[defense_snaps]] / Merge1[[#This Row],[team_defense_snaps]])</f>
        <v>1</v>
      </c>
      <c r="V2546">
        <v>77</v>
      </c>
      <c r="W2546">
        <v>4</v>
      </c>
      <c r="X2546" s="5" t="s">
        <v>212</v>
      </c>
      <c r="Y2546">
        <v>2</v>
      </c>
      <c r="Z2546">
        <v>0</v>
      </c>
      <c r="AA2546" t="s">
        <v>25</v>
      </c>
      <c r="AB2546" t="s">
        <v>26</v>
      </c>
      <c r="AC2546" t="s">
        <v>27</v>
      </c>
      <c r="AD2546" t="s">
        <v>42</v>
      </c>
      <c r="AE2546" t="s">
        <v>25</v>
      </c>
      <c r="AF25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6.1728395061728392E-2</v>
      </c>
      <c r="AG2546" t="s">
        <v>941</v>
      </c>
      <c r="AH2546">
        <v>68</v>
      </c>
      <c r="AI2546" t="s">
        <v>939</v>
      </c>
      <c r="AJ2546">
        <v>2</v>
      </c>
      <c r="AK25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MIN(AJ2546/8, 1) +
  Merge1[[#This Row],[index_defensive_effort]],
  2
)</f>
        <v>0.81</v>
      </c>
    </row>
    <row r="2547" spans="1:37" x14ac:dyDescent="0.25">
      <c r="A2547" t="s">
        <v>655</v>
      </c>
      <c r="B2547" t="s">
        <v>656</v>
      </c>
      <c r="C2547">
        <v>24</v>
      </c>
      <c r="D2547" t="s">
        <v>22</v>
      </c>
      <c r="E2547">
        <v>73</v>
      </c>
      <c r="F2547">
        <v>207</v>
      </c>
      <c r="G2547" t="s">
        <v>74</v>
      </c>
      <c r="H2547">
        <v>2020</v>
      </c>
      <c r="I2547" t="s">
        <v>33</v>
      </c>
      <c r="J2547">
        <v>3</v>
      </c>
      <c r="K2547">
        <v>5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50</v>
      </c>
      <c r="T2547">
        <v>47</v>
      </c>
      <c r="U2547" s="5">
        <f>IF(Merge1[[#This Row],[team_defense_snaps]]=0, "", Merge1[[#This Row],[defense_snaps]] / Merge1[[#This Row],[team_defense_snaps]])</f>
        <v>1</v>
      </c>
      <c r="V2547">
        <v>47</v>
      </c>
      <c r="W2547">
        <v>3</v>
      </c>
      <c r="X2547" s="5" t="s">
        <v>35</v>
      </c>
      <c r="Y2547">
        <v>2</v>
      </c>
      <c r="Z2547">
        <v>0</v>
      </c>
      <c r="AA2547" t="s">
        <v>25</v>
      </c>
      <c r="AB2547" t="s">
        <v>26</v>
      </c>
      <c r="AC2547" t="s">
        <v>27</v>
      </c>
      <c r="AD2547" t="s">
        <v>42</v>
      </c>
      <c r="AE2547" t="s">
        <v>25</v>
      </c>
      <c r="AF25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2547" t="s">
        <v>941</v>
      </c>
      <c r="AH2547">
        <v>56</v>
      </c>
      <c r="AI2547" t="s">
        <v>939</v>
      </c>
      <c r="AJ2547">
        <v>3</v>
      </c>
      <c r="AK25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MIN(AJ2547/8, 1) +
  Merge1[[#This Row],[index_defensive_effort]],
  2
)</f>
        <v>0.98</v>
      </c>
    </row>
    <row r="2548" spans="1:37" x14ac:dyDescent="0.25">
      <c r="A2548" t="s">
        <v>655</v>
      </c>
      <c r="B2548" t="s">
        <v>656</v>
      </c>
      <c r="C2548">
        <v>24</v>
      </c>
      <c r="D2548" t="s">
        <v>22</v>
      </c>
      <c r="E2548">
        <v>73</v>
      </c>
      <c r="F2548">
        <v>207</v>
      </c>
      <c r="G2548" t="s">
        <v>74</v>
      </c>
      <c r="H2548">
        <v>2020</v>
      </c>
      <c r="I2548" t="s">
        <v>33</v>
      </c>
      <c r="J2548">
        <v>5</v>
      </c>
      <c r="K2548">
        <v>2</v>
      </c>
      <c r="L2548">
        <v>2</v>
      </c>
      <c r="M2548">
        <v>2</v>
      </c>
      <c r="N2548">
        <v>4</v>
      </c>
      <c r="O2548">
        <v>0</v>
      </c>
      <c r="P2548">
        <v>1</v>
      </c>
      <c r="Q2548">
        <v>0</v>
      </c>
      <c r="R2548">
        <v>0</v>
      </c>
      <c r="S2548">
        <v>63</v>
      </c>
      <c r="T2548">
        <v>59</v>
      </c>
      <c r="U2548" s="5">
        <f>IF(Merge1[[#This Row],[team_defense_snaps]]=0, "", Merge1[[#This Row],[defense_snaps]] / Merge1[[#This Row],[team_defense_snaps]])</f>
        <v>1</v>
      </c>
      <c r="V2548">
        <v>59</v>
      </c>
      <c r="W2548">
        <v>4</v>
      </c>
      <c r="X2548" s="5" t="s">
        <v>168</v>
      </c>
      <c r="Y2548">
        <v>2</v>
      </c>
      <c r="Z2548">
        <v>0</v>
      </c>
      <c r="AA2548" t="s">
        <v>25</v>
      </c>
      <c r="AB2548" t="s">
        <v>26</v>
      </c>
      <c r="AC2548" t="s">
        <v>27</v>
      </c>
      <c r="AD2548" t="s">
        <v>42</v>
      </c>
      <c r="AE2548" t="s">
        <v>25</v>
      </c>
      <c r="AF25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9.5238095238095233E-2</v>
      </c>
      <c r="AG2548" t="s">
        <v>941</v>
      </c>
      <c r="AH2548">
        <v>60.5</v>
      </c>
      <c r="AI2548" t="s">
        <v>939</v>
      </c>
      <c r="AJ2548">
        <v>1</v>
      </c>
      <c r="AK25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MIN(AJ2548/8, 1) +
  Merge1[[#This Row],[index_defensive_effort]],
  2
)</f>
        <v>0.72</v>
      </c>
    </row>
    <row r="2549" spans="1:37" x14ac:dyDescent="0.25">
      <c r="A2549" t="s">
        <v>655</v>
      </c>
      <c r="B2549" t="s">
        <v>656</v>
      </c>
      <c r="C2549">
        <v>24</v>
      </c>
      <c r="D2549" t="s">
        <v>22</v>
      </c>
      <c r="E2549">
        <v>73</v>
      </c>
      <c r="F2549">
        <v>207</v>
      </c>
      <c r="G2549" t="s">
        <v>74</v>
      </c>
      <c r="H2549">
        <v>2020</v>
      </c>
      <c r="I2549" t="s">
        <v>33</v>
      </c>
      <c r="J2549">
        <v>6</v>
      </c>
      <c r="K2549">
        <v>0</v>
      </c>
      <c r="L2549">
        <v>1</v>
      </c>
      <c r="M2549">
        <v>1</v>
      </c>
      <c r="N2549">
        <v>2</v>
      </c>
      <c r="O2549">
        <v>0</v>
      </c>
      <c r="P2549">
        <v>0</v>
      </c>
      <c r="Q2549">
        <v>2</v>
      </c>
      <c r="R2549">
        <v>0</v>
      </c>
      <c r="S2549">
        <v>58</v>
      </c>
      <c r="T2549">
        <v>57</v>
      </c>
      <c r="U2549" s="5">
        <f>IF(Merge1[[#This Row],[team_defense_snaps]]=0, "", Merge1[[#This Row],[defense_snaps]] / Merge1[[#This Row],[team_defense_snaps]])</f>
        <v>1</v>
      </c>
      <c r="V2549">
        <v>57</v>
      </c>
      <c r="W2549">
        <v>1</v>
      </c>
      <c r="X2549" s="5" t="s">
        <v>193</v>
      </c>
      <c r="Y2549">
        <v>2</v>
      </c>
      <c r="Z2549">
        <v>0</v>
      </c>
      <c r="AA2549" t="s">
        <v>25</v>
      </c>
      <c r="AB2549" t="s">
        <v>26</v>
      </c>
      <c r="AC2549" t="s">
        <v>27</v>
      </c>
      <c r="AD2549" t="s">
        <v>42</v>
      </c>
      <c r="AE2549" t="s">
        <v>25</v>
      </c>
      <c r="AF25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0.15517241379310345</v>
      </c>
      <c r="AG2549" t="s">
        <v>941</v>
      </c>
      <c r="AH2549">
        <v>59</v>
      </c>
      <c r="AI2549" t="s">
        <v>939</v>
      </c>
      <c r="AJ2549">
        <v>2</v>
      </c>
      <c r="AK25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MIN(AJ2549/8, 1) +
  Merge1[[#This Row],[index_defensive_effort]],
  2
)</f>
        <v>0.91</v>
      </c>
    </row>
    <row r="2550" spans="1:37" x14ac:dyDescent="0.25">
      <c r="A2550" t="s">
        <v>655</v>
      </c>
      <c r="B2550" t="s">
        <v>656</v>
      </c>
      <c r="C2550">
        <v>24</v>
      </c>
      <c r="D2550" t="s">
        <v>22</v>
      </c>
      <c r="E2550">
        <v>73</v>
      </c>
      <c r="F2550">
        <v>207</v>
      </c>
      <c r="G2550" t="s">
        <v>74</v>
      </c>
      <c r="H2550">
        <v>2020</v>
      </c>
      <c r="I2550" t="s">
        <v>33</v>
      </c>
      <c r="J2550">
        <v>7</v>
      </c>
      <c r="K2550">
        <v>3</v>
      </c>
      <c r="L2550">
        <v>2</v>
      </c>
      <c r="M2550">
        <v>0</v>
      </c>
      <c r="N2550">
        <v>2</v>
      </c>
      <c r="O2550">
        <v>0</v>
      </c>
      <c r="P2550">
        <v>1</v>
      </c>
      <c r="Q2550">
        <v>0</v>
      </c>
      <c r="R2550">
        <v>0</v>
      </c>
      <c r="S2550">
        <v>62</v>
      </c>
      <c r="T2550">
        <v>57</v>
      </c>
      <c r="U2550" s="5">
        <f>IF(Merge1[[#This Row],[team_defense_snaps]]=0, "", Merge1[[#This Row],[defense_snaps]] / Merge1[[#This Row],[team_defense_snaps]])</f>
        <v>1</v>
      </c>
      <c r="V2550">
        <v>57</v>
      </c>
      <c r="W2550">
        <v>5</v>
      </c>
      <c r="X2550" s="5" t="s">
        <v>181</v>
      </c>
      <c r="Y2550">
        <v>2</v>
      </c>
      <c r="Z2550">
        <v>0</v>
      </c>
      <c r="AA2550" t="s">
        <v>25</v>
      </c>
      <c r="AB2550" t="s">
        <v>26</v>
      </c>
      <c r="AC2550" t="s">
        <v>27</v>
      </c>
      <c r="AD2550" t="s">
        <v>42</v>
      </c>
      <c r="AE2550" t="s">
        <v>25</v>
      </c>
      <c r="AF25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9.6774193548387094E-2</v>
      </c>
      <c r="AG2550" t="s">
        <v>941</v>
      </c>
      <c r="AH2550">
        <v>71</v>
      </c>
      <c r="AI2550" t="s">
        <v>939</v>
      </c>
      <c r="AJ2550">
        <v>3</v>
      </c>
      <c r="AK25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MIN(AJ2550/8, 1) +
  Merge1[[#This Row],[index_defensive_effort]],
  2
)</f>
        <v>0.97</v>
      </c>
    </row>
    <row r="2551" spans="1:37" x14ac:dyDescent="0.25">
      <c r="A2551" t="s">
        <v>655</v>
      </c>
      <c r="B2551" t="s">
        <v>656</v>
      </c>
      <c r="C2551">
        <v>24</v>
      </c>
      <c r="D2551" t="s">
        <v>22</v>
      </c>
      <c r="E2551">
        <v>73</v>
      </c>
      <c r="F2551">
        <v>207</v>
      </c>
      <c r="G2551" t="s">
        <v>74</v>
      </c>
      <c r="H2551">
        <v>2020</v>
      </c>
      <c r="I2551" t="s">
        <v>33</v>
      </c>
      <c r="J2551">
        <v>8</v>
      </c>
      <c r="K2551">
        <v>4</v>
      </c>
      <c r="L2551">
        <v>3</v>
      </c>
      <c r="M2551">
        <v>1</v>
      </c>
      <c r="N2551">
        <v>4</v>
      </c>
      <c r="O2551">
        <v>0</v>
      </c>
      <c r="P2551">
        <v>1</v>
      </c>
      <c r="Q2551">
        <v>0</v>
      </c>
      <c r="R2551">
        <v>2</v>
      </c>
      <c r="S2551">
        <v>86</v>
      </c>
      <c r="T2551">
        <v>82</v>
      </c>
      <c r="U2551" s="5">
        <f>IF(Merge1[[#This Row],[team_defense_snaps]]=0, "", Merge1[[#This Row],[defense_snaps]] / Merge1[[#This Row],[team_defense_snaps]])</f>
        <v>0.96470588235294119</v>
      </c>
      <c r="V2551">
        <v>85</v>
      </c>
      <c r="W2551">
        <v>4</v>
      </c>
      <c r="X2551" s="5" t="s">
        <v>168</v>
      </c>
      <c r="Y2551">
        <v>2</v>
      </c>
      <c r="Z2551">
        <v>0</v>
      </c>
      <c r="AA2551" t="s">
        <v>25</v>
      </c>
      <c r="AB2551" t="s">
        <v>26</v>
      </c>
      <c r="AC2551" t="s">
        <v>27</v>
      </c>
      <c r="AD2551" t="s">
        <v>42</v>
      </c>
      <c r="AE2551" t="s">
        <v>25</v>
      </c>
      <c r="AF25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0.13953488372093023</v>
      </c>
      <c r="AG2551" t="s">
        <v>941</v>
      </c>
      <c r="AH2551">
        <v>65</v>
      </c>
      <c r="AI2551" t="s">
        <v>939</v>
      </c>
      <c r="AJ2551">
        <v>4</v>
      </c>
      <c r="AK25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MIN(AJ2551/8, 1) +
  Merge1[[#This Row],[index_defensive_effort]],
  2
)</f>
        <v>1.1399999999999999</v>
      </c>
    </row>
    <row r="2552" spans="1:37" x14ac:dyDescent="0.25">
      <c r="A2552" t="s">
        <v>655</v>
      </c>
      <c r="B2552" t="s">
        <v>656</v>
      </c>
      <c r="C2552">
        <v>24</v>
      </c>
      <c r="D2552" t="s">
        <v>22</v>
      </c>
      <c r="E2552">
        <v>73</v>
      </c>
      <c r="F2552">
        <v>207</v>
      </c>
      <c r="G2552" t="s">
        <v>74</v>
      </c>
      <c r="H2552">
        <v>2020</v>
      </c>
      <c r="I2552" t="s">
        <v>33</v>
      </c>
      <c r="J2552">
        <v>9</v>
      </c>
      <c r="K2552">
        <v>7</v>
      </c>
      <c r="L2552">
        <v>1</v>
      </c>
      <c r="M2552">
        <v>0</v>
      </c>
      <c r="N2552">
        <v>1</v>
      </c>
      <c r="O2552">
        <v>0</v>
      </c>
      <c r="P2552">
        <v>2</v>
      </c>
      <c r="Q2552">
        <v>2</v>
      </c>
      <c r="R2552">
        <v>0</v>
      </c>
      <c r="S2552">
        <v>78</v>
      </c>
      <c r="T2552">
        <v>72</v>
      </c>
      <c r="U2552" s="5">
        <f>IF(Merge1[[#This Row],[team_defense_snaps]]=0, "", Merge1[[#This Row],[defense_snaps]] / Merge1[[#This Row],[team_defense_snaps]])</f>
        <v>1</v>
      </c>
      <c r="V2552">
        <v>72</v>
      </c>
      <c r="W2552">
        <v>6</v>
      </c>
      <c r="X2552" s="5" t="s">
        <v>132</v>
      </c>
      <c r="Y2552">
        <v>2</v>
      </c>
      <c r="Z2552">
        <v>0</v>
      </c>
      <c r="AA2552" t="s">
        <v>25</v>
      </c>
      <c r="AB2552" t="s">
        <v>26</v>
      </c>
      <c r="AC2552" t="s">
        <v>27</v>
      </c>
      <c r="AD2552" t="s">
        <v>42</v>
      </c>
      <c r="AE2552" t="s">
        <v>25</v>
      </c>
      <c r="AF25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</v>
      </c>
      <c r="AG2552" t="s">
        <v>941</v>
      </c>
      <c r="AH2552">
        <v>63.5</v>
      </c>
      <c r="AI2552" t="s">
        <v>939</v>
      </c>
      <c r="AJ2552">
        <v>5</v>
      </c>
      <c r="AK25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MIN(AJ2552/8, 1) +
  Merge1[[#This Row],[index_defensive_effort]],
  2
)</f>
        <v>1.38</v>
      </c>
    </row>
    <row r="2553" spans="1:37" x14ac:dyDescent="0.25">
      <c r="A2553" t="s">
        <v>655</v>
      </c>
      <c r="B2553" t="s">
        <v>656</v>
      </c>
      <c r="C2553">
        <v>24</v>
      </c>
      <c r="D2553" t="s">
        <v>22</v>
      </c>
      <c r="E2553">
        <v>73</v>
      </c>
      <c r="F2553">
        <v>207</v>
      </c>
      <c r="G2553" t="s">
        <v>74</v>
      </c>
      <c r="H2553">
        <v>2020</v>
      </c>
      <c r="I2553" t="s">
        <v>33</v>
      </c>
      <c r="J2553">
        <v>10</v>
      </c>
      <c r="K2553">
        <v>4</v>
      </c>
      <c r="L2553">
        <v>2</v>
      </c>
      <c r="M2553">
        <v>2</v>
      </c>
      <c r="N2553">
        <v>4</v>
      </c>
      <c r="O2553">
        <v>0</v>
      </c>
      <c r="P2553">
        <v>0</v>
      </c>
      <c r="Q2553">
        <v>0</v>
      </c>
      <c r="R2553">
        <v>0</v>
      </c>
      <c r="S2553">
        <v>63</v>
      </c>
      <c r="T2553">
        <v>60</v>
      </c>
      <c r="U2553" s="5">
        <f>IF(Merge1[[#This Row],[team_defense_snaps]]=0, "", Merge1[[#This Row],[defense_snaps]] / Merge1[[#This Row],[team_defense_snaps]])</f>
        <v>0.92307692307692313</v>
      </c>
      <c r="V2553">
        <v>65</v>
      </c>
      <c r="W2553">
        <v>3</v>
      </c>
      <c r="X2553" s="5" t="s">
        <v>167</v>
      </c>
      <c r="Y2553">
        <v>2</v>
      </c>
      <c r="Z2553">
        <v>0</v>
      </c>
      <c r="AA2553" t="s">
        <v>25</v>
      </c>
      <c r="AB2553" t="s">
        <v>26</v>
      </c>
      <c r="AC2553" t="s">
        <v>27</v>
      </c>
      <c r="AD2553" t="s">
        <v>42</v>
      </c>
      <c r="AE2553" t="s">
        <v>25</v>
      </c>
      <c r="AF25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9.5238095238095233E-2</v>
      </c>
      <c r="AG2553" t="s">
        <v>941</v>
      </c>
      <c r="AH2553">
        <v>54.5</v>
      </c>
      <c r="AI2553" t="s">
        <v>939</v>
      </c>
      <c r="AJ2553">
        <v>6</v>
      </c>
      <c r="AK25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MIN(AJ2553/8, 1) +
  Merge1[[#This Row],[index_defensive_effort]],
  2
)</f>
        <v>1.35</v>
      </c>
    </row>
    <row r="2554" spans="1:37" x14ac:dyDescent="0.25">
      <c r="A2554" t="s">
        <v>655</v>
      </c>
      <c r="B2554" t="s">
        <v>656</v>
      </c>
      <c r="C2554">
        <v>24</v>
      </c>
      <c r="D2554" t="s">
        <v>22</v>
      </c>
      <c r="E2554">
        <v>73</v>
      </c>
      <c r="F2554">
        <v>207</v>
      </c>
      <c r="G2554" t="s">
        <v>74</v>
      </c>
      <c r="H2554">
        <v>2020</v>
      </c>
      <c r="I2554" t="s">
        <v>33</v>
      </c>
      <c r="J2554">
        <v>11</v>
      </c>
      <c r="K2554">
        <v>5</v>
      </c>
      <c r="L2554">
        <v>2</v>
      </c>
      <c r="M2554">
        <v>0</v>
      </c>
      <c r="N2554">
        <v>2</v>
      </c>
      <c r="O2554">
        <v>0</v>
      </c>
      <c r="P2554">
        <v>0</v>
      </c>
      <c r="Q2554">
        <v>4</v>
      </c>
      <c r="R2554">
        <v>0</v>
      </c>
      <c r="S2554">
        <v>56</v>
      </c>
      <c r="T2554">
        <v>54</v>
      </c>
      <c r="U2554" s="5">
        <f>IF(Merge1[[#This Row],[team_defense_snaps]]=0, "", Merge1[[#This Row],[defense_snaps]] / Merge1[[#This Row],[team_defense_snaps]])</f>
        <v>0.93103448275862066</v>
      </c>
      <c r="V2554">
        <v>58</v>
      </c>
      <c r="W2554">
        <v>2</v>
      </c>
      <c r="X2554" s="5" t="s">
        <v>167</v>
      </c>
      <c r="Y2554">
        <v>2</v>
      </c>
      <c r="Z2554">
        <v>0</v>
      </c>
      <c r="AA2554" t="s">
        <v>25</v>
      </c>
      <c r="AB2554" t="s">
        <v>26</v>
      </c>
      <c r="AC2554" t="s">
        <v>27</v>
      </c>
      <c r="AD2554" t="s">
        <v>42</v>
      </c>
      <c r="AE2554" t="s">
        <v>25</v>
      </c>
      <c r="AF25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0.39285714285714285</v>
      </c>
      <c r="AG2554" t="s">
        <v>941</v>
      </c>
      <c r="AH2554">
        <v>51.5</v>
      </c>
      <c r="AI2554" t="s">
        <v>939</v>
      </c>
      <c r="AJ2554">
        <v>7</v>
      </c>
      <c r="AK25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MIN(AJ2554/8, 1) +
  Merge1[[#This Row],[index_defensive_effort]],
  2
)</f>
        <v>1.77</v>
      </c>
    </row>
    <row r="2555" spans="1:37" x14ac:dyDescent="0.25">
      <c r="A2555" t="s">
        <v>655</v>
      </c>
      <c r="B2555" t="s">
        <v>656</v>
      </c>
      <c r="C2555">
        <v>24</v>
      </c>
      <c r="D2555" t="s">
        <v>22</v>
      </c>
      <c r="E2555">
        <v>73</v>
      </c>
      <c r="F2555">
        <v>207</v>
      </c>
      <c r="G2555" t="s">
        <v>74</v>
      </c>
      <c r="H2555">
        <v>2020</v>
      </c>
      <c r="I2555" t="s">
        <v>33</v>
      </c>
      <c r="J2555">
        <v>12</v>
      </c>
      <c r="K2555">
        <v>3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56</v>
      </c>
      <c r="T2555">
        <v>53</v>
      </c>
      <c r="U2555" s="5">
        <f>IF(Merge1[[#This Row],[team_defense_snaps]]=0, "", Merge1[[#This Row],[defense_snaps]] / Merge1[[#This Row],[team_defense_snaps]])</f>
        <v>1</v>
      </c>
      <c r="V2555">
        <v>53</v>
      </c>
      <c r="W2555">
        <v>3</v>
      </c>
      <c r="X2555" s="5" t="s">
        <v>251</v>
      </c>
      <c r="Y2555">
        <v>2</v>
      </c>
      <c r="Z2555">
        <v>0</v>
      </c>
      <c r="AA2555" t="s">
        <v>25</v>
      </c>
      <c r="AB2555" t="s">
        <v>26</v>
      </c>
      <c r="AC2555" t="s">
        <v>27</v>
      </c>
      <c r="AD2555" t="s">
        <v>42</v>
      </c>
      <c r="AE2555" t="s">
        <v>25</v>
      </c>
      <c r="AF25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5.3571428571428568E-2</v>
      </c>
      <c r="AG2555" t="s">
        <v>941</v>
      </c>
      <c r="AH2555">
        <v>47</v>
      </c>
      <c r="AI2555" t="s">
        <v>939</v>
      </c>
      <c r="AJ2555">
        <v>8</v>
      </c>
      <c r="AK25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MIN(AJ2555/8, 1) +
  Merge1[[#This Row],[index_defensive_effort]],
  2
)</f>
        <v>1.55</v>
      </c>
    </row>
    <row r="2556" spans="1:37" x14ac:dyDescent="0.25">
      <c r="A2556" t="s">
        <v>655</v>
      </c>
      <c r="B2556" t="s">
        <v>656</v>
      </c>
      <c r="C2556">
        <v>24</v>
      </c>
      <c r="D2556" t="s">
        <v>22</v>
      </c>
      <c r="E2556">
        <v>73</v>
      </c>
      <c r="F2556">
        <v>207</v>
      </c>
      <c r="G2556" t="s">
        <v>74</v>
      </c>
      <c r="H2556">
        <v>2020</v>
      </c>
      <c r="I2556" t="s">
        <v>33</v>
      </c>
      <c r="J2556">
        <v>13</v>
      </c>
      <c r="K2556">
        <v>2</v>
      </c>
      <c r="L2556">
        <v>1</v>
      </c>
      <c r="M2556">
        <v>0</v>
      </c>
      <c r="N2556">
        <v>1</v>
      </c>
      <c r="O2556">
        <v>0</v>
      </c>
      <c r="P2556">
        <v>1</v>
      </c>
      <c r="Q2556">
        <v>0</v>
      </c>
      <c r="R2556">
        <v>0</v>
      </c>
      <c r="S2556">
        <v>77</v>
      </c>
      <c r="T2556">
        <v>72</v>
      </c>
      <c r="U2556" s="5">
        <f>IF(Merge1[[#This Row],[team_defense_snaps]]=0, "", Merge1[[#This Row],[defense_snaps]] / Merge1[[#This Row],[team_defense_snaps]])</f>
        <v>1</v>
      </c>
      <c r="V2556">
        <v>72</v>
      </c>
      <c r="W2556">
        <v>5</v>
      </c>
      <c r="X2556" s="5" t="s">
        <v>159</v>
      </c>
      <c r="Y2556">
        <v>2</v>
      </c>
      <c r="Z2556">
        <v>0</v>
      </c>
      <c r="AA2556" t="s">
        <v>25</v>
      </c>
      <c r="AB2556" t="s">
        <v>26</v>
      </c>
      <c r="AC2556" t="s">
        <v>27</v>
      </c>
      <c r="AD2556" t="s">
        <v>42</v>
      </c>
      <c r="AE2556" t="s">
        <v>25</v>
      </c>
      <c r="AF25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5.844155844155844E-2</v>
      </c>
      <c r="AG2556" t="s">
        <v>941</v>
      </c>
      <c r="AH2556">
        <v>69.5</v>
      </c>
      <c r="AI2556" t="s">
        <v>939</v>
      </c>
      <c r="AJ2556">
        <v>9</v>
      </c>
      <c r="AK25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MIN(AJ2556/8, 1) +
  Merge1[[#This Row],[index_defensive_effort]],
  2
)</f>
        <v>1.56</v>
      </c>
    </row>
    <row r="2557" spans="1:37" x14ac:dyDescent="0.25">
      <c r="A2557" t="s">
        <v>655</v>
      </c>
      <c r="B2557" t="s">
        <v>656</v>
      </c>
      <c r="C2557">
        <v>24</v>
      </c>
      <c r="D2557" t="s">
        <v>22</v>
      </c>
      <c r="E2557">
        <v>73</v>
      </c>
      <c r="F2557">
        <v>207</v>
      </c>
      <c r="G2557" t="s">
        <v>74</v>
      </c>
      <c r="H2557">
        <v>2020</v>
      </c>
      <c r="I2557" t="s">
        <v>33</v>
      </c>
      <c r="J2557">
        <v>14</v>
      </c>
      <c r="K2557">
        <v>4</v>
      </c>
      <c r="L2557">
        <v>2</v>
      </c>
      <c r="M2557">
        <v>1</v>
      </c>
      <c r="N2557">
        <v>3</v>
      </c>
      <c r="O2557">
        <v>0</v>
      </c>
      <c r="P2557">
        <v>0</v>
      </c>
      <c r="Q2557">
        <v>0</v>
      </c>
      <c r="R2557">
        <v>0</v>
      </c>
      <c r="S2557">
        <v>80</v>
      </c>
      <c r="T2557">
        <v>75</v>
      </c>
      <c r="U2557" s="5">
        <f>IF(Merge1[[#This Row],[team_defense_snaps]]=0, "", Merge1[[#This Row],[defense_snaps]] / Merge1[[#This Row],[team_defense_snaps]])</f>
        <v>1</v>
      </c>
      <c r="V2557">
        <v>75</v>
      </c>
      <c r="W2557">
        <v>5</v>
      </c>
      <c r="X2557" s="5" t="s">
        <v>181</v>
      </c>
      <c r="Y2557">
        <v>2</v>
      </c>
      <c r="Z2557">
        <v>0</v>
      </c>
      <c r="AA2557" t="s">
        <v>25</v>
      </c>
      <c r="AB2557" t="s">
        <v>26</v>
      </c>
      <c r="AC2557" t="s">
        <v>27</v>
      </c>
      <c r="AD2557" t="s">
        <v>42</v>
      </c>
      <c r="AE2557" t="s">
        <v>25</v>
      </c>
      <c r="AF25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6.8750000000000006E-2</v>
      </c>
      <c r="AG2557" t="s">
        <v>941</v>
      </c>
      <c r="AH2557">
        <v>48.5</v>
      </c>
      <c r="AI2557" t="s">
        <v>939</v>
      </c>
      <c r="AJ2557">
        <v>10</v>
      </c>
      <c r="AK25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MIN(AJ2557/8, 1) +
  Merge1[[#This Row],[index_defensive_effort]],
  2
)</f>
        <v>1.57</v>
      </c>
    </row>
    <row r="2558" spans="1:37" x14ac:dyDescent="0.25">
      <c r="A2558" t="s">
        <v>655</v>
      </c>
      <c r="B2558" t="s">
        <v>656</v>
      </c>
      <c r="C2558">
        <v>24</v>
      </c>
      <c r="D2558" t="s">
        <v>22</v>
      </c>
      <c r="E2558">
        <v>73</v>
      </c>
      <c r="F2558">
        <v>207</v>
      </c>
      <c r="G2558" t="s">
        <v>74</v>
      </c>
      <c r="H2558">
        <v>2020</v>
      </c>
      <c r="I2558" t="s">
        <v>33</v>
      </c>
      <c r="J2558">
        <v>15</v>
      </c>
      <c r="K2558">
        <v>7</v>
      </c>
      <c r="L2558">
        <v>1</v>
      </c>
      <c r="M2558">
        <v>0</v>
      </c>
      <c r="N2558">
        <v>1</v>
      </c>
      <c r="O2558">
        <v>0</v>
      </c>
      <c r="P2558">
        <v>1</v>
      </c>
      <c r="Q2558">
        <v>0</v>
      </c>
      <c r="R2558">
        <v>0</v>
      </c>
      <c r="S2558">
        <v>62</v>
      </c>
      <c r="T2558">
        <v>56</v>
      </c>
      <c r="U2558" s="5">
        <f>IF(Merge1[[#This Row],[team_defense_snaps]]=0, "", Merge1[[#This Row],[defense_snaps]] / Merge1[[#This Row],[team_defense_snaps]])</f>
        <v>1</v>
      </c>
      <c r="V2558">
        <v>56</v>
      </c>
      <c r="W2558">
        <v>6</v>
      </c>
      <c r="X2558" s="5" t="s">
        <v>59</v>
      </c>
      <c r="Y2558">
        <v>2</v>
      </c>
      <c r="Z2558">
        <v>0</v>
      </c>
      <c r="AA2558" t="s">
        <v>25</v>
      </c>
      <c r="AB2558" t="s">
        <v>26</v>
      </c>
      <c r="AC2558" t="s">
        <v>27</v>
      </c>
      <c r="AD2558" t="s">
        <v>42</v>
      </c>
      <c r="AE2558" t="s">
        <v>25</v>
      </c>
      <c r="AF25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0.15322580645161291</v>
      </c>
      <c r="AG2558" t="s">
        <v>941</v>
      </c>
      <c r="AH2558">
        <v>57.5</v>
      </c>
      <c r="AI2558" t="s">
        <v>939</v>
      </c>
      <c r="AJ2558">
        <v>11</v>
      </c>
      <c r="AK25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MIN(AJ2558/8, 1) +
  Merge1[[#This Row],[index_defensive_effort]],
  2
)</f>
        <v>1.65</v>
      </c>
    </row>
    <row r="2559" spans="1:37" x14ac:dyDescent="0.25">
      <c r="A2559" t="s">
        <v>655</v>
      </c>
      <c r="B2559" t="s">
        <v>656</v>
      </c>
      <c r="C2559">
        <v>24</v>
      </c>
      <c r="D2559" t="s">
        <v>22</v>
      </c>
      <c r="E2559">
        <v>73</v>
      </c>
      <c r="F2559">
        <v>207</v>
      </c>
      <c r="G2559" t="s">
        <v>74</v>
      </c>
      <c r="H2559">
        <v>2020</v>
      </c>
      <c r="I2559" t="s">
        <v>33</v>
      </c>
      <c r="J2559">
        <v>16</v>
      </c>
      <c r="K2559">
        <v>4</v>
      </c>
      <c r="L2559">
        <v>4</v>
      </c>
      <c r="M2559">
        <v>2</v>
      </c>
      <c r="N2559">
        <v>6</v>
      </c>
      <c r="O2559">
        <v>0</v>
      </c>
      <c r="P2559">
        <v>0</v>
      </c>
      <c r="Q2559">
        <v>0</v>
      </c>
      <c r="R2559">
        <v>0</v>
      </c>
      <c r="S2559">
        <v>73</v>
      </c>
      <c r="T2559">
        <v>69</v>
      </c>
      <c r="U2559" s="5">
        <f>IF(Merge1[[#This Row],[team_defense_snaps]]=0, "", Merge1[[#This Row],[defense_snaps]] / Merge1[[#This Row],[team_defense_snaps]])</f>
        <v>1</v>
      </c>
      <c r="V2559">
        <v>69</v>
      </c>
      <c r="W2559">
        <v>4</v>
      </c>
      <c r="X2559" s="5" t="s">
        <v>212</v>
      </c>
      <c r="Y2559">
        <v>2</v>
      </c>
      <c r="Z2559">
        <v>0</v>
      </c>
      <c r="AA2559" t="s">
        <v>25</v>
      </c>
      <c r="AB2559" t="s">
        <v>26</v>
      </c>
      <c r="AC2559" t="s">
        <v>27</v>
      </c>
      <c r="AD2559" t="s">
        <v>42</v>
      </c>
      <c r="AE2559" t="s">
        <v>25</v>
      </c>
      <c r="AF25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9.5890410958904104E-2</v>
      </c>
      <c r="AG2559" t="s">
        <v>941</v>
      </c>
      <c r="AH2559">
        <v>62</v>
      </c>
      <c r="AI2559" t="s">
        <v>939</v>
      </c>
      <c r="AJ2559">
        <v>12</v>
      </c>
      <c r="AK25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MIN(AJ2559/8, 1) +
  Merge1[[#This Row],[index_defensive_effort]],
  2
)</f>
        <v>1.6</v>
      </c>
    </row>
    <row r="2560" spans="1:37" x14ac:dyDescent="0.25">
      <c r="A2560" t="s">
        <v>655</v>
      </c>
      <c r="B2560" t="s">
        <v>656</v>
      </c>
      <c r="C2560">
        <v>24</v>
      </c>
      <c r="D2560" t="s">
        <v>22</v>
      </c>
      <c r="E2560">
        <v>73</v>
      </c>
      <c r="F2560">
        <v>207</v>
      </c>
      <c r="G2560" t="s">
        <v>74</v>
      </c>
      <c r="H2560">
        <v>2020</v>
      </c>
      <c r="I2560" t="s">
        <v>33</v>
      </c>
      <c r="J2560">
        <v>17</v>
      </c>
      <c r="K2560">
        <v>4</v>
      </c>
      <c r="L2560">
        <v>1</v>
      </c>
      <c r="M2560">
        <v>1</v>
      </c>
      <c r="N2560">
        <v>2</v>
      </c>
      <c r="O2560">
        <v>0</v>
      </c>
      <c r="P2560">
        <v>0</v>
      </c>
      <c r="Q2560">
        <v>0</v>
      </c>
      <c r="R2560">
        <v>0</v>
      </c>
      <c r="S2560">
        <v>66</v>
      </c>
      <c r="T2560">
        <v>62</v>
      </c>
      <c r="U2560" s="5">
        <f>IF(Merge1[[#This Row],[team_defense_snaps]]=0, "", Merge1[[#This Row],[defense_snaps]] / Merge1[[#This Row],[team_defense_snaps]])</f>
        <v>1</v>
      </c>
      <c r="V2560">
        <v>62</v>
      </c>
      <c r="W2560">
        <v>4</v>
      </c>
      <c r="X2560" s="5" t="s">
        <v>159</v>
      </c>
      <c r="Y2560">
        <v>2</v>
      </c>
      <c r="Z2560">
        <v>0</v>
      </c>
      <c r="AA2560" t="s">
        <v>25</v>
      </c>
      <c r="AB2560" t="s">
        <v>26</v>
      </c>
      <c r="AC2560" t="s">
        <v>27</v>
      </c>
      <c r="AD2560" t="s">
        <v>42</v>
      </c>
      <c r="AE2560" t="s">
        <v>25</v>
      </c>
      <c r="AF25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7.575757575757576E-2</v>
      </c>
      <c r="AG2560" t="s">
        <v>941</v>
      </c>
      <c r="AH2560">
        <v>53</v>
      </c>
      <c r="AI2560" t="s">
        <v>939</v>
      </c>
      <c r="AJ2560">
        <v>13</v>
      </c>
      <c r="AK25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MIN(AJ2560/8, 1) +
  Merge1[[#This Row],[index_defensive_effort]],
  2
)</f>
        <v>1.58</v>
      </c>
    </row>
    <row r="2561" spans="1:37" x14ac:dyDescent="0.25">
      <c r="A2561" t="s">
        <v>655</v>
      </c>
      <c r="B2561" t="s">
        <v>656</v>
      </c>
      <c r="C2561">
        <v>24</v>
      </c>
      <c r="D2561" t="s">
        <v>22</v>
      </c>
      <c r="E2561">
        <v>73</v>
      </c>
      <c r="F2561">
        <v>207</v>
      </c>
      <c r="G2561" t="s">
        <v>74</v>
      </c>
      <c r="H2561">
        <v>2020</v>
      </c>
      <c r="I2561" t="s">
        <v>24</v>
      </c>
      <c r="J2561">
        <v>18</v>
      </c>
      <c r="K2561">
        <v>3</v>
      </c>
      <c r="L2561">
        <v>3</v>
      </c>
      <c r="M2561">
        <v>1</v>
      </c>
      <c r="N2561">
        <v>4</v>
      </c>
      <c r="O2561">
        <v>0</v>
      </c>
      <c r="P2561">
        <v>0</v>
      </c>
      <c r="Q2561">
        <v>0</v>
      </c>
      <c r="R2561">
        <v>0</v>
      </c>
      <c r="S2561">
        <v>75</v>
      </c>
      <c r="T2561">
        <v>67</v>
      </c>
      <c r="U2561" s="5">
        <f>IF(Merge1[[#This Row],[team_defense_snaps]]=0, "", Merge1[[#This Row],[defense_snaps]] / Merge1[[#This Row],[team_defense_snaps]])</f>
        <v>1</v>
      </c>
      <c r="V2561">
        <v>67</v>
      </c>
      <c r="W2561">
        <v>8</v>
      </c>
      <c r="X2561" s="5" t="s">
        <v>132</v>
      </c>
      <c r="Y2561">
        <v>2</v>
      </c>
      <c r="Z2561">
        <v>0</v>
      </c>
      <c r="AA2561" t="s">
        <v>25</v>
      </c>
      <c r="AB2561" t="s">
        <v>26</v>
      </c>
      <c r="AC2561" t="s">
        <v>27</v>
      </c>
      <c r="AD2561" t="s">
        <v>42</v>
      </c>
      <c r="AE2561" t="s">
        <v>25</v>
      </c>
      <c r="AF25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2561" t="s">
        <v>941</v>
      </c>
      <c r="AH2561">
        <v>51</v>
      </c>
      <c r="AI2561" t="s">
        <v>939</v>
      </c>
      <c r="AJ2561">
        <v>14</v>
      </c>
      <c r="AK25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MIN(AJ2561/8, 1) +
  Merge1[[#This Row],[index_defensive_effort]],
  2
)</f>
        <v>1.77</v>
      </c>
    </row>
    <row r="2562" spans="1:37" x14ac:dyDescent="0.25">
      <c r="A2562" t="s">
        <v>645</v>
      </c>
      <c r="B2562" t="s">
        <v>646</v>
      </c>
      <c r="C2562">
        <v>22</v>
      </c>
      <c r="D2562" t="s">
        <v>56</v>
      </c>
      <c r="E2562">
        <v>69</v>
      </c>
      <c r="F2562">
        <v>185</v>
      </c>
      <c r="G2562" t="s">
        <v>99</v>
      </c>
      <c r="H2562">
        <v>2020</v>
      </c>
      <c r="I2562" t="s">
        <v>33</v>
      </c>
      <c r="J2562">
        <v>10</v>
      </c>
      <c r="K2562">
        <v>1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11</v>
      </c>
      <c r="T2562">
        <v>6</v>
      </c>
      <c r="U2562" s="5">
        <f>IF(Merge1[[#This Row],[team_defense_snaps]]=0, "", Merge1[[#This Row],[defense_snaps]] / Merge1[[#This Row],[team_defense_snaps]])</f>
        <v>8.9552238805970144E-2</v>
      </c>
      <c r="V2562">
        <v>67</v>
      </c>
      <c r="W2562">
        <v>5</v>
      </c>
      <c r="X2562" s="5" t="s">
        <v>139</v>
      </c>
      <c r="Y2562">
        <v>0</v>
      </c>
      <c r="Z2562">
        <v>0</v>
      </c>
      <c r="AA2562" t="s">
        <v>25</v>
      </c>
      <c r="AB2562" t="s">
        <v>26</v>
      </c>
      <c r="AC2562" t="s">
        <v>27</v>
      </c>
      <c r="AD2562" t="s">
        <v>28</v>
      </c>
      <c r="AE2562" t="s">
        <v>25</v>
      </c>
      <c r="AF25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9.0909090909090912E-2</v>
      </c>
      <c r="AG2562" t="s">
        <v>942</v>
      </c>
      <c r="AH2562">
        <v>50</v>
      </c>
      <c r="AI2562" t="s">
        <v>939</v>
      </c>
      <c r="AJ2562">
        <v>1</v>
      </c>
      <c r="AK25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MIN(AJ2562/8, 1) +
  Merge1[[#This Row],[index_defensive_effort]],
  2
)</f>
        <v>0.72</v>
      </c>
    </row>
    <row r="2563" spans="1:37" x14ac:dyDescent="0.25">
      <c r="A2563" t="s">
        <v>645</v>
      </c>
      <c r="B2563" t="s">
        <v>646</v>
      </c>
      <c r="C2563">
        <v>22</v>
      </c>
      <c r="D2563" t="s">
        <v>56</v>
      </c>
      <c r="E2563">
        <v>69</v>
      </c>
      <c r="F2563">
        <v>185</v>
      </c>
      <c r="G2563" t="s">
        <v>99</v>
      </c>
      <c r="H2563">
        <v>2020</v>
      </c>
      <c r="I2563" t="s">
        <v>33</v>
      </c>
      <c r="J2563">
        <v>12</v>
      </c>
      <c r="K2563">
        <v>2</v>
      </c>
      <c r="L2563">
        <v>1</v>
      </c>
      <c r="M2563">
        <v>1</v>
      </c>
      <c r="N2563">
        <v>2</v>
      </c>
      <c r="O2563">
        <v>0</v>
      </c>
      <c r="P2563">
        <v>0</v>
      </c>
      <c r="Q2563">
        <v>0</v>
      </c>
      <c r="R2563">
        <v>0</v>
      </c>
      <c r="S2563">
        <v>17</v>
      </c>
      <c r="T2563">
        <v>13</v>
      </c>
      <c r="U2563" s="5">
        <f>IF(Merge1[[#This Row],[team_defense_snaps]]=0, "", Merge1[[#This Row],[defense_snaps]] / Merge1[[#This Row],[team_defense_snaps]])</f>
        <v>0.17567567567567569</v>
      </c>
      <c r="V2563">
        <v>74</v>
      </c>
      <c r="W2563">
        <v>4</v>
      </c>
      <c r="X2563" s="5" t="s">
        <v>181</v>
      </c>
      <c r="Y2563">
        <v>0</v>
      </c>
      <c r="Z2563">
        <v>0</v>
      </c>
      <c r="AA2563" t="s">
        <v>25</v>
      </c>
      <c r="AB2563" t="s">
        <v>26</v>
      </c>
      <c r="AC2563" t="s">
        <v>27</v>
      </c>
      <c r="AD2563" t="s">
        <v>28</v>
      </c>
      <c r="AE2563" t="s">
        <v>25</v>
      </c>
      <c r="AF25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0.17647058823529413</v>
      </c>
      <c r="AG2563" t="s">
        <v>942</v>
      </c>
      <c r="AH2563">
        <v>54.5</v>
      </c>
      <c r="AI2563" t="s">
        <v>939</v>
      </c>
      <c r="AJ2563">
        <v>1</v>
      </c>
      <c r="AK25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MIN(AJ2563/8, 1) +
  Merge1[[#This Row],[index_defensive_effort]],
  2
)</f>
        <v>0.8</v>
      </c>
    </row>
    <row r="2564" spans="1:37" x14ac:dyDescent="0.25">
      <c r="A2564" t="s">
        <v>645</v>
      </c>
      <c r="B2564" t="s">
        <v>646</v>
      </c>
      <c r="C2564">
        <v>22</v>
      </c>
      <c r="D2564" t="s">
        <v>56</v>
      </c>
      <c r="E2564">
        <v>69</v>
      </c>
      <c r="F2564">
        <v>185</v>
      </c>
      <c r="G2564" t="s">
        <v>99</v>
      </c>
      <c r="H2564">
        <v>2020</v>
      </c>
      <c r="I2564" t="s">
        <v>33</v>
      </c>
      <c r="J2564">
        <v>13</v>
      </c>
      <c r="K2564">
        <v>1</v>
      </c>
      <c r="L2564">
        <v>0</v>
      </c>
      <c r="M2564">
        <v>0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42</v>
      </c>
      <c r="T2564">
        <v>33</v>
      </c>
      <c r="U2564" s="5">
        <f>IF(Merge1[[#This Row],[team_defense_snaps]]=0, "", Merge1[[#This Row],[defense_snaps]] / Merge1[[#This Row],[team_defense_snaps]])</f>
        <v>0.45205479452054792</v>
      </c>
      <c r="V2564">
        <v>73</v>
      </c>
      <c r="W2564">
        <v>9</v>
      </c>
      <c r="X2564" s="5" t="s">
        <v>70</v>
      </c>
      <c r="Y2564">
        <v>0</v>
      </c>
      <c r="Z2564">
        <v>0</v>
      </c>
      <c r="AA2564" t="s">
        <v>25</v>
      </c>
      <c r="AB2564" t="s">
        <v>26</v>
      </c>
      <c r="AC2564" t="s">
        <v>27</v>
      </c>
      <c r="AD2564" t="s">
        <v>28</v>
      </c>
      <c r="AE2564" t="s">
        <v>25</v>
      </c>
      <c r="AF25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2564" t="s">
        <v>942</v>
      </c>
      <c r="AH2564">
        <v>44</v>
      </c>
      <c r="AI2564" t="s">
        <v>939</v>
      </c>
      <c r="AJ2564">
        <v>2</v>
      </c>
      <c r="AK25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MIN(AJ2564/8, 1) +
  Merge1[[#This Row],[index_defensive_effort]],
  2
)</f>
        <v>0.82</v>
      </c>
    </row>
    <row r="2565" spans="1:37" x14ac:dyDescent="0.25">
      <c r="A2565" t="s">
        <v>645</v>
      </c>
      <c r="B2565" t="s">
        <v>646</v>
      </c>
      <c r="C2565">
        <v>22</v>
      </c>
      <c r="D2565" t="s">
        <v>56</v>
      </c>
      <c r="E2565">
        <v>69</v>
      </c>
      <c r="F2565">
        <v>185</v>
      </c>
      <c r="G2565" t="s">
        <v>99</v>
      </c>
      <c r="H2565">
        <v>2020</v>
      </c>
      <c r="I2565" t="s">
        <v>33</v>
      </c>
      <c r="J2565">
        <v>14</v>
      </c>
      <c r="K2565">
        <v>2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2</v>
      </c>
      <c r="R2565">
        <v>0</v>
      </c>
      <c r="S2565">
        <v>18</v>
      </c>
      <c r="T2565">
        <v>16</v>
      </c>
      <c r="U2565" s="5">
        <f>IF(Merge1[[#This Row],[team_defense_snaps]]=0, "", Merge1[[#This Row],[defense_snaps]] / Merge1[[#This Row],[team_defense_snaps]])</f>
        <v>0.25</v>
      </c>
      <c r="V2565">
        <v>64</v>
      </c>
      <c r="W2565">
        <v>2</v>
      </c>
      <c r="X2565" s="5" t="s">
        <v>167</v>
      </c>
      <c r="Y2565">
        <v>0</v>
      </c>
      <c r="Z2565">
        <v>0</v>
      </c>
      <c r="AA2565" t="s">
        <v>25</v>
      </c>
      <c r="AB2565" t="s">
        <v>26</v>
      </c>
      <c r="AC2565" t="s">
        <v>27</v>
      </c>
      <c r="AD2565" t="s">
        <v>28</v>
      </c>
      <c r="AE2565" t="s">
        <v>25</v>
      </c>
      <c r="AF25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0.55555555555555558</v>
      </c>
      <c r="AG2565" t="s">
        <v>942</v>
      </c>
      <c r="AH2565">
        <v>48.5</v>
      </c>
      <c r="AI2565" t="s">
        <v>939</v>
      </c>
      <c r="AJ2565">
        <v>3</v>
      </c>
      <c r="AK25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MIN(AJ2565/8, 1) +
  Merge1[[#This Row],[index_defensive_effort]],
  2
)</f>
        <v>1.43</v>
      </c>
    </row>
    <row r="2566" spans="1:37" x14ac:dyDescent="0.25">
      <c r="A2566" t="s">
        <v>645</v>
      </c>
      <c r="B2566" t="s">
        <v>646</v>
      </c>
      <c r="C2566">
        <v>22</v>
      </c>
      <c r="D2566" t="s">
        <v>56</v>
      </c>
      <c r="E2566">
        <v>69</v>
      </c>
      <c r="F2566">
        <v>185</v>
      </c>
      <c r="G2566" t="s">
        <v>99</v>
      </c>
      <c r="H2566">
        <v>2020</v>
      </c>
      <c r="I2566" t="s">
        <v>33</v>
      </c>
      <c r="J2566">
        <v>15</v>
      </c>
      <c r="K2566">
        <v>2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13</v>
      </c>
      <c r="T2566">
        <v>8</v>
      </c>
      <c r="U2566" s="5">
        <f>IF(Merge1[[#This Row],[team_defense_snaps]]=0, "", Merge1[[#This Row],[defense_snaps]] / Merge1[[#This Row],[team_defense_snaps]])</f>
        <v>0.1095890410958904</v>
      </c>
      <c r="V2566">
        <v>73</v>
      </c>
      <c r="W2566">
        <v>5</v>
      </c>
      <c r="X2566" s="5" t="s">
        <v>132</v>
      </c>
      <c r="Y2566">
        <v>0</v>
      </c>
      <c r="Z2566">
        <v>0</v>
      </c>
      <c r="AA2566" t="s">
        <v>25</v>
      </c>
      <c r="AB2566" t="s">
        <v>26</v>
      </c>
      <c r="AC2566" t="s">
        <v>27</v>
      </c>
      <c r="AD2566" t="s">
        <v>28</v>
      </c>
      <c r="AE2566" t="s">
        <v>25</v>
      </c>
      <c r="AF25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0.15384615384615385</v>
      </c>
      <c r="AG2566" t="s">
        <v>942</v>
      </c>
      <c r="AH2566">
        <v>45.5</v>
      </c>
      <c r="AI2566" t="s">
        <v>939</v>
      </c>
      <c r="AJ2566">
        <v>4</v>
      </c>
      <c r="AK25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MIN(AJ2566/8, 1) +
  Merge1[[#This Row],[index_defensive_effort]],
  2
)</f>
        <v>1.1499999999999999</v>
      </c>
    </row>
    <row r="2567" spans="1:37" x14ac:dyDescent="0.25">
      <c r="A2567" t="s">
        <v>645</v>
      </c>
      <c r="B2567" t="s">
        <v>646</v>
      </c>
      <c r="C2567">
        <v>22</v>
      </c>
      <c r="D2567" t="s">
        <v>56</v>
      </c>
      <c r="E2567">
        <v>69</v>
      </c>
      <c r="F2567">
        <v>185</v>
      </c>
      <c r="G2567" t="s">
        <v>99</v>
      </c>
      <c r="H2567">
        <v>2020</v>
      </c>
      <c r="I2567" t="s">
        <v>33</v>
      </c>
      <c r="J2567">
        <v>16</v>
      </c>
      <c r="K2567">
        <v>1</v>
      </c>
      <c r="L2567">
        <v>1</v>
      </c>
      <c r="M2567">
        <v>1</v>
      </c>
      <c r="N2567">
        <v>2</v>
      </c>
      <c r="O2567">
        <v>0</v>
      </c>
      <c r="P2567">
        <v>0</v>
      </c>
      <c r="Q2567">
        <v>0</v>
      </c>
      <c r="R2567">
        <v>0</v>
      </c>
      <c r="S2567">
        <v>25</v>
      </c>
      <c r="T2567">
        <v>22</v>
      </c>
      <c r="U2567" s="5">
        <f>IF(Merge1[[#This Row],[team_defense_snaps]]=0, "", Merge1[[#This Row],[defense_snaps]] / Merge1[[#This Row],[team_defense_snaps]])</f>
        <v>0.30555555555555558</v>
      </c>
      <c r="V2567">
        <v>72</v>
      </c>
      <c r="W2567">
        <v>3</v>
      </c>
      <c r="X2567" s="5" t="s">
        <v>35</v>
      </c>
      <c r="Y2567">
        <v>0</v>
      </c>
      <c r="Z2567">
        <v>0</v>
      </c>
      <c r="AA2567" t="s">
        <v>25</v>
      </c>
      <c r="AB2567" t="s">
        <v>26</v>
      </c>
      <c r="AC2567" t="s">
        <v>27</v>
      </c>
      <c r="AD2567" t="s">
        <v>28</v>
      </c>
      <c r="AE2567" t="s">
        <v>25</v>
      </c>
      <c r="AF25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0.08</v>
      </c>
      <c r="AG2567" t="s">
        <v>942</v>
      </c>
      <c r="AH2567">
        <v>47</v>
      </c>
      <c r="AI2567" t="s">
        <v>939</v>
      </c>
      <c r="AJ2567">
        <v>5</v>
      </c>
      <c r="AK25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MIN(AJ2567/8, 1) +
  Merge1[[#This Row],[index_defensive_effort]],
  2
)</f>
        <v>1.21</v>
      </c>
    </row>
    <row r="2568" spans="1:37" x14ac:dyDescent="0.25">
      <c r="A2568" t="s">
        <v>645</v>
      </c>
      <c r="B2568" t="s">
        <v>646</v>
      </c>
      <c r="C2568">
        <v>22</v>
      </c>
      <c r="D2568" t="s">
        <v>56</v>
      </c>
      <c r="E2568">
        <v>69</v>
      </c>
      <c r="F2568">
        <v>185</v>
      </c>
      <c r="G2568" t="s">
        <v>99</v>
      </c>
      <c r="H2568">
        <v>2020</v>
      </c>
      <c r="I2568" t="s">
        <v>33</v>
      </c>
      <c r="J2568">
        <v>17</v>
      </c>
      <c r="K2568">
        <v>1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49</v>
      </c>
      <c r="T2568">
        <v>44</v>
      </c>
      <c r="U2568" s="5">
        <f>IF(Merge1[[#This Row],[team_defense_snaps]]=0, "", Merge1[[#This Row],[defense_snaps]] / Merge1[[#This Row],[team_defense_snaps]])</f>
        <v>0.65671641791044777</v>
      </c>
      <c r="V2568">
        <v>67</v>
      </c>
      <c r="W2568">
        <v>5</v>
      </c>
      <c r="X2568" s="5" t="s">
        <v>58</v>
      </c>
      <c r="Y2568">
        <v>0</v>
      </c>
      <c r="Z2568">
        <v>0</v>
      </c>
      <c r="AA2568" t="s">
        <v>25</v>
      </c>
      <c r="AB2568" t="s">
        <v>26</v>
      </c>
      <c r="AC2568" t="s">
        <v>27</v>
      </c>
      <c r="AD2568" t="s">
        <v>28</v>
      </c>
      <c r="AE2568" t="s">
        <v>25</v>
      </c>
      <c r="AF25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2.0408163265306121E-2</v>
      </c>
      <c r="AG2568" t="s">
        <v>942</v>
      </c>
      <c r="AH2568">
        <v>51.5</v>
      </c>
      <c r="AI2568" t="s">
        <v>939</v>
      </c>
      <c r="AJ2568">
        <v>6</v>
      </c>
      <c r="AK25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MIN(AJ2568/8, 1) +
  Merge1[[#This Row],[index_defensive_effort]],
  2
)</f>
        <v>1.27</v>
      </c>
    </row>
    <row r="2569" spans="1:37" x14ac:dyDescent="0.25">
      <c r="A2569" t="s">
        <v>663</v>
      </c>
      <c r="B2569" t="s">
        <v>664</v>
      </c>
      <c r="C2569">
        <v>23</v>
      </c>
      <c r="D2569" t="s">
        <v>22</v>
      </c>
      <c r="E2569">
        <v>71</v>
      </c>
      <c r="F2569">
        <v>210</v>
      </c>
      <c r="G2569" t="s">
        <v>259</v>
      </c>
      <c r="H2569">
        <v>2020</v>
      </c>
      <c r="I2569" t="s">
        <v>33</v>
      </c>
      <c r="J2569">
        <v>8</v>
      </c>
      <c r="K2569">
        <v>1</v>
      </c>
      <c r="L2569">
        <v>1</v>
      </c>
      <c r="M2569">
        <v>0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35</v>
      </c>
      <c r="T2569">
        <v>22</v>
      </c>
      <c r="U2569" s="5">
        <f>IF(Merge1[[#This Row],[team_defense_snaps]]=0, "", Merge1[[#This Row],[defense_snaps]] / Merge1[[#This Row],[team_defense_snaps]])</f>
        <v>0.30985915492957744</v>
      </c>
      <c r="V2569">
        <v>71</v>
      </c>
      <c r="W2569">
        <v>13</v>
      </c>
      <c r="X2569" s="5" t="s">
        <v>232</v>
      </c>
      <c r="Y2569">
        <v>0</v>
      </c>
      <c r="Z2569">
        <v>0</v>
      </c>
      <c r="AA2569" t="s">
        <v>25</v>
      </c>
      <c r="AB2569" t="s">
        <v>26</v>
      </c>
      <c r="AC2569" t="s">
        <v>27</v>
      </c>
      <c r="AD2569" t="s">
        <v>28</v>
      </c>
      <c r="AE2569" t="s">
        <v>25</v>
      </c>
      <c r="AF25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4.2857142857142858E-2</v>
      </c>
      <c r="AG2569" t="s">
        <v>942</v>
      </c>
      <c r="AH2569">
        <v>52.5</v>
      </c>
      <c r="AI2569" t="s">
        <v>939</v>
      </c>
      <c r="AJ2569">
        <v>1</v>
      </c>
      <c r="AK25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MIN(AJ2569/8, 1) +
  Merge1[[#This Row],[index_defensive_effort]],
  2
)</f>
        <v>0.67</v>
      </c>
    </row>
    <row r="2570" spans="1:37" x14ac:dyDescent="0.25">
      <c r="A2570" t="s">
        <v>663</v>
      </c>
      <c r="B2570" t="s">
        <v>664</v>
      </c>
      <c r="C2570">
        <v>23</v>
      </c>
      <c r="D2570" t="s">
        <v>22</v>
      </c>
      <c r="E2570">
        <v>71</v>
      </c>
      <c r="F2570">
        <v>210</v>
      </c>
      <c r="G2570" t="s">
        <v>259</v>
      </c>
      <c r="H2570">
        <v>2020</v>
      </c>
      <c r="I2570" t="s">
        <v>33</v>
      </c>
      <c r="J2570">
        <v>11</v>
      </c>
      <c r="K2570">
        <v>0</v>
      </c>
      <c r="L2570">
        <v>1</v>
      </c>
      <c r="M2570">
        <v>0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15</v>
      </c>
      <c r="T2570">
        <v>2</v>
      </c>
      <c r="U2570" s="5">
        <f>IF(Merge1[[#This Row],[team_defense_snaps]]=0, "", Merge1[[#This Row],[defense_snaps]] / Merge1[[#This Row],[team_defense_snaps]])</f>
        <v>3.5087719298245612E-2</v>
      </c>
      <c r="V2570">
        <v>57</v>
      </c>
      <c r="W2570">
        <v>13</v>
      </c>
      <c r="X2570" s="5" t="s">
        <v>102</v>
      </c>
      <c r="Y2570">
        <v>0</v>
      </c>
      <c r="Z2570">
        <v>0</v>
      </c>
      <c r="AA2570" t="s">
        <v>25</v>
      </c>
      <c r="AB2570" t="s">
        <v>26</v>
      </c>
      <c r="AC2570" t="s">
        <v>27</v>
      </c>
      <c r="AD2570" t="s">
        <v>28</v>
      </c>
      <c r="AE2570" t="s">
        <v>25</v>
      </c>
      <c r="AF25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3.3333333333333333E-2</v>
      </c>
      <c r="AG2570" t="s">
        <v>942</v>
      </c>
      <c r="AH2570">
        <v>60</v>
      </c>
      <c r="AI2570" t="s">
        <v>939</v>
      </c>
      <c r="AJ2570">
        <v>1</v>
      </c>
      <c r="AK25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MIN(AJ2570/8, 1) +
  Merge1[[#This Row],[index_defensive_effort]],
  2
)</f>
        <v>0.66</v>
      </c>
    </row>
    <row r="2571" spans="1:37" x14ac:dyDescent="0.25">
      <c r="A2571" t="s">
        <v>663</v>
      </c>
      <c r="B2571" t="s">
        <v>664</v>
      </c>
      <c r="C2571">
        <v>23</v>
      </c>
      <c r="D2571" t="s">
        <v>22</v>
      </c>
      <c r="E2571">
        <v>71</v>
      </c>
      <c r="F2571">
        <v>210</v>
      </c>
      <c r="G2571" t="s">
        <v>259</v>
      </c>
      <c r="H2571">
        <v>2020</v>
      </c>
      <c r="I2571" t="s">
        <v>33</v>
      </c>
      <c r="J2571">
        <v>14</v>
      </c>
      <c r="K2571">
        <v>1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27</v>
      </c>
      <c r="T2571">
        <v>8</v>
      </c>
      <c r="U2571" s="5">
        <f>IF(Merge1[[#This Row],[team_defense_snaps]]=0, "", Merge1[[#This Row],[defense_snaps]] / Merge1[[#This Row],[team_defense_snaps]])</f>
        <v>0.12903225806451613</v>
      </c>
      <c r="V2571">
        <v>62</v>
      </c>
      <c r="W2571">
        <v>19</v>
      </c>
      <c r="X2571" s="5" t="s">
        <v>215</v>
      </c>
      <c r="Y2571">
        <v>0</v>
      </c>
      <c r="Z2571">
        <v>0</v>
      </c>
      <c r="AA2571" t="s">
        <v>25</v>
      </c>
      <c r="AB2571" t="s">
        <v>26</v>
      </c>
      <c r="AC2571" t="s">
        <v>27</v>
      </c>
      <c r="AD2571" t="s">
        <v>28</v>
      </c>
      <c r="AE2571" t="s">
        <v>25</v>
      </c>
      <c r="AF25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3.7037037037037035E-2</v>
      </c>
      <c r="AG2571" t="s">
        <v>942</v>
      </c>
      <c r="AH2571">
        <v>54</v>
      </c>
      <c r="AI2571" t="s">
        <v>939</v>
      </c>
      <c r="AJ2571">
        <v>1</v>
      </c>
      <c r="AK25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MIN(AJ2571/8, 1) +
  Merge1[[#This Row],[index_defensive_effort]],
  2
)</f>
        <v>0.66</v>
      </c>
    </row>
    <row r="2572" spans="1:37" x14ac:dyDescent="0.25">
      <c r="A2572" t="s">
        <v>663</v>
      </c>
      <c r="B2572" t="s">
        <v>664</v>
      </c>
      <c r="C2572">
        <v>23</v>
      </c>
      <c r="D2572" t="s">
        <v>22</v>
      </c>
      <c r="E2572">
        <v>71</v>
      </c>
      <c r="F2572">
        <v>210</v>
      </c>
      <c r="G2572" t="s">
        <v>259</v>
      </c>
      <c r="H2572">
        <v>2020</v>
      </c>
      <c r="I2572" t="s">
        <v>33</v>
      </c>
      <c r="J2572">
        <v>15</v>
      </c>
      <c r="K2572">
        <v>2</v>
      </c>
      <c r="L2572">
        <v>1</v>
      </c>
      <c r="M2572">
        <v>0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49</v>
      </c>
      <c r="T2572">
        <v>29</v>
      </c>
      <c r="U2572" s="5">
        <f>IF(Merge1[[#This Row],[team_defense_snaps]]=0, "", Merge1[[#This Row],[defense_snaps]] / Merge1[[#This Row],[team_defense_snaps]])</f>
        <v>0.46774193548387094</v>
      </c>
      <c r="V2572">
        <v>62</v>
      </c>
      <c r="W2572">
        <v>20</v>
      </c>
      <c r="X2572" s="5" t="s">
        <v>230</v>
      </c>
      <c r="Y2572">
        <v>0</v>
      </c>
      <c r="Z2572">
        <v>0</v>
      </c>
      <c r="AA2572" t="s">
        <v>25</v>
      </c>
      <c r="AB2572" t="s">
        <v>26</v>
      </c>
      <c r="AC2572" t="s">
        <v>27</v>
      </c>
      <c r="AD2572" t="s">
        <v>28</v>
      </c>
      <c r="AE2572" t="s">
        <v>25</v>
      </c>
      <c r="AF25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5.1020408163265307E-2</v>
      </c>
      <c r="AG2572" t="s">
        <v>942</v>
      </c>
      <c r="AH2572">
        <v>51</v>
      </c>
      <c r="AI2572" t="s">
        <v>939</v>
      </c>
      <c r="AJ2572">
        <v>2</v>
      </c>
      <c r="AK25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MIN(AJ2572/8, 1) +
  Merge1[[#This Row],[index_defensive_effort]],
  2
)</f>
        <v>0.8</v>
      </c>
    </row>
    <row r="2573" spans="1:37" x14ac:dyDescent="0.25">
      <c r="A2573" t="s">
        <v>663</v>
      </c>
      <c r="B2573" t="s">
        <v>664</v>
      </c>
      <c r="C2573">
        <v>23</v>
      </c>
      <c r="D2573" t="s">
        <v>22</v>
      </c>
      <c r="E2573">
        <v>71</v>
      </c>
      <c r="F2573">
        <v>210</v>
      </c>
      <c r="G2573" t="s">
        <v>259</v>
      </c>
      <c r="H2573">
        <v>2020</v>
      </c>
      <c r="I2573" t="s">
        <v>33</v>
      </c>
      <c r="J2573">
        <v>16</v>
      </c>
      <c r="K2573">
        <v>3</v>
      </c>
      <c r="L2573">
        <v>1</v>
      </c>
      <c r="M2573">
        <v>0</v>
      </c>
      <c r="N2573">
        <v>1</v>
      </c>
      <c r="O2573">
        <v>0</v>
      </c>
      <c r="P2573">
        <v>1</v>
      </c>
      <c r="Q2573">
        <v>0</v>
      </c>
      <c r="R2573">
        <v>0</v>
      </c>
      <c r="S2573">
        <v>52</v>
      </c>
      <c r="T2573">
        <v>40</v>
      </c>
      <c r="U2573" s="5">
        <f>IF(Merge1[[#This Row],[team_defense_snaps]]=0, "", Merge1[[#This Row],[defense_snaps]] / Merge1[[#This Row],[team_defense_snaps]])</f>
        <v>0.56338028169014087</v>
      </c>
      <c r="V2573">
        <v>71</v>
      </c>
      <c r="W2573">
        <v>12</v>
      </c>
      <c r="X2573" s="5" t="s">
        <v>182</v>
      </c>
      <c r="Y2573">
        <v>0</v>
      </c>
      <c r="Z2573">
        <v>0</v>
      </c>
      <c r="AA2573" t="s">
        <v>25</v>
      </c>
      <c r="AB2573" t="s">
        <v>26</v>
      </c>
      <c r="AC2573" t="s">
        <v>27</v>
      </c>
      <c r="AD2573" t="s">
        <v>28</v>
      </c>
      <c r="AE2573" t="s">
        <v>25</v>
      </c>
      <c r="AF25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0.10576923076923077</v>
      </c>
      <c r="AG2573" t="s">
        <v>942</v>
      </c>
      <c r="AH2573">
        <v>64.5</v>
      </c>
      <c r="AI2573" t="s">
        <v>939</v>
      </c>
      <c r="AJ2573">
        <v>3</v>
      </c>
      <c r="AK25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MIN(AJ2573/8, 1) +
  Merge1[[#This Row],[index_defensive_effort]],
  2
)</f>
        <v>0.98</v>
      </c>
    </row>
    <row r="2574" spans="1:37" x14ac:dyDescent="0.25">
      <c r="A2574" t="s">
        <v>663</v>
      </c>
      <c r="B2574" t="s">
        <v>664</v>
      </c>
      <c r="C2574">
        <v>23</v>
      </c>
      <c r="D2574" t="s">
        <v>22</v>
      </c>
      <c r="E2574">
        <v>71</v>
      </c>
      <c r="F2574">
        <v>210</v>
      </c>
      <c r="G2574" t="s">
        <v>259</v>
      </c>
      <c r="H2574">
        <v>2020</v>
      </c>
      <c r="I2574" t="s">
        <v>33</v>
      </c>
      <c r="J2574">
        <v>17</v>
      </c>
      <c r="K2574">
        <v>2</v>
      </c>
      <c r="L2574">
        <v>1</v>
      </c>
      <c r="M2574">
        <v>0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48</v>
      </c>
      <c r="T2574">
        <v>27</v>
      </c>
      <c r="U2574" s="5">
        <f>IF(Merge1[[#This Row],[team_defense_snaps]]=0, "", Merge1[[#This Row],[defense_snaps]] / Merge1[[#This Row],[team_defense_snaps]])</f>
        <v>0.421875</v>
      </c>
      <c r="V2574">
        <v>64</v>
      </c>
      <c r="W2574">
        <v>21</v>
      </c>
      <c r="X2574" s="5" t="s">
        <v>154</v>
      </c>
      <c r="Y2574">
        <v>0</v>
      </c>
      <c r="Z2574">
        <v>0</v>
      </c>
      <c r="AA2574" t="s">
        <v>25</v>
      </c>
      <c r="AB2574" t="s">
        <v>26</v>
      </c>
      <c r="AC2574" t="s">
        <v>27</v>
      </c>
      <c r="AD2574" t="s">
        <v>28</v>
      </c>
      <c r="AE2574" t="s">
        <v>25</v>
      </c>
      <c r="AF25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5.2083333333333336E-2</v>
      </c>
      <c r="AG2574" t="s">
        <v>942</v>
      </c>
      <c r="AH2574">
        <v>55.5</v>
      </c>
      <c r="AI2574" t="s">
        <v>939</v>
      </c>
      <c r="AJ2574">
        <v>4</v>
      </c>
      <c r="AK25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MIN(AJ2574/8, 1) +
  Merge1[[#This Row],[index_defensive_effort]],
  2
)</f>
        <v>1.05</v>
      </c>
    </row>
    <row r="2575" spans="1:37" x14ac:dyDescent="0.25">
      <c r="A2575" t="s">
        <v>695</v>
      </c>
      <c r="B2575" t="s">
        <v>696</v>
      </c>
      <c r="C2575">
        <v>23</v>
      </c>
      <c r="D2575" t="s">
        <v>22</v>
      </c>
      <c r="E2575">
        <v>72</v>
      </c>
      <c r="F2575">
        <v>195</v>
      </c>
      <c r="G2575" t="s">
        <v>120</v>
      </c>
      <c r="H2575">
        <v>2020</v>
      </c>
      <c r="I2575" t="s">
        <v>33</v>
      </c>
      <c r="J2575">
        <v>2</v>
      </c>
      <c r="K2575">
        <v>3</v>
      </c>
      <c r="L2575">
        <v>1</v>
      </c>
      <c r="M2575">
        <v>0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87</v>
      </c>
      <c r="T2575">
        <v>76</v>
      </c>
      <c r="U2575" s="5">
        <f>IF(Merge1[[#This Row],[team_defense_snaps]]=0, "", Merge1[[#This Row],[defense_snaps]] / Merge1[[#This Row],[team_defense_snaps]])</f>
        <v>0.98701298701298701</v>
      </c>
      <c r="V2575">
        <v>77</v>
      </c>
      <c r="W2575">
        <v>11</v>
      </c>
      <c r="X2575" s="5" t="s">
        <v>210</v>
      </c>
      <c r="Y2575">
        <v>1</v>
      </c>
      <c r="Z2575">
        <v>0</v>
      </c>
      <c r="AA2575" t="s">
        <v>25</v>
      </c>
      <c r="AB2575" t="s">
        <v>26</v>
      </c>
      <c r="AC2575" t="s">
        <v>27</v>
      </c>
      <c r="AD2575" t="s">
        <v>42</v>
      </c>
      <c r="AE2575" t="s">
        <v>25</v>
      </c>
      <c r="AF25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4.0229885057471264E-2</v>
      </c>
      <c r="AG2575" t="s">
        <v>942</v>
      </c>
      <c r="AH2575">
        <v>76</v>
      </c>
      <c r="AI2575" t="s">
        <v>939</v>
      </c>
      <c r="AJ2575">
        <v>1</v>
      </c>
      <c r="AK25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MIN(AJ2575/8, 1) +
  Merge1[[#This Row],[index_defensive_effort]],
  2
)</f>
        <v>0.56999999999999995</v>
      </c>
    </row>
    <row r="2576" spans="1:37" x14ac:dyDescent="0.25">
      <c r="A2576" t="s">
        <v>695</v>
      </c>
      <c r="B2576" t="s">
        <v>696</v>
      </c>
      <c r="C2576">
        <v>23</v>
      </c>
      <c r="D2576" t="s">
        <v>22</v>
      </c>
      <c r="E2576">
        <v>72</v>
      </c>
      <c r="F2576">
        <v>195</v>
      </c>
      <c r="G2576" t="s">
        <v>120</v>
      </c>
      <c r="H2576">
        <v>2020</v>
      </c>
      <c r="I2576" t="s">
        <v>33</v>
      </c>
      <c r="J2576">
        <v>3</v>
      </c>
      <c r="K2576">
        <v>6</v>
      </c>
      <c r="L2576">
        <v>2</v>
      </c>
      <c r="M2576">
        <v>1</v>
      </c>
      <c r="N2576">
        <v>3</v>
      </c>
      <c r="O2576">
        <v>0</v>
      </c>
      <c r="P2576">
        <v>0</v>
      </c>
      <c r="Q2576">
        <v>0</v>
      </c>
      <c r="R2576">
        <v>0</v>
      </c>
      <c r="S2576">
        <v>54</v>
      </c>
      <c r="T2576">
        <v>46</v>
      </c>
      <c r="U2576" s="5">
        <f>IF(Merge1[[#This Row],[team_defense_snaps]]=0, "", Merge1[[#This Row],[defense_snaps]] / Merge1[[#This Row],[team_defense_snaps]])</f>
        <v>0.90196078431372551</v>
      </c>
      <c r="V2576">
        <v>51</v>
      </c>
      <c r="W2576">
        <v>8</v>
      </c>
      <c r="X2576" s="5" t="s">
        <v>314</v>
      </c>
      <c r="Y2576">
        <v>1</v>
      </c>
      <c r="Z2576">
        <v>0</v>
      </c>
      <c r="AA2576" t="s">
        <v>25</v>
      </c>
      <c r="AB2576" t="s">
        <v>26</v>
      </c>
      <c r="AC2576" t="s">
        <v>27</v>
      </c>
      <c r="AD2576" t="s">
        <v>42</v>
      </c>
      <c r="AE2576" t="s">
        <v>25</v>
      </c>
      <c r="AF25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0.1388888888888889</v>
      </c>
      <c r="AG2576" t="s">
        <v>942</v>
      </c>
      <c r="AH2576">
        <v>68.5</v>
      </c>
      <c r="AI2576" t="s">
        <v>939</v>
      </c>
      <c r="AJ2576">
        <v>2</v>
      </c>
      <c r="AK25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MIN(AJ2576/8, 1) +
  Merge1[[#This Row],[index_defensive_effort]],
  2
)</f>
        <v>0.79</v>
      </c>
    </row>
    <row r="2577" spans="1:37" x14ac:dyDescent="0.25">
      <c r="A2577" t="s">
        <v>695</v>
      </c>
      <c r="B2577" t="s">
        <v>696</v>
      </c>
      <c r="C2577">
        <v>23</v>
      </c>
      <c r="D2577" t="s">
        <v>22</v>
      </c>
      <c r="E2577">
        <v>72</v>
      </c>
      <c r="F2577">
        <v>195</v>
      </c>
      <c r="G2577" t="s">
        <v>120</v>
      </c>
      <c r="H2577">
        <v>2020</v>
      </c>
      <c r="I2577" t="s">
        <v>33</v>
      </c>
      <c r="J2577">
        <v>4</v>
      </c>
      <c r="K2577">
        <v>4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81</v>
      </c>
      <c r="T2577">
        <v>76</v>
      </c>
      <c r="U2577" s="5">
        <f>IF(Merge1[[#This Row],[team_defense_snaps]]=0, "", Merge1[[#This Row],[defense_snaps]] / Merge1[[#This Row],[team_defense_snaps]])</f>
        <v>0.76</v>
      </c>
      <c r="V2577">
        <v>100</v>
      </c>
      <c r="W2577">
        <v>5</v>
      </c>
      <c r="X2577" s="5" t="s">
        <v>159</v>
      </c>
      <c r="Y2577">
        <v>1</v>
      </c>
      <c r="Z2577">
        <v>0</v>
      </c>
      <c r="AA2577" t="s">
        <v>25</v>
      </c>
      <c r="AB2577" t="s">
        <v>26</v>
      </c>
      <c r="AC2577" t="s">
        <v>27</v>
      </c>
      <c r="AD2577" t="s">
        <v>42</v>
      </c>
      <c r="AE2577" t="s">
        <v>25</v>
      </c>
      <c r="AF25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4.9382716049382713E-2</v>
      </c>
      <c r="AG2577" t="s">
        <v>942</v>
      </c>
      <c r="AH2577">
        <v>65.5</v>
      </c>
      <c r="AI2577" t="s">
        <v>939</v>
      </c>
      <c r="AJ2577">
        <v>3</v>
      </c>
      <c r="AK25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MIN(AJ2577/8, 1) +
  Merge1[[#This Row],[index_defensive_effort]],
  2
)</f>
        <v>0.82</v>
      </c>
    </row>
    <row r="2578" spans="1:37" x14ac:dyDescent="0.25">
      <c r="A2578" t="s">
        <v>695</v>
      </c>
      <c r="B2578" t="s">
        <v>696</v>
      </c>
      <c r="C2578">
        <v>23</v>
      </c>
      <c r="D2578" t="s">
        <v>22</v>
      </c>
      <c r="E2578">
        <v>72</v>
      </c>
      <c r="F2578">
        <v>195</v>
      </c>
      <c r="G2578" t="s">
        <v>120</v>
      </c>
      <c r="H2578">
        <v>2020</v>
      </c>
      <c r="I2578" t="s">
        <v>33</v>
      </c>
      <c r="J2578">
        <v>5</v>
      </c>
      <c r="K2578">
        <v>3</v>
      </c>
      <c r="L2578">
        <v>3</v>
      </c>
      <c r="M2578">
        <v>0</v>
      </c>
      <c r="N2578">
        <v>3</v>
      </c>
      <c r="O2578">
        <v>0</v>
      </c>
      <c r="P2578">
        <v>1</v>
      </c>
      <c r="Q2578">
        <v>2</v>
      </c>
      <c r="R2578">
        <v>0</v>
      </c>
      <c r="S2578">
        <v>84</v>
      </c>
      <c r="T2578">
        <v>76</v>
      </c>
      <c r="U2578" s="5">
        <f>IF(Merge1[[#This Row],[team_defense_snaps]]=0, "", Merge1[[#This Row],[defense_snaps]] / Merge1[[#This Row],[team_defense_snaps]])</f>
        <v>1</v>
      </c>
      <c r="V2578">
        <v>76</v>
      </c>
      <c r="W2578">
        <v>8</v>
      </c>
      <c r="X2578" s="5" t="s">
        <v>293</v>
      </c>
      <c r="Y2578">
        <v>1</v>
      </c>
      <c r="Z2578">
        <v>0</v>
      </c>
      <c r="AA2578" t="s">
        <v>25</v>
      </c>
      <c r="AB2578" t="s">
        <v>26</v>
      </c>
      <c r="AC2578" t="s">
        <v>27</v>
      </c>
      <c r="AD2578" t="s">
        <v>42</v>
      </c>
      <c r="AE2578" t="s">
        <v>25</v>
      </c>
      <c r="AF25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0.17261904761904762</v>
      </c>
      <c r="AG2578" t="s">
        <v>942</v>
      </c>
      <c r="AH2578">
        <v>73</v>
      </c>
      <c r="AI2578" t="s">
        <v>939</v>
      </c>
      <c r="AJ2578">
        <v>4</v>
      </c>
      <c r="AK25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MIN(AJ2578/8, 1) +
  Merge1[[#This Row],[index_defensive_effort]],
  2
)</f>
        <v>1.07</v>
      </c>
    </row>
    <row r="2579" spans="1:37" x14ac:dyDescent="0.25">
      <c r="A2579" t="s">
        <v>695</v>
      </c>
      <c r="B2579" t="s">
        <v>696</v>
      </c>
      <c r="C2579">
        <v>23</v>
      </c>
      <c r="D2579" t="s">
        <v>22</v>
      </c>
      <c r="E2579">
        <v>72</v>
      </c>
      <c r="F2579">
        <v>195</v>
      </c>
      <c r="G2579" t="s">
        <v>120</v>
      </c>
      <c r="H2579">
        <v>2020</v>
      </c>
      <c r="I2579" t="s">
        <v>33</v>
      </c>
      <c r="J2579">
        <v>7</v>
      </c>
      <c r="K2579">
        <v>3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64</v>
      </c>
      <c r="T2579">
        <v>63</v>
      </c>
      <c r="U2579" s="5">
        <f>IF(Merge1[[#This Row],[team_defense_snaps]]=0, "", Merge1[[#This Row],[defense_snaps]] / Merge1[[#This Row],[team_defense_snaps]])</f>
        <v>1</v>
      </c>
      <c r="V2579">
        <v>63</v>
      </c>
      <c r="W2579">
        <v>1</v>
      </c>
      <c r="X2579" s="5" t="s">
        <v>303</v>
      </c>
      <c r="Y2579">
        <v>1</v>
      </c>
      <c r="Z2579">
        <v>0</v>
      </c>
      <c r="AA2579" t="s">
        <v>25</v>
      </c>
      <c r="AB2579" t="s">
        <v>26</v>
      </c>
      <c r="AC2579" t="s">
        <v>27</v>
      </c>
      <c r="AD2579" t="s">
        <v>42</v>
      </c>
      <c r="AE2579" t="s">
        <v>25</v>
      </c>
      <c r="AF25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4.6875E-2</v>
      </c>
      <c r="AG2579" t="s">
        <v>942</v>
      </c>
      <c r="AH2579">
        <v>64</v>
      </c>
      <c r="AI2579" t="s">
        <v>939</v>
      </c>
      <c r="AJ2579">
        <v>1</v>
      </c>
      <c r="AK25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MIN(AJ2579/8, 1) +
  Merge1[[#This Row],[index_defensive_effort]],
  2
)</f>
        <v>0.56999999999999995</v>
      </c>
    </row>
    <row r="2580" spans="1:37" x14ac:dyDescent="0.25">
      <c r="A2580" t="s">
        <v>695</v>
      </c>
      <c r="B2580" t="s">
        <v>696</v>
      </c>
      <c r="C2580">
        <v>23</v>
      </c>
      <c r="D2580" t="s">
        <v>22</v>
      </c>
      <c r="E2580">
        <v>72</v>
      </c>
      <c r="F2580">
        <v>195</v>
      </c>
      <c r="G2580" t="s">
        <v>120</v>
      </c>
      <c r="H2580">
        <v>2020</v>
      </c>
      <c r="I2580" t="s">
        <v>33</v>
      </c>
      <c r="J2580">
        <v>8</v>
      </c>
      <c r="K2580">
        <v>5</v>
      </c>
      <c r="L2580">
        <v>2</v>
      </c>
      <c r="M2580">
        <v>0</v>
      </c>
      <c r="N2580">
        <v>2</v>
      </c>
      <c r="O2580">
        <v>0</v>
      </c>
      <c r="P2580">
        <v>0</v>
      </c>
      <c r="Q2580">
        <v>0</v>
      </c>
      <c r="R2580">
        <v>0</v>
      </c>
      <c r="S2580">
        <v>71</v>
      </c>
      <c r="T2580">
        <v>65</v>
      </c>
      <c r="U2580" s="5">
        <f>IF(Merge1[[#This Row],[team_defense_snaps]]=0, "", Merge1[[#This Row],[defense_snaps]] / Merge1[[#This Row],[team_defense_snaps]])</f>
        <v>1</v>
      </c>
      <c r="V2580">
        <v>65</v>
      </c>
      <c r="W2580">
        <v>6</v>
      </c>
      <c r="X2580" s="5" t="s">
        <v>59</v>
      </c>
      <c r="Y2580">
        <v>1</v>
      </c>
      <c r="Z2580">
        <v>0</v>
      </c>
      <c r="AA2580" t="s">
        <v>25</v>
      </c>
      <c r="AB2580" t="s">
        <v>26</v>
      </c>
      <c r="AC2580" t="s">
        <v>27</v>
      </c>
      <c r="AD2580" t="s">
        <v>42</v>
      </c>
      <c r="AE2580" t="s">
        <v>25</v>
      </c>
      <c r="AF25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8.4507042253521125E-2</v>
      </c>
      <c r="AG2580" t="s">
        <v>942</v>
      </c>
      <c r="AH2580">
        <v>80.5</v>
      </c>
      <c r="AI2580" t="s">
        <v>939</v>
      </c>
      <c r="AJ2580">
        <v>2</v>
      </c>
      <c r="AK25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MIN(AJ2580/8, 1) +
  Merge1[[#This Row],[index_defensive_effort]],
  2
)</f>
        <v>0.73</v>
      </c>
    </row>
    <row r="2581" spans="1:37" x14ac:dyDescent="0.25">
      <c r="A2581" t="s">
        <v>695</v>
      </c>
      <c r="B2581" t="s">
        <v>696</v>
      </c>
      <c r="C2581">
        <v>23</v>
      </c>
      <c r="D2581" t="s">
        <v>22</v>
      </c>
      <c r="E2581">
        <v>72</v>
      </c>
      <c r="F2581">
        <v>195</v>
      </c>
      <c r="G2581" t="s">
        <v>120</v>
      </c>
      <c r="H2581">
        <v>2020</v>
      </c>
      <c r="I2581" t="s">
        <v>33</v>
      </c>
      <c r="J2581">
        <v>9</v>
      </c>
      <c r="K2581">
        <v>5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60</v>
      </c>
      <c r="T2581">
        <v>51</v>
      </c>
      <c r="U2581" s="5">
        <f>IF(Merge1[[#This Row],[team_defense_snaps]]=0, "", Merge1[[#This Row],[defense_snaps]] / Merge1[[#This Row],[team_defense_snaps]])</f>
        <v>1</v>
      </c>
      <c r="V2581">
        <v>51</v>
      </c>
      <c r="W2581">
        <v>9</v>
      </c>
      <c r="X2581" s="5" t="s">
        <v>314</v>
      </c>
      <c r="Y2581">
        <v>1</v>
      </c>
      <c r="Z2581">
        <v>0</v>
      </c>
      <c r="AA2581" t="s">
        <v>25</v>
      </c>
      <c r="AB2581" t="s">
        <v>26</v>
      </c>
      <c r="AC2581" t="s">
        <v>27</v>
      </c>
      <c r="AD2581" t="s">
        <v>42</v>
      </c>
      <c r="AE2581" t="s">
        <v>25</v>
      </c>
      <c r="AF25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2581" t="s">
        <v>942</v>
      </c>
      <c r="AH2581">
        <v>77.5</v>
      </c>
      <c r="AI2581" t="s">
        <v>939</v>
      </c>
      <c r="AJ2581">
        <v>3</v>
      </c>
      <c r="AK25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MIN(AJ2581/8, 1) +
  Merge1[[#This Row],[index_defensive_effort]],
  2
)</f>
        <v>0.86</v>
      </c>
    </row>
    <row r="2582" spans="1:37" x14ac:dyDescent="0.25">
      <c r="A2582" t="s">
        <v>695</v>
      </c>
      <c r="B2582" t="s">
        <v>696</v>
      </c>
      <c r="C2582">
        <v>23</v>
      </c>
      <c r="D2582" t="s">
        <v>22</v>
      </c>
      <c r="E2582">
        <v>72</v>
      </c>
      <c r="F2582">
        <v>195</v>
      </c>
      <c r="G2582" t="s">
        <v>120</v>
      </c>
      <c r="H2582">
        <v>2020</v>
      </c>
      <c r="I2582" t="s">
        <v>33</v>
      </c>
      <c r="J2582">
        <v>10</v>
      </c>
      <c r="K2582">
        <v>7</v>
      </c>
      <c r="L2582">
        <v>1</v>
      </c>
      <c r="M2582">
        <v>1</v>
      </c>
      <c r="N2582">
        <v>2</v>
      </c>
      <c r="O2582">
        <v>0</v>
      </c>
      <c r="P2582">
        <v>0</v>
      </c>
      <c r="Q2582">
        <v>0</v>
      </c>
      <c r="R2582">
        <v>0</v>
      </c>
      <c r="S2582">
        <v>67</v>
      </c>
      <c r="T2582">
        <v>58</v>
      </c>
      <c r="U2582" s="5">
        <f>IF(Merge1[[#This Row],[team_defense_snaps]]=0, "", Merge1[[#This Row],[defense_snaps]] / Merge1[[#This Row],[team_defense_snaps]])</f>
        <v>1</v>
      </c>
      <c r="V2582">
        <v>58</v>
      </c>
      <c r="W2582">
        <v>9</v>
      </c>
      <c r="X2582" s="5" t="s">
        <v>108</v>
      </c>
      <c r="Y2582">
        <v>1</v>
      </c>
      <c r="Z2582">
        <v>0</v>
      </c>
      <c r="AA2582" t="s">
        <v>25</v>
      </c>
      <c r="AB2582" t="s">
        <v>26</v>
      </c>
      <c r="AC2582" t="s">
        <v>27</v>
      </c>
      <c r="AD2582" t="s">
        <v>42</v>
      </c>
      <c r="AE2582" t="s">
        <v>25</v>
      </c>
      <c r="AF25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0.11940298507462686</v>
      </c>
      <c r="AG2582" t="s">
        <v>942</v>
      </c>
      <c r="AH2582">
        <v>62.5</v>
      </c>
      <c r="AI2582" t="s">
        <v>939</v>
      </c>
      <c r="AJ2582">
        <v>4</v>
      </c>
      <c r="AK25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MIN(AJ2582/8, 1) +
  Merge1[[#This Row],[index_defensive_effort]],
  2
)</f>
        <v>1.02</v>
      </c>
    </row>
    <row r="2583" spans="1:37" x14ac:dyDescent="0.25">
      <c r="A2583" t="s">
        <v>695</v>
      </c>
      <c r="B2583" t="s">
        <v>696</v>
      </c>
      <c r="C2583">
        <v>23</v>
      </c>
      <c r="D2583" t="s">
        <v>22</v>
      </c>
      <c r="E2583">
        <v>72</v>
      </c>
      <c r="F2583">
        <v>195</v>
      </c>
      <c r="G2583" t="s">
        <v>120</v>
      </c>
      <c r="H2583">
        <v>2020</v>
      </c>
      <c r="I2583" t="s">
        <v>33</v>
      </c>
      <c r="J2583">
        <v>11</v>
      </c>
      <c r="K2583">
        <v>3</v>
      </c>
      <c r="L2583">
        <v>0</v>
      </c>
      <c r="M2583">
        <v>0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68</v>
      </c>
      <c r="T2583">
        <v>60</v>
      </c>
      <c r="U2583" s="5">
        <f>IF(Merge1[[#This Row],[team_defense_snaps]]=0, "", Merge1[[#This Row],[defense_snaps]] / Merge1[[#This Row],[team_defense_snaps]])</f>
        <v>0.98360655737704916</v>
      </c>
      <c r="V2583">
        <v>61</v>
      </c>
      <c r="W2583">
        <v>8</v>
      </c>
      <c r="X2583" s="5" t="s">
        <v>136</v>
      </c>
      <c r="Y2583">
        <v>1</v>
      </c>
      <c r="Z2583">
        <v>0</v>
      </c>
      <c r="AA2583" t="s">
        <v>25</v>
      </c>
      <c r="AB2583" t="s">
        <v>26</v>
      </c>
      <c r="AC2583" t="s">
        <v>27</v>
      </c>
      <c r="AD2583" t="s">
        <v>42</v>
      </c>
      <c r="AE2583" t="s">
        <v>25</v>
      </c>
      <c r="AF25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7.3529411764705885E-2</v>
      </c>
      <c r="AG2583" t="s">
        <v>942</v>
      </c>
      <c r="AH2583">
        <v>58</v>
      </c>
      <c r="AI2583" t="s">
        <v>939</v>
      </c>
      <c r="AJ2583">
        <v>5</v>
      </c>
      <c r="AK25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MIN(AJ2583/8, 1) +
  Merge1[[#This Row],[index_defensive_effort]],
  2
)</f>
        <v>1.1000000000000001</v>
      </c>
    </row>
    <row r="2584" spans="1:37" x14ac:dyDescent="0.25">
      <c r="A2584" t="s">
        <v>695</v>
      </c>
      <c r="B2584" t="s">
        <v>696</v>
      </c>
      <c r="C2584">
        <v>23</v>
      </c>
      <c r="D2584" t="s">
        <v>22</v>
      </c>
      <c r="E2584">
        <v>72</v>
      </c>
      <c r="F2584">
        <v>195</v>
      </c>
      <c r="G2584" t="s">
        <v>120</v>
      </c>
      <c r="H2584">
        <v>2020</v>
      </c>
      <c r="I2584" t="s">
        <v>33</v>
      </c>
      <c r="J2584">
        <v>12</v>
      </c>
      <c r="K2584">
        <v>2</v>
      </c>
      <c r="L2584">
        <v>2</v>
      </c>
      <c r="M2584">
        <v>1</v>
      </c>
      <c r="N2584">
        <v>3</v>
      </c>
      <c r="O2584">
        <v>0</v>
      </c>
      <c r="P2584">
        <v>0</v>
      </c>
      <c r="Q2584">
        <v>0</v>
      </c>
      <c r="R2584">
        <v>0</v>
      </c>
      <c r="S2584">
        <v>70</v>
      </c>
      <c r="T2584">
        <v>62</v>
      </c>
      <c r="U2584" s="5">
        <f>IF(Merge1[[#This Row],[team_defense_snaps]]=0, "", Merge1[[#This Row],[defense_snaps]] / Merge1[[#This Row],[team_defense_snaps]])</f>
        <v>1</v>
      </c>
      <c r="V2584">
        <v>62</v>
      </c>
      <c r="W2584">
        <v>8</v>
      </c>
      <c r="X2584" s="5" t="s">
        <v>138</v>
      </c>
      <c r="Y2584">
        <v>1</v>
      </c>
      <c r="Z2584">
        <v>0</v>
      </c>
      <c r="AA2584" t="s">
        <v>25</v>
      </c>
      <c r="AB2584" t="s">
        <v>26</v>
      </c>
      <c r="AC2584" t="s">
        <v>27</v>
      </c>
      <c r="AD2584" t="s">
        <v>42</v>
      </c>
      <c r="AE2584" t="s">
        <v>25</v>
      </c>
      <c r="AF25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2584" t="s">
        <v>942</v>
      </c>
      <c r="AH2584">
        <v>70</v>
      </c>
      <c r="AI2584" t="s">
        <v>939</v>
      </c>
      <c r="AJ2584">
        <v>6</v>
      </c>
      <c r="AK25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MIN(AJ2584/8, 1) +
  Merge1[[#This Row],[index_defensive_effort]],
  2
)</f>
        <v>1.2</v>
      </c>
    </row>
    <row r="2585" spans="1:37" x14ac:dyDescent="0.25">
      <c r="A2585" t="s">
        <v>695</v>
      </c>
      <c r="B2585" t="s">
        <v>696</v>
      </c>
      <c r="C2585">
        <v>23</v>
      </c>
      <c r="D2585" t="s">
        <v>22</v>
      </c>
      <c r="E2585">
        <v>72</v>
      </c>
      <c r="F2585">
        <v>195</v>
      </c>
      <c r="G2585" t="s">
        <v>120</v>
      </c>
      <c r="H2585">
        <v>2020</v>
      </c>
      <c r="I2585" t="s">
        <v>33</v>
      </c>
      <c r="J2585">
        <v>13</v>
      </c>
      <c r="K2585">
        <v>3</v>
      </c>
      <c r="L2585">
        <v>1</v>
      </c>
      <c r="M2585">
        <v>0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80</v>
      </c>
      <c r="T2585">
        <v>67</v>
      </c>
      <c r="U2585" s="5">
        <f>IF(Merge1[[#This Row],[team_defense_snaps]]=0, "", Merge1[[#This Row],[defense_snaps]] / Merge1[[#This Row],[team_defense_snaps]])</f>
        <v>1</v>
      </c>
      <c r="V2585">
        <v>67</v>
      </c>
      <c r="W2585">
        <v>13</v>
      </c>
      <c r="X2585" s="5" t="s">
        <v>275</v>
      </c>
      <c r="Y2585">
        <v>1</v>
      </c>
      <c r="Z2585">
        <v>0</v>
      </c>
      <c r="AA2585" t="s">
        <v>25</v>
      </c>
      <c r="AB2585" t="s">
        <v>26</v>
      </c>
      <c r="AC2585" t="s">
        <v>27</v>
      </c>
      <c r="AD2585" t="s">
        <v>42</v>
      </c>
      <c r="AE2585" t="s">
        <v>25</v>
      </c>
      <c r="AF25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4.3749999999999997E-2</v>
      </c>
      <c r="AG2585" t="s">
        <v>942</v>
      </c>
      <c r="AH2585">
        <v>79</v>
      </c>
      <c r="AI2585" t="s">
        <v>939</v>
      </c>
      <c r="AJ2585">
        <v>7</v>
      </c>
      <c r="AK25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MIN(AJ2585/8, 1) +
  Merge1[[#This Row],[index_defensive_effort]],
  2
)</f>
        <v>1.32</v>
      </c>
    </row>
    <row r="2586" spans="1:37" x14ac:dyDescent="0.25">
      <c r="A2586" t="s">
        <v>695</v>
      </c>
      <c r="B2586" t="s">
        <v>696</v>
      </c>
      <c r="C2586">
        <v>23</v>
      </c>
      <c r="D2586" t="s">
        <v>22</v>
      </c>
      <c r="E2586">
        <v>72</v>
      </c>
      <c r="F2586">
        <v>195</v>
      </c>
      <c r="G2586" t="s">
        <v>120</v>
      </c>
      <c r="H2586">
        <v>2020</v>
      </c>
      <c r="I2586" t="s">
        <v>33</v>
      </c>
      <c r="J2586">
        <v>14</v>
      </c>
      <c r="K2586">
        <v>3</v>
      </c>
      <c r="L2586">
        <v>0</v>
      </c>
      <c r="M2586">
        <v>0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40</v>
      </c>
      <c r="T2586">
        <v>31</v>
      </c>
      <c r="U2586" s="5">
        <f>IF(Merge1[[#This Row],[team_defense_snaps]]=0, "", Merge1[[#This Row],[defense_snaps]] / Merge1[[#This Row],[team_defense_snaps]])</f>
        <v>0.54385964912280704</v>
      </c>
      <c r="V2586">
        <v>57</v>
      </c>
      <c r="W2586">
        <v>9</v>
      </c>
      <c r="X2586" s="5" t="s">
        <v>75</v>
      </c>
      <c r="Y2586">
        <v>1</v>
      </c>
      <c r="Z2586">
        <v>0</v>
      </c>
      <c r="AA2586" t="s">
        <v>25</v>
      </c>
      <c r="AB2586" t="s">
        <v>26</v>
      </c>
      <c r="AC2586" t="s">
        <v>27</v>
      </c>
      <c r="AD2586" t="s">
        <v>42</v>
      </c>
      <c r="AE2586" t="s">
        <v>25</v>
      </c>
      <c r="AF25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2586" t="s">
        <v>942</v>
      </c>
      <c r="AH2586">
        <v>59.5</v>
      </c>
      <c r="AI2586" t="s">
        <v>939</v>
      </c>
      <c r="AJ2586">
        <v>8</v>
      </c>
      <c r="AK25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MIN(AJ2586/8, 1) +
  Merge1[[#This Row],[index_defensive_effort]],
  2
)</f>
        <v>1.53</v>
      </c>
    </row>
    <row r="2587" spans="1:37" x14ac:dyDescent="0.25">
      <c r="A2587" t="s">
        <v>695</v>
      </c>
      <c r="B2587" t="s">
        <v>696</v>
      </c>
      <c r="C2587">
        <v>23</v>
      </c>
      <c r="D2587" t="s">
        <v>22</v>
      </c>
      <c r="E2587">
        <v>72</v>
      </c>
      <c r="F2587">
        <v>195</v>
      </c>
      <c r="G2587" t="s">
        <v>120</v>
      </c>
      <c r="H2587">
        <v>2020</v>
      </c>
      <c r="I2587" t="s">
        <v>33</v>
      </c>
      <c r="J2587">
        <v>16</v>
      </c>
      <c r="K2587">
        <v>4</v>
      </c>
      <c r="L2587">
        <v>3</v>
      </c>
      <c r="M2587">
        <v>1</v>
      </c>
      <c r="N2587">
        <v>4</v>
      </c>
      <c r="O2587">
        <v>0</v>
      </c>
      <c r="P2587">
        <v>0</v>
      </c>
      <c r="Q2587">
        <v>0</v>
      </c>
      <c r="R2587">
        <v>0</v>
      </c>
      <c r="S2587">
        <v>90</v>
      </c>
      <c r="T2587">
        <v>76</v>
      </c>
      <c r="U2587" s="5">
        <f>IF(Merge1[[#This Row],[team_defense_snaps]]=0, "", Merge1[[#This Row],[defense_snaps]] / Merge1[[#This Row],[team_defense_snaps]])</f>
        <v>0.98701298701298701</v>
      </c>
      <c r="V2587">
        <v>77</v>
      </c>
      <c r="W2587">
        <v>14</v>
      </c>
      <c r="X2587" s="5" t="s">
        <v>200</v>
      </c>
      <c r="Y2587">
        <v>1</v>
      </c>
      <c r="Z2587">
        <v>0</v>
      </c>
      <c r="AA2587" t="s">
        <v>25</v>
      </c>
      <c r="AB2587" t="s">
        <v>26</v>
      </c>
      <c r="AC2587" t="s">
        <v>27</v>
      </c>
      <c r="AD2587" t="s">
        <v>42</v>
      </c>
      <c r="AE2587" t="s">
        <v>25</v>
      </c>
      <c r="AF25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2587" t="s">
        <v>942</v>
      </c>
      <c r="AH2587">
        <v>71.5</v>
      </c>
      <c r="AI2587" t="s">
        <v>939</v>
      </c>
      <c r="AJ2587">
        <v>1</v>
      </c>
      <c r="AK25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MIN(AJ2587/8, 1) +
  Merge1[[#This Row],[index_defensive_effort]],
  2
)</f>
        <v>0.59</v>
      </c>
    </row>
    <row r="2588" spans="1:37" x14ac:dyDescent="0.25">
      <c r="A2588" t="s">
        <v>695</v>
      </c>
      <c r="B2588" t="s">
        <v>696</v>
      </c>
      <c r="C2588">
        <v>23</v>
      </c>
      <c r="D2588" t="s">
        <v>22</v>
      </c>
      <c r="E2588">
        <v>72</v>
      </c>
      <c r="F2588">
        <v>195</v>
      </c>
      <c r="G2588" t="s">
        <v>120</v>
      </c>
      <c r="H2588">
        <v>2020</v>
      </c>
      <c r="I2588" t="s">
        <v>33</v>
      </c>
      <c r="J2588">
        <v>17</v>
      </c>
      <c r="K2588">
        <v>5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60</v>
      </c>
      <c r="T2588">
        <v>53</v>
      </c>
      <c r="U2588" s="5">
        <f>IF(Merge1[[#This Row],[team_defense_snaps]]=0, "", Merge1[[#This Row],[defense_snaps]] / Merge1[[#This Row],[team_defense_snaps]])</f>
        <v>1</v>
      </c>
      <c r="V2588">
        <v>53</v>
      </c>
      <c r="W2588">
        <v>7</v>
      </c>
      <c r="X2588" s="5" t="s">
        <v>108</v>
      </c>
      <c r="Y2588">
        <v>1</v>
      </c>
      <c r="Z2588">
        <v>0</v>
      </c>
      <c r="AA2588" t="s">
        <v>25</v>
      </c>
      <c r="AB2588" t="s">
        <v>26</v>
      </c>
      <c r="AC2588" t="s">
        <v>27</v>
      </c>
      <c r="AD2588" t="s">
        <v>42</v>
      </c>
      <c r="AE2588" t="s">
        <v>25</v>
      </c>
      <c r="AF25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2588" t="s">
        <v>942</v>
      </c>
      <c r="AH2588">
        <v>67</v>
      </c>
      <c r="AI2588" t="s">
        <v>939</v>
      </c>
      <c r="AJ2588">
        <v>2</v>
      </c>
      <c r="AK25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MIN(AJ2588/8, 1) +
  Merge1[[#This Row],[index_defensive_effort]],
  2
)</f>
        <v>0.73</v>
      </c>
    </row>
    <row r="2589" spans="1:37" x14ac:dyDescent="0.25">
      <c r="A2589" t="s">
        <v>697</v>
      </c>
      <c r="B2589" t="s">
        <v>698</v>
      </c>
      <c r="C2589">
        <v>32</v>
      </c>
      <c r="D2589" t="s">
        <v>22</v>
      </c>
      <c r="E2589">
        <v>72</v>
      </c>
      <c r="F2589">
        <v>215</v>
      </c>
      <c r="G2589" t="s">
        <v>94</v>
      </c>
      <c r="H2589">
        <v>2020</v>
      </c>
      <c r="I2589" t="s">
        <v>33</v>
      </c>
      <c r="J2589">
        <v>7</v>
      </c>
      <c r="K2589">
        <v>1</v>
      </c>
      <c r="L2589">
        <v>0</v>
      </c>
      <c r="M2589">
        <v>0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35</v>
      </c>
      <c r="T2589">
        <v>12</v>
      </c>
      <c r="U2589" s="5">
        <f>IF(Merge1[[#This Row],[team_defense_snaps]]=0, "", Merge1[[#This Row],[defense_snaps]] / Merge1[[#This Row],[team_defense_snaps]])</f>
        <v>0.14634146341463414</v>
      </c>
      <c r="V2589">
        <v>82</v>
      </c>
      <c r="W2589">
        <v>23</v>
      </c>
      <c r="X2589" s="5" t="s">
        <v>109</v>
      </c>
      <c r="Y2589">
        <v>8</v>
      </c>
      <c r="Z2589">
        <v>0</v>
      </c>
      <c r="AA2589" t="s">
        <v>25</v>
      </c>
      <c r="AB2589" t="s">
        <v>26</v>
      </c>
      <c r="AC2589" t="s">
        <v>27</v>
      </c>
      <c r="AD2589" t="s">
        <v>28</v>
      </c>
      <c r="AE2589" t="s">
        <v>25</v>
      </c>
      <c r="AF25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8.5714285714285715E-2</v>
      </c>
      <c r="AG2589" t="s">
        <v>942</v>
      </c>
      <c r="AH2589">
        <v>63</v>
      </c>
      <c r="AI2589" t="s">
        <v>939</v>
      </c>
      <c r="AJ2589">
        <v>1</v>
      </c>
      <c r="AK25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MIN(AJ2589/8, 1) +
  Merge1[[#This Row],[index_defensive_effort]],
  2
)</f>
        <v>0.91</v>
      </c>
    </row>
    <row r="2590" spans="1:37" x14ac:dyDescent="0.25">
      <c r="A2590" t="s">
        <v>697</v>
      </c>
      <c r="B2590" t="s">
        <v>698</v>
      </c>
      <c r="C2590">
        <v>32</v>
      </c>
      <c r="D2590" t="s">
        <v>22</v>
      </c>
      <c r="E2590">
        <v>72</v>
      </c>
      <c r="F2590">
        <v>215</v>
      </c>
      <c r="G2590" t="s">
        <v>94</v>
      </c>
      <c r="H2590">
        <v>2020</v>
      </c>
      <c r="I2590" t="s">
        <v>33</v>
      </c>
      <c r="J2590">
        <v>17</v>
      </c>
      <c r="K2590">
        <v>1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29</v>
      </c>
      <c r="T2590">
        <v>3</v>
      </c>
      <c r="U2590" s="5">
        <f>IF(Merge1[[#This Row],[team_defense_snaps]]=0, "", Merge1[[#This Row],[defense_snaps]] / Merge1[[#This Row],[team_defense_snaps]])</f>
        <v>3.614457831325301E-2</v>
      </c>
      <c r="V2590">
        <v>83</v>
      </c>
      <c r="W2590">
        <v>26</v>
      </c>
      <c r="X2590" s="5" t="s">
        <v>51</v>
      </c>
      <c r="Y2590">
        <v>8</v>
      </c>
      <c r="Z2590">
        <v>0</v>
      </c>
      <c r="AA2590" t="s">
        <v>25</v>
      </c>
      <c r="AB2590" t="s">
        <v>26</v>
      </c>
      <c r="AC2590" t="s">
        <v>27</v>
      </c>
      <c r="AD2590" t="s">
        <v>28</v>
      </c>
      <c r="AE2590" t="s">
        <v>25</v>
      </c>
      <c r="AF25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3.4482758620689655E-2</v>
      </c>
      <c r="AG2590" t="s">
        <v>942</v>
      </c>
      <c r="AH2590">
        <v>48</v>
      </c>
      <c r="AI2590" t="s">
        <v>939</v>
      </c>
      <c r="AJ2590">
        <v>1</v>
      </c>
      <c r="AK25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MIN(AJ2590/8, 1) +
  Merge1[[#This Row],[index_defensive_effort]],
  2
)</f>
        <v>0.86</v>
      </c>
    </row>
    <row r="2591" spans="1:37" x14ac:dyDescent="0.25">
      <c r="A2591" t="s">
        <v>699</v>
      </c>
      <c r="B2591" t="s">
        <v>700</v>
      </c>
      <c r="C2591">
        <v>26</v>
      </c>
      <c r="D2591" t="s">
        <v>56</v>
      </c>
      <c r="E2591">
        <v>72</v>
      </c>
      <c r="F2591">
        <v>185</v>
      </c>
      <c r="G2591" t="s">
        <v>107</v>
      </c>
      <c r="H2591">
        <v>2020</v>
      </c>
      <c r="I2591" t="s">
        <v>33</v>
      </c>
      <c r="J2591">
        <v>1</v>
      </c>
      <c r="K2591">
        <v>5</v>
      </c>
      <c r="L2591">
        <v>1</v>
      </c>
      <c r="M2591">
        <v>1</v>
      </c>
      <c r="N2591">
        <v>2</v>
      </c>
      <c r="O2591">
        <v>0</v>
      </c>
      <c r="P2591">
        <v>0</v>
      </c>
      <c r="Q2591">
        <v>0</v>
      </c>
      <c r="R2591">
        <v>0</v>
      </c>
      <c r="S2591">
        <v>51</v>
      </c>
      <c r="T2591">
        <v>51</v>
      </c>
      <c r="U2591" s="5">
        <f>IF(Merge1[[#This Row],[team_defense_snaps]]=0, "", Merge1[[#This Row],[defense_snaps]] / Merge1[[#This Row],[team_defense_snaps]])</f>
        <v>0.57954545454545459</v>
      </c>
      <c r="V2591">
        <v>88</v>
      </c>
      <c r="W2591">
        <v>0</v>
      </c>
      <c r="X2591" s="5" t="s">
        <v>29</v>
      </c>
      <c r="Y2591">
        <v>3</v>
      </c>
      <c r="Z2591">
        <v>0</v>
      </c>
      <c r="AA2591" t="s">
        <v>25</v>
      </c>
      <c r="AB2591" t="s">
        <v>26</v>
      </c>
      <c r="AC2591" t="s">
        <v>27</v>
      </c>
      <c r="AD2591" t="s">
        <v>204</v>
      </c>
      <c r="AE2591" t="s">
        <v>25</v>
      </c>
      <c r="AF25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0.11764705882352941</v>
      </c>
      <c r="AG2591" t="s">
        <v>942</v>
      </c>
      <c r="AH2591">
        <v>72</v>
      </c>
      <c r="AI2591" t="s">
        <v>939</v>
      </c>
      <c r="AJ2591">
        <v>1</v>
      </c>
      <c r="AK25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MIN(AJ2591/8, 1) +
  Merge1[[#This Row],[index_defensive_effort]],
  2
)</f>
        <v>0.74</v>
      </c>
    </row>
    <row r="2592" spans="1:37" x14ac:dyDescent="0.25">
      <c r="A2592" t="s">
        <v>703</v>
      </c>
      <c r="B2592" t="s">
        <v>704</v>
      </c>
      <c r="C2592">
        <v>29</v>
      </c>
      <c r="D2592" t="s">
        <v>56</v>
      </c>
      <c r="E2592">
        <v>70</v>
      </c>
      <c r="F2592">
        <v>190</v>
      </c>
      <c r="G2592" t="s">
        <v>166</v>
      </c>
      <c r="H2592">
        <v>2020</v>
      </c>
      <c r="I2592" t="s">
        <v>33</v>
      </c>
      <c r="J2592">
        <v>2</v>
      </c>
      <c r="K2592">
        <v>1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32</v>
      </c>
      <c r="T2592">
        <v>13</v>
      </c>
      <c r="U2592" s="5">
        <f>IF(Merge1[[#This Row],[team_defense_snaps]]=0, "", Merge1[[#This Row],[defense_snaps]] / Merge1[[#This Row],[team_defense_snaps]])</f>
        <v>0.21666666666666667</v>
      </c>
      <c r="V2592">
        <v>60</v>
      </c>
      <c r="W2592">
        <v>19</v>
      </c>
      <c r="X2592" s="5" t="s">
        <v>61</v>
      </c>
      <c r="Y2592">
        <v>6</v>
      </c>
      <c r="Z2592">
        <v>0</v>
      </c>
      <c r="AA2592" t="s">
        <v>25</v>
      </c>
      <c r="AB2592" t="s">
        <v>26</v>
      </c>
      <c r="AC2592" t="s">
        <v>27</v>
      </c>
      <c r="AD2592" t="s">
        <v>28</v>
      </c>
      <c r="AE2592" t="s">
        <v>25</v>
      </c>
      <c r="AF25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3.125E-2</v>
      </c>
      <c r="AG2592" t="s">
        <v>941</v>
      </c>
      <c r="AH2592">
        <v>75.5</v>
      </c>
      <c r="AI2592" t="s">
        <v>939</v>
      </c>
      <c r="AJ2592">
        <v>1</v>
      </c>
      <c r="AK25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MIN(AJ2592/8, 1) +
  Merge1[[#This Row],[index_defensive_effort]],
  2
)</f>
        <v>0.76</v>
      </c>
    </row>
    <row r="2593" spans="1:37" x14ac:dyDescent="0.25">
      <c r="A2593" t="s">
        <v>703</v>
      </c>
      <c r="B2593" t="s">
        <v>704</v>
      </c>
      <c r="C2593">
        <v>29</v>
      </c>
      <c r="D2593" t="s">
        <v>56</v>
      </c>
      <c r="E2593">
        <v>70</v>
      </c>
      <c r="F2593">
        <v>190</v>
      </c>
      <c r="G2593" t="s">
        <v>166</v>
      </c>
      <c r="H2593">
        <v>2020</v>
      </c>
      <c r="I2593" t="s">
        <v>33</v>
      </c>
      <c r="J2593">
        <v>3</v>
      </c>
      <c r="K2593">
        <v>3</v>
      </c>
      <c r="L2593">
        <v>1</v>
      </c>
      <c r="M2593">
        <v>1</v>
      </c>
      <c r="N2593">
        <v>2</v>
      </c>
      <c r="O2593">
        <v>0</v>
      </c>
      <c r="P2593">
        <v>0</v>
      </c>
      <c r="Q2593">
        <v>0</v>
      </c>
      <c r="R2593">
        <v>0</v>
      </c>
      <c r="S2593">
        <v>53</v>
      </c>
      <c r="T2593">
        <v>36</v>
      </c>
      <c r="U2593" s="5">
        <f>IF(Merge1[[#This Row],[team_defense_snaps]]=0, "", Merge1[[#This Row],[defense_snaps]] / Merge1[[#This Row],[team_defense_snaps]])</f>
        <v>0.52173913043478259</v>
      </c>
      <c r="V2593">
        <v>69</v>
      </c>
      <c r="W2593">
        <v>17</v>
      </c>
      <c r="X2593" s="5" t="s">
        <v>182</v>
      </c>
      <c r="Y2593">
        <v>6</v>
      </c>
      <c r="Z2593">
        <v>0</v>
      </c>
      <c r="AA2593" t="s">
        <v>25</v>
      </c>
      <c r="AB2593" t="s">
        <v>26</v>
      </c>
      <c r="AC2593" t="s">
        <v>27</v>
      </c>
      <c r="AD2593" t="s">
        <v>28</v>
      </c>
      <c r="AE2593" t="s">
        <v>25</v>
      </c>
      <c r="AF25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7.5471698113207544E-2</v>
      </c>
      <c r="AG2593" t="s">
        <v>941</v>
      </c>
      <c r="AH2593">
        <v>71</v>
      </c>
      <c r="AI2593" t="s">
        <v>939</v>
      </c>
      <c r="AJ2593">
        <v>2</v>
      </c>
      <c r="AK25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MIN(AJ2593/8, 1) +
  Merge1[[#This Row],[index_defensive_effort]],
  2
)</f>
        <v>0.93</v>
      </c>
    </row>
    <row r="2594" spans="1:37" x14ac:dyDescent="0.25">
      <c r="A2594" t="s">
        <v>703</v>
      </c>
      <c r="B2594" t="s">
        <v>704</v>
      </c>
      <c r="C2594">
        <v>29</v>
      </c>
      <c r="D2594" t="s">
        <v>56</v>
      </c>
      <c r="E2594">
        <v>70</v>
      </c>
      <c r="F2594">
        <v>190</v>
      </c>
      <c r="G2594" t="s">
        <v>166</v>
      </c>
      <c r="H2594">
        <v>2020</v>
      </c>
      <c r="I2594" t="s">
        <v>33</v>
      </c>
      <c r="J2594">
        <v>4</v>
      </c>
      <c r="K2594">
        <v>4</v>
      </c>
      <c r="L2594">
        <v>1</v>
      </c>
      <c r="M2594">
        <v>0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69</v>
      </c>
      <c r="T2594">
        <v>57</v>
      </c>
      <c r="U2594" s="5">
        <f>IF(Merge1[[#This Row],[team_defense_snaps]]=0, "", Merge1[[#This Row],[defense_snaps]] / Merge1[[#This Row],[team_defense_snaps]])</f>
        <v>0.91935483870967738</v>
      </c>
      <c r="V2594">
        <v>62</v>
      </c>
      <c r="W2594">
        <v>12</v>
      </c>
      <c r="X2594" s="5" t="s">
        <v>260</v>
      </c>
      <c r="Y2594">
        <v>6</v>
      </c>
      <c r="Z2594">
        <v>0</v>
      </c>
      <c r="AA2594" t="s">
        <v>25</v>
      </c>
      <c r="AB2594" t="s">
        <v>26</v>
      </c>
      <c r="AC2594" t="s">
        <v>27</v>
      </c>
      <c r="AD2594" t="s">
        <v>42</v>
      </c>
      <c r="AE2594" t="s">
        <v>25</v>
      </c>
      <c r="AF25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6.5217391304347824E-2</v>
      </c>
      <c r="AG2594" t="s">
        <v>941</v>
      </c>
      <c r="AH2594">
        <v>80</v>
      </c>
      <c r="AI2594" t="s">
        <v>939</v>
      </c>
      <c r="AJ2594">
        <v>3</v>
      </c>
      <c r="AK25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MIN(AJ2594/8, 1) +
  Merge1[[#This Row],[index_defensive_effort]],
  2
)</f>
        <v>1.04</v>
      </c>
    </row>
    <row r="2595" spans="1:37" x14ac:dyDescent="0.25">
      <c r="A2595" t="s">
        <v>703</v>
      </c>
      <c r="B2595" t="s">
        <v>704</v>
      </c>
      <c r="C2595">
        <v>29</v>
      </c>
      <c r="D2595" t="s">
        <v>56</v>
      </c>
      <c r="E2595">
        <v>70</v>
      </c>
      <c r="F2595">
        <v>190</v>
      </c>
      <c r="G2595" t="s">
        <v>166</v>
      </c>
      <c r="H2595">
        <v>2020</v>
      </c>
      <c r="I2595" t="s">
        <v>33</v>
      </c>
      <c r="J2595">
        <v>5</v>
      </c>
      <c r="K2595">
        <v>8</v>
      </c>
      <c r="L2595">
        <v>1</v>
      </c>
      <c r="M2595">
        <v>0</v>
      </c>
      <c r="N2595">
        <v>1</v>
      </c>
      <c r="O2595">
        <v>3</v>
      </c>
      <c r="P2595">
        <v>3</v>
      </c>
      <c r="Q2595">
        <v>0</v>
      </c>
      <c r="R2595">
        <v>0</v>
      </c>
      <c r="S2595">
        <v>76</v>
      </c>
      <c r="T2595">
        <v>65</v>
      </c>
      <c r="U2595" s="5">
        <f>IF(Merge1[[#This Row],[team_defense_snaps]]=0, "", Merge1[[#This Row],[defense_snaps]] / Merge1[[#This Row],[team_defense_snaps]])</f>
        <v>0.8783783783783784</v>
      </c>
      <c r="V2595">
        <v>74</v>
      </c>
      <c r="W2595">
        <v>11</v>
      </c>
      <c r="X2595" s="5" t="s">
        <v>70</v>
      </c>
      <c r="Y2595">
        <v>6</v>
      </c>
      <c r="Z2595">
        <v>0</v>
      </c>
      <c r="AA2595" t="s">
        <v>25</v>
      </c>
      <c r="AB2595" t="s">
        <v>26</v>
      </c>
      <c r="AC2595" t="s">
        <v>27</v>
      </c>
      <c r="AD2595" t="s">
        <v>42</v>
      </c>
      <c r="AE2595" t="s">
        <v>25</v>
      </c>
      <c r="AF25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0.30921052631578949</v>
      </c>
      <c r="AG2595" t="s">
        <v>941</v>
      </c>
      <c r="AH2595">
        <v>92</v>
      </c>
      <c r="AI2595" t="s">
        <v>939</v>
      </c>
      <c r="AJ2595">
        <v>4</v>
      </c>
      <c r="AK25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MIN(AJ2595/8, 1) +
  Merge1[[#This Row],[index_defensive_effort]],
  2
)</f>
        <v>1.41</v>
      </c>
    </row>
    <row r="2596" spans="1:37" x14ac:dyDescent="0.25">
      <c r="A2596" t="s">
        <v>703</v>
      </c>
      <c r="B2596" t="s">
        <v>704</v>
      </c>
      <c r="C2596">
        <v>29</v>
      </c>
      <c r="D2596" t="s">
        <v>56</v>
      </c>
      <c r="E2596">
        <v>70</v>
      </c>
      <c r="F2596">
        <v>190</v>
      </c>
      <c r="G2596" t="s">
        <v>166</v>
      </c>
      <c r="H2596">
        <v>2020</v>
      </c>
      <c r="I2596" t="s">
        <v>33</v>
      </c>
      <c r="J2596">
        <v>7</v>
      </c>
      <c r="K2596">
        <v>5</v>
      </c>
      <c r="L2596">
        <v>1</v>
      </c>
      <c r="M2596">
        <v>0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85</v>
      </c>
      <c r="T2596">
        <v>72</v>
      </c>
      <c r="U2596" s="5">
        <f>IF(Merge1[[#This Row],[team_defense_snaps]]=0, "", Merge1[[#This Row],[defense_snaps]] / Merge1[[#This Row],[team_defense_snaps]])</f>
        <v>1</v>
      </c>
      <c r="V2596">
        <v>72</v>
      </c>
      <c r="W2596">
        <v>13</v>
      </c>
      <c r="X2596" s="5" t="s">
        <v>131</v>
      </c>
      <c r="Y2596">
        <v>6</v>
      </c>
      <c r="Z2596">
        <v>0</v>
      </c>
      <c r="AA2596" t="s">
        <v>25</v>
      </c>
      <c r="AB2596" t="s">
        <v>26</v>
      </c>
      <c r="AC2596" t="s">
        <v>27</v>
      </c>
      <c r="AD2596" t="s">
        <v>42</v>
      </c>
      <c r="AE2596" t="s">
        <v>25</v>
      </c>
      <c r="AF25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6.4705882352941183E-2</v>
      </c>
      <c r="AG2596" t="s">
        <v>941</v>
      </c>
      <c r="AH2596">
        <v>84.5</v>
      </c>
      <c r="AI2596" t="s">
        <v>939</v>
      </c>
      <c r="AJ2596">
        <v>1</v>
      </c>
      <c r="AK25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MIN(AJ2596/8, 1) +
  Merge1[[#This Row],[index_defensive_effort]],
  2
)</f>
        <v>0.79</v>
      </c>
    </row>
    <row r="2597" spans="1:37" x14ac:dyDescent="0.25">
      <c r="A2597" t="s">
        <v>703</v>
      </c>
      <c r="B2597" t="s">
        <v>704</v>
      </c>
      <c r="C2597">
        <v>29</v>
      </c>
      <c r="D2597" t="s">
        <v>56</v>
      </c>
      <c r="E2597">
        <v>70</v>
      </c>
      <c r="F2597">
        <v>190</v>
      </c>
      <c r="G2597" t="s">
        <v>166</v>
      </c>
      <c r="H2597">
        <v>2020</v>
      </c>
      <c r="I2597" t="s">
        <v>33</v>
      </c>
      <c r="J2597">
        <v>8</v>
      </c>
      <c r="K2597">
        <v>4</v>
      </c>
      <c r="L2597">
        <v>1</v>
      </c>
      <c r="M2597">
        <v>0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53</v>
      </c>
      <c r="T2597">
        <v>49</v>
      </c>
      <c r="U2597" s="5">
        <f>IF(Merge1[[#This Row],[team_defense_snaps]]=0, "", Merge1[[#This Row],[defense_snaps]] / Merge1[[#This Row],[team_defense_snaps]])</f>
        <v>1</v>
      </c>
      <c r="V2597">
        <v>49</v>
      </c>
      <c r="W2597">
        <v>4</v>
      </c>
      <c r="X2597" s="5" t="s">
        <v>139</v>
      </c>
      <c r="Y2597">
        <v>6</v>
      </c>
      <c r="Z2597">
        <v>0</v>
      </c>
      <c r="AA2597" t="s">
        <v>25</v>
      </c>
      <c r="AB2597" t="s">
        <v>26</v>
      </c>
      <c r="AC2597" t="s">
        <v>27</v>
      </c>
      <c r="AD2597" t="s">
        <v>42</v>
      </c>
      <c r="AE2597" t="s">
        <v>25</v>
      </c>
      <c r="AF25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8.4905660377358486E-2</v>
      </c>
      <c r="AG2597" t="s">
        <v>941</v>
      </c>
      <c r="AH2597">
        <v>77</v>
      </c>
      <c r="AI2597" t="s">
        <v>939</v>
      </c>
      <c r="AJ2597">
        <v>2</v>
      </c>
      <c r="AK25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MIN(AJ2597/8, 1) +
  Merge1[[#This Row],[index_defensive_effort]],
  2
)</f>
        <v>0.93</v>
      </c>
    </row>
    <row r="2598" spans="1:37" x14ac:dyDescent="0.25">
      <c r="A2598" t="s">
        <v>703</v>
      </c>
      <c r="B2598" t="s">
        <v>704</v>
      </c>
      <c r="C2598">
        <v>29</v>
      </c>
      <c r="D2598" t="s">
        <v>56</v>
      </c>
      <c r="E2598">
        <v>70</v>
      </c>
      <c r="F2598">
        <v>190</v>
      </c>
      <c r="G2598" t="s">
        <v>166</v>
      </c>
      <c r="H2598">
        <v>2020</v>
      </c>
      <c r="I2598" t="s">
        <v>33</v>
      </c>
      <c r="J2598">
        <v>9</v>
      </c>
      <c r="K2598">
        <v>2</v>
      </c>
      <c r="L2598">
        <v>1</v>
      </c>
      <c r="M2598">
        <v>1</v>
      </c>
      <c r="N2598">
        <v>2</v>
      </c>
      <c r="O2598">
        <v>0</v>
      </c>
      <c r="P2598">
        <v>0</v>
      </c>
      <c r="Q2598">
        <v>0</v>
      </c>
      <c r="R2598">
        <v>2</v>
      </c>
      <c r="S2598">
        <v>91</v>
      </c>
      <c r="T2598">
        <v>79</v>
      </c>
      <c r="U2598" s="5">
        <f>IF(Merge1[[#This Row],[team_defense_snaps]]=0, "", Merge1[[#This Row],[defense_snaps]] / Merge1[[#This Row],[team_defense_snaps]])</f>
        <v>1</v>
      </c>
      <c r="V2598">
        <v>79</v>
      </c>
      <c r="W2598">
        <v>12</v>
      </c>
      <c r="X2598" s="5" t="s">
        <v>210</v>
      </c>
      <c r="Y2598">
        <v>6</v>
      </c>
      <c r="Z2598">
        <v>0</v>
      </c>
      <c r="AA2598" t="s">
        <v>25</v>
      </c>
      <c r="AB2598" t="s">
        <v>26</v>
      </c>
      <c r="AC2598" t="s">
        <v>27</v>
      </c>
      <c r="AD2598" t="s">
        <v>42</v>
      </c>
      <c r="AE2598" t="s">
        <v>25</v>
      </c>
      <c r="AF25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7.6923076923076927E-2</v>
      </c>
      <c r="AG2598" t="s">
        <v>941</v>
      </c>
      <c r="AH2598">
        <v>89</v>
      </c>
      <c r="AI2598" t="s">
        <v>939</v>
      </c>
      <c r="AJ2598">
        <v>3</v>
      </c>
      <c r="AK25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MIN(AJ2598/8, 1) +
  Merge1[[#This Row],[index_defensive_effort]],
  2
)</f>
        <v>1.05</v>
      </c>
    </row>
    <row r="2599" spans="1:37" x14ac:dyDescent="0.25">
      <c r="A2599" t="s">
        <v>703</v>
      </c>
      <c r="B2599" t="s">
        <v>704</v>
      </c>
      <c r="C2599">
        <v>29</v>
      </c>
      <c r="D2599" t="s">
        <v>56</v>
      </c>
      <c r="E2599">
        <v>70</v>
      </c>
      <c r="F2599">
        <v>190</v>
      </c>
      <c r="G2599" t="s">
        <v>166</v>
      </c>
      <c r="H2599">
        <v>2020</v>
      </c>
      <c r="I2599" t="s">
        <v>33</v>
      </c>
      <c r="J2599">
        <v>10</v>
      </c>
      <c r="K2599">
        <v>1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2</v>
      </c>
      <c r="S2599">
        <v>52</v>
      </c>
      <c r="T2599">
        <v>40</v>
      </c>
      <c r="U2599" s="5">
        <f>IF(Merge1[[#This Row],[team_defense_snaps]]=0, "", Merge1[[#This Row],[defense_snaps]] / Merge1[[#This Row],[team_defense_snaps]])</f>
        <v>0.56338028169014087</v>
      </c>
      <c r="V2599">
        <v>71</v>
      </c>
      <c r="W2599">
        <v>12</v>
      </c>
      <c r="X2599" s="5" t="s">
        <v>210</v>
      </c>
      <c r="Y2599">
        <v>6</v>
      </c>
      <c r="Z2599">
        <v>0</v>
      </c>
      <c r="AA2599" t="s">
        <v>25</v>
      </c>
      <c r="AB2599" t="s">
        <v>26</v>
      </c>
      <c r="AC2599" t="s">
        <v>27</v>
      </c>
      <c r="AD2599" t="s">
        <v>42</v>
      </c>
      <c r="AE2599" t="s">
        <v>25</v>
      </c>
      <c r="AF25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9.6153846153846159E-2</v>
      </c>
      <c r="AG2599" t="s">
        <v>941</v>
      </c>
      <c r="AH2599">
        <v>78.5</v>
      </c>
      <c r="AI2599" t="s">
        <v>939</v>
      </c>
      <c r="AJ2599">
        <v>4</v>
      </c>
      <c r="AK25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MIN(AJ2599/8, 1) +
  Merge1[[#This Row],[index_defensive_effort]],
  2
)</f>
        <v>1.2</v>
      </c>
    </row>
    <row r="2600" spans="1:37" x14ac:dyDescent="0.25">
      <c r="A2600" t="s">
        <v>703</v>
      </c>
      <c r="B2600" t="s">
        <v>704</v>
      </c>
      <c r="C2600">
        <v>29</v>
      </c>
      <c r="D2600" t="s">
        <v>56</v>
      </c>
      <c r="E2600">
        <v>70</v>
      </c>
      <c r="F2600">
        <v>190</v>
      </c>
      <c r="G2600" t="s">
        <v>166</v>
      </c>
      <c r="H2600">
        <v>2020</v>
      </c>
      <c r="I2600" t="s">
        <v>33</v>
      </c>
      <c r="J2600">
        <v>11</v>
      </c>
      <c r="K2600">
        <v>5</v>
      </c>
      <c r="L2600">
        <v>1</v>
      </c>
      <c r="M2600">
        <v>0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80</v>
      </c>
      <c r="T2600">
        <v>69</v>
      </c>
      <c r="U2600" s="5">
        <f>IF(Merge1[[#This Row],[team_defense_snaps]]=0, "", Merge1[[#This Row],[defense_snaps]] / Merge1[[#This Row],[team_defense_snaps]])</f>
        <v>0.88461538461538458</v>
      </c>
      <c r="V2600">
        <v>78</v>
      </c>
      <c r="W2600">
        <v>11</v>
      </c>
      <c r="X2600" s="5" t="s">
        <v>131</v>
      </c>
      <c r="Y2600">
        <v>6</v>
      </c>
      <c r="Z2600">
        <v>0</v>
      </c>
      <c r="AA2600" t="s">
        <v>25</v>
      </c>
      <c r="AB2600" t="s">
        <v>26</v>
      </c>
      <c r="AC2600" t="s">
        <v>27</v>
      </c>
      <c r="AD2600" t="s">
        <v>42</v>
      </c>
      <c r="AE2600" t="s">
        <v>25</v>
      </c>
      <c r="AF26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6.8750000000000006E-2</v>
      </c>
      <c r="AG2600" t="s">
        <v>941</v>
      </c>
      <c r="AH2600">
        <v>72.5</v>
      </c>
      <c r="AI2600" t="s">
        <v>939</v>
      </c>
      <c r="AJ2600">
        <v>5</v>
      </c>
      <c r="AK26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MIN(AJ2600/8, 1) +
  Merge1[[#This Row],[index_defensive_effort]],
  2
)</f>
        <v>1.29</v>
      </c>
    </row>
    <row r="2601" spans="1:37" x14ac:dyDescent="0.25">
      <c r="A2601" t="s">
        <v>703</v>
      </c>
      <c r="B2601" t="s">
        <v>704</v>
      </c>
      <c r="C2601">
        <v>29</v>
      </c>
      <c r="D2601" t="s">
        <v>56</v>
      </c>
      <c r="E2601">
        <v>70</v>
      </c>
      <c r="F2601">
        <v>190</v>
      </c>
      <c r="G2601" t="s">
        <v>166</v>
      </c>
      <c r="H2601">
        <v>2020</v>
      </c>
      <c r="I2601" t="s">
        <v>33</v>
      </c>
      <c r="J2601">
        <v>12</v>
      </c>
      <c r="K2601">
        <v>3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65</v>
      </c>
      <c r="T2601">
        <v>49</v>
      </c>
      <c r="U2601" s="5">
        <f>IF(Merge1[[#This Row],[team_defense_snaps]]=0, "", Merge1[[#This Row],[defense_snaps]] / Merge1[[#This Row],[team_defense_snaps]])</f>
        <v>0.61250000000000004</v>
      </c>
      <c r="V2601">
        <v>80</v>
      </c>
      <c r="W2601">
        <v>16</v>
      </c>
      <c r="X2601" s="5" t="s">
        <v>200</v>
      </c>
      <c r="Y2601">
        <v>6</v>
      </c>
      <c r="Z2601">
        <v>0</v>
      </c>
      <c r="AA2601" t="s">
        <v>25</v>
      </c>
      <c r="AB2601" t="s">
        <v>26</v>
      </c>
      <c r="AC2601" t="s">
        <v>27</v>
      </c>
      <c r="AD2601" t="s">
        <v>28</v>
      </c>
      <c r="AE2601" t="s">
        <v>25</v>
      </c>
      <c r="AF26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4.6153846153846156E-2</v>
      </c>
      <c r="AG2601" t="s">
        <v>941</v>
      </c>
      <c r="AH2601">
        <v>81.5</v>
      </c>
      <c r="AI2601" t="s">
        <v>939</v>
      </c>
      <c r="AJ2601">
        <v>6</v>
      </c>
      <c r="AK26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MIN(AJ2601/8, 1) +
  Merge1[[#This Row],[index_defensive_effort]],
  2
)</f>
        <v>1.4</v>
      </c>
    </row>
    <row r="2602" spans="1:37" x14ac:dyDescent="0.25">
      <c r="A2602" t="s">
        <v>703</v>
      </c>
      <c r="B2602" t="s">
        <v>704</v>
      </c>
      <c r="C2602">
        <v>29</v>
      </c>
      <c r="D2602" t="s">
        <v>56</v>
      </c>
      <c r="E2602">
        <v>70</v>
      </c>
      <c r="F2602">
        <v>190</v>
      </c>
      <c r="G2602" t="s">
        <v>166</v>
      </c>
      <c r="H2602">
        <v>2020</v>
      </c>
      <c r="I2602" t="s">
        <v>33</v>
      </c>
      <c r="J2602">
        <v>13</v>
      </c>
      <c r="K2602">
        <v>3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50</v>
      </c>
      <c r="T2602">
        <v>42</v>
      </c>
      <c r="U2602" s="5">
        <f>IF(Merge1[[#This Row],[team_defense_snaps]]=0, "", Merge1[[#This Row],[defense_snaps]] / Merge1[[#This Row],[team_defense_snaps]])</f>
        <v>0.62686567164179108</v>
      </c>
      <c r="V2602">
        <v>67</v>
      </c>
      <c r="W2602">
        <v>8</v>
      </c>
      <c r="X2602" s="5" t="s">
        <v>314</v>
      </c>
      <c r="Y2602">
        <v>6</v>
      </c>
      <c r="Z2602">
        <v>0</v>
      </c>
      <c r="AA2602" t="s">
        <v>25</v>
      </c>
      <c r="AB2602" t="s">
        <v>26</v>
      </c>
      <c r="AC2602" t="s">
        <v>27</v>
      </c>
      <c r="AD2602" t="s">
        <v>28</v>
      </c>
      <c r="AE2602" t="s">
        <v>25</v>
      </c>
      <c r="AF26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0.06</v>
      </c>
      <c r="AG2602" t="s">
        <v>941</v>
      </c>
      <c r="AH2602">
        <v>83</v>
      </c>
      <c r="AI2602" t="s">
        <v>939</v>
      </c>
      <c r="AJ2602">
        <v>7</v>
      </c>
      <c r="AK26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MIN(AJ2602/8, 1) +
  Merge1[[#This Row],[index_defensive_effort]],
  2
)</f>
        <v>1.54</v>
      </c>
    </row>
    <row r="2603" spans="1:37" x14ac:dyDescent="0.25">
      <c r="A2603" t="s">
        <v>703</v>
      </c>
      <c r="B2603" t="s">
        <v>704</v>
      </c>
      <c r="C2603">
        <v>29</v>
      </c>
      <c r="D2603" t="s">
        <v>56</v>
      </c>
      <c r="E2603">
        <v>70</v>
      </c>
      <c r="F2603">
        <v>190</v>
      </c>
      <c r="G2603" t="s">
        <v>166</v>
      </c>
      <c r="H2603">
        <v>2020</v>
      </c>
      <c r="I2603" t="s">
        <v>33</v>
      </c>
      <c r="J2603">
        <v>14</v>
      </c>
      <c r="K2603">
        <v>2</v>
      </c>
      <c r="L2603">
        <v>3</v>
      </c>
      <c r="M2603">
        <v>0</v>
      </c>
      <c r="N2603">
        <v>3</v>
      </c>
      <c r="O2603">
        <v>0</v>
      </c>
      <c r="P2603">
        <v>0</v>
      </c>
      <c r="Q2603">
        <v>0</v>
      </c>
      <c r="R2603">
        <v>0</v>
      </c>
      <c r="S2603">
        <v>72</v>
      </c>
      <c r="T2603">
        <v>61</v>
      </c>
      <c r="U2603" s="5">
        <f>IF(Merge1[[#This Row],[team_defense_snaps]]=0, "", Merge1[[#This Row],[defense_snaps]] / Merge1[[#This Row],[team_defense_snaps]])</f>
        <v>1</v>
      </c>
      <c r="V2603">
        <v>61</v>
      </c>
      <c r="W2603">
        <v>11</v>
      </c>
      <c r="X2603" s="5" t="s">
        <v>158</v>
      </c>
      <c r="Y2603">
        <v>6</v>
      </c>
      <c r="Z2603">
        <v>0</v>
      </c>
      <c r="AA2603" t="s">
        <v>25</v>
      </c>
      <c r="AB2603" t="s">
        <v>26</v>
      </c>
      <c r="AC2603" t="s">
        <v>27</v>
      </c>
      <c r="AD2603" t="s">
        <v>42</v>
      </c>
      <c r="AE2603" t="s">
        <v>25</v>
      </c>
      <c r="AF26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4.8611111111111112E-2</v>
      </c>
      <c r="AG2603" t="s">
        <v>941</v>
      </c>
      <c r="AH2603">
        <v>86</v>
      </c>
      <c r="AI2603" t="s">
        <v>939</v>
      </c>
      <c r="AJ2603">
        <v>8</v>
      </c>
      <c r="AK26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MIN(AJ2603/8, 1) +
  Merge1[[#This Row],[index_defensive_effort]],
  2
)</f>
        <v>1.65</v>
      </c>
    </row>
    <row r="2604" spans="1:37" x14ac:dyDescent="0.25">
      <c r="A2604" t="s">
        <v>703</v>
      </c>
      <c r="B2604" t="s">
        <v>704</v>
      </c>
      <c r="C2604">
        <v>29</v>
      </c>
      <c r="D2604" t="s">
        <v>56</v>
      </c>
      <c r="E2604">
        <v>70</v>
      </c>
      <c r="F2604">
        <v>190</v>
      </c>
      <c r="G2604" t="s">
        <v>166</v>
      </c>
      <c r="H2604">
        <v>2020</v>
      </c>
      <c r="I2604" t="s">
        <v>33</v>
      </c>
      <c r="J2604">
        <v>16</v>
      </c>
      <c r="K2604">
        <v>1</v>
      </c>
      <c r="L2604">
        <v>2</v>
      </c>
      <c r="M2604">
        <v>0</v>
      </c>
      <c r="N2604">
        <v>2</v>
      </c>
      <c r="O2604">
        <v>0</v>
      </c>
      <c r="P2604">
        <v>0</v>
      </c>
      <c r="Q2604">
        <v>0</v>
      </c>
      <c r="R2604">
        <v>0</v>
      </c>
      <c r="S2604">
        <v>43</v>
      </c>
      <c r="T2604">
        <v>24</v>
      </c>
      <c r="U2604" s="5">
        <f>IF(Merge1[[#This Row],[team_defense_snaps]]=0, "", Merge1[[#This Row],[defense_snaps]] / Merge1[[#This Row],[team_defense_snaps]])</f>
        <v>0.375</v>
      </c>
      <c r="V2604">
        <v>64</v>
      </c>
      <c r="W2604">
        <v>19</v>
      </c>
      <c r="X2604" s="5" t="s">
        <v>53</v>
      </c>
      <c r="Y2604">
        <v>6</v>
      </c>
      <c r="Z2604">
        <v>0</v>
      </c>
      <c r="AA2604" t="s">
        <v>25</v>
      </c>
      <c r="AB2604" t="s">
        <v>26</v>
      </c>
      <c r="AC2604" t="s">
        <v>27</v>
      </c>
      <c r="AD2604" t="s">
        <v>28</v>
      </c>
      <c r="AE2604" t="s">
        <v>25</v>
      </c>
      <c r="AF26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4.6511627906976744E-2</v>
      </c>
      <c r="AG2604" t="s">
        <v>941</v>
      </c>
      <c r="AH2604">
        <v>90.5</v>
      </c>
      <c r="AI2604" t="s">
        <v>939</v>
      </c>
      <c r="AJ2604">
        <v>1</v>
      </c>
      <c r="AK26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MIN(AJ2604/8, 1) +
  Merge1[[#This Row],[index_defensive_effort]],
  2
)</f>
        <v>0.77</v>
      </c>
    </row>
    <row r="2605" spans="1:37" x14ac:dyDescent="0.25">
      <c r="A2605" t="s">
        <v>703</v>
      </c>
      <c r="B2605" t="s">
        <v>704</v>
      </c>
      <c r="C2605">
        <v>29</v>
      </c>
      <c r="D2605" t="s">
        <v>56</v>
      </c>
      <c r="E2605">
        <v>70</v>
      </c>
      <c r="F2605">
        <v>190</v>
      </c>
      <c r="G2605" t="s">
        <v>166</v>
      </c>
      <c r="H2605">
        <v>2020</v>
      </c>
      <c r="I2605" t="s">
        <v>33</v>
      </c>
      <c r="J2605">
        <v>17</v>
      </c>
      <c r="K2605">
        <v>8</v>
      </c>
      <c r="L2605">
        <v>1</v>
      </c>
      <c r="M2605">
        <v>0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97</v>
      </c>
      <c r="T2605">
        <v>80</v>
      </c>
      <c r="U2605" s="5">
        <f>IF(Merge1[[#This Row],[team_defense_snaps]]=0, "", Merge1[[#This Row],[defense_snaps]] / Merge1[[#This Row],[team_defense_snaps]])</f>
        <v>0.97560975609756095</v>
      </c>
      <c r="V2605">
        <v>82</v>
      </c>
      <c r="W2605">
        <v>17</v>
      </c>
      <c r="X2605" s="5" t="s">
        <v>52</v>
      </c>
      <c r="Y2605">
        <v>6</v>
      </c>
      <c r="Z2605">
        <v>0</v>
      </c>
      <c r="AA2605" t="s">
        <v>25</v>
      </c>
      <c r="AB2605" t="s">
        <v>26</v>
      </c>
      <c r="AC2605" t="s">
        <v>27</v>
      </c>
      <c r="AD2605" t="s">
        <v>42</v>
      </c>
      <c r="AE2605" t="s">
        <v>25</v>
      </c>
      <c r="AF26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8.7628865979381437E-2</v>
      </c>
      <c r="AG2605" t="s">
        <v>941</v>
      </c>
      <c r="AH2605">
        <v>93.5</v>
      </c>
      <c r="AI2605" t="s">
        <v>939</v>
      </c>
      <c r="AJ2605">
        <v>2</v>
      </c>
      <c r="AK26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MIN(AJ2605/8, 1) +
  Merge1[[#This Row],[index_defensive_effort]],
  2
)</f>
        <v>0.94</v>
      </c>
    </row>
    <row r="2606" spans="1:37" x14ac:dyDescent="0.25">
      <c r="A2606" t="s">
        <v>707</v>
      </c>
      <c r="B2606" t="s">
        <v>708</v>
      </c>
      <c r="C2606">
        <v>25</v>
      </c>
      <c r="D2606" t="s">
        <v>22</v>
      </c>
      <c r="E2606">
        <v>71</v>
      </c>
      <c r="F2606">
        <v>200</v>
      </c>
      <c r="G2606" t="s">
        <v>355</v>
      </c>
      <c r="H2606">
        <v>2020</v>
      </c>
      <c r="I2606" t="s">
        <v>33</v>
      </c>
      <c r="J2606">
        <v>7</v>
      </c>
      <c r="K2606">
        <v>1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35</v>
      </c>
      <c r="T2606">
        <v>15</v>
      </c>
      <c r="U2606" s="5">
        <f>IF(Merge1[[#This Row],[team_defense_snaps]]=0, "", Merge1[[#This Row],[defense_snaps]] / Merge1[[#This Row],[team_defense_snaps]])</f>
        <v>0.23809523809523808</v>
      </c>
      <c r="V2606">
        <v>63</v>
      </c>
      <c r="W2606">
        <v>20</v>
      </c>
      <c r="X2606" s="5" t="s">
        <v>68</v>
      </c>
      <c r="Y2606">
        <v>1</v>
      </c>
      <c r="Z2606">
        <v>0</v>
      </c>
      <c r="AA2606" t="s">
        <v>25</v>
      </c>
      <c r="AB2606" t="s">
        <v>26</v>
      </c>
      <c r="AC2606" t="s">
        <v>27</v>
      </c>
      <c r="AD2606" t="s">
        <v>28</v>
      </c>
      <c r="AE2606" t="s">
        <v>25</v>
      </c>
      <c r="AF26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2.8571428571428571E-2</v>
      </c>
      <c r="AH2606">
        <v>61</v>
      </c>
      <c r="AI2606" t="s">
        <v>939</v>
      </c>
      <c r="AJ2606">
        <v>1</v>
      </c>
      <c r="AK26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MIN(AJ2606/8, 1) +
  Merge1[[#This Row],[index_defensive_effort]],
  2
)</f>
        <v>0.65</v>
      </c>
    </row>
    <row r="2607" spans="1:37" x14ac:dyDescent="0.25">
      <c r="A2607" t="s">
        <v>707</v>
      </c>
      <c r="B2607" t="s">
        <v>708</v>
      </c>
      <c r="C2607">
        <v>25</v>
      </c>
      <c r="D2607" t="s">
        <v>22</v>
      </c>
      <c r="E2607">
        <v>71</v>
      </c>
      <c r="F2607">
        <v>200</v>
      </c>
      <c r="G2607" t="s">
        <v>355</v>
      </c>
      <c r="H2607">
        <v>2020</v>
      </c>
      <c r="I2607" t="s">
        <v>33</v>
      </c>
      <c r="J2607">
        <v>8</v>
      </c>
      <c r="K2607">
        <v>1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32</v>
      </c>
      <c r="T2607">
        <v>7</v>
      </c>
      <c r="U2607" s="5">
        <f>IF(Merge1[[#This Row],[team_defense_snaps]]=0, "", Merge1[[#This Row],[defense_snaps]] / Merge1[[#This Row],[team_defense_snaps]])</f>
        <v>0.14000000000000001</v>
      </c>
      <c r="V2607">
        <v>50</v>
      </c>
      <c r="W2607">
        <v>25</v>
      </c>
      <c r="X2607" s="5" t="s">
        <v>101</v>
      </c>
      <c r="Y2607">
        <v>1</v>
      </c>
      <c r="Z2607">
        <v>0</v>
      </c>
      <c r="AA2607" t="s">
        <v>25</v>
      </c>
      <c r="AB2607" t="s">
        <v>26</v>
      </c>
      <c r="AC2607" t="s">
        <v>27</v>
      </c>
      <c r="AD2607" t="s">
        <v>28</v>
      </c>
      <c r="AE2607" t="s">
        <v>25</v>
      </c>
      <c r="AF26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3.125E-2</v>
      </c>
      <c r="AH2607">
        <v>55</v>
      </c>
      <c r="AI2607" t="s">
        <v>939</v>
      </c>
      <c r="AJ2607">
        <v>2</v>
      </c>
      <c r="AK26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MIN(AJ2607/8, 1) +
  Merge1[[#This Row],[index_defensive_effort]],
  2
)</f>
        <v>0.78</v>
      </c>
    </row>
    <row r="2608" spans="1:37" x14ac:dyDescent="0.25">
      <c r="A2608" t="s">
        <v>707</v>
      </c>
      <c r="B2608" t="s">
        <v>708</v>
      </c>
      <c r="C2608">
        <v>25</v>
      </c>
      <c r="D2608" t="s">
        <v>22</v>
      </c>
      <c r="E2608">
        <v>71</v>
      </c>
      <c r="F2608">
        <v>200</v>
      </c>
      <c r="G2608" t="s">
        <v>355</v>
      </c>
      <c r="H2608">
        <v>2020</v>
      </c>
      <c r="I2608" t="s">
        <v>33</v>
      </c>
      <c r="J2608">
        <v>10</v>
      </c>
      <c r="K2608">
        <v>2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49</v>
      </c>
      <c r="T2608">
        <v>29</v>
      </c>
      <c r="U2608" s="5">
        <f>IF(Merge1[[#This Row],[team_defense_snaps]]=0, "", Merge1[[#This Row],[defense_snaps]] / Merge1[[#This Row],[team_defense_snaps]])</f>
        <v>0.43283582089552236</v>
      </c>
      <c r="V2608">
        <v>67</v>
      </c>
      <c r="W2608">
        <v>20</v>
      </c>
      <c r="X2608" s="5" t="s">
        <v>103</v>
      </c>
      <c r="Y2608">
        <v>1</v>
      </c>
      <c r="Z2608">
        <v>0</v>
      </c>
      <c r="AA2608" t="s">
        <v>25</v>
      </c>
      <c r="AB2608" t="s">
        <v>26</v>
      </c>
      <c r="AC2608" t="s">
        <v>27</v>
      </c>
      <c r="AD2608" t="s">
        <v>28</v>
      </c>
      <c r="AE2608" t="s">
        <v>25</v>
      </c>
      <c r="AF26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4.0816326530612242E-2</v>
      </c>
      <c r="AH2608">
        <v>59.5</v>
      </c>
      <c r="AI2608" t="s">
        <v>939</v>
      </c>
      <c r="AJ2608">
        <v>1</v>
      </c>
      <c r="AK26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MIN(AJ2608/8, 1) +
  Merge1[[#This Row],[index_defensive_effort]],
  2
)</f>
        <v>0.67</v>
      </c>
    </row>
    <row r="2609" spans="1:37" x14ac:dyDescent="0.25">
      <c r="A2609" t="s">
        <v>707</v>
      </c>
      <c r="B2609" t="s">
        <v>708</v>
      </c>
      <c r="C2609">
        <v>25</v>
      </c>
      <c r="D2609" t="s">
        <v>22</v>
      </c>
      <c r="E2609">
        <v>71</v>
      </c>
      <c r="F2609">
        <v>200</v>
      </c>
      <c r="G2609" t="s">
        <v>355</v>
      </c>
      <c r="H2609">
        <v>2020</v>
      </c>
      <c r="I2609" t="s">
        <v>33</v>
      </c>
      <c r="J2609">
        <v>11</v>
      </c>
      <c r="K2609">
        <v>2</v>
      </c>
      <c r="L2609">
        <v>1</v>
      </c>
      <c r="M2609">
        <v>0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45</v>
      </c>
      <c r="T2609">
        <v>21</v>
      </c>
      <c r="U2609" s="5">
        <f>IF(Merge1[[#This Row],[team_defense_snaps]]=0, "", Merge1[[#This Row],[defense_snaps]] / Merge1[[#This Row],[team_defense_snaps]])</f>
        <v>0.3</v>
      </c>
      <c r="V2609">
        <v>70</v>
      </c>
      <c r="W2609">
        <v>24</v>
      </c>
      <c r="X2609" s="5" t="s">
        <v>68</v>
      </c>
      <c r="Y2609">
        <v>1</v>
      </c>
      <c r="Z2609">
        <v>0</v>
      </c>
      <c r="AA2609" t="s">
        <v>25</v>
      </c>
      <c r="AB2609" t="s">
        <v>26</v>
      </c>
      <c r="AC2609" t="s">
        <v>27</v>
      </c>
      <c r="AD2609" t="s">
        <v>28</v>
      </c>
      <c r="AE2609" t="s">
        <v>25</v>
      </c>
      <c r="AF26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H2609">
        <v>56.5</v>
      </c>
      <c r="AI2609" t="s">
        <v>939</v>
      </c>
      <c r="AJ2609">
        <v>2</v>
      </c>
      <c r="AK26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MIN(AJ2609/8, 1) +
  Merge1[[#This Row],[index_defensive_effort]],
  2
)</f>
        <v>0.81</v>
      </c>
    </row>
    <row r="2610" spans="1:37" x14ac:dyDescent="0.25">
      <c r="A2610" t="s">
        <v>707</v>
      </c>
      <c r="B2610" t="s">
        <v>708</v>
      </c>
      <c r="C2610">
        <v>25</v>
      </c>
      <c r="D2610" t="s">
        <v>22</v>
      </c>
      <c r="E2610">
        <v>71</v>
      </c>
      <c r="F2610">
        <v>200</v>
      </c>
      <c r="G2610" t="s">
        <v>355</v>
      </c>
      <c r="H2610">
        <v>2020</v>
      </c>
      <c r="I2610" t="s">
        <v>33</v>
      </c>
      <c r="J2610">
        <v>12</v>
      </c>
      <c r="K2610">
        <v>2</v>
      </c>
      <c r="L2610">
        <v>3</v>
      </c>
      <c r="M2610">
        <v>1</v>
      </c>
      <c r="N2610">
        <v>4</v>
      </c>
      <c r="O2610">
        <v>0</v>
      </c>
      <c r="P2610">
        <v>0</v>
      </c>
      <c r="Q2610">
        <v>0</v>
      </c>
      <c r="R2610">
        <v>0</v>
      </c>
      <c r="S2610">
        <v>67</v>
      </c>
      <c r="T2610">
        <v>36</v>
      </c>
      <c r="U2610" s="5">
        <f>IF(Merge1[[#This Row],[team_defense_snaps]]=0, "", Merge1[[#This Row],[defense_snaps]] / Merge1[[#This Row],[team_defense_snaps]])</f>
        <v>0.5</v>
      </c>
      <c r="V2610">
        <v>72</v>
      </c>
      <c r="W2610">
        <v>31</v>
      </c>
      <c r="X2610" s="5" t="s">
        <v>104</v>
      </c>
      <c r="Y2610">
        <v>1</v>
      </c>
      <c r="Z2610">
        <v>0</v>
      </c>
      <c r="AA2610" t="s">
        <v>25</v>
      </c>
      <c r="AB2610" t="s">
        <v>26</v>
      </c>
      <c r="AC2610" t="s">
        <v>27</v>
      </c>
      <c r="AD2610" t="s">
        <v>28</v>
      </c>
      <c r="AE2610" t="s">
        <v>25</v>
      </c>
      <c r="AF26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5.9701492537313432E-2</v>
      </c>
      <c r="AH2610">
        <v>52</v>
      </c>
      <c r="AI2610" t="s">
        <v>939</v>
      </c>
      <c r="AJ2610">
        <v>3</v>
      </c>
      <c r="AK26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MIN(AJ2610/8, 1) +
  Merge1[[#This Row],[index_defensive_effort]],
  2
)</f>
        <v>0.93</v>
      </c>
    </row>
    <row r="2611" spans="1:37" x14ac:dyDescent="0.25">
      <c r="A2611" t="s">
        <v>707</v>
      </c>
      <c r="B2611" t="s">
        <v>708</v>
      </c>
      <c r="C2611">
        <v>25</v>
      </c>
      <c r="D2611" t="s">
        <v>22</v>
      </c>
      <c r="E2611">
        <v>71</v>
      </c>
      <c r="F2611">
        <v>200</v>
      </c>
      <c r="G2611" t="s">
        <v>355</v>
      </c>
      <c r="H2611">
        <v>2020</v>
      </c>
      <c r="I2611" t="s">
        <v>33</v>
      </c>
      <c r="J2611">
        <v>13</v>
      </c>
      <c r="K2611">
        <v>1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57</v>
      </c>
      <c r="T2611">
        <v>34</v>
      </c>
      <c r="U2611" s="5">
        <f>IF(Merge1[[#This Row],[team_defense_snaps]]=0, "", Merge1[[#This Row],[defense_snaps]] / Merge1[[#This Row],[team_defense_snaps]])</f>
        <v>0.53125</v>
      </c>
      <c r="V2611">
        <v>64</v>
      </c>
      <c r="W2611">
        <v>23</v>
      </c>
      <c r="X2611" s="5" t="s">
        <v>218</v>
      </c>
      <c r="Y2611">
        <v>1</v>
      </c>
      <c r="Z2611">
        <v>0</v>
      </c>
      <c r="AA2611" t="s">
        <v>25</v>
      </c>
      <c r="AB2611" t="s">
        <v>26</v>
      </c>
      <c r="AC2611" t="s">
        <v>27</v>
      </c>
      <c r="AD2611" t="s">
        <v>28</v>
      </c>
      <c r="AE2611" t="s">
        <v>25</v>
      </c>
      <c r="AF26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1.7543859649122806E-2</v>
      </c>
      <c r="AH2611">
        <v>53.5</v>
      </c>
      <c r="AI2611" t="s">
        <v>939</v>
      </c>
      <c r="AJ2611">
        <v>4</v>
      </c>
      <c r="AK26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MIN(AJ2611/8, 1) +
  Merge1[[#This Row],[index_defensive_effort]],
  2
)</f>
        <v>1.02</v>
      </c>
    </row>
    <row r="2612" spans="1:37" x14ac:dyDescent="0.25">
      <c r="A2612" t="s">
        <v>707</v>
      </c>
      <c r="B2612" t="s">
        <v>708</v>
      </c>
      <c r="C2612">
        <v>25</v>
      </c>
      <c r="D2612" t="s">
        <v>22</v>
      </c>
      <c r="E2612">
        <v>71</v>
      </c>
      <c r="F2612">
        <v>200</v>
      </c>
      <c r="G2612" t="s">
        <v>355</v>
      </c>
      <c r="H2612">
        <v>2020</v>
      </c>
      <c r="I2612" t="s">
        <v>33</v>
      </c>
      <c r="J2612">
        <v>16</v>
      </c>
      <c r="K2612">
        <v>1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46</v>
      </c>
      <c r="T2612">
        <v>23</v>
      </c>
      <c r="U2612" s="5">
        <f>IF(Merge1[[#This Row],[team_defense_snaps]]=0, "", Merge1[[#This Row],[defense_snaps]] / Merge1[[#This Row],[team_defense_snaps]])</f>
        <v>0.36507936507936506</v>
      </c>
      <c r="V2612">
        <v>63</v>
      </c>
      <c r="W2612">
        <v>23</v>
      </c>
      <c r="X2612" s="5" t="s">
        <v>109</v>
      </c>
      <c r="Y2612">
        <v>1</v>
      </c>
      <c r="Z2612">
        <v>0</v>
      </c>
      <c r="AA2612" t="s">
        <v>25</v>
      </c>
      <c r="AB2612" t="s">
        <v>26</v>
      </c>
      <c r="AC2612" t="s">
        <v>27</v>
      </c>
      <c r="AD2612" t="s">
        <v>42</v>
      </c>
      <c r="AE2612" t="s">
        <v>25</v>
      </c>
      <c r="AF26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2.1739130434782608E-2</v>
      </c>
      <c r="AH2612">
        <v>50</v>
      </c>
      <c r="AI2612" t="s">
        <v>939</v>
      </c>
      <c r="AJ2612">
        <v>1</v>
      </c>
      <c r="AK26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MIN(AJ2612/8, 1) +
  Merge1[[#This Row],[index_defensive_effort]],
  2
)</f>
        <v>0.65</v>
      </c>
    </row>
    <row r="2613" spans="1:37" x14ac:dyDescent="0.25">
      <c r="A2613" t="s">
        <v>707</v>
      </c>
      <c r="B2613" t="s">
        <v>708</v>
      </c>
      <c r="C2613">
        <v>25</v>
      </c>
      <c r="D2613" t="s">
        <v>22</v>
      </c>
      <c r="E2613">
        <v>71</v>
      </c>
      <c r="F2613">
        <v>200</v>
      </c>
      <c r="G2613" t="s">
        <v>355</v>
      </c>
      <c r="H2613">
        <v>2020</v>
      </c>
      <c r="I2613" t="s">
        <v>24</v>
      </c>
      <c r="J2613">
        <v>18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52</v>
      </c>
      <c r="T2613">
        <v>21</v>
      </c>
      <c r="U2613" s="5">
        <f>IF(Merge1[[#This Row],[team_defense_snaps]]=0, "", Merge1[[#This Row],[defense_snaps]] / Merge1[[#This Row],[team_defense_snaps]])</f>
        <v>0.33870967741935482</v>
      </c>
      <c r="V2613">
        <v>62</v>
      </c>
      <c r="W2613">
        <v>31</v>
      </c>
      <c r="X2613" s="5" t="s">
        <v>48</v>
      </c>
      <c r="Y2613">
        <v>1</v>
      </c>
      <c r="Z2613">
        <v>0</v>
      </c>
      <c r="AA2613" t="s">
        <v>25</v>
      </c>
      <c r="AB2613" t="s">
        <v>26</v>
      </c>
      <c r="AC2613" t="s">
        <v>27</v>
      </c>
      <c r="AD2613" t="s">
        <v>28</v>
      </c>
      <c r="AE2613" t="s">
        <v>25</v>
      </c>
      <c r="AF26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H2613">
        <v>47.5</v>
      </c>
      <c r="AI2613" t="s">
        <v>939</v>
      </c>
      <c r="AJ2613">
        <v>1</v>
      </c>
      <c r="AK26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MIN(AJ2613/8, 1) +
  Merge1[[#This Row],[index_defensive_effort]],
  2
)</f>
        <v>0.83</v>
      </c>
    </row>
    <row r="2614" spans="1:37" x14ac:dyDescent="0.25">
      <c r="A2614" t="s">
        <v>707</v>
      </c>
      <c r="B2614" t="s">
        <v>708</v>
      </c>
      <c r="C2614">
        <v>25</v>
      </c>
      <c r="D2614" t="s">
        <v>22</v>
      </c>
      <c r="E2614">
        <v>71</v>
      </c>
      <c r="F2614">
        <v>200</v>
      </c>
      <c r="G2614" t="s">
        <v>355</v>
      </c>
      <c r="H2614">
        <v>2020</v>
      </c>
      <c r="I2614" t="s">
        <v>24</v>
      </c>
      <c r="J2614">
        <v>19</v>
      </c>
      <c r="K2614">
        <v>1</v>
      </c>
      <c r="L2614">
        <v>3</v>
      </c>
      <c r="M2614">
        <v>0</v>
      </c>
      <c r="N2614">
        <v>3</v>
      </c>
      <c r="O2614">
        <v>0</v>
      </c>
      <c r="P2614">
        <v>0</v>
      </c>
      <c r="Q2614">
        <v>0</v>
      </c>
      <c r="R2614">
        <v>0</v>
      </c>
      <c r="S2614">
        <v>37</v>
      </c>
      <c r="T2614">
        <v>16</v>
      </c>
      <c r="U2614" s="5">
        <f>IF(Merge1[[#This Row],[team_defense_snaps]]=0, "", Merge1[[#This Row],[defense_snaps]] / Merge1[[#This Row],[team_defense_snaps]])</f>
        <v>0.21052631578947367</v>
      </c>
      <c r="V2614">
        <v>76</v>
      </c>
      <c r="W2614">
        <v>21</v>
      </c>
      <c r="X2614" s="5" t="s">
        <v>154</v>
      </c>
      <c r="Y2614">
        <v>1</v>
      </c>
      <c r="Z2614">
        <v>0</v>
      </c>
      <c r="AA2614" t="s">
        <v>25</v>
      </c>
      <c r="AB2614" t="s">
        <v>26</v>
      </c>
      <c r="AC2614" t="s">
        <v>27</v>
      </c>
      <c r="AD2614" t="s">
        <v>42</v>
      </c>
      <c r="AE2614" t="s">
        <v>25</v>
      </c>
      <c r="AF26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6.7567567567567571E-2</v>
      </c>
      <c r="AH2614">
        <v>50</v>
      </c>
      <c r="AI2614" t="s">
        <v>939</v>
      </c>
      <c r="AJ2614">
        <v>2</v>
      </c>
      <c r="AK26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MIN(AJ2614/8, 1) +
  Merge1[[#This Row],[index_defensive_effort]],
  2
)</f>
        <v>1.02</v>
      </c>
    </row>
    <row r="2615" spans="1:37" x14ac:dyDescent="0.25">
      <c r="A2615" t="s">
        <v>876</v>
      </c>
      <c r="B2615" t="s">
        <v>877</v>
      </c>
      <c r="C2615">
        <v>28</v>
      </c>
      <c r="D2615" t="s">
        <v>56</v>
      </c>
      <c r="E2615">
        <v>68</v>
      </c>
      <c r="F2615">
        <v>180</v>
      </c>
      <c r="G2615" t="s">
        <v>150</v>
      </c>
      <c r="H2615">
        <v>2020</v>
      </c>
      <c r="I2615" t="s">
        <v>33</v>
      </c>
      <c r="J2615">
        <v>1</v>
      </c>
      <c r="K2615">
        <v>2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 s="5">
        <f>IF(Merge1[[#This Row],[team_defense_snaps]]=0, "", Merge1[[#This Row],[defense_snaps]] / Merge1[[#This Row],[team_defense_snaps]])</f>
        <v>0</v>
      </c>
      <c r="V2615">
        <v>75</v>
      </c>
      <c r="W2615">
        <v>0</v>
      </c>
      <c r="X2615" s="5">
        <v>0</v>
      </c>
      <c r="Y2615">
        <v>7</v>
      </c>
      <c r="Z2615">
        <v>0</v>
      </c>
      <c r="AA2615" t="s">
        <v>25</v>
      </c>
      <c r="AB2615" t="s">
        <v>26</v>
      </c>
      <c r="AC2615" t="s">
        <v>27</v>
      </c>
      <c r="AD2615" t="s">
        <v>42</v>
      </c>
      <c r="AE2615" t="s">
        <v>25</v>
      </c>
      <c r="AF26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615" t="s">
        <v>943</v>
      </c>
      <c r="AH2615">
        <v>73</v>
      </c>
      <c r="AI2615" t="s">
        <v>27</v>
      </c>
      <c r="AJ2615">
        <v>1</v>
      </c>
      <c r="AK26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MIN(AJ2615/8, 1) +
  Merge1[[#This Row],[index_defensive_effort]],
  2
)</f>
        <v>0.73</v>
      </c>
    </row>
    <row r="2616" spans="1:37" x14ac:dyDescent="0.25">
      <c r="A2616" t="s">
        <v>876</v>
      </c>
      <c r="B2616" t="s">
        <v>877</v>
      </c>
      <c r="C2616">
        <v>28</v>
      </c>
      <c r="D2616" t="s">
        <v>56</v>
      </c>
      <c r="E2616">
        <v>68</v>
      </c>
      <c r="F2616">
        <v>180</v>
      </c>
      <c r="G2616" t="s">
        <v>150</v>
      </c>
      <c r="H2616">
        <v>2020</v>
      </c>
      <c r="I2616" t="s">
        <v>33</v>
      </c>
      <c r="J2616">
        <v>2</v>
      </c>
      <c r="K2616">
        <v>2</v>
      </c>
      <c r="L2616">
        <v>1</v>
      </c>
      <c r="M2616">
        <v>0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 s="5">
        <f>IF(Merge1[[#This Row],[team_defense_snaps]]=0, "", Merge1[[#This Row],[defense_snaps]] / Merge1[[#This Row],[team_defense_snaps]])</f>
        <v>0</v>
      </c>
      <c r="V2616">
        <v>70</v>
      </c>
      <c r="W2616">
        <v>0</v>
      </c>
      <c r="X2616" s="5">
        <v>0</v>
      </c>
      <c r="Y2616">
        <v>7</v>
      </c>
      <c r="Z2616">
        <v>0</v>
      </c>
      <c r="AA2616" t="s">
        <v>25</v>
      </c>
      <c r="AB2616" t="s">
        <v>26</v>
      </c>
      <c r="AC2616" t="s">
        <v>27</v>
      </c>
      <c r="AD2616" t="s">
        <v>42</v>
      </c>
      <c r="AE2616" t="s">
        <v>25</v>
      </c>
      <c r="AF26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616" t="s">
        <v>943</v>
      </c>
      <c r="AH2616">
        <v>71.5</v>
      </c>
      <c r="AI2616" t="s">
        <v>27</v>
      </c>
      <c r="AJ2616">
        <v>2</v>
      </c>
      <c r="AK26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MIN(AJ2616/8, 1) +
  Merge1[[#This Row],[index_defensive_effort]],
  2
)</f>
        <v>0.85</v>
      </c>
    </row>
    <row r="2617" spans="1:37" x14ac:dyDescent="0.25">
      <c r="A2617" t="s">
        <v>876</v>
      </c>
      <c r="B2617" t="s">
        <v>877</v>
      </c>
      <c r="C2617">
        <v>28</v>
      </c>
      <c r="D2617" t="s">
        <v>56</v>
      </c>
      <c r="E2617">
        <v>68</v>
      </c>
      <c r="F2617">
        <v>180</v>
      </c>
      <c r="G2617" t="s">
        <v>150</v>
      </c>
      <c r="H2617">
        <v>2020</v>
      </c>
      <c r="I2617" t="s">
        <v>33</v>
      </c>
      <c r="J2617">
        <v>3</v>
      </c>
      <c r="K2617">
        <v>0</v>
      </c>
      <c r="L2617">
        <v>1</v>
      </c>
      <c r="M2617">
        <v>1</v>
      </c>
      <c r="N2617">
        <v>2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 s="5">
        <f>IF(Merge1[[#This Row],[team_defense_snaps]]=0, "", Merge1[[#This Row],[defense_snaps]] / Merge1[[#This Row],[team_defense_snaps]])</f>
        <v>0</v>
      </c>
      <c r="V2617">
        <v>73</v>
      </c>
      <c r="W2617">
        <v>0</v>
      </c>
      <c r="X2617" s="5">
        <v>0</v>
      </c>
      <c r="Y2617">
        <v>7</v>
      </c>
      <c r="Z2617">
        <v>0</v>
      </c>
      <c r="AA2617" t="s">
        <v>25</v>
      </c>
      <c r="AB2617" t="s">
        <v>26</v>
      </c>
      <c r="AC2617" t="s">
        <v>27</v>
      </c>
      <c r="AD2617" t="s">
        <v>42</v>
      </c>
      <c r="AE2617" t="s">
        <v>25</v>
      </c>
      <c r="AF26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617" t="s">
        <v>943</v>
      </c>
      <c r="AH2617">
        <v>70</v>
      </c>
      <c r="AI2617" t="s">
        <v>27</v>
      </c>
      <c r="AJ2617">
        <v>3</v>
      </c>
      <c r="AK26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MIN(AJ2617/8, 1) +
  Merge1[[#This Row],[index_defensive_effort]],
  2
)</f>
        <v>0.98</v>
      </c>
    </row>
    <row r="2618" spans="1:37" x14ac:dyDescent="0.25">
      <c r="A2618" t="s">
        <v>876</v>
      </c>
      <c r="B2618" t="s">
        <v>877</v>
      </c>
      <c r="C2618">
        <v>28</v>
      </c>
      <c r="D2618" t="s">
        <v>56</v>
      </c>
      <c r="E2618">
        <v>68</v>
      </c>
      <c r="F2618">
        <v>180</v>
      </c>
      <c r="G2618" t="s">
        <v>150</v>
      </c>
      <c r="H2618">
        <v>2020</v>
      </c>
      <c r="I2618" t="s">
        <v>33</v>
      </c>
      <c r="J2618">
        <v>4</v>
      </c>
      <c r="K2618">
        <v>2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 s="5">
        <f>IF(Merge1[[#This Row],[team_defense_snaps]]=0, "", Merge1[[#This Row],[defense_snaps]] / Merge1[[#This Row],[team_defense_snaps]])</f>
        <v>0</v>
      </c>
      <c r="V2618">
        <v>74</v>
      </c>
      <c r="W2618">
        <v>0</v>
      </c>
      <c r="X2618" s="5">
        <v>0</v>
      </c>
      <c r="Y2618">
        <v>7</v>
      </c>
      <c r="Z2618">
        <v>0</v>
      </c>
      <c r="AA2618" t="s">
        <v>25</v>
      </c>
      <c r="AB2618" t="s">
        <v>26</v>
      </c>
      <c r="AC2618" t="s">
        <v>27</v>
      </c>
      <c r="AD2618" t="s">
        <v>42</v>
      </c>
      <c r="AE2618" t="s">
        <v>25</v>
      </c>
      <c r="AF26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618" t="s">
        <v>943</v>
      </c>
      <c r="AH2618">
        <v>68.5</v>
      </c>
      <c r="AI2618" t="s">
        <v>27</v>
      </c>
      <c r="AJ2618">
        <v>4</v>
      </c>
      <c r="AK26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MIN(AJ2618/8, 1) +
  Merge1[[#This Row],[index_defensive_effort]],
  2
)</f>
        <v>1.1000000000000001</v>
      </c>
    </row>
    <row r="2619" spans="1:37" x14ac:dyDescent="0.25">
      <c r="A2619" t="s">
        <v>876</v>
      </c>
      <c r="B2619" t="s">
        <v>877</v>
      </c>
      <c r="C2619">
        <v>28</v>
      </c>
      <c r="D2619" t="s">
        <v>56</v>
      </c>
      <c r="E2619">
        <v>68</v>
      </c>
      <c r="F2619">
        <v>180</v>
      </c>
      <c r="G2619" t="s">
        <v>150</v>
      </c>
      <c r="H2619">
        <v>2020</v>
      </c>
      <c r="I2619" t="s">
        <v>33</v>
      </c>
      <c r="J2619">
        <v>5</v>
      </c>
      <c r="K2619">
        <v>3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 s="5">
        <f>IF(Merge1[[#This Row],[team_defense_snaps]]=0, "", Merge1[[#This Row],[defense_snaps]] / Merge1[[#This Row],[team_defense_snaps]])</f>
        <v>0</v>
      </c>
      <c r="V2619">
        <v>78</v>
      </c>
      <c r="W2619">
        <v>0</v>
      </c>
      <c r="X2619" s="5">
        <v>0</v>
      </c>
      <c r="Y2619">
        <v>7</v>
      </c>
      <c r="Z2619">
        <v>0</v>
      </c>
      <c r="AA2619" t="s">
        <v>25</v>
      </c>
      <c r="AB2619" t="s">
        <v>26</v>
      </c>
      <c r="AC2619" t="s">
        <v>27</v>
      </c>
      <c r="AD2619" t="s">
        <v>42</v>
      </c>
      <c r="AE2619" t="s">
        <v>25</v>
      </c>
      <c r="AF26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619" t="s">
        <v>943</v>
      </c>
      <c r="AH2619">
        <v>67</v>
      </c>
      <c r="AI2619" t="s">
        <v>27</v>
      </c>
      <c r="AJ2619">
        <v>5</v>
      </c>
      <c r="AK26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MIN(AJ2619/8, 1) +
  Merge1[[#This Row],[index_defensive_effort]],
  2
)</f>
        <v>1.23</v>
      </c>
    </row>
    <row r="2620" spans="1:37" x14ac:dyDescent="0.25">
      <c r="A2620" t="s">
        <v>876</v>
      </c>
      <c r="B2620" t="s">
        <v>877</v>
      </c>
      <c r="C2620">
        <v>28</v>
      </c>
      <c r="D2620" t="s">
        <v>56</v>
      </c>
      <c r="E2620">
        <v>68</v>
      </c>
      <c r="F2620">
        <v>180</v>
      </c>
      <c r="G2620" t="s">
        <v>150</v>
      </c>
      <c r="H2620">
        <v>2020</v>
      </c>
      <c r="I2620" t="s">
        <v>33</v>
      </c>
      <c r="J2620">
        <v>6</v>
      </c>
      <c r="K2620">
        <v>2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 s="5">
        <f>IF(Merge1[[#This Row],[team_defense_snaps]]=0, "", Merge1[[#This Row],[defense_snaps]] / Merge1[[#This Row],[team_defense_snaps]])</f>
        <v>0</v>
      </c>
      <c r="V2620">
        <v>74</v>
      </c>
      <c r="W2620">
        <v>0</v>
      </c>
      <c r="X2620" s="5">
        <v>0</v>
      </c>
      <c r="Y2620">
        <v>7</v>
      </c>
      <c r="Z2620">
        <v>0</v>
      </c>
      <c r="AA2620" t="s">
        <v>25</v>
      </c>
      <c r="AB2620" t="s">
        <v>26</v>
      </c>
      <c r="AC2620" t="s">
        <v>27</v>
      </c>
      <c r="AD2620" t="s">
        <v>42</v>
      </c>
      <c r="AE2620" t="s">
        <v>25</v>
      </c>
      <c r="AF26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620" t="s">
        <v>943</v>
      </c>
      <c r="AH2620">
        <v>65.5</v>
      </c>
      <c r="AI2620" t="s">
        <v>27</v>
      </c>
      <c r="AJ2620">
        <v>6</v>
      </c>
      <c r="AK26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MIN(AJ2620/8, 1) +
  Merge1[[#This Row],[index_defensive_effort]],
  2
)</f>
        <v>1.35</v>
      </c>
    </row>
    <row r="2621" spans="1:37" x14ac:dyDescent="0.25">
      <c r="A2621" t="s">
        <v>876</v>
      </c>
      <c r="B2621" t="s">
        <v>877</v>
      </c>
      <c r="C2621">
        <v>28</v>
      </c>
      <c r="D2621" t="s">
        <v>56</v>
      </c>
      <c r="E2621">
        <v>68</v>
      </c>
      <c r="F2621">
        <v>180</v>
      </c>
      <c r="G2621" t="s">
        <v>150</v>
      </c>
      <c r="H2621">
        <v>2020</v>
      </c>
      <c r="I2621" t="s">
        <v>33</v>
      </c>
      <c r="J2621">
        <v>7</v>
      </c>
      <c r="K2621">
        <v>1</v>
      </c>
      <c r="L2621">
        <v>2</v>
      </c>
      <c r="M2621">
        <v>0</v>
      </c>
      <c r="N2621">
        <v>2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 s="5">
        <f>IF(Merge1[[#This Row],[team_defense_snaps]]=0, "", Merge1[[#This Row],[defense_snaps]] / Merge1[[#This Row],[team_defense_snaps]])</f>
        <v>0</v>
      </c>
      <c r="V2621">
        <v>61</v>
      </c>
      <c r="W2621">
        <v>0</v>
      </c>
      <c r="X2621" s="5">
        <v>0</v>
      </c>
      <c r="Y2621">
        <v>7</v>
      </c>
      <c r="Z2621">
        <v>0</v>
      </c>
      <c r="AA2621" t="s">
        <v>25</v>
      </c>
      <c r="AB2621" t="s">
        <v>26</v>
      </c>
      <c r="AC2621" t="s">
        <v>27</v>
      </c>
      <c r="AD2621" t="s">
        <v>42</v>
      </c>
      <c r="AE2621" t="s">
        <v>25</v>
      </c>
      <c r="AF26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621" t="s">
        <v>943</v>
      </c>
      <c r="AH2621">
        <v>64</v>
      </c>
      <c r="AI2621" t="s">
        <v>27</v>
      </c>
      <c r="AJ2621">
        <v>7</v>
      </c>
      <c r="AK26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MIN(AJ2621/8, 1) +
  Merge1[[#This Row],[index_defensive_effort]],
  2
)</f>
        <v>1.48</v>
      </c>
    </row>
    <row r="2622" spans="1:37" x14ac:dyDescent="0.25">
      <c r="A2622" t="s">
        <v>876</v>
      </c>
      <c r="B2622" t="s">
        <v>877</v>
      </c>
      <c r="C2622">
        <v>28</v>
      </c>
      <c r="D2622" t="s">
        <v>56</v>
      </c>
      <c r="E2622">
        <v>68</v>
      </c>
      <c r="F2622">
        <v>180</v>
      </c>
      <c r="G2622" t="s">
        <v>150</v>
      </c>
      <c r="H2622">
        <v>2020</v>
      </c>
      <c r="I2622" t="s">
        <v>33</v>
      </c>
      <c r="J2622">
        <v>8</v>
      </c>
      <c r="K2622">
        <v>5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 s="5">
        <f>IF(Merge1[[#This Row],[team_defense_snaps]]=0, "", Merge1[[#This Row],[defense_snaps]] / Merge1[[#This Row],[team_defense_snaps]])</f>
        <v>0</v>
      </c>
      <c r="V2622">
        <v>80</v>
      </c>
      <c r="W2622">
        <v>0</v>
      </c>
      <c r="X2622" s="5">
        <v>0</v>
      </c>
      <c r="Y2622">
        <v>7</v>
      </c>
      <c r="Z2622">
        <v>0</v>
      </c>
      <c r="AA2622" t="s">
        <v>25</v>
      </c>
      <c r="AB2622" t="s">
        <v>26</v>
      </c>
      <c r="AC2622" t="s">
        <v>27</v>
      </c>
      <c r="AD2622" t="s">
        <v>42</v>
      </c>
      <c r="AE2622" t="s">
        <v>25</v>
      </c>
      <c r="AF26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622" t="s">
        <v>943</v>
      </c>
      <c r="AH2622">
        <v>62.5</v>
      </c>
      <c r="AI2622" t="s">
        <v>27</v>
      </c>
      <c r="AJ2622">
        <v>8</v>
      </c>
      <c r="AK26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MIN(AJ2622/8, 1) +
  Merge1[[#This Row],[index_defensive_effort]],
  2
)</f>
        <v>1.6</v>
      </c>
    </row>
    <row r="2623" spans="1:37" x14ac:dyDescent="0.25">
      <c r="A2623" t="s">
        <v>876</v>
      </c>
      <c r="B2623" t="s">
        <v>877</v>
      </c>
      <c r="C2623">
        <v>28</v>
      </c>
      <c r="D2623" t="s">
        <v>56</v>
      </c>
      <c r="E2623">
        <v>68</v>
      </c>
      <c r="F2623">
        <v>180</v>
      </c>
      <c r="G2623" t="s">
        <v>150</v>
      </c>
      <c r="H2623">
        <v>2020</v>
      </c>
      <c r="I2623" t="s">
        <v>33</v>
      </c>
      <c r="J2623">
        <v>10</v>
      </c>
      <c r="K2623">
        <v>2</v>
      </c>
      <c r="L2623">
        <v>1</v>
      </c>
      <c r="M2623">
        <v>1</v>
      </c>
      <c r="N2623">
        <v>2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 s="5">
        <f>IF(Merge1[[#This Row],[team_defense_snaps]]=0, "", Merge1[[#This Row],[defense_snaps]] / Merge1[[#This Row],[team_defense_snaps]])</f>
        <v>0</v>
      </c>
      <c r="V2623">
        <v>71</v>
      </c>
      <c r="W2623">
        <v>0</v>
      </c>
      <c r="X2623" s="5">
        <v>0</v>
      </c>
      <c r="Y2623">
        <v>7</v>
      </c>
      <c r="Z2623">
        <v>0</v>
      </c>
      <c r="AA2623" t="s">
        <v>25</v>
      </c>
      <c r="AB2623" t="s">
        <v>26</v>
      </c>
      <c r="AC2623" t="s">
        <v>27</v>
      </c>
      <c r="AD2623" t="s">
        <v>42</v>
      </c>
      <c r="AE2623" t="s">
        <v>25</v>
      </c>
      <c r="AF26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623" t="s">
        <v>943</v>
      </c>
      <c r="AH2623">
        <v>59.5</v>
      </c>
      <c r="AI2623" t="s">
        <v>27</v>
      </c>
      <c r="AJ2623">
        <v>1</v>
      </c>
      <c r="AK26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MIN(AJ2623/8, 1) +
  Merge1[[#This Row],[index_defensive_effort]],
  2
)</f>
        <v>0.73</v>
      </c>
    </row>
    <row r="2624" spans="1:37" x14ac:dyDescent="0.25">
      <c r="A2624" t="s">
        <v>876</v>
      </c>
      <c r="B2624" t="s">
        <v>877</v>
      </c>
      <c r="C2624">
        <v>28</v>
      </c>
      <c r="D2624" t="s">
        <v>56</v>
      </c>
      <c r="E2624">
        <v>68</v>
      </c>
      <c r="F2624">
        <v>180</v>
      </c>
      <c r="G2624" t="s">
        <v>150</v>
      </c>
      <c r="H2624">
        <v>2020</v>
      </c>
      <c r="I2624" t="s">
        <v>33</v>
      </c>
      <c r="J2624">
        <v>12</v>
      </c>
      <c r="K2624">
        <v>3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 s="5">
        <f>IF(Merge1[[#This Row],[team_defense_snaps]]=0, "", Merge1[[#This Row],[defense_snaps]] / Merge1[[#This Row],[team_defense_snaps]])</f>
        <v>0</v>
      </c>
      <c r="V2624">
        <v>75</v>
      </c>
      <c r="W2624">
        <v>0</v>
      </c>
      <c r="X2624" s="5">
        <v>0</v>
      </c>
      <c r="Y2624">
        <v>7</v>
      </c>
      <c r="Z2624">
        <v>0</v>
      </c>
      <c r="AA2624" t="s">
        <v>25</v>
      </c>
      <c r="AB2624" t="s">
        <v>26</v>
      </c>
      <c r="AC2624" t="s">
        <v>27</v>
      </c>
      <c r="AD2624" t="s">
        <v>42</v>
      </c>
      <c r="AE2624" t="s">
        <v>25</v>
      </c>
      <c r="AF26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624" t="s">
        <v>943</v>
      </c>
      <c r="AH2624">
        <v>56.5</v>
      </c>
      <c r="AI2624" t="s">
        <v>27</v>
      </c>
      <c r="AJ2624">
        <v>1</v>
      </c>
      <c r="AK26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MIN(AJ2624/8, 1) +
  Merge1[[#This Row],[index_defensive_effort]],
  2
)</f>
        <v>0.73</v>
      </c>
    </row>
    <row r="2625" spans="1:37" x14ac:dyDescent="0.25">
      <c r="A2625" t="s">
        <v>876</v>
      </c>
      <c r="B2625" t="s">
        <v>877</v>
      </c>
      <c r="C2625">
        <v>28</v>
      </c>
      <c r="D2625" t="s">
        <v>56</v>
      </c>
      <c r="E2625">
        <v>68</v>
      </c>
      <c r="F2625">
        <v>180</v>
      </c>
      <c r="G2625" t="s">
        <v>150</v>
      </c>
      <c r="H2625">
        <v>2020</v>
      </c>
      <c r="I2625" t="s">
        <v>33</v>
      </c>
      <c r="J2625">
        <v>13</v>
      </c>
      <c r="K2625">
        <v>1</v>
      </c>
      <c r="L2625">
        <v>1</v>
      </c>
      <c r="M2625">
        <v>0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 s="5">
        <f>IF(Merge1[[#This Row],[team_defense_snaps]]=0, "", Merge1[[#This Row],[defense_snaps]] / Merge1[[#This Row],[team_defense_snaps]])</f>
        <v>0</v>
      </c>
      <c r="V2625">
        <v>62</v>
      </c>
      <c r="W2625">
        <v>0</v>
      </c>
      <c r="X2625" s="5">
        <v>0</v>
      </c>
      <c r="Y2625">
        <v>7</v>
      </c>
      <c r="Z2625">
        <v>0</v>
      </c>
      <c r="AA2625" t="s">
        <v>25</v>
      </c>
      <c r="AB2625" t="s">
        <v>26</v>
      </c>
      <c r="AC2625" t="s">
        <v>27</v>
      </c>
      <c r="AD2625" t="s">
        <v>42</v>
      </c>
      <c r="AE2625" t="s">
        <v>25</v>
      </c>
      <c r="AF26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625" t="s">
        <v>943</v>
      </c>
      <c r="AH2625">
        <v>55</v>
      </c>
      <c r="AI2625" t="s">
        <v>27</v>
      </c>
      <c r="AJ2625">
        <v>2</v>
      </c>
      <c r="AK26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MIN(AJ2625/8, 1) +
  Merge1[[#This Row],[index_defensive_effort]],
  2
)</f>
        <v>0.85</v>
      </c>
    </row>
    <row r="2626" spans="1:37" x14ac:dyDescent="0.25">
      <c r="A2626" t="s">
        <v>876</v>
      </c>
      <c r="B2626" t="s">
        <v>877</v>
      </c>
      <c r="C2626">
        <v>28</v>
      </c>
      <c r="D2626" t="s">
        <v>56</v>
      </c>
      <c r="E2626">
        <v>68</v>
      </c>
      <c r="F2626">
        <v>180</v>
      </c>
      <c r="G2626" t="s">
        <v>150</v>
      </c>
      <c r="H2626">
        <v>2020</v>
      </c>
      <c r="I2626" t="s">
        <v>33</v>
      </c>
      <c r="J2626">
        <v>14</v>
      </c>
      <c r="K2626">
        <v>6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 s="5">
        <f>IF(Merge1[[#This Row],[team_defense_snaps]]=0, "", Merge1[[#This Row],[defense_snaps]] / Merge1[[#This Row],[team_defense_snaps]])</f>
        <v>0</v>
      </c>
      <c r="V2626">
        <v>63</v>
      </c>
      <c r="W2626">
        <v>0</v>
      </c>
      <c r="X2626" s="5">
        <v>0</v>
      </c>
      <c r="Y2626">
        <v>7</v>
      </c>
      <c r="Z2626">
        <v>0</v>
      </c>
      <c r="AA2626" t="s">
        <v>25</v>
      </c>
      <c r="AB2626" t="s">
        <v>26</v>
      </c>
      <c r="AC2626" t="s">
        <v>27</v>
      </c>
      <c r="AD2626" t="s">
        <v>42</v>
      </c>
      <c r="AE2626" t="s">
        <v>25</v>
      </c>
      <c r="AF26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626" t="s">
        <v>943</v>
      </c>
      <c r="AH2626">
        <v>53.5</v>
      </c>
      <c r="AI2626" t="s">
        <v>27</v>
      </c>
      <c r="AJ2626">
        <v>3</v>
      </c>
      <c r="AK26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MIN(AJ2626/8, 1) +
  Merge1[[#This Row],[index_defensive_effort]],
  2
)</f>
        <v>0.98</v>
      </c>
    </row>
    <row r="2627" spans="1:37" x14ac:dyDescent="0.25">
      <c r="A2627" t="s">
        <v>876</v>
      </c>
      <c r="B2627" t="s">
        <v>877</v>
      </c>
      <c r="C2627">
        <v>28</v>
      </c>
      <c r="D2627" t="s">
        <v>56</v>
      </c>
      <c r="E2627">
        <v>68</v>
      </c>
      <c r="F2627">
        <v>180</v>
      </c>
      <c r="G2627" t="s">
        <v>150</v>
      </c>
      <c r="H2627">
        <v>2020</v>
      </c>
      <c r="I2627" t="s">
        <v>33</v>
      </c>
      <c r="J2627">
        <v>15</v>
      </c>
      <c r="K2627">
        <v>7</v>
      </c>
      <c r="L2627">
        <v>2</v>
      </c>
      <c r="M2627">
        <v>0</v>
      </c>
      <c r="N2627">
        <v>2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 s="5">
        <f>IF(Merge1[[#This Row],[team_defense_snaps]]=0, "", Merge1[[#This Row],[defense_snaps]] / Merge1[[#This Row],[team_defense_snaps]])</f>
        <v>0</v>
      </c>
      <c r="V2627">
        <v>68</v>
      </c>
      <c r="W2627">
        <v>0</v>
      </c>
      <c r="X2627" s="5">
        <v>0</v>
      </c>
      <c r="Y2627">
        <v>7</v>
      </c>
      <c r="Z2627">
        <v>0</v>
      </c>
      <c r="AA2627" t="s">
        <v>25</v>
      </c>
      <c r="AB2627" t="s">
        <v>26</v>
      </c>
      <c r="AC2627" t="s">
        <v>27</v>
      </c>
      <c r="AD2627" t="s">
        <v>42</v>
      </c>
      <c r="AE2627" t="s">
        <v>25</v>
      </c>
      <c r="AF26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627" t="s">
        <v>943</v>
      </c>
      <c r="AH2627">
        <v>52</v>
      </c>
      <c r="AI2627" t="s">
        <v>27</v>
      </c>
      <c r="AJ2627">
        <v>4</v>
      </c>
      <c r="AK26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MIN(AJ2627/8, 1) +
  Merge1[[#This Row],[index_defensive_effort]],
  2
)</f>
        <v>1.1000000000000001</v>
      </c>
    </row>
    <row r="2628" spans="1:37" x14ac:dyDescent="0.25">
      <c r="A2628" t="s">
        <v>876</v>
      </c>
      <c r="B2628" t="s">
        <v>877</v>
      </c>
      <c r="C2628">
        <v>28</v>
      </c>
      <c r="D2628" t="s">
        <v>56</v>
      </c>
      <c r="E2628">
        <v>68</v>
      </c>
      <c r="F2628">
        <v>180</v>
      </c>
      <c r="G2628" t="s">
        <v>150</v>
      </c>
      <c r="H2628">
        <v>2020</v>
      </c>
      <c r="I2628" t="s">
        <v>33</v>
      </c>
      <c r="J2628">
        <v>16</v>
      </c>
      <c r="K2628">
        <v>2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 s="5">
        <f>IF(Merge1[[#This Row],[team_defense_snaps]]=0, "", Merge1[[#This Row],[defense_snaps]] / Merge1[[#This Row],[team_defense_snaps]])</f>
        <v>0</v>
      </c>
      <c r="V2628">
        <v>71</v>
      </c>
      <c r="W2628">
        <v>0</v>
      </c>
      <c r="X2628" s="5">
        <v>0</v>
      </c>
      <c r="Y2628">
        <v>7</v>
      </c>
      <c r="Z2628">
        <v>0</v>
      </c>
      <c r="AA2628" t="s">
        <v>25</v>
      </c>
      <c r="AB2628" t="s">
        <v>26</v>
      </c>
      <c r="AC2628" t="s">
        <v>27</v>
      </c>
      <c r="AD2628" t="s">
        <v>42</v>
      </c>
      <c r="AE2628" t="s">
        <v>25</v>
      </c>
      <c r="AF26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628" t="s">
        <v>943</v>
      </c>
      <c r="AH2628">
        <v>50.5</v>
      </c>
      <c r="AI2628" t="s">
        <v>27</v>
      </c>
      <c r="AJ2628">
        <v>5</v>
      </c>
      <c r="AK26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MIN(AJ2628/8, 1) +
  Merge1[[#This Row],[index_defensive_effort]],
  2
)</f>
        <v>1.23</v>
      </c>
    </row>
    <row r="2629" spans="1:37" x14ac:dyDescent="0.25">
      <c r="A2629" t="s">
        <v>705</v>
      </c>
      <c r="B2629" t="s">
        <v>706</v>
      </c>
      <c r="C2629">
        <v>24</v>
      </c>
      <c r="D2629" t="s">
        <v>56</v>
      </c>
      <c r="E2629">
        <v>72</v>
      </c>
      <c r="F2629">
        <v>193</v>
      </c>
      <c r="G2629" t="s">
        <v>203</v>
      </c>
      <c r="H2629">
        <v>2020</v>
      </c>
      <c r="I2629" t="s">
        <v>33</v>
      </c>
      <c r="J2629">
        <v>2</v>
      </c>
      <c r="K2629">
        <v>4</v>
      </c>
      <c r="L2629">
        <v>8</v>
      </c>
      <c r="M2629">
        <v>5</v>
      </c>
      <c r="N2629">
        <v>13</v>
      </c>
      <c r="O2629">
        <v>0</v>
      </c>
      <c r="P2629">
        <v>0</v>
      </c>
      <c r="Q2629">
        <v>0</v>
      </c>
      <c r="R2629">
        <v>0</v>
      </c>
      <c r="S2629">
        <v>58</v>
      </c>
      <c r="T2629">
        <v>54</v>
      </c>
      <c r="U2629" s="5">
        <f>IF(Merge1[[#This Row],[team_defense_snaps]]=0, "", Merge1[[#This Row],[defense_snaps]] / Merge1[[#This Row],[team_defense_snaps]])</f>
        <v>0.87096774193548387</v>
      </c>
      <c r="V2629">
        <v>62</v>
      </c>
      <c r="W2629">
        <v>4</v>
      </c>
      <c r="X2629" s="5" t="s">
        <v>209</v>
      </c>
      <c r="Y2629">
        <v>1</v>
      </c>
      <c r="Z2629">
        <v>0</v>
      </c>
      <c r="AA2629" t="s">
        <v>25</v>
      </c>
      <c r="AB2629" t="s">
        <v>26</v>
      </c>
      <c r="AC2629" t="s">
        <v>27</v>
      </c>
      <c r="AD2629" t="s">
        <v>42</v>
      </c>
      <c r="AE2629" t="s">
        <v>25</v>
      </c>
      <c r="AF26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0.18103448275862069</v>
      </c>
      <c r="AG2629" t="s">
        <v>941</v>
      </c>
      <c r="AH2629">
        <v>68.5</v>
      </c>
      <c r="AI2629" t="s">
        <v>939</v>
      </c>
      <c r="AJ2629">
        <v>1</v>
      </c>
      <c r="AK26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MIN(AJ2629/8, 1) +
  Merge1[[#This Row],[index_defensive_effort]],
  2
)</f>
        <v>0.71</v>
      </c>
    </row>
    <row r="2630" spans="1:37" x14ac:dyDescent="0.25">
      <c r="A2630" t="s">
        <v>705</v>
      </c>
      <c r="B2630" t="s">
        <v>706</v>
      </c>
      <c r="C2630">
        <v>24</v>
      </c>
      <c r="D2630" t="s">
        <v>56</v>
      </c>
      <c r="E2630">
        <v>72</v>
      </c>
      <c r="F2630">
        <v>193</v>
      </c>
      <c r="G2630" t="s">
        <v>203</v>
      </c>
      <c r="H2630">
        <v>2020</v>
      </c>
      <c r="I2630" t="s">
        <v>33</v>
      </c>
      <c r="J2630">
        <v>5</v>
      </c>
      <c r="K2630">
        <v>2</v>
      </c>
      <c r="L2630">
        <v>1</v>
      </c>
      <c r="M2630">
        <v>1</v>
      </c>
      <c r="N2630">
        <v>2</v>
      </c>
      <c r="O2630">
        <v>0</v>
      </c>
      <c r="P2630">
        <v>1</v>
      </c>
      <c r="Q2630">
        <v>0</v>
      </c>
      <c r="R2630">
        <v>0</v>
      </c>
      <c r="S2630">
        <v>33</v>
      </c>
      <c r="T2630">
        <v>33</v>
      </c>
      <c r="U2630" s="5">
        <f>IF(Merge1[[#This Row],[team_defense_snaps]]=0, "", Merge1[[#This Row],[defense_snaps]] / Merge1[[#This Row],[team_defense_snaps]])</f>
        <v>0.515625</v>
      </c>
      <c r="V2630">
        <v>64</v>
      </c>
      <c r="W2630">
        <v>0</v>
      </c>
      <c r="X2630" s="5" t="s">
        <v>29</v>
      </c>
      <c r="Y2630">
        <v>1</v>
      </c>
      <c r="Z2630">
        <v>0</v>
      </c>
      <c r="AA2630" t="s">
        <v>25</v>
      </c>
      <c r="AB2630" t="s">
        <v>26</v>
      </c>
      <c r="AC2630" t="s">
        <v>27</v>
      </c>
      <c r="AD2630" t="s">
        <v>28</v>
      </c>
      <c r="AE2630" t="s">
        <v>25</v>
      </c>
      <c r="AF26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0.15151515151515152</v>
      </c>
      <c r="AG2630" t="s">
        <v>941</v>
      </c>
      <c r="AH2630">
        <v>73</v>
      </c>
      <c r="AI2630" t="s">
        <v>939</v>
      </c>
      <c r="AJ2630">
        <v>1</v>
      </c>
      <c r="AK26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MIN(AJ2630/8, 1) +
  Merge1[[#This Row],[index_defensive_effort]],
  2
)</f>
        <v>0.68</v>
      </c>
    </row>
    <row r="2631" spans="1:37" x14ac:dyDescent="0.25">
      <c r="A2631" t="s">
        <v>705</v>
      </c>
      <c r="B2631" t="s">
        <v>706</v>
      </c>
      <c r="C2631">
        <v>24</v>
      </c>
      <c r="D2631" t="s">
        <v>56</v>
      </c>
      <c r="E2631">
        <v>72</v>
      </c>
      <c r="F2631">
        <v>193</v>
      </c>
      <c r="G2631" t="s">
        <v>203</v>
      </c>
      <c r="H2631">
        <v>2020</v>
      </c>
      <c r="I2631" t="s">
        <v>33</v>
      </c>
      <c r="J2631">
        <v>6</v>
      </c>
      <c r="K2631">
        <v>4</v>
      </c>
      <c r="L2631">
        <v>3</v>
      </c>
      <c r="M2631">
        <v>0</v>
      </c>
      <c r="N2631">
        <v>3</v>
      </c>
      <c r="O2631">
        <v>0</v>
      </c>
      <c r="P2631">
        <v>0</v>
      </c>
      <c r="Q2631">
        <v>0</v>
      </c>
      <c r="R2631">
        <v>0</v>
      </c>
      <c r="S2631">
        <v>61</v>
      </c>
      <c r="T2631">
        <v>61</v>
      </c>
      <c r="U2631" s="5">
        <f>IF(Merge1[[#This Row],[team_defense_snaps]]=0, "", Merge1[[#This Row],[defense_snaps]] / Merge1[[#This Row],[team_defense_snaps]])</f>
        <v>0.61</v>
      </c>
      <c r="V2631">
        <v>100</v>
      </c>
      <c r="W2631">
        <v>0</v>
      </c>
      <c r="X2631" s="5" t="s">
        <v>29</v>
      </c>
      <c r="Y2631">
        <v>1</v>
      </c>
      <c r="Z2631">
        <v>0</v>
      </c>
      <c r="AA2631" t="s">
        <v>25</v>
      </c>
      <c r="AB2631" t="s">
        <v>26</v>
      </c>
      <c r="AC2631" t="s">
        <v>27</v>
      </c>
      <c r="AD2631" t="s">
        <v>42</v>
      </c>
      <c r="AE2631" t="s">
        <v>25</v>
      </c>
      <c r="AF26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9.0163934426229511E-2</v>
      </c>
      <c r="AG2631" t="s">
        <v>941</v>
      </c>
      <c r="AH2631">
        <v>82</v>
      </c>
      <c r="AI2631" t="s">
        <v>939</v>
      </c>
      <c r="AJ2631">
        <v>2</v>
      </c>
      <c r="AK26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MIN(AJ2631/8, 1) +
  Merge1[[#This Row],[index_defensive_effort]],
  2
)</f>
        <v>0.74</v>
      </c>
    </row>
    <row r="2632" spans="1:37" x14ac:dyDescent="0.25">
      <c r="A2632" t="s">
        <v>705</v>
      </c>
      <c r="B2632" t="s">
        <v>706</v>
      </c>
      <c r="C2632">
        <v>24</v>
      </c>
      <c r="D2632" t="s">
        <v>56</v>
      </c>
      <c r="E2632">
        <v>72</v>
      </c>
      <c r="F2632">
        <v>193</v>
      </c>
      <c r="G2632" t="s">
        <v>203</v>
      </c>
      <c r="H2632">
        <v>2020</v>
      </c>
      <c r="I2632" t="s">
        <v>33</v>
      </c>
      <c r="J2632">
        <v>8</v>
      </c>
      <c r="K2632">
        <v>5</v>
      </c>
      <c r="L2632">
        <v>5</v>
      </c>
      <c r="M2632">
        <v>2</v>
      </c>
      <c r="N2632">
        <v>7</v>
      </c>
      <c r="O2632">
        <v>0</v>
      </c>
      <c r="P2632">
        <v>0</v>
      </c>
      <c r="Q2632">
        <v>0</v>
      </c>
      <c r="R2632">
        <v>0</v>
      </c>
      <c r="S2632">
        <v>66</v>
      </c>
      <c r="T2632">
        <v>66</v>
      </c>
      <c r="U2632" s="5">
        <f>IF(Merge1[[#This Row],[team_defense_snaps]]=0, "", Merge1[[#This Row],[defense_snaps]] / Merge1[[#This Row],[team_defense_snaps]])</f>
        <v>0.6875</v>
      </c>
      <c r="V2632">
        <v>96</v>
      </c>
      <c r="W2632">
        <v>0</v>
      </c>
      <c r="X2632" s="5" t="s">
        <v>29</v>
      </c>
      <c r="Y2632">
        <v>1</v>
      </c>
      <c r="Z2632">
        <v>0</v>
      </c>
      <c r="AA2632" t="s">
        <v>25</v>
      </c>
      <c r="AB2632" t="s">
        <v>26</v>
      </c>
      <c r="AC2632" t="s">
        <v>27</v>
      </c>
      <c r="AD2632" t="s">
        <v>42</v>
      </c>
      <c r="AE2632" t="s">
        <v>25</v>
      </c>
      <c r="AF26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0.12878787878787878</v>
      </c>
      <c r="AG2632" t="s">
        <v>941</v>
      </c>
      <c r="AH2632">
        <v>70</v>
      </c>
      <c r="AI2632" t="s">
        <v>939</v>
      </c>
      <c r="AJ2632">
        <v>1</v>
      </c>
      <c r="AK26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MIN(AJ2632/8, 1) +
  Merge1[[#This Row],[index_defensive_effort]],
  2
)</f>
        <v>0.65</v>
      </c>
    </row>
    <row r="2633" spans="1:37" x14ac:dyDescent="0.25">
      <c r="A2633" t="s">
        <v>705</v>
      </c>
      <c r="B2633" t="s">
        <v>706</v>
      </c>
      <c r="C2633">
        <v>24</v>
      </c>
      <c r="D2633" t="s">
        <v>56</v>
      </c>
      <c r="E2633">
        <v>72</v>
      </c>
      <c r="F2633">
        <v>193</v>
      </c>
      <c r="G2633" t="s">
        <v>203</v>
      </c>
      <c r="H2633">
        <v>2020</v>
      </c>
      <c r="I2633" t="s">
        <v>33</v>
      </c>
      <c r="J2633">
        <v>9</v>
      </c>
      <c r="K2633">
        <v>2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38</v>
      </c>
      <c r="T2633">
        <v>38</v>
      </c>
      <c r="U2633" s="5">
        <f>IF(Merge1[[#This Row],[team_defense_snaps]]=0, "", Merge1[[#This Row],[defense_snaps]] / Merge1[[#This Row],[team_defense_snaps]])</f>
        <v>0.55072463768115942</v>
      </c>
      <c r="V2633">
        <v>69</v>
      </c>
      <c r="W2633">
        <v>0</v>
      </c>
      <c r="X2633" s="5" t="s">
        <v>29</v>
      </c>
      <c r="Y2633">
        <v>1</v>
      </c>
      <c r="Z2633">
        <v>0</v>
      </c>
      <c r="AA2633" t="s">
        <v>25</v>
      </c>
      <c r="AB2633" t="s">
        <v>26</v>
      </c>
      <c r="AC2633" t="s">
        <v>27</v>
      </c>
      <c r="AD2633" t="s">
        <v>28</v>
      </c>
      <c r="AE2633" t="s">
        <v>25</v>
      </c>
      <c r="AF26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5.2631578947368418E-2</v>
      </c>
      <c r="AG2633" t="s">
        <v>941</v>
      </c>
      <c r="AH2633">
        <v>67</v>
      </c>
      <c r="AI2633" t="s">
        <v>939</v>
      </c>
      <c r="AJ2633">
        <v>2</v>
      </c>
      <c r="AK26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MIN(AJ2633/8, 1) +
  Merge1[[#This Row],[index_defensive_effort]],
  2
)</f>
        <v>0.7</v>
      </c>
    </row>
    <row r="2634" spans="1:37" x14ac:dyDescent="0.25">
      <c r="A2634" t="s">
        <v>705</v>
      </c>
      <c r="B2634" t="s">
        <v>706</v>
      </c>
      <c r="C2634">
        <v>24</v>
      </c>
      <c r="D2634" t="s">
        <v>56</v>
      </c>
      <c r="E2634">
        <v>72</v>
      </c>
      <c r="F2634">
        <v>193</v>
      </c>
      <c r="G2634" t="s">
        <v>203</v>
      </c>
      <c r="H2634">
        <v>2020</v>
      </c>
      <c r="I2634" t="s">
        <v>33</v>
      </c>
      <c r="J2634">
        <v>10</v>
      </c>
      <c r="K2634">
        <v>7</v>
      </c>
      <c r="L2634">
        <v>0</v>
      </c>
      <c r="M2634">
        <v>0</v>
      </c>
      <c r="N2634">
        <v>0</v>
      </c>
      <c r="O2634">
        <v>4</v>
      </c>
      <c r="P2634">
        <v>4</v>
      </c>
      <c r="Q2634">
        <v>0</v>
      </c>
      <c r="R2634">
        <v>0</v>
      </c>
      <c r="S2634">
        <v>49</v>
      </c>
      <c r="T2634">
        <v>49</v>
      </c>
      <c r="U2634" s="5">
        <f>IF(Merge1[[#This Row],[team_defense_snaps]]=0, "", Merge1[[#This Row],[defense_snaps]] / Merge1[[#This Row],[team_defense_snaps]])</f>
        <v>0.765625</v>
      </c>
      <c r="V2634">
        <v>64</v>
      </c>
      <c r="W2634">
        <v>0</v>
      </c>
      <c r="X2634" s="5" t="s">
        <v>29</v>
      </c>
      <c r="Y2634">
        <v>1</v>
      </c>
      <c r="Z2634">
        <v>0</v>
      </c>
      <c r="AA2634" t="s">
        <v>25</v>
      </c>
      <c r="AB2634" t="s">
        <v>26</v>
      </c>
      <c r="AC2634" t="s">
        <v>27</v>
      </c>
      <c r="AD2634" t="s">
        <v>28</v>
      </c>
      <c r="AE2634" t="s">
        <v>25</v>
      </c>
      <c r="AF26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0.55102040816326525</v>
      </c>
      <c r="AG2634" t="s">
        <v>941</v>
      </c>
      <c r="AH2634">
        <v>76</v>
      </c>
      <c r="AI2634" t="s">
        <v>939</v>
      </c>
      <c r="AJ2634">
        <v>3</v>
      </c>
      <c r="AK26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MIN(AJ2634/8, 1) +
  Merge1[[#This Row],[index_defensive_effort]],
  2
)</f>
        <v>1.33</v>
      </c>
    </row>
    <row r="2635" spans="1:37" x14ac:dyDescent="0.25">
      <c r="A2635" t="s">
        <v>705</v>
      </c>
      <c r="B2635" t="s">
        <v>706</v>
      </c>
      <c r="C2635">
        <v>24</v>
      </c>
      <c r="D2635" t="s">
        <v>56</v>
      </c>
      <c r="E2635">
        <v>72</v>
      </c>
      <c r="F2635">
        <v>193</v>
      </c>
      <c r="G2635" t="s">
        <v>203</v>
      </c>
      <c r="H2635">
        <v>2020</v>
      </c>
      <c r="I2635" t="s">
        <v>33</v>
      </c>
      <c r="J2635">
        <v>11</v>
      </c>
      <c r="K2635">
        <v>4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30</v>
      </c>
      <c r="T2635">
        <v>30</v>
      </c>
      <c r="U2635" s="5">
        <f>IF(Merge1[[#This Row],[team_defense_snaps]]=0, "", Merge1[[#This Row],[defense_snaps]] / Merge1[[#This Row],[team_defense_snaps]])</f>
        <v>0.44776119402985076</v>
      </c>
      <c r="V2635">
        <v>67</v>
      </c>
      <c r="W2635">
        <v>0</v>
      </c>
      <c r="X2635" s="5" t="s">
        <v>29</v>
      </c>
      <c r="Y2635">
        <v>1</v>
      </c>
      <c r="Z2635">
        <v>0</v>
      </c>
      <c r="AA2635" t="s">
        <v>25</v>
      </c>
      <c r="AB2635" t="s">
        <v>26</v>
      </c>
      <c r="AC2635" t="s">
        <v>27</v>
      </c>
      <c r="AD2635" t="s">
        <v>28</v>
      </c>
      <c r="AE2635" t="s">
        <v>25</v>
      </c>
      <c r="AF26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0.13333333333333333</v>
      </c>
      <c r="AG2635" t="s">
        <v>941</v>
      </c>
      <c r="AH2635">
        <v>77.5</v>
      </c>
      <c r="AI2635" t="s">
        <v>939</v>
      </c>
      <c r="AJ2635">
        <v>4</v>
      </c>
      <c r="AK26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MIN(AJ2635/8, 1) +
  Merge1[[#This Row],[index_defensive_effort]],
  2
)</f>
        <v>1.03</v>
      </c>
    </row>
    <row r="2636" spans="1:37" x14ac:dyDescent="0.25">
      <c r="A2636" t="s">
        <v>705</v>
      </c>
      <c r="B2636" t="s">
        <v>706</v>
      </c>
      <c r="C2636">
        <v>24</v>
      </c>
      <c r="D2636" t="s">
        <v>56</v>
      </c>
      <c r="E2636">
        <v>72</v>
      </c>
      <c r="F2636">
        <v>193</v>
      </c>
      <c r="G2636" t="s">
        <v>203</v>
      </c>
      <c r="H2636">
        <v>2020</v>
      </c>
      <c r="I2636" t="s">
        <v>33</v>
      </c>
      <c r="J2636">
        <v>12</v>
      </c>
      <c r="K2636">
        <v>3</v>
      </c>
      <c r="L2636">
        <v>4</v>
      </c>
      <c r="M2636">
        <v>0</v>
      </c>
      <c r="N2636">
        <v>4</v>
      </c>
      <c r="O2636">
        <v>0</v>
      </c>
      <c r="P2636">
        <v>0</v>
      </c>
      <c r="Q2636">
        <v>2</v>
      </c>
      <c r="R2636">
        <v>0</v>
      </c>
      <c r="S2636">
        <v>44</v>
      </c>
      <c r="T2636">
        <v>44</v>
      </c>
      <c r="U2636" s="5">
        <f>IF(Merge1[[#This Row],[team_defense_snaps]]=0, "", Merge1[[#This Row],[defense_snaps]] / Merge1[[#This Row],[team_defense_snaps]])</f>
        <v>0.8</v>
      </c>
      <c r="V2636">
        <v>55</v>
      </c>
      <c r="W2636">
        <v>0</v>
      </c>
      <c r="X2636" s="5" t="s">
        <v>29</v>
      </c>
      <c r="Y2636">
        <v>1</v>
      </c>
      <c r="Z2636">
        <v>0</v>
      </c>
      <c r="AA2636" t="s">
        <v>25</v>
      </c>
      <c r="AB2636" t="s">
        <v>26</v>
      </c>
      <c r="AC2636" t="s">
        <v>27</v>
      </c>
      <c r="AD2636" t="s">
        <v>28</v>
      </c>
      <c r="AE2636" t="s">
        <v>25</v>
      </c>
      <c r="AF26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0.29545454545454547</v>
      </c>
      <c r="AG2636" t="s">
        <v>941</v>
      </c>
      <c r="AH2636">
        <v>65.5</v>
      </c>
      <c r="AI2636" t="s">
        <v>939</v>
      </c>
      <c r="AJ2636">
        <v>5</v>
      </c>
      <c r="AK26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MIN(AJ2636/8, 1) +
  Merge1[[#This Row],[index_defensive_effort]],
  2
)</f>
        <v>1.32</v>
      </c>
    </row>
    <row r="2637" spans="1:37" x14ac:dyDescent="0.25">
      <c r="A2637" t="s">
        <v>705</v>
      </c>
      <c r="B2637" t="s">
        <v>706</v>
      </c>
      <c r="C2637">
        <v>24</v>
      </c>
      <c r="D2637" t="s">
        <v>56</v>
      </c>
      <c r="E2637">
        <v>72</v>
      </c>
      <c r="F2637">
        <v>193</v>
      </c>
      <c r="G2637" t="s">
        <v>203</v>
      </c>
      <c r="H2637">
        <v>2020</v>
      </c>
      <c r="I2637" t="s">
        <v>33</v>
      </c>
      <c r="J2637">
        <v>13</v>
      </c>
      <c r="K2637">
        <v>2</v>
      </c>
      <c r="L2637">
        <v>1</v>
      </c>
      <c r="M2637">
        <v>1</v>
      </c>
      <c r="N2637">
        <v>2</v>
      </c>
      <c r="O2637">
        <v>0</v>
      </c>
      <c r="P2637">
        <v>0</v>
      </c>
      <c r="Q2637">
        <v>2</v>
      </c>
      <c r="R2637">
        <v>0</v>
      </c>
      <c r="S2637">
        <v>41</v>
      </c>
      <c r="T2637">
        <v>41</v>
      </c>
      <c r="U2637" s="5">
        <f>IF(Merge1[[#This Row],[team_defense_snaps]]=0, "", Merge1[[#This Row],[defense_snaps]] / Merge1[[#This Row],[team_defense_snaps]])</f>
        <v>0.78846153846153844</v>
      </c>
      <c r="V2637">
        <v>52</v>
      </c>
      <c r="W2637">
        <v>0</v>
      </c>
      <c r="X2637" s="5" t="s">
        <v>29</v>
      </c>
      <c r="Y2637">
        <v>1</v>
      </c>
      <c r="Z2637">
        <v>0</v>
      </c>
      <c r="AA2637" t="s">
        <v>25</v>
      </c>
      <c r="AB2637" t="s">
        <v>26</v>
      </c>
      <c r="AC2637" t="s">
        <v>27</v>
      </c>
      <c r="AD2637" t="s">
        <v>28</v>
      </c>
      <c r="AE2637" t="s">
        <v>25</v>
      </c>
      <c r="AF26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0.26829268292682928</v>
      </c>
      <c r="AG2637" t="s">
        <v>941</v>
      </c>
      <c r="AH2637">
        <v>86.5</v>
      </c>
      <c r="AI2637" t="s">
        <v>939</v>
      </c>
      <c r="AJ2637">
        <v>6</v>
      </c>
      <c r="AK26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MIN(AJ2637/8, 1) +
  Merge1[[#This Row],[index_defensive_effort]],
  2
)</f>
        <v>1.42</v>
      </c>
    </row>
    <row r="2638" spans="1:37" x14ac:dyDescent="0.25">
      <c r="A2638" t="s">
        <v>705</v>
      </c>
      <c r="B2638" t="s">
        <v>706</v>
      </c>
      <c r="C2638">
        <v>24</v>
      </c>
      <c r="D2638" t="s">
        <v>56</v>
      </c>
      <c r="E2638">
        <v>72</v>
      </c>
      <c r="F2638">
        <v>193</v>
      </c>
      <c r="G2638" t="s">
        <v>203</v>
      </c>
      <c r="H2638">
        <v>2020</v>
      </c>
      <c r="I2638" t="s">
        <v>33</v>
      </c>
      <c r="J2638">
        <v>14</v>
      </c>
      <c r="K2638">
        <v>2</v>
      </c>
      <c r="L2638">
        <v>3</v>
      </c>
      <c r="M2638">
        <v>1</v>
      </c>
      <c r="N2638">
        <v>4</v>
      </c>
      <c r="O2638">
        <v>0</v>
      </c>
      <c r="P2638">
        <v>1</v>
      </c>
      <c r="Q2638">
        <v>0</v>
      </c>
      <c r="R2638">
        <v>0</v>
      </c>
      <c r="S2638">
        <v>50</v>
      </c>
      <c r="T2638">
        <v>46</v>
      </c>
      <c r="U2638" s="5">
        <f>IF(Merge1[[#This Row],[team_defense_snaps]]=0, "", Merge1[[#This Row],[defense_snaps]] / Merge1[[#This Row],[team_defense_snaps]])</f>
        <v>0.74193548387096775</v>
      </c>
      <c r="V2638">
        <v>62</v>
      </c>
      <c r="W2638">
        <v>4</v>
      </c>
      <c r="X2638" s="5" t="s">
        <v>251</v>
      </c>
      <c r="Y2638">
        <v>1</v>
      </c>
      <c r="Z2638">
        <v>0</v>
      </c>
      <c r="AA2638" t="s">
        <v>25</v>
      </c>
      <c r="AB2638" t="s">
        <v>26</v>
      </c>
      <c r="AC2638" t="s">
        <v>27</v>
      </c>
      <c r="AD2638" t="s">
        <v>28</v>
      </c>
      <c r="AE2638" t="s">
        <v>25</v>
      </c>
      <c r="AF26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</v>
      </c>
      <c r="AG2638" t="s">
        <v>941</v>
      </c>
      <c r="AH2638">
        <v>71.5</v>
      </c>
      <c r="AI2638" t="s">
        <v>939</v>
      </c>
      <c r="AJ2638">
        <v>7</v>
      </c>
      <c r="AK26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MIN(AJ2638/8, 1) +
  Merge1[[#This Row],[index_defensive_effort]],
  2
)</f>
        <v>1.4</v>
      </c>
    </row>
    <row r="2639" spans="1:37" x14ac:dyDescent="0.25">
      <c r="A2639" t="s">
        <v>705</v>
      </c>
      <c r="B2639" t="s">
        <v>706</v>
      </c>
      <c r="C2639">
        <v>24</v>
      </c>
      <c r="D2639" t="s">
        <v>56</v>
      </c>
      <c r="E2639">
        <v>72</v>
      </c>
      <c r="F2639">
        <v>193</v>
      </c>
      <c r="G2639" t="s">
        <v>203</v>
      </c>
      <c r="H2639">
        <v>2020</v>
      </c>
      <c r="I2639" t="s">
        <v>33</v>
      </c>
      <c r="J2639">
        <v>15</v>
      </c>
      <c r="K2639">
        <v>2</v>
      </c>
      <c r="L2639">
        <v>2</v>
      </c>
      <c r="M2639">
        <v>0</v>
      </c>
      <c r="N2639">
        <v>2</v>
      </c>
      <c r="O2639">
        <v>0</v>
      </c>
      <c r="P2639">
        <v>0</v>
      </c>
      <c r="Q2639">
        <v>0</v>
      </c>
      <c r="R2639">
        <v>0</v>
      </c>
      <c r="S2639">
        <v>32</v>
      </c>
      <c r="T2639">
        <v>32</v>
      </c>
      <c r="U2639" s="5">
        <f>IF(Merge1[[#This Row],[team_defense_snaps]]=0, "", Merge1[[#This Row],[defense_snaps]] / Merge1[[#This Row],[team_defense_snaps]])</f>
        <v>0.58181818181818179</v>
      </c>
      <c r="V2639">
        <v>55</v>
      </c>
      <c r="W2639">
        <v>0</v>
      </c>
      <c r="X2639" s="5" t="s">
        <v>29</v>
      </c>
      <c r="Y2639">
        <v>1</v>
      </c>
      <c r="Z2639">
        <v>0</v>
      </c>
      <c r="AA2639" t="s">
        <v>25</v>
      </c>
      <c r="AB2639" t="s">
        <v>26</v>
      </c>
      <c r="AC2639" t="s">
        <v>27</v>
      </c>
      <c r="AD2639" t="s">
        <v>28</v>
      </c>
      <c r="AE2639" t="s">
        <v>25</v>
      </c>
      <c r="AF26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9.375E-2</v>
      </c>
      <c r="AG2639" t="s">
        <v>941</v>
      </c>
      <c r="AH2639">
        <v>80.5</v>
      </c>
      <c r="AI2639" t="s">
        <v>939</v>
      </c>
      <c r="AJ2639">
        <v>8</v>
      </c>
      <c r="AK26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MIN(AJ2639/8, 1) +
  Merge1[[#This Row],[index_defensive_effort]],
  2
)</f>
        <v>1.49</v>
      </c>
    </row>
    <row r="2640" spans="1:37" x14ac:dyDescent="0.25">
      <c r="A2640" t="s">
        <v>705</v>
      </c>
      <c r="B2640" t="s">
        <v>706</v>
      </c>
      <c r="C2640">
        <v>24</v>
      </c>
      <c r="D2640" t="s">
        <v>56</v>
      </c>
      <c r="E2640">
        <v>72</v>
      </c>
      <c r="F2640">
        <v>193</v>
      </c>
      <c r="G2640" t="s">
        <v>203</v>
      </c>
      <c r="H2640">
        <v>2020</v>
      </c>
      <c r="I2640" t="s">
        <v>33</v>
      </c>
      <c r="J2640">
        <v>16</v>
      </c>
      <c r="K2640">
        <v>1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37</v>
      </c>
      <c r="T2640">
        <v>37</v>
      </c>
      <c r="U2640" s="5">
        <f>IF(Merge1[[#This Row],[team_defense_snaps]]=0, "", Merge1[[#This Row],[defense_snaps]] / Merge1[[#This Row],[team_defense_snaps]])</f>
        <v>0.578125</v>
      </c>
      <c r="V2640">
        <v>64</v>
      </c>
      <c r="W2640">
        <v>0</v>
      </c>
      <c r="X2640" s="5" t="s">
        <v>29</v>
      </c>
      <c r="Y2640">
        <v>1</v>
      </c>
      <c r="Z2640">
        <v>0</v>
      </c>
      <c r="AA2640" t="s">
        <v>25</v>
      </c>
      <c r="AB2640" t="s">
        <v>26</v>
      </c>
      <c r="AC2640" t="s">
        <v>27</v>
      </c>
      <c r="AD2640" t="s">
        <v>42</v>
      </c>
      <c r="AE2640" t="s">
        <v>25</v>
      </c>
      <c r="AF26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2.7027027027027029E-2</v>
      </c>
      <c r="AG2640" t="s">
        <v>941</v>
      </c>
      <c r="AH2640">
        <v>74.5</v>
      </c>
      <c r="AI2640" t="s">
        <v>939</v>
      </c>
      <c r="AJ2640">
        <v>9</v>
      </c>
      <c r="AK26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MIN(AJ2640/8, 1) +
  Merge1[[#This Row],[index_defensive_effort]],
  2
)</f>
        <v>1.43</v>
      </c>
    </row>
    <row r="2641" spans="1:37" x14ac:dyDescent="0.25">
      <c r="A2641" t="s">
        <v>701</v>
      </c>
      <c r="B2641" t="s">
        <v>702</v>
      </c>
      <c r="C2641">
        <v>21</v>
      </c>
      <c r="D2641" t="s">
        <v>56</v>
      </c>
      <c r="E2641">
        <v>71</v>
      </c>
      <c r="F2641">
        <v>197</v>
      </c>
      <c r="G2641" t="s">
        <v>203</v>
      </c>
      <c r="H2641">
        <v>2020</v>
      </c>
      <c r="I2641" t="s">
        <v>33</v>
      </c>
      <c r="J2641">
        <v>1</v>
      </c>
      <c r="K2641">
        <v>0</v>
      </c>
      <c r="L2641">
        <v>2</v>
      </c>
      <c r="M2641">
        <v>2</v>
      </c>
      <c r="N2641">
        <v>4</v>
      </c>
      <c r="O2641">
        <v>0</v>
      </c>
      <c r="P2641">
        <v>0</v>
      </c>
      <c r="Q2641">
        <v>0</v>
      </c>
      <c r="R2641">
        <v>0</v>
      </c>
      <c r="S2641">
        <v>45</v>
      </c>
      <c r="T2641">
        <v>37</v>
      </c>
      <c r="U2641" s="5">
        <f>IF(Merge1[[#This Row],[team_defense_snaps]]=0, "", Merge1[[#This Row],[defense_snaps]] / Merge1[[#This Row],[team_defense_snaps]])</f>
        <v>0.56923076923076921</v>
      </c>
      <c r="V2641">
        <v>65</v>
      </c>
      <c r="W2641">
        <v>8</v>
      </c>
      <c r="X2641" s="5" t="s">
        <v>243</v>
      </c>
      <c r="Y2641">
        <v>0</v>
      </c>
      <c r="Z2641">
        <v>0</v>
      </c>
      <c r="AA2641" t="s">
        <v>25</v>
      </c>
      <c r="AB2641" t="s">
        <v>26</v>
      </c>
      <c r="AC2641" t="s">
        <v>27</v>
      </c>
      <c r="AD2641" t="s">
        <v>28</v>
      </c>
      <c r="AE2641" t="s">
        <v>25</v>
      </c>
      <c r="AF26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4.4444444444444446E-2</v>
      </c>
      <c r="AG2641" t="s">
        <v>941</v>
      </c>
      <c r="AH2641">
        <v>64</v>
      </c>
      <c r="AI2641" t="s">
        <v>939</v>
      </c>
      <c r="AJ2641">
        <v>1</v>
      </c>
      <c r="AK26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MIN(AJ2641/8, 1) +
  Merge1[[#This Row],[index_defensive_effort]],
  2
)</f>
        <v>0.67</v>
      </c>
    </row>
    <row r="2642" spans="1:37" x14ac:dyDescent="0.25">
      <c r="A2642" t="s">
        <v>701</v>
      </c>
      <c r="B2642" t="s">
        <v>702</v>
      </c>
      <c r="C2642">
        <v>21</v>
      </c>
      <c r="D2642" t="s">
        <v>56</v>
      </c>
      <c r="E2642">
        <v>71</v>
      </c>
      <c r="F2642">
        <v>197</v>
      </c>
      <c r="G2642" t="s">
        <v>203</v>
      </c>
      <c r="H2642">
        <v>2020</v>
      </c>
      <c r="I2642" t="s">
        <v>33</v>
      </c>
      <c r="J2642">
        <v>2</v>
      </c>
      <c r="K2642">
        <v>4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68</v>
      </c>
      <c r="T2642">
        <v>57</v>
      </c>
      <c r="U2642" s="5">
        <f>IF(Merge1[[#This Row],[team_defense_snaps]]=0, "", Merge1[[#This Row],[defense_snaps]] / Merge1[[#This Row],[team_defense_snaps]])</f>
        <v>0.91935483870967738</v>
      </c>
      <c r="V2642">
        <v>62</v>
      </c>
      <c r="W2642">
        <v>11</v>
      </c>
      <c r="X2642" s="5" t="s">
        <v>60</v>
      </c>
      <c r="Y2642">
        <v>0</v>
      </c>
      <c r="Z2642">
        <v>0</v>
      </c>
      <c r="AA2642" t="s">
        <v>25</v>
      </c>
      <c r="AB2642" t="s">
        <v>26</v>
      </c>
      <c r="AC2642" t="s">
        <v>27</v>
      </c>
      <c r="AD2642" t="s">
        <v>28</v>
      </c>
      <c r="AE2642" t="s">
        <v>25</v>
      </c>
      <c r="AF26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AG2642" t="s">
        <v>941</v>
      </c>
      <c r="AH2642">
        <v>86.5</v>
      </c>
      <c r="AI2642" t="s">
        <v>939</v>
      </c>
      <c r="AJ2642">
        <v>2</v>
      </c>
      <c r="AK26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MIN(AJ2642/8, 1) +
  Merge1[[#This Row],[index_defensive_effort]],
  2
)</f>
        <v>0.81</v>
      </c>
    </row>
    <row r="2643" spans="1:37" x14ac:dyDescent="0.25">
      <c r="A2643" t="s">
        <v>701</v>
      </c>
      <c r="B2643" t="s">
        <v>702</v>
      </c>
      <c r="C2643">
        <v>21</v>
      </c>
      <c r="D2643" t="s">
        <v>56</v>
      </c>
      <c r="E2643">
        <v>71</v>
      </c>
      <c r="F2643">
        <v>197</v>
      </c>
      <c r="G2643" t="s">
        <v>203</v>
      </c>
      <c r="H2643">
        <v>2020</v>
      </c>
      <c r="I2643" t="s">
        <v>33</v>
      </c>
      <c r="J2643">
        <v>3</v>
      </c>
      <c r="K2643">
        <v>2</v>
      </c>
      <c r="L2643">
        <v>1</v>
      </c>
      <c r="M2643">
        <v>0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74</v>
      </c>
      <c r="T2643">
        <v>66</v>
      </c>
      <c r="U2643" s="5">
        <f>IF(Merge1[[#This Row],[team_defense_snaps]]=0, "", Merge1[[#This Row],[defense_snaps]] / Merge1[[#This Row],[team_defense_snaps]])</f>
        <v>0.9850746268656716</v>
      </c>
      <c r="V2643">
        <v>67</v>
      </c>
      <c r="W2643">
        <v>8</v>
      </c>
      <c r="X2643" s="5" t="s">
        <v>70</v>
      </c>
      <c r="Y2643">
        <v>0</v>
      </c>
      <c r="Z2643">
        <v>0</v>
      </c>
      <c r="AA2643" t="s">
        <v>25</v>
      </c>
      <c r="AB2643" t="s">
        <v>26</v>
      </c>
      <c r="AC2643" t="s">
        <v>27</v>
      </c>
      <c r="AD2643" t="s">
        <v>42</v>
      </c>
      <c r="AE2643" t="s">
        <v>25</v>
      </c>
      <c r="AF26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3.3783783783783786E-2</v>
      </c>
      <c r="AG2643" t="s">
        <v>941</v>
      </c>
      <c r="AH2643">
        <v>85</v>
      </c>
      <c r="AI2643" t="s">
        <v>939</v>
      </c>
      <c r="AJ2643">
        <v>3</v>
      </c>
      <c r="AK26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MIN(AJ2643/8, 1) +
  Merge1[[#This Row],[index_defensive_effort]],
  2
)</f>
        <v>0.91</v>
      </c>
    </row>
    <row r="2644" spans="1:37" x14ac:dyDescent="0.25">
      <c r="A2644" t="s">
        <v>701</v>
      </c>
      <c r="B2644" t="s">
        <v>702</v>
      </c>
      <c r="C2644">
        <v>21</v>
      </c>
      <c r="D2644" t="s">
        <v>56</v>
      </c>
      <c r="E2644">
        <v>71</v>
      </c>
      <c r="F2644">
        <v>197</v>
      </c>
      <c r="G2644" t="s">
        <v>203</v>
      </c>
      <c r="H2644">
        <v>2020</v>
      </c>
      <c r="I2644" t="s">
        <v>33</v>
      </c>
      <c r="J2644">
        <v>4</v>
      </c>
      <c r="K2644">
        <v>1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75</v>
      </c>
      <c r="T2644">
        <v>63</v>
      </c>
      <c r="U2644" s="5">
        <f>IF(Merge1[[#This Row],[team_defense_snaps]]=0, "", Merge1[[#This Row],[defense_snaps]] / Merge1[[#This Row],[team_defense_snaps]])</f>
        <v>0.984375</v>
      </c>
      <c r="V2644">
        <v>64</v>
      </c>
      <c r="W2644">
        <v>12</v>
      </c>
      <c r="X2644" s="5" t="s">
        <v>260</v>
      </c>
      <c r="Y2644">
        <v>0</v>
      </c>
      <c r="Z2644">
        <v>0</v>
      </c>
      <c r="AA2644" t="s">
        <v>25</v>
      </c>
      <c r="AB2644" t="s">
        <v>26</v>
      </c>
      <c r="AC2644" t="s">
        <v>27</v>
      </c>
      <c r="AD2644" t="s">
        <v>42</v>
      </c>
      <c r="AE2644" t="s">
        <v>25</v>
      </c>
      <c r="AF26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1.3333333333333334E-2</v>
      </c>
      <c r="AG2644" t="s">
        <v>941</v>
      </c>
      <c r="AH2644">
        <v>88</v>
      </c>
      <c r="AI2644" t="s">
        <v>939</v>
      </c>
      <c r="AJ2644">
        <v>4</v>
      </c>
      <c r="AK26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MIN(AJ2644/8, 1) +
  Merge1[[#This Row],[index_defensive_effort]],
  2
)</f>
        <v>1.01</v>
      </c>
    </row>
    <row r="2645" spans="1:37" x14ac:dyDescent="0.25">
      <c r="A2645" t="s">
        <v>701</v>
      </c>
      <c r="B2645" t="s">
        <v>702</v>
      </c>
      <c r="C2645">
        <v>21</v>
      </c>
      <c r="D2645" t="s">
        <v>56</v>
      </c>
      <c r="E2645">
        <v>71</v>
      </c>
      <c r="F2645">
        <v>197</v>
      </c>
      <c r="G2645" t="s">
        <v>203</v>
      </c>
      <c r="H2645">
        <v>2020</v>
      </c>
      <c r="I2645" t="s">
        <v>33</v>
      </c>
      <c r="J2645">
        <v>17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36</v>
      </c>
      <c r="T2645">
        <v>9</v>
      </c>
      <c r="U2645" s="5">
        <f>IF(Merge1[[#This Row],[team_defense_snaps]]=0, "", Merge1[[#This Row],[defense_snaps]] / Merge1[[#This Row],[team_defense_snaps]])</f>
        <v>0.13846153846153847</v>
      </c>
      <c r="V2645">
        <v>65</v>
      </c>
      <c r="W2645">
        <v>27</v>
      </c>
      <c r="X2645" s="5" t="s">
        <v>81</v>
      </c>
      <c r="Y2645">
        <v>0</v>
      </c>
      <c r="Z2645">
        <v>0</v>
      </c>
      <c r="AA2645" t="s">
        <v>25</v>
      </c>
      <c r="AB2645" t="s">
        <v>26</v>
      </c>
      <c r="AC2645" t="s">
        <v>27</v>
      </c>
      <c r="AD2645" t="s">
        <v>28</v>
      </c>
      <c r="AE2645" t="s">
        <v>25</v>
      </c>
      <c r="AF26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2645" t="s">
        <v>941</v>
      </c>
      <c r="AH2645">
        <v>83.5</v>
      </c>
      <c r="AI2645" t="s">
        <v>939</v>
      </c>
      <c r="AJ2645">
        <v>1</v>
      </c>
      <c r="AK26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MIN(AJ2645/8, 1) +
  Merge1[[#This Row],[index_defensive_effort]],
  2
)</f>
        <v>0.68</v>
      </c>
    </row>
    <row r="2646" spans="1:37" x14ac:dyDescent="0.25">
      <c r="A2646" t="s">
        <v>711</v>
      </c>
      <c r="B2646" t="s">
        <v>712</v>
      </c>
      <c r="C2646">
        <v>23</v>
      </c>
      <c r="D2646" t="s">
        <v>22</v>
      </c>
      <c r="E2646">
        <v>70</v>
      </c>
      <c r="F2646">
        <v>202</v>
      </c>
      <c r="G2646" t="s">
        <v>67</v>
      </c>
      <c r="H2646">
        <v>2020</v>
      </c>
      <c r="I2646" t="s">
        <v>33</v>
      </c>
      <c r="J2646">
        <v>3</v>
      </c>
      <c r="K2646">
        <v>1</v>
      </c>
      <c r="L2646">
        <v>0</v>
      </c>
      <c r="M2646">
        <v>0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28</v>
      </c>
      <c r="T2646">
        <v>2</v>
      </c>
      <c r="U2646" s="5">
        <f>IF(Merge1[[#This Row],[team_defense_snaps]]=0, "", Merge1[[#This Row],[defense_snaps]] / Merge1[[#This Row],[team_defense_snaps]])</f>
        <v>2.9411764705882353E-2</v>
      </c>
      <c r="V2646">
        <v>68</v>
      </c>
      <c r="W2646">
        <v>26</v>
      </c>
      <c r="X2646" s="5" t="s">
        <v>64</v>
      </c>
      <c r="Y2646">
        <v>1</v>
      </c>
      <c r="Z2646">
        <v>0</v>
      </c>
      <c r="AA2646" t="s">
        <v>25</v>
      </c>
      <c r="AB2646" t="s">
        <v>26</v>
      </c>
      <c r="AC2646" t="s">
        <v>27</v>
      </c>
      <c r="AD2646" t="s">
        <v>28</v>
      </c>
      <c r="AE2646" t="s">
        <v>25</v>
      </c>
      <c r="AF26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0.10714285714285714</v>
      </c>
      <c r="AG2646" t="s">
        <v>941</v>
      </c>
      <c r="AH2646">
        <v>75</v>
      </c>
      <c r="AI2646" t="s">
        <v>939</v>
      </c>
      <c r="AJ2646">
        <v>1</v>
      </c>
      <c r="AK26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MIN(AJ2646/8, 1) +
  Merge1[[#This Row],[index_defensive_effort]],
  2
)</f>
        <v>0.73</v>
      </c>
    </row>
    <row r="2647" spans="1:37" x14ac:dyDescent="0.25">
      <c r="A2647" t="s">
        <v>719</v>
      </c>
      <c r="B2647" t="s">
        <v>720</v>
      </c>
      <c r="C2647">
        <v>27</v>
      </c>
      <c r="D2647" t="s">
        <v>56</v>
      </c>
      <c r="E2647">
        <v>72</v>
      </c>
      <c r="F2647">
        <v>196</v>
      </c>
      <c r="G2647" t="s">
        <v>28</v>
      </c>
      <c r="H2647">
        <v>2020</v>
      </c>
      <c r="I2647" t="s">
        <v>33</v>
      </c>
      <c r="J2647">
        <v>2</v>
      </c>
      <c r="K2647">
        <v>4</v>
      </c>
      <c r="L2647">
        <v>2</v>
      </c>
      <c r="M2647">
        <v>0</v>
      </c>
      <c r="N2647">
        <v>2</v>
      </c>
      <c r="O2647">
        <v>0</v>
      </c>
      <c r="P2647">
        <v>0</v>
      </c>
      <c r="Q2647">
        <v>0</v>
      </c>
      <c r="R2647">
        <v>0</v>
      </c>
      <c r="S2647">
        <v>35</v>
      </c>
      <c r="T2647">
        <v>29</v>
      </c>
      <c r="U2647" s="5">
        <f>IF(Merge1[[#This Row],[team_defense_snaps]]=0, "", Merge1[[#This Row],[defense_snaps]] / Merge1[[#This Row],[team_defense_snaps]])</f>
        <v>0.35802469135802467</v>
      </c>
      <c r="V2647">
        <v>81</v>
      </c>
      <c r="W2647">
        <v>6</v>
      </c>
      <c r="X2647" s="5" t="s">
        <v>139</v>
      </c>
      <c r="Y2647">
        <v>5</v>
      </c>
      <c r="Z2647">
        <v>0</v>
      </c>
      <c r="AA2647" t="s">
        <v>25</v>
      </c>
      <c r="AB2647" t="s">
        <v>26</v>
      </c>
      <c r="AC2647" t="s">
        <v>27</v>
      </c>
      <c r="AD2647" t="s">
        <v>28</v>
      </c>
      <c r="AE2647" t="s">
        <v>25</v>
      </c>
      <c r="AF26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0.14285714285714285</v>
      </c>
      <c r="AG2647" t="s">
        <v>942</v>
      </c>
      <c r="AH2647">
        <v>67</v>
      </c>
      <c r="AI2647" t="s">
        <v>939</v>
      </c>
      <c r="AJ2647">
        <v>1</v>
      </c>
      <c r="AK26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MIN(AJ2647/8, 1) +
  Merge1[[#This Row],[index_defensive_effort]],
  2
)</f>
        <v>0.77</v>
      </c>
    </row>
    <row r="2648" spans="1:37" x14ac:dyDescent="0.25">
      <c r="A2648" t="s">
        <v>719</v>
      </c>
      <c r="B2648" t="s">
        <v>720</v>
      </c>
      <c r="C2648">
        <v>27</v>
      </c>
      <c r="D2648" t="s">
        <v>56</v>
      </c>
      <c r="E2648">
        <v>72</v>
      </c>
      <c r="F2648">
        <v>196</v>
      </c>
      <c r="G2648" t="s">
        <v>28</v>
      </c>
      <c r="H2648">
        <v>2020</v>
      </c>
      <c r="I2648" t="s">
        <v>33</v>
      </c>
      <c r="J2648">
        <v>3</v>
      </c>
      <c r="K2648">
        <v>1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15</v>
      </c>
      <c r="T2648">
        <v>8</v>
      </c>
      <c r="U2648" s="5">
        <f>IF(Merge1[[#This Row],[team_defense_snaps]]=0, "", Merge1[[#This Row],[defense_snaps]] / Merge1[[#This Row],[team_defense_snaps]])</f>
        <v>0.12903225806451613</v>
      </c>
      <c r="V2648">
        <v>62</v>
      </c>
      <c r="W2648">
        <v>7</v>
      </c>
      <c r="X2648" s="5" t="s">
        <v>139</v>
      </c>
      <c r="Y2648">
        <v>5</v>
      </c>
      <c r="Z2648">
        <v>0</v>
      </c>
      <c r="AA2648" t="s">
        <v>25</v>
      </c>
      <c r="AB2648" t="s">
        <v>26</v>
      </c>
      <c r="AC2648" t="s">
        <v>27</v>
      </c>
      <c r="AD2648" t="s">
        <v>28</v>
      </c>
      <c r="AE2648" t="s">
        <v>25</v>
      </c>
      <c r="AF26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2648" t="s">
        <v>942</v>
      </c>
      <c r="AH2648">
        <v>82</v>
      </c>
      <c r="AI2648" t="s">
        <v>939</v>
      </c>
      <c r="AJ2648">
        <v>2</v>
      </c>
      <c r="AK26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MIN(AJ2648/8, 1) +
  Merge1[[#This Row],[index_defensive_effort]],
  2
)</f>
        <v>0.82</v>
      </c>
    </row>
    <row r="2649" spans="1:37" x14ac:dyDescent="0.25">
      <c r="A2649" t="s">
        <v>719</v>
      </c>
      <c r="B2649" t="s">
        <v>720</v>
      </c>
      <c r="C2649">
        <v>27</v>
      </c>
      <c r="D2649" t="s">
        <v>56</v>
      </c>
      <c r="E2649">
        <v>72</v>
      </c>
      <c r="F2649">
        <v>196</v>
      </c>
      <c r="G2649" t="s">
        <v>28</v>
      </c>
      <c r="H2649">
        <v>2020</v>
      </c>
      <c r="I2649" t="s">
        <v>33</v>
      </c>
      <c r="J2649">
        <v>4</v>
      </c>
      <c r="K2649">
        <v>1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55</v>
      </c>
      <c r="T2649">
        <v>54</v>
      </c>
      <c r="U2649" s="5">
        <f>IF(Merge1[[#This Row],[team_defense_snaps]]=0, "", Merge1[[#This Row],[defense_snaps]] / Merge1[[#This Row],[team_defense_snaps]])</f>
        <v>0.88524590163934425</v>
      </c>
      <c r="V2649">
        <v>61</v>
      </c>
      <c r="W2649">
        <v>1</v>
      </c>
      <c r="X2649" s="5" t="s">
        <v>193</v>
      </c>
      <c r="Y2649">
        <v>5</v>
      </c>
      <c r="Z2649">
        <v>0</v>
      </c>
      <c r="AA2649" t="s">
        <v>25</v>
      </c>
      <c r="AB2649" t="s">
        <v>26</v>
      </c>
      <c r="AC2649" t="s">
        <v>27</v>
      </c>
      <c r="AD2649" t="s">
        <v>42</v>
      </c>
      <c r="AE2649" t="s">
        <v>25</v>
      </c>
      <c r="AF26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1.8181818181818181E-2</v>
      </c>
      <c r="AG2649" t="s">
        <v>942</v>
      </c>
      <c r="AH2649">
        <v>73</v>
      </c>
      <c r="AI2649" t="s">
        <v>939</v>
      </c>
      <c r="AJ2649">
        <v>3</v>
      </c>
      <c r="AK26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MIN(AJ2649/8, 1) +
  Merge1[[#This Row],[index_defensive_effort]],
  2
)</f>
        <v>0.89</v>
      </c>
    </row>
    <row r="2650" spans="1:37" x14ac:dyDescent="0.25">
      <c r="A2650" t="s">
        <v>719</v>
      </c>
      <c r="B2650" t="s">
        <v>720</v>
      </c>
      <c r="C2650">
        <v>27</v>
      </c>
      <c r="D2650" t="s">
        <v>56</v>
      </c>
      <c r="E2650">
        <v>72</v>
      </c>
      <c r="F2650">
        <v>196</v>
      </c>
      <c r="G2650" t="s">
        <v>28</v>
      </c>
      <c r="H2650">
        <v>2020</v>
      </c>
      <c r="I2650" t="s">
        <v>33</v>
      </c>
      <c r="J2650">
        <v>5</v>
      </c>
      <c r="K2650">
        <v>1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35</v>
      </c>
      <c r="T2650">
        <v>20</v>
      </c>
      <c r="U2650" s="5">
        <f>IF(Merge1[[#This Row],[team_defense_snaps]]=0, "", Merge1[[#This Row],[defense_snaps]] / Merge1[[#This Row],[team_defense_snaps]])</f>
        <v>0.28169014084507044</v>
      </c>
      <c r="V2650">
        <v>71</v>
      </c>
      <c r="W2650">
        <v>15</v>
      </c>
      <c r="X2650" s="5" t="s">
        <v>57</v>
      </c>
      <c r="Y2650">
        <v>5</v>
      </c>
      <c r="Z2650">
        <v>0</v>
      </c>
      <c r="AA2650" t="s">
        <v>25</v>
      </c>
      <c r="AB2650" t="s">
        <v>26</v>
      </c>
      <c r="AC2650" t="s">
        <v>27</v>
      </c>
      <c r="AD2650" t="s">
        <v>28</v>
      </c>
      <c r="AE2650" t="s">
        <v>25</v>
      </c>
      <c r="AF26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2.8571428571428571E-2</v>
      </c>
      <c r="AG2650" t="s">
        <v>942</v>
      </c>
      <c r="AH2650">
        <v>65</v>
      </c>
      <c r="AI2650" t="s">
        <v>939</v>
      </c>
      <c r="AJ2650">
        <v>4</v>
      </c>
      <c r="AK26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MIN(AJ2650/8, 1) +
  Merge1[[#This Row],[index_defensive_effort]],
  2
)</f>
        <v>1.03</v>
      </c>
    </row>
    <row r="2651" spans="1:37" x14ac:dyDescent="0.25">
      <c r="A2651" t="s">
        <v>719</v>
      </c>
      <c r="B2651" t="s">
        <v>720</v>
      </c>
      <c r="C2651">
        <v>27</v>
      </c>
      <c r="D2651" t="s">
        <v>56</v>
      </c>
      <c r="E2651">
        <v>72</v>
      </c>
      <c r="F2651">
        <v>196</v>
      </c>
      <c r="G2651" t="s">
        <v>28</v>
      </c>
      <c r="H2651">
        <v>2020</v>
      </c>
      <c r="I2651" t="s">
        <v>33</v>
      </c>
      <c r="J2651">
        <v>8</v>
      </c>
      <c r="K2651">
        <v>3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34</v>
      </c>
      <c r="T2651">
        <v>26</v>
      </c>
      <c r="U2651" s="5">
        <f>IF(Merge1[[#This Row],[team_defense_snaps]]=0, "", Merge1[[#This Row],[defense_snaps]] / Merge1[[#This Row],[team_defense_snaps]])</f>
        <v>0.37142857142857144</v>
      </c>
      <c r="V2651">
        <v>70</v>
      </c>
      <c r="W2651">
        <v>8</v>
      </c>
      <c r="X2651" s="5" t="s">
        <v>133</v>
      </c>
      <c r="Y2651">
        <v>5</v>
      </c>
      <c r="Z2651">
        <v>0</v>
      </c>
      <c r="AA2651" t="s">
        <v>25</v>
      </c>
      <c r="AB2651" t="s">
        <v>26</v>
      </c>
      <c r="AC2651" t="s">
        <v>27</v>
      </c>
      <c r="AD2651" t="s">
        <v>28</v>
      </c>
      <c r="AE2651" t="s">
        <v>25</v>
      </c>
      <c r="AF26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8.8235294117647065E-2</v>
      </c>
      <c r="AG2651" t="s">
        <v>942</v>
      </c>
      <c r="AH2651">
        <v>61</v>
      </c>
      <c r="AI2651" t="s">
        <v>939</v>
      </c>
      <c r="AJ2651">
        <v>1</v>
      </c>
      <c r="AK26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MIN(AJ2651/8, 1) +
  Merge1[[#This Row],[index_defensive_effort]],
  2
)</f>
        <v>0.71</v>
      </c>
    </row>
    <row r="2652" spans="1:37" x14ac:dyDescent="0.25">
      <c r="A2652" t="s">
        <v>719</v>
      </c>
      <c r="B2652" t="s">
        <v>720</v>
      </c>
      <c r="C2652">
        <v>27</v>
      </c>
      <c r="D2652" t="s">
        <v>56</v>
      </c>
      <c r="E2652">
        <v>72</v>
      </c>
      <c r="F2652">
        <v>196</v>
      </c>
      <c r="G2652" t="s">
        <v>28</v>
      </c>
      <c r="H2652">
        <v>2020</v>
      </c>
      <c r="I2652" t="s">
        <v>33</v>
      </c>
      <c r="J2652">
        <v>9</v>
      </c>
      <c r="K2652">
        <v>3</v>
      </c>
      <c r="L2652">
        <v>2</v>
      </c>
      <c r="M2652">
        <v>0</v>
      </c>
      <c r="N2652">
        <v>2</v>
      </c>
      <c r="O2652">
        <v>0</v>
      </c>
      <c r="P2652">
        <v>0</v>
      </c>
      <c r="Q2652">
        <v>0</v>
      </c>
      <c r="R2652">
        <v>0</v>
      </c>
      <c r="S2652">
        <v>47</v>
      </c>
      <c r="T2652">
        <v>35</v>
      </c>
      <c r="U2652" s="5">
        <f>IF(Merge1[[#This Row],[team_defense_snaps]]=0, "", Merge1[[#This Row],[defense_snaps]] / Merge1[[#This Row],[team_defense_snaps]])</f>
        <v>0.7</v>
      </c>
      <c r="V2652">
        <v>50</v>
      </c>
      <c r="W2652">
        <v>12</v>
      </c>
      <c r="X2652" s="5" t="s">
        <v>232</v>
      </c>
      <c r="Y2652">
        <v>5</v>
      </c>
      <c r="Z2652">
        <v>0</v>
      </c>
      <c r="AA2652" t="s">
        <v>25</v>
      </c>
      <c r="AB2652" t="s">
        <v>26</v>
      </c>
      <c r="AC2652" t="s">
        <v>27</v>
      </c>
      <c r="AD2652" t="s">
        <v>28</v>
      </c>
      <c r="AE2652" t="s">
        <v>25</v>
      </c>
      <c r="AF26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8.5106382978723402E-2</v>
      </c>
      <c r="AG2652" t="s">
        <v>942</v>
      </c>
      <c r="AH2652">
        <v>83.5</v>
      </c>
      <c r="AI2652" t="s">
        <v>939</v>
      </c>
      <c r="AJ2652">
        <v>2</v>
      </c>
      <c r="AK26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MIN(AJ2652/8, 1) +
  Merge1[[#This Row],[index_defensive_effort]],
  2
)</f>
        <v>0.84</v>
      </c>
    </row>
    <row r="2653" spans="1:37" x14ac:dyDescent="0.25">
      <c r="A2653" t="s">
        <v>719</v>
      </c>
      <c r="B2653" t="s">
        <v>720</v>
      </c>
      <c r="C2653">
        <v>27</v>
      </c>
      <c r="D2653" t="s">
        <v>56</v>
      </c>
      <c r="E2653">
        <v>72</v>
      </c>
      <c r="F2653">
        <v>196</v>
      </c>
      <c r="G2653" t="s">
        <v>28</v>
      </c>
      <c r="H2653">
        <v>2020</v>
      </c>
      <c r="I2653" t="s">
        <v>33</v>
      </c>
      <c r="J2653">
        <v>10</v>
      </c>
      <c r="K2653">
        <v>2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39</v>
      </c>
      <c r="T2653">
        <v>27</v>
      </c>
      <c r="U2653" s="5">
        <f>IF(Merge1[[#This Row],[team_defense_snaps]]=0, "", Merge1[[#This Row],[defense_snaps]] / Merge1[[#This Row],[team_defense_snaps]])</f>
        <v>0.375</v>
      </c>
      <c r="V2653">
        <v>72</v>
      </c>
      <c r="W2653">
        <v>12</v>
      </c>
      <c r="X2653" s="5" t="s">
        <v>75</v>
      </c>
      <c r="Y2653">
        <v>5</v>
      </c>
      <c r="Z2653">
        <v>0</v>
      </c>
      <c r="AA2653" t="s">
        <v>25</v>
      </c>
      <c r="AB2653" t="s">
        <v>26</v>
      </c>
      <c r="AC2653" t="s">
        <v>27</v>
      </c>
      <c r="AD2653" t="s">
        <v>28</v>
      </c>
      <c r="AE2653" t="s">
        <v>25</v>
      </c>
      <c r="AF26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5.128205128205128E-2</v>
      </c>
      <c r="AG2653" t="s">
        <v>942</v>
      </c>
      <c r="AH2653">
        <v>74.5</v>
      </c>
      <c r="AI2653" t="s">
        <v>939</v>
      </c>
      <c r="AJ2653">
        <v>3</v>
      </c>
      <c r="AK26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MIN(AJ2653/8, 1) +
  Merge1[[#This Row],[index_defensive_effort]],
  2
)</f>
        <v>0.93</v>
      </c>
    </row>
    <row r="2654" spans="1:37" x14ac:dyDescent="0.25">
      <c r="A2654" t="s">
        <v>719</v>
      </c>
      <c r="B2654" t="s">
        <v>720</v>
      </c>
      <c r="C2654">
        <v>27</v>
      </c>
      <c r="D2654" t="s">
        <v>56</v>
      </c>
      <c r="E2654">
        <v>72</v>
      </c>
      <c r="F2654">
        <v>196</v>
      </c>
      <c r="G2654" t="s">
        <v>28</v>
      </c>
      <c r="H2654">
        <v>2020</v>
      </c>
      <c r="I2654" t="s">
        <v>33</v>
      </c>
      <c r="J2654">
        <v>11</v>
      </c>
      <c r="K2654">
        <v>3</v>
      </c>
      <c r="L2654">
        <v>0</v>
      </c>
      <c r="M2654">
        <v>0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46</v>
      </c>
      <c r="T2654">
        <v>34</v>
      </c>
      <c r="U2654" s="5">
        <f>IF(Merge1[[#This Row],[team_defense_snaps]]=0, "", Merge1[[#This Row],[defense_snaps]] / Merge1[[#This Row],[team_defense_snaps]])</f>
        <v>0.54838709677419351</v>
      </c>
      <c r="V2654">
        <v>62</v>
      </c>
      <c r="W2654">
        <v>12</v>
      </c>
      <c r="X2654" s="5" t="s">
        <v>260</v>
      </c>
      <c r="Y2654">
        <v>5</v>
      </c>
      <c r="Z2654">
        <v>0</v>
      </c>
      <c r="AA2654" t="s">
        <v>25</v>
      </c>
      <c r="AB2654" t="s">
        <v>26</v>
      </c>
      <c r="AC2654" t="s">
        <v>27</v>
      </c>
      <c r="AD2654" t="s">
        <v>28</v>
      </c>
      <c r="AE2654" t="s">
        <v>25</v>
      </c>
      <c r="AF26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0.10869565217391304</v>
      </c>
      <c r="AG2654" t="s">
        <v>942</v>
      </c>
      <c r="AH2654">
        <v>80.5</v>
      </c>
      <c r="AI2654" t="s">
        <v>939</v>
      </c>
      <c r="AJ2654">
        <v>4</v>
      </c>
      <c r="AK26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MIN(AJ2654/8, 1) +
  Merge1[[#This Row],[index_defensive_effort]],
  2
)</f>
        <v>1.1100000000000001</v>
      </c>
    </row>
    <row r="2655" spans="1:37" x14ac:dyDescent="0.25">
      <c r="A2655" t="s">
        <v>719</v>
      </c>
      <c r="B2655" t="s">
        <v>720</v>
      </c>
      <c r="C2655">
        <v>27</v>
      </c>
      <c r="D2655" t="s">
        <v>56</v>
      </c>
      <c r="E2655">
        <v>72</v>
      </c>
      <c r="F2655">
        <v>196</v>
      </c>
      <c r="G2655" t="s">
        <v>28</v>
      </c>
      <c r="H2655">
        <v>2020</v>
      </c>
      <c r="I2655" t="s">
        <v>33</v>
      </c>
      <c r="J2655">
        <v>13</v>
      </c>
      <c r="K2655">
        <v>2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67</v>
      </c>
      <c r="T2655">
        <v>63</v>
      </c>
      <c r="U2655" s="5">
        <f>IF(Merge1[[#This Row],[team_defense_snaps]]=0, "", Merge1[[#This Row],[defense_snaps]] / Merge1[[#This Row],[team_defense_snaps]])</f>
        <v>0.94029850746268662</v>
      </c>
      <c r="V2655">
        <v>67</v>
      </c>
      <c r="W2655">
        <v>4</v>
      </c>
      <c r="X2655" s="5" t="s">
        <v>168</v>
      </c>
      <c r="Y2655">
        <v>5</v>
      </c>
      <c r="Z2655">
        <v>0</v>
      </c>
      <c r="AA2655" t="s">
        <v>25</v>
      </c>
      <c r="AB2655" t="s">
        <v>26</v>
      </c>
      <c r="AC2655" t="s">
        <v>27</v>
      </c>
      <c r="AD2655" t="s">
        <v>28</v>
      </c>
      <c r="AE2655" t="s">
        <v>25</v>
      </c>
      <c r="AF26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2.9850746268656716E-2</v>
      </c>
      <c r="AG2655" t="s">
        <v>942</v>
      </c>
      <c r="AH2655">
        <v>65.5</v>
      </c>
      <c r="AI2655" t="s">
        <v>939</v>
      </c>
      <c r="AJ2655">
        <v>1</v>
      </c>
      <c r="AK26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MIN(AJ2655/8, 1) +
  Merge1[[#This Row],[index_defensive_effort]],
  2
)</f>
        <v>0.65</v>
      </c>
    </row>
    <row r="2656" spans="1:37" x14ac:dyDescent="0.25">
      <c r="A2656" t="s">
        <v>719</v>
      </c>
      <c r="B2656" t="s">
        <v>720</v>
      </c>
      <c r="C2656">
        <v>27</v>
      </c>
      <c r="D2656" t="s">
        <v>56</v>
      </c>
      <c r="E2656">
        <v>72</v>
      </c>
      <c r="F2656">
        <v>196</v>
      </c>
      <c r="G2656" t="s">
        <v>28</v>
      </c>
      <c r="H2656">
        <v>2020</v>
      </c>
      <c r="I2656" t="s">
        <v>33</v>
      </c>
      <c r="J2656">
        <v>14</v>
      </c>
      <c r="K2656">
        <v>1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20</v>
      </c>
      <c r="T2656">
        <v>13</v>
      </c>
      <c r="U2656" s="5">
        <f>IF(Merge1[[#This Row],[team_defense_snaps]]=0, "", Merge1[[#This Row],[defense_snaps]] / Merge1[[#This Row],[team_defense_snaps]])</f>
        <v>0.18840579710144928</v>
      </c>
      <c r="V2656">
        <v>69</v>
      </c>
      <c r="W2656">
        <v>7</v>
      </c>
      <c r="X2656" s="5" t="s">
        <v>136</v>
      </c>
      <c r="Y2656">
        <v>5</v>
      </c>
      <c r="Z2656">
        <v>0</v>
      </c>
      <c r="AA2656" t="s">
        <v>25</v>
      </c>
      <c r="AB2656" t="s">
        <v>26</v>
      </c>
      <c r="AC2656" t="s">
        <v>27</v>
      </c>
      <c r="AD2656" t="s">
        <v>28</v>
      </c>
      <c r="AE2656" t="s">
        <v>25</v>
      </c>
      <c r="AF26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2656" t="s">
        <v>942</v>
      </c>
      <c r="AH2656">
        <v>71.5</v>
      </c>
      <c r="AI2656" t="s">
        <v>939</v>
      </c>
      <c r="AJ2656">
        <v>2</v>
      </c>
      <c r="AK26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MIN(AJ2656/8, 1) +
  Merge1[[#This Row],[index_defensive_effort]],
  2
)</f>
        <v>0.8</v>
      </c>
    </row>
    <row r="2657" spans="1:37" x14ac:dyDescent="0.25">
      <c r="A2657" t="s">
        <v>719</v>
      </c>
      <c r="B2657" t="s">
        <v>720</v>
      </c>
      <c r="C2657">
        <v>27</v>
      </c>
      <c r="D2657" t="s">
        <v>56</v>
      </c>
      <c r="E2657">
        <v>72</v>
      </c>
      <c r="F2657">
        <v>196</v>
      </c>
      <c r="G2657" t="s">
        <v>28</v>
      </c>
      <c r="H2657">
        <v>2020</v>
      </c>
      <c r="I2657" t="s">
        <v>33</v>
      </c>
      <c r="J2657">
        <v>15</v>
      </c>
      <c r="K2657">
        <v>1</v>
      </c>
      <c r="L2657">
        <v>2</v>
      </c>
      <c r="M2657">
        <v>0</v>
      </c>
      <c r="N2657">
        <v>2</v>
      </c>
      <c r="O2657">
        <v>0</v>
      </c>
      <c r="P2657">
        <v>0</v>
      </c>
      <c r="Q2657">
        <v>0</v>
      </c>
      <c r="R2657">
        <v>0</v>
      </c>
      <c r="S2657">
        <v>61</v>
      </c>
      <c r="T2657">
        <v>52</v>
      </c>
      <c r="U2657" s="5">
        <f>IF(Merge1[[#This Row],[team_defense_snaps]]=0, "", Merge1[[#This Row],[defense_snaps]] / Merge1[[#This Row],[team_defense_snaps]])</f>
        <v>0.5252525252525253</v>
      </c>
      <c r="V2657">
        <v>99</v>
      </c>
      <c r="W2657">
        <v>9</v>
      </c>
      <c r="X2657" s="5" t="s">
        <v>137</v>
      </c>
      <c r="Y2657">
        <v>5</v>
      </c>
      <c r="Z2657">
        <v>0</v>
      </c>
      <c r="AA2657" t="s">
        <v>25</v>
      </c>
      <c r="AB2657" t="s">
        <v>26</v>
      </c>
      <c r="AC2657" t="s">
        <v>27</v>
      </c>
      <c r="AD2657" t="s">
        <v>28</v>
      </c>
      <c r="AE2657" t="s">
        <v>25</v>
      </c>
      <c r="AF26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3.2786885245901641E-2</v>
      </c>
      <c r="AG2657" t="s">
        <v>942</v>
      </c>
      <c r="AH2657">
        <v>64</v>
      </c>
      <c r="AI2657" t="s">
        <v>939</v>
      </c>
      <c r="AJ2657">
        <v>3</v>
      </c>
      <c r="AK26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MIN(AJ2657/8, 1) +
  Merge1[[#This Row],[index_defensive_effort]],
  2
)</f>
        <v>0.91</v>
      </c>
    </row>
    <row r="2658" spans="1:37" x14ac:dyDescent="0.25">
      <c r="A2658" t="s">
        <v>719</v>
      </c>
      <c r="B2658" t="s">
        <v>720</v>
      </c>
      <c r="C2658">
        <v>27</v>
      </c>
      <c r="D2658" t="s">
        <v>56</v>
      </c>
      <c r="E2658">
        <v>72</v>
      </c>
      <c r="F2658">
        <v>196</v>
      </c>
      <c r="G2658" t="s">
        <v>28</v>
      </c>
      <c r="H2658">
        <v>2020</v>
      </c>
      <c r="I2658" t="s">
        <v>33</v>
      </c>
      <c r="J2658">
        <v>16</v>
      </c>
      <c r="K2658">
        <v>3</v>
      </c>
      <c r="L2658">
        <v>1</v>
      </c>
      <c r="M2658">
        <v>0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64</v>
      </c>
      <c r="T2658">
        <v>63</v>
      </c>
      <c r="U2658" s="5">
        <f>IF(Merge1[[#This Row],[team_defense_snaps]]=0, "", Merge1[[#This Row],[defense_snaps]] / Merge1[[#This Row],[team_defense_snaps]])</f>
        <v>0.984375</v>
      </c>
      <c r="V2658">
        <v>64</v>
      </c>
      <c r="W2658">
        <v>1</v>
      </c>
      <c r="X2658" s="5" t="s">
        <v>303</v>
      </c>
      <c r="Y2658">
        <v>5</v>
      </c>
      <c r="Z2658">
        <v>0</v>
      </c>
      <c r="AA2658" t="s">
        <v>25</v>
      </c>
      <c r="AB2658" t="s">
        <v>26</v>
      </c>
      <c r="AC2658" t="s">
        <v>27</v>
      </c>
      <c r="AD2658" t="s">
        <v>42</v>
      </c>
      <c r="AE2658" t="s">
        <v>25</v>
      </c>
      <c r="AF26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5.46875E-2</v>
      </c>
      <c r="AG2658" t="s">
        <v>942</v>
      </c>
      <c r="AH2658">
        <v>70</v>
      </c>
      <c r="AI2658" t="s">
        <v>939</v>
      </c>
      <c r="AJ2658">
        <v>4</v>
      </c>
      <c r="AK26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MIN(AJ2658/8, 1) +
  Merge1[[#This Row],[index_defensive_effort]],
  2
)</f>
        <v>1.05</v>
      </c>
    </row>
    <row r="2659" spans="1:37" x14ac:dyDescent="0.25">
      <c r="A2659" t="s">
        <v>719</v>
      </c>
      <c r="B2659" t="s">
        <v>720</v>
      </c>
      <c r="C2659">
        <v>27</v>
      </c>
      <c r="D2659" t="s">
        <v>56</v>
      </c>
      <c r="E2659">
        <v>72</v>
      </c>
      <c r="F2659">
        <v>196</v>
      </c>
      <c r="G2659" t="s">
        <v>28</v>
      </c>
      <c r="H2659">
        <v>2020</v>
      </c>
      <c r="I2659" t="s">
        <v>33</v>
      </c>
      <c r="J2659">
        <v>17</v>
      </c>
      <c r="K2659">
        <v>6</v>
      </c>
      <c r="L2659">
        <v>1</v>
      </c>
      <c r="M2659">
        <v>0</v>
      </c>
      <c r="N2659">
        <v>1</v>
      </c>
      <c r="O2659">
        <v>0</v>
      </c>
      <c r="P2659">
        <v>2</v>
      </c>
      <c r="Q2659">
        <v>2</v>
      </c>
      <c r="R2659">
        <v>0</v>
      </c>
      <c r="S2659">
        <v>62</v>
      </c>
      <c r="T2659">
        <v>62</v>
      </c>
      <c r="U2659" s="5">
        <f>IF(Merge1[[#This Row],[team_defense_snaps]]=0, "", Merge1[[#This Row],[defense_snaps]] / Merge1[[#This Row],[team_defense_snaps]])</f>
        <v>1</v>
      </c>
      <c r="V2659">
        <v>62</v>
      </c>
      <c r="W2659">
        <v>0</v>
      </c>
      <c r="X2659" s="5" t="s">
        <v>29</v>
      </c>
      <c r="Y2659">
        <v>5</v>
      </c>
      <c r="Z2659">
        <v>0</v>
      </c>
      <c r="AA2659" t="s">
        <v>25</v>
      </c>
      <c r="AB2659" t="s">
        <v>26</v>
      </c>
      <c r="AC2659" t="s">
        <v>27</v>
      </c>
      <c r="AD2659" t="s">
        <v>42</v>
      </c>
      <c r="AE2659" t="s">
        <v>25</v>
      </c>
      <c r="AF26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0.29838709677419356</v>
      </c>
      <c r="AG2659" t="s">
        <v>942</v>
      </c>
      <c r="AH2659">
        <v>79</v>
      </c>
      <c r="AI2659" t="s">
        <v>939</v>
      </c>
      <c r="AJ2659">
        <v>5</v>
      </c>
      <c r="AK26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MIN(AJ2659/8, 1) +
  Merge1[[#This Row],[index_defensive_effort]],
  2
)</f>
        <v>1.42</v>
      </c>
    </row>
    <row r="2660" spans="1:37" x14ac:dyDescent="0.25">
      <c r="A2660" t="s">
        <v>719</v>
      </c>
      <c r="B2660" t="s">
        <v>720</v>
      </c>
      <c r="C2660">
        <v>27</v>
      </c>
      <c r="D2660" t="s">
        <v>56</v>
      </c>
      <c r="E2660">
        <v>72</v>
      </c>
      <c r="F2660">
        <v>196</v>
      </c>
      <c r="G2660" t="s">
        <v>28</v>
      </c>
      <c r="H2660">
        <v>2020</v>
      </c>
      <c r="I2660" t="s">
        <v>24</v>
      </c>
      <c r="J2660">
        <v>18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28</v>
      </c>
      <c r="T2660">
        <v>20</v>
      </c>
      <c r="U2660" s="5">
        <f>IF(Merge1[[#This Row],[team_defense_snaps]]=0, "", Merge1[[#This Row],[defense_snaps]] / Merge1[[#This Row],[team_defense_snaps]])</f>
        <v>0.40816326530612246</v>
      </c>
      <c r="V2660">
        <v>49</v>
      </c>
      <c r="W2660">
        <v>8</v>
      </c>
      <c r="X2660" s="5" t="s">
        <v>123</v>
      </c>
      <c r="Y2660">
        <v>5</v>
      </c>
      <c r="Z2660">
        <v>0</v>
      </c>
      <c r="AA2660" t="s">
        <v>25</v>
      </c>
      <c r="AB2660" t="s">
        <v>26</v>
      </c>
      <c r="AC2660" t="s">
        <v>27</v>
      </c>
      <c r="AD2660" t="s">
        <v>28</v>
      </c>
      <c r="AE2660" t="s">
        <v>25</v>
      </c>
      <c r="AF26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660" t="s">
        <v>942</v>
      </c>
      <c r="AH2660">
        <v>62.5</v>
      </c>
      <c r="AI2660" t="s">
        <v>939</v>
      </c>
      <c r="AJ2660">
        <v>6</v>
      </c>
      <c r="AK26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MIN(AJ2660/8, 1) +
  Merge1[[#This Row],[index_defensive_effort]],
  2
)</f>
        <v>1.45</v>
      </c>
    </row>
    <row r="2661" spans="1:37" x14ac:dyDescent="0.25">
      <c r="A2661" t="s">
        <v>713</v>
      </c>
      <c r="B2661" t="s">
        <v>714</v>
      </c>
      <c r="C2661">
        <v>23</v>
      </c>
      <c r="D2661" t="s">
        <v>56</v>
      </c>
      <c r="E2661">
        <v>72</v>
      </c>
      <c r="F2661">
        <v>175</v>
      </c>
      <c r="G2661" t="s">
        <v>67</v>
      </c>
      <c r="H2661">
        <v>2020</v>
      </c>
      <c r="I2661" t="s">
        <v>33</v>
      </c>
      <c r="J2661">
        <v>16</v>
      </c>
      <c r="K2661">
        <v>1</v>
      </c>
      <c r="L2661">
        <v>1</v>
      </c>
      <c r="M2661">
        <v>1</v>
      </c>
      <c r="N2661">
        <v>2</v>
      </c>
      <c r="O2661">
        <v>0</v>
      </c>
      <c r="P2661">
        <v>0</v>
      </c>
      <c r="Q2661">
        <v>0</v>
      </c>
      <c r="R2661">
        <v>0</v>
      </c>
      <c r="S2661">
        <v>15</v>
      </c>
      <c r="T2661">
        <v>15</v>
      </c>
      <c r="U2661" s="5">
        <f>IF(Merge1[[#This Row],[team_defense_snaps]]=0, "", Merge1[[#This Row],[defense_snaps]] / Merge1[[#This Row],[team_defense_snaps]])</f>
        <v>0.25862068965517243</v>
      </c>
      <c r="V2661">
        <v>58</v>
      </c>
      <c r="W2661">
        <v>0</v>
      </c>
      <c r="X2661" s="5" t="s">
        <v>29</v>
      </c>
      <c r="Y2661">
        <v>0</v>
      </c>
      <c r="Z2661">
        <v>0</v>
      </c>
      <c r="AA2661" t="s">
        <v>25</v>
      </c>
      <c r="AB2661" t="s">
        <v>26</v>
      </c>
      <c r="AC2661" t="s">
        <v>27</v>
      </c>
      <c r="AD2661" t="s">
        <v>28</v>
      </c>
      <c r="AE2661" t="s">
        <v>25</v>
      </c>
      <c r="AF26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0.13333333333333333</v>
      </c>
      <c r="AG2661" t="s">
        <v>941</v>
      </c>
      <c r="AH2661">
        <v>54</v>
      </c>
      <c r="AI2661" t="s">
        <v>939</v>
      </c>
      <c r="AJ2661">
        <v>1</v>
      </c>
      <c r="AK26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MIN(AJ2661/8, 1) +
  Merge1[[#This Row],[index_defensive_effort]],
  2
)</f>
        <v>0.66</v>
      </c>
    </row>
    <row r="2662" spans="1:37" x14ac:dyDescent="0.25">
      <c r="A2662" t="s">
        <v>713</v>
      </c>
      <c r="B2662" t="s">
        <v>714</v>
      </c>
      <c r="C2662">
        <v>23</v>
      </c>
      <c r="D2662" t="s">
        <v>56</v>
      </c>
      <c r="E2662">
        <v>72</v>
      </c>
      <c r="F2662">
        <v>175</v>
      </c>
      <c r="G2662" t="s">
        <v>67</v>
      </c>
      <c r="H2662">
        <v>2020</v>
      </c>
      <c r="I2662" t="s">
        <v>33</v>
      </c>
      <c r="J2662">
        <v>17</v>
      </c>
      <c r="K2662">
        <v>3</v>
      </c>
      <c r="L2662">
        <v>3</v>
      </c>
      <c r="M2662">
        <v>0</v>
      </c>
      <c r="N2662">
        <v>3</v>
      </c>
      <c r="O2662">
        <v>0</v>
      </c>
      <c r="P2662">
        <v>0</v>
      </c>
      <c r="Q2662">
        <v>0</v>
      </c>
      <c r="R2662">
        <v>0</v>
      </c>
      <c r="S2662">
        <v>67</v>
      </c>
      <c r="T2662">
        <v>67</v>
      </c>
      <c r="U2662" s="5">
        <f>IF(Merge1[[#This Row],[team_defense_snaps]]=0, "", Merge1[[#This Row],[defense_snaps]] / Merge1[[#This Row],[team_defense_snaps]])</f>
        <v>0.94366197183098588</v>
      </c>
      <c r="V2662">
        <v>71</v>
      </c>
      <c r="W2662">
        <v>0</v>
      </c>
      <c r="X2662" s="5" t="s">
        <v>29</v>
      </c>
      <c r="Y2662">
        <v>0</v>
      </c>
      <c r="Z2662">
        <v>0</v>
      </c>
      <c r="AA2662" t="s">
        <v>25</v>
      </c>
      <c r="AB2662" t="s">
        <v>26</v>
      </c>
      <c r="AC2662" t="s">
        <v>27</v>
      </c>
      <c r="AD2662" t="s">
        <v>42</v>
      </c>
      <c r="AE2662" t="s">
        <v>25</v>
      </c>
      <c r="AF26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6.7164179104477612E-2</v>
      </c>
      <c r="AG2662" t="s">
        <v>941</v>
      </c>
      <c r="AH2662">
        <v>55.5</v>
      </c>
      <c r="AI2662" t="s">
        <v>939</v>
      </c>
      <c r="AJ2662">
        <v>2</v>
      </c>
      <c r="AK26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MIN(AJ2662/8, 1) +
  Merge1[[#This Row],[index_defensive_effort]],
  2
)</f>
        <v>0.72</v>
      </c>
    </row>
    <row r="2663" spans="1:37" x14ac:dyDescent="0.25">
      <c r="A2663" t="s">
        <v>715</v>
      </c>
      <c r="B2663" t="s">
        <v>716</v>
      </c>
      <c r="C2663">
        <v>30</v>
      </c>
      <c r="D2663" t="s">
        <v>56</v>
      </c>
      <c r="E2663">
        <v>73</v>
      </c>
      <c r="F2663">
        <v>203</v>
      </c>
      <c r="G2663" t="s">
        <v>153</v>
      </c>
      <c r="H2663">
        <v>2020</v>
      </c>
      <c r="I2663" t="s">
        <v>33</v>
      </c>
      <c r="J2663">
        <v>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66</v>
      </c>
      <c r="T2663">
        <v>61</v>
      </c>
      <c r="U2663" s="5">
        <f>IF(Merge1[[#This Row],[team_defense_snaps]]=0, "", Merge1[[#This Row],[defense_snaps]] / Merge1[[#This Row],[team_defense_snaps]])</f>
        <v>0.91044776119402981</v>
      </c>
      <c r="V2663">
        <v>67</v>
      </c>
      <c r="W2663">
        <v>5</v>
      </c>
      <c r="X2663" s="5" t="s">
        <v>181</v>
      </c>
      <c r="Y2663">
        <v>9</v>
      </c>
      <c r="Z2663">
        <v>0</v>
      </c>
      <c r="AA2663" t="s">
        <v>25</v>
      </c>
      <c r="AB2663" t="s">
        <v>26</v>
      </c>
      <c r="AC2663" t="s">
        <v>27</v>
      </c>
      <c r="AD2663" t="s">
        <v>42</v>
      </c>
      <c r="AE2663" t="s">
        <v>25</v>
      </c>
      <c r="AF26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663" t="s">
        <v>941</v>
      </c>
      <c r="AH2663">
        <v>95</v>
      </c>
      <c r="AI2663" t="s">
        <v>939</v>
      </c>
      <c r="AJ2663">
        <v>1</v>
      </c>
      <c r="AK26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MIN(AJ2663/8, 1) +
  Merge1[[#This Row],[index_defensive_effort]],
  2
)</f>
        <v>0.63</v>
      </c>
    </row>
    <row r="2664" spans="1:37" x14ac:dyDescent="0.25">
      <c r="A2664" t="s">
        <v>715</v>
      </c>
      <c r="B2664" t="s">
        <v>716</v>
      </c>
      <c r="C2664">
        <v>30</v>
      </c>
      <c r="D2664" t="s">
        <v>56</v>
      </c>
      <c r="E2664">
        <v>73</v>
      </c>
      <c r="F2664">
        <v>203</v>
      </c>
      <c r="G2664" t="s">
        <v>153</v>
      </c>
      <c r="H2664">
        <v>2020</v>
      </c>
      <c r="I2664" t="s">
        <v>33</v>
      </c>
      <c r="J2664">
        <v>2</v>
      </c>
      <c r="K2664">
        <v>1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70</v>
      </c>
      <c r="T2664">
        <v>66</v>
      </c>
      <c r="U2664" s="5">
        <f>IF(Merge1[[#This Row],[team_defense_snaps]]=0, "", Merge1[[#This Row],[defense_snaps]] / Merge1[[#This Row],[team_defense_snaps]])</f>
        <v>1</v>
      </c>
      <c r="V2664">
        <v>66</v>
      </c>
      <c r="W2664">
        <v>4</v>
      </c>
      <c r="X2664" s="5" t="s">
        <v>212</v>
      </c>
      <c r="Y2664">
        <v>9</v>
      </c>
      <c r="Z2664">
        <v>0</v>
      </c>
      <c r="AA2664" t="s">
        <v>25</v>
      </c>
      <c r="AB2664" t="s">
        <v>26</v>
      </c>
      <c r="AC2664" t="s">
        <v>27</v>
      </c>
      <c r="AD2664" t="s">
        <v>42</v>
      </c>
      <c r="AE2664" t="s">
        <v>25</v>
      </c>
      <c r="AF26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1.4285714285714285E-2</v>
      </c>
      <c r="AG2664" t="s">
        <v>941</v>
      </c>
      <c r="AH2664">
        <v>78.5</v>
      </c>
      <c r="AI2664" t="s">
        <v>939</v>
      </c>
      <c r="AJ2664">
        <v>2</v>
      </c>
      <c r="AK26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MIN(AJ2664/8, 1) +
  Merge1[[#This Row],[index_defensive_effort]],
  2
)</f>
        <v>0.76</v>
      </c>
    </row>
    <row r="2665" spans="1:37" x14ac:dyDescent="0.25">
      <c r="A2665" t="s">
        <v>715</v>
      </c>
      <c r="B2665" t="s">
        <v>716</v>
      </c>
      <c r="C2665">
        <v>30</v>
      </c>
      <c r="D2665" t="s">
        <v>56</v>
      </c>
      <c r="E2665">
        <v>73</v>
      </c>
      <c r="F2665">
        <v>203</v>
      </c>
      <c r="G2665" t="s">
        <v>153</v>
      </c>
      <c r="H2665">
        <v>2020</v>
      </c>
      <c r="I2665" t="s">
        <v>33</v>
      </c>
      <c r="J2665">
        <v>3</v>
      </c>
      <c r="K2665">
        <v>1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73</v>
      </c>
      <c r="T2665">
        <v>66</v>
      </c>
      <c r="U2665" s="5">
        <f>IF(Merge1[[#This Row],[team_defense_snaps]]=0, "", Merge1[[#This Row],[defense_snaps]] / Merge1[[#This Row],[team_defense_snaps]])</f>
        <v>0.9850746268656716</v>
      </c>
      <c r="V2665">
        <v>67</v>
      </c>
      <c r="W2665">
        <v>7</v>
      </c>
      <c r="X2665" s="5" t="s">
        <v>137</v>
      </c>
      <c r="Y2665">
        <v>9</v>
      </c>
      <c r="Z2665">
        <v>0</v>
      </c>
      <c r="AA2665" t="s">
        <v>25</v>
      </c>
      <c r="AB2665" t="s">
        <v>26</v>
      </c>
      <c r="AC2665" t="s">
        <v>27</v>
      </c>
      <c r="AD2665" t="s">
        <v>42</v>
      </c>
      <c r="AE2665" t="s">
        <v>25</v>
      </c>
      <c r="AF26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1.3698630136986301E-2</v>
      </c>
      <c r="AG2665" t="s">
        <v>941</v>
      </c>
      <c r="AH2665">
        <v>75.5</v>
      </c>
      <c r="AI2665" t="s">
        <v>939</v>
      </c>
      <c r="AJ2665">
        <v>3</v>
      </c>
      <c r="AK26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MIN(AJ2665/8, 1) +
  Merge1[[#This Row],[index_defensive_effort]],
  2
)</f>
        <v>0.89</v>
      </c>
    </row>
    <row r="2666" spans="1:37" x14ac:dyDescent="0.25">
      <c r="A2666" t="s">
        <v>715</v>
      </c>
      <c r="B2666" t="s">
        <v>716</v>
      </c>
      <c r="C2666">
        <v>30</v>
      </c>
      <c r="D2666" t="s">
        <v>56</v>
      </c>
      <c r="E2666">
        <v>73</v>
      </c>
      <c r="F2666">
        <v>203</v>
      </c>
      <c r="G2666" t="s">
        <v>153</v>
      </c>
      <c r="H2666">
        <v>2020</v>
      </c>
      <c r="I2666" t="s">
        <v>33</v>
      </c>
      <c r="J2666">
        <v>4</v>
      </c>
      <c r="K2666">
        <v>5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2</v>
      </c>
      <c r="R2666">
        <v>0</v>
      </c>
      <c r="S2666">
        <v>81</v>
      </c>
      <c r="T2666">
        <v>75</v>
      </c>
      <c r="U2666" s="5">
        <f>IF(Merge1[[#This Row],[team_defense_snaps]]=0, "", Merge1[[#This Row],[defense_snaps]] / Merge1[[#This Row],[team_defense_snaps]])</f>
        <v>0.98684210526315785</v>
      </c>
      <c r="V2666">
        <v>76</v>
      </c>
      <c r="W2666">
        <v>6</v>
      </c>
      <c r="X2666" s="5" t="s">
        <v>133</v>
      </c>
      <c r="Y2666">
        <v>9</v>
      </c>
      <c r="Z2666">
        <v>0</v>
      </c>
      <c r="AA2666" t="s">
        <v>25</v>
      </c>
      <c r="AB2666" t="s">
        <v>26</v>
      </c>
      <c r="AC2666" t="s">
        <v>27</v>
      </c>
      <c r="AD2666" t="s">
        <v>42</v>
      </c>
      <c r="AE2666" t="s">
        <v>25</v>
      </c>
      <c r="AF26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0.16049382716049382</v>
      </c>
      <c r="AG2666" t="s">
        <v>941</v>
      </c>
      <c r="AH2666">
        <v>81.5</v>
      </c>
      <c r="AI2666" t="s">
        <v>939</v>
      </c>
      <c r="AJ2666">
        <v>4</v>
      </c>
      <c r="AK26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MIN(AJ2666/8, 1) +
  Merge1[[#This Row],[index_defensive_effort]],
  2
)</f>
        <v>1.1599999999999999</v>
      </c>
    </row>
    <row r="2667" spans="1:37" x14ac:dyDescent="0.25">
      <c r="A2667" t="s">
        <v>715</v>
      </c>
      <c r="B2667" t="s">
        <v>716</v>
      </c>
      <c r="C2667">
        <v>30</v>
      </c>
      <c r="D2667" t="s">
        <v>56</v>
      </c>
      <c r="E2667">
        <v>73</v>
      </c>
      <c r="F2667">
        <v>203</v>
      </c>
      <c r="G2667" t="s">
        <v>153</v>
      </c>
      <c r="H2667">
        <v>2020</v>
      </c>
      <c r="I2667" t="s">
        <v>33</v>
      </c>
      <c r="J2667">
        <v>5</v>
      </c>
      <c r="K2667">
        <v>3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74</v>
      </c>
      <c r="T2667">
        <v>69</v>
      </c>
      <c r="U2667" s="5">
        <f>IF(Merge1[[#This Row],[team_defense_snaps]]=0, "", Merge1[[#This Row],[defense_snaps]] / Merge1[[#This Row],[team_defense_snaps]])</f>
        <v>1</v>
      </c>
      <c r="V2667">
        <v>69</v>
      </c>
      <c r="W2667">
        <v>5</v>
      </c>
      <c r="X2667" s="5" t="s">
        <v>58</v>
      </c>
      <c r="Y2667">
        <v>9</v>
      </c>
      <c r="Z2667">
        <v>0</v>
      </c>
      <c r="AA2667" t="s">
        <v>25</v>
      </c>
      <c r="AB2667" t="s">
        <v>26</v>
      </c>
      <c r="AC2667" t="s">
        <v>27</v>
      </c>
      <c r="AD2667" t="s">
        <v>42</v>
      </c>
      <c r="AE2667" t="s">
        <v>25</v>
      </c>
      <c r="AF26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4.0540540540540543E-2</v>
      </c>
      <c r="AG2667" t="s">
        <v>941</v>
      </c>
      <c r="AH2667">
        <v>83</v>
      </c>
      <c r="AI2667" t="s">
        <v>939</v>
      </c>
      <c r="AJ2667">
        <v>5</v>
      </c>
      <c r="AK26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MIN(AJ2667/8, 1) +
  Merge1[[#This Row],[index_defensive_effort]],
  2
)</f>
        <v>1.17</v>
      </c>
    </row>
    <row r="2668" spans="1:37" x14ac:dyDescent="0.25">
      <c r="A2668" t="s">
        <v>715</v>
      </c>
      <c r="B2668" t="s">
        <v>716</v>
      </c>
      <c r="C2668">
        <v>30</v>
      </c>
      <c r="D2668" t="s">
        <v>56</v>
      </c>
      <c r="E2668">
        <v>73</v>
      </c>
      <c r="F2668">
        <v>203</v>
      </c>
      <c r="G2668" t="s">
        <v>153</v>
      </c>
      <c r="H2668">
        <v>2020</v>
      </c>
      <c r="I2668" t="s">
        <v>33</v>
      </c>
      <c r="J2668">
        <v>6</v>
      </c>
      <c r="K2668">
        <v>7</v>
      </c>
      <c r="L2668">
        <v>1</v>
      </c>
      <c r="M2668">
        <v>0</v>
      </c>
      <c r="N2668">
        <v>1</v>
      </c>
      <c r="O2668">
        <v>0</v>
      </c>
      <c r="P2668">
        <v>1</v>
      </c>
      <c r="Q2668">
        <v>0</v>
      </c>
      <c r="R2668">
        <v>0</v>
      </c>
      <c r="S2668">
        <v>88</v>
      </c>
      <c r="T2668">
        <v>86</v>
      </c>
      <c r="U2668" s="5">
        <f>IF(Merge1[[#This Row],[team_defense_snaps]]=0, "", Merge1[[#This Row],[defense_snaps]] / Merge1[[#This Row],[team_defense_snaps]])</f>
        <v>0.9662921348314607</v>
      </c>
      <c r="V2668">
        <v>89</v>
      </c>
      <c r="W2668">
        <v>2</v>
      </c>
      <c r="X2668" s="5" t="s">
        <v>167</v>
      </c>
      <c r="Y2668">
        <v>9</v>
      </c>
      <c r="Z2668">
        <v>0</v>
      </c>
      <c r="AA2668" t="s">
        <v>25</v>
      </c>
      <c r="AB2668" t="s">
        <v>26</v>
      </c>
      <c r="AC2668" t="s">
        <v>27</v>
      </c>
      <c r="AD2668" t="s">
        <v>42</v>
      </c>
      <c r="AE2668" t="s">
        <v>25</v>
      </c>
      <c r="AF26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0.10795454545454546</v>
      </c>
      <c r="AG2668" t="s">
        <v>941</v>
      </c>
      <c r="AH2668">
        <v>80</v>
      </c>
      <c r="AI2668" t="s">
        <v>939</v>
      </c>
      <c r="AJ2668">
        <v>6</v>
      </c>
      <c r="AK26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MIN(AJ2668/8, 1) +
  Merge1[[#This Row],[index_defensive_effort]],
  2
)</f>
        <v>1.36</v>
      </c>
    </row>
    <row r="2669" spans="1:37" x14ac:dyDescent="0.25">
      <c r="A2669" t="s">
        <v>715</v>
      </c>
      <c r="B2669" t="s">
        <v>716</v>
      </c>
      <c r="C2669">
        <v>30</v>
      </c>
      <c r="D2669" t="s">
        <v>56</v>
      </c>
      <c r="E2669">
        <v>73</v>
      </c>
      <c r="F2669">
        <v>203</v>
      </c>
      <c r="G2669" t="s">
        <v>153</v>
      </c>
      <c r="H2669">
        <v>2020</v>
      </c>
      <c r="I2669" t="s">
        <v>33</v>
      </c>
      <c r="J2669">
        <v>7</v>
      </c>
      <c r="K2669">
        <v>3</v>
      </c>
      <c r="L2669">
        <v>1</v>
      </c>
      <c r="M2669">
        <v>0</v>
      </c>
      <c r="N2669">
        <v>1</v>
      </c>
      <c r="O2669">
        <v>0</v>
      </c>
      <c r="P2669">
        <v>0</v>
      </c>
      <c r="Q2669">
        <v>2</v>
      </c>
      <c r="R2669">
        <v>0</v>
      </c>
      <c r="S2669">
        <v>90</v>
      </c>
      <c r="T2669">
        <v>84</v>
      </c>
      <c r="U2669" s="5">
        <f>IF(Merge1[[#This Row],[team_defense_snaps]]=0, "", Merge1[[#This Row],[defense_snaps]] / Merge1[[#This Row],[team_defense_snaps]])</f>
        <v>1</v>
      </c>
      <c r="V2669">
        <v>84</v>
      </c>
      <c r="W2669">
        <v>6</v>
      </c>
      <c r="X2669" s="5" t="s">
        <v>181</v>
      </c>
      <c r="Y2669">
        <v>9</v>
      </c>
      <c r="Z2669">
        <v>0</v>
      </c>
      <c r="AA2669" t="s">
        <v>25</v>
      </c>
      <c r="AB2669" t="s">
        <v>26</v>
      </c>
      <c r="AC2669" t="s">
        <v>27</v>
      </c>
      <c r="AD2669" t="s">
        <v>42</v>
      </c>
      <c r="AE2669" t="s">
        <v>25</v>
      </c>
      <c r="AF26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0.12777777777777777</v>
      </c>
      <c r="AG2669" t="s">
        <v>941</v>
      </c>
      <c r="AH2669">
        <v>90.5</v>
      </c>
      <c r="AI2669" t="s">
        <v>939</v>
      </c>
      <c r="AJ2669">
        <v>7</v>
      </c>
      <c r="AK26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MIN(AJ2669/8, 1) +
  Merge1[[#This Row],[index_defensive_effort]],
  2
)</f>
        <v>1.5</v>
      </c>
    </row>
    <row r="2670" spans="1:37" x14ac:dyDescent="0.25">
      <c r="A2670" t="s">
        <v>715</v>
      </c>
      <c r="B2670" t="s">
        <v>716</v>
      </c>
      <c r="C2670">
        <v>30</v>
      </c>
      <c r="D2670" t="s">
        <v>56</v>
      </c>
      <c r="E2670">
        <v>73</v>
      </c>
      <c r="F2670">
        <v>203</v>
      </c>
      <c r="G2670" t="s">
        <v>153</v>
      </c>
      <c r="H2670">
        <v>2020</v>
      </c>
      <c r="I2670" t="s">
        <v>33</v>
      </c>
      <c r="J2670">
        <v>9</v>
      </c>
      <c r="K2670">
        <v>6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65</v>
      </c>
      <c r="T2670">
        <v>59</v>
      </c>
      <c r="U2670" s="5">
        <f>IF(Merge1[[#This Row],[team_defense_snaps]]=0, "", Merge1[[#This Row],[defense_snaps]] / Merge1[[#This Row],[team_defense_snaps]])</f>
        <v>0.96721311475409832</v>
      </c>
      <c r="V2670">
        <v>61</v>
      </c>
      <c r="W2670">
        <v>6</v>
      </c>
      <c r="X2670" s="5" t="s">
        <v>293</v>
      </c>
      <c r="Y2670">
        <v>9</v>
      </c>
      <c r="Z2670">
        <v>0</v>
      </c>
      <c r="AA2670" t="s">
        <v>25</v>
      </c>
      <c r="AB2670" t="s">
        <v>26</v>
      </c>
      <c r="AC2670" t="s">
        <v>27</v>
      </c>
      <c r="AD2670" t="s">
        <v>42</v>
      </c>
      <c r="AE2670" t="s">
        <v>25</v>
      </c>
      <c r="AF26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9.2307692307692313E-2</v>
      </c>
      <c r="AG2670" t="s">
        <v>941</v>
      </c>
      <c r="AH2670">
        <v>87.5</v>
      </c>
      <c r="AI2670" t="s">
        <v>939</v>
      </c>
      <c r="AJ2670">
        <v>1</v>
      </c>
      <c r="AK26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MIN(AJ2670/8, 1) +
  Merge1[[#This Row],[index_defensive_effort]],
  2
)</f>
        <v>0.72</v>
      </c>
    </row>
    <row r="2671" spans="1:37" x14ac:dyDescent="0.25">
      <c r="A2671" t="s">
        <v>715</v>
      </c>
      <c r="B2671" t="s">
        <v>716</v>
      </c>
      <c r="C2671">
        <v>30</v>
      </c>
      <c r="D2671" t="s">
        <v>56</v>
      </c>
      <c r="E2671">
        <v>73</v>
      </c>
      <c r="F2671">
        <v>203</v>
      </c>
      <c r="G2671" t="s">
        <v>153</v>
      </c>
      <c r="H2671">
        <v>2020</v>
      </c>
      <c r="I2671" t="s">
        <v>33</v>
      </c>
      <c r="J2671">
        <v>10</v>
      </c>
      <c r="K2671">
        <v>4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2</v>
      </c>
      <c r="R2671">
        <v>0</v>
      </c>
      <c r="S2671">
        <v>79</v>
      </c>
      <c r="T2671">
        <v>73</v>
      </c>
      <c r="U2671" s="5">
        <f>IF(Merge1[[#This Row],[team_defense_snaps]]=0, "", Merge1[[#This Row],[defense_snaps]] / Merge1[[#This Row],[team_defense_snaps]])</f>
        <v>1</v>
      </c>
      <c r="V2671">
        <v>73</v>
      </c>
      <c r="W2671">
        <v>6</v>
      </c>
      <c r="X2671" s="5" t="s">
        <v>181</v>
      </c>
      <c r="Y2671">
        <v>9</v>
      </c>
      <c r="Z2671">
        <v>0</v>
      </c>
      <c r="AA2671" t="s">
        <v>25</v>
      </c>
      <c r="AB2671" t="s">
        <v>26</v>
      </c>
      <c r="AC2671" t="s">
        <v>27</v>
      </c>
      <c r="AD2671" t="s">
        <v>42</v>
      </c>
      <c r="AE2671" t="s">
        <v>25</v>
      </c>
      <c r="AF26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0.15189873417721519</v>
      </c>
      <c r="AG2671" t="s">
        <v>941</v>
      </c>
      <c r="AH2671">
        <v>77</v>
      </c>
      <c r="AI2671" t="s">
        <v>939</v>
      </c>
      <c r="AJ2671">
        <v>2</v>
      </c>
      <c r="AK26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MIN(AJ2671/8, 1) +
  Merge1[[#This Row],[index_defensive_effort]],
  2
)</f>
        <v>0.9</v>
      </c>
    </row>
    <row r="2672" spans="1:37" x14ac:dyDescent="0.25">
      <c r="A2672" t="s">
        <v>715</v>
      </c>
      <c r="B2672" t="s">
        <v>716</v>
      </c>
      <c r="C2672">
        <v>30</v>
      </c>
      <c r="D2672" t="s">
        <v>56</v>
      </c>
      <c r="E2672">
        <v>73</v>
      </c>
      <c r="F2672">
        <v>203</v>
      </c>
      <c r="G2672" t="s">
        <v>153</v>
      </c>
      <c r="H2672">
        <v>2020</v>
      </c>
      <c r="I2672" t="s">
        <v>33</v>
      </c>
      <c r="J2672">
        <v>11</v>
      </c>
      <c r="K2672">
        <v>3</v>
      </c>
      <c r="L2672">
        <v>2</v>
      </c>
      <c r="M2672">
        <v>1</v>
      </c>
      <c r="N2672">
        <v>3</v>
      </c>
      <c r="O2672">
        <v>0</v>
      </c>
      <c r="P2672">
        <v>0</v>
      </c>
      <c r="Q2672">
        <v>0</v>
      </c>
      <c r="R2672">
        <v>0</v>
      </c>
      <c r="S2672">
        <v>72</v>
      </c>
      <c r="T2672">
        <v>66</v>
      </c>
      <c r="U2672" s="5">
        <f>IF(Merge1[[#This Row],[team_defense_snaps]]=0, "", Merge1[[#This Row],[defense_snaps]] / Merge1[[#This Row],[team_defense_snaps]])</f>
        <v>1</v>
      </c>
      <c r="V2672">
        <v>66</v>
      </c>
      <c r="W2672">
        <v>6</v>
      </c>
      <c r="X2672" s="5" t="s">
        <v>132</v>
      </c>
      <c r="Y2672">
        <v>9</v>
      </c>
      <c r="Z2672">
        <v>0</v>
      </c>
      <c r="AA2672" t="s">
        <v>25</v>
      </c>
      <c r="AB2672" t="s">
        <v>26</v>
      </c>
      <c r="AC2672" t="s">
        <v>27</v>
      </c>
      <c r="AD2672" t="s">
        <v>42</v>
      </c>
      <c r="AE2672" t="s">
        <v>25</v>
      </c>
      <c r="AF26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2672" t="s">
        <v>941</v>
      </c>
      <c r="AH2672">
        <v>86</v>
      </c>
      <c r="AI2672" t="s">
        <v>939</v>
      </c>
      <c r="AJ2672">
        <v>3</v>
      </c>
      <c r="AK26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MIN(AJ2672/8, 1) +
  Merge1[[#This Row],[index_defensive_effort]],
  2
)</f>
        <v>0.94</v>
      </c>
    </row>
    <row r="2673" spans="1:37" x14ac:dyDescent="0.25">
      <c r="A2673" t="s">
        <v>715</v>
      </c>
      <c r="B2673" t="s">
        <v>716</v>
      </c>
      <c r="C2673">
        <v>30</v>
      </c>
      <c r="D2673" t="s">
        <v>56</v>
      </c>
      <c r="E2673">
        <v>73</v>
      </c>
      <c r="F2673">
        <v>203</v>
      </c>
      <c r="G2673" t="s">
        <v>153</v>
      </c>
      <c r="H2673">
        <v>2020</v>
      </c>
      <c r="I2673" t="s">
        <v>33</v>
      </c>
      <c r="J2673">
        <v>12</v>
      </c>
      <c r="K2673">
        <v>3</v>
      </c>
      <c r="L2673">
        <v>2</v>
      </c>
      <c r="M2673">
        <v>2</v>
      </c>
      <c r="N2673">
        <v>4</v>
      </c>
      <c r="O2673">
        <v>0</v>
      </c>
      <c r="P2673">
        <v>0</v>
      </c>
      <c r="Q2673">
        <v>0</v>
      </c>
      <c r="R2673">
        <v>0</v>
      </c>
      <c r="S2673">
        <v>57</v>
      </c>
      <c r="T2673">
        <v>52</v>
      </c>
      <c r="U2673" s="5">
        <f>IF(Merge1[[#This Row],[team_defense_snaps]]=0, "", Merge1[[#This Row],[defense_snaps]] / Merge1[[#This Row],[team_defense_snaps]])</f>
        <v>0.98113207547169812</v>
      </c>
      <c r="V2673">
        <v>53</v>
      </c>
      <c r="W2673">
        <v>5</v>
      </c>
      <c r="X2673" s="5" t="s">
        <v>132</v>
      </c>
      <c r="Y2673">
        <v>9</v>
      </c>
      <c r="Z2673">
        <v>0</v>
      </c>
      <c r="AA2673" t="s">
        <v>25</v>
      </c>
      <c r="AB2673" t="s">
        <v>26</v>
      </c>
      <c r="AC2673" t="s">
        <v>27</v>
      </c>
      <c r="AD2673" t="s">
        <v>42</v>
      </c>
      <c r="AE2673" t="s">
        <v>25</v>
      </c>
      <c r="AF26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8.771929824561403E-2</v>
      </c>
      <c r="AG2673" t="s">
        <v>941</v>
      </c>
      <c r="AH2673">
        <v>89</v>
      </c>
      <c r="AI2673" t="s">
        <v>939</v>
      </c>
      <c r="AJ2673">
        <v>4</v>
      </c>
      <c r="AK26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MIN(AJ2673/8, 1) +
  Merge1[[#This Row],[index_defensive_effort]],
  2
)</f>
        <v>1.0900000000000001</v>
      </c>
    </row>
    <row r="2674" spans="1:37" x14ac:dyDescent="0.25">
      <c r="A2674" t="s">
        <v>715</v>
      </c>
      <c r="B2674" t="s">
        <v>716</v>
      </c>
      <c r="C2674">
        <v>30</v>
      </c>
      <c r="D2674" t="s">
        <v>56</v>
      </c>
      <c r="E2674">
        <v>73</v>
      </c>
      <c r="F2674">
        <v>203</v>
      </c>
      <c r="G2674" t="s">
        <v>153</v>
      </c>
      <c r="H2674">
        <v>2020</v>
      </c>
      <c r="I2674" t="s">
        <v>33</v>
      </c>
      <c r="J2674">
        <v>13</v>
      </c>
      <c r="K2674">
        <v>4</v>
      </c>
      <c r="L2674">
        <v>1</v>
      </c>
      <c r="M2674">
        <v>0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89</v>
      </c>
      <c r="T2674">
        <v>82</v>
      </c>
      <c r="U2674" s="5">
        <f>IF(Merge1[[#This Row],[team_defense_snaps]]=0, "", Merge1[[#This Row],[defense_snaps]] / Merge1[[#This Row],[team_defense_snaps]])</f>
        <v>1</v>
      </c>
      <c r="V2674">
        <v>82</v>
      </c>
      <c r="W2674">
        <v>7</v>
      </c>
      <c r="X2674" s="5" t="s">
        <v>132</v>
      </c>
      <c r="Y2674">
        <v>9</v>
      </c>
      <c r="Z2674">
        <v>0</v>
      </c>
      <c r="AA2674" t="s">
        <v>25</v>
      </c>
      <c r="AB2674" t="s">
        <v>26</v>
      </c>
      <c r="AC2674" t="s">
        <v>27</v>
      </c>
      <c r="AD2674" t="s">
        <v>42</v>
      </c>
      <c r="AE2674" t="s">
        <v>25</v>
      </c>
      <c r="AF26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5.0561797752808987E-2</v>
      </c>
      <c r="AG2674" t="s">
        <v>941</v>
      </c>
      <c r="AH2674">
        <v>92</v>
      </c>
      <c r="AI2674" t="s">
        <v>939</v>
      </c>
      <c r="AJ2674">
        <v>5</v>
      </c>
      <c r="AK26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MIN(AJ2674/8, 1) +
  Merge1[[#This Row],[index_defensive_effort]],
  2
)</f>
        <v>1.18</v>
      </c>
    </row>
    <row r="2675" spans="1:37" x14ac:dyDescent="0.25">
      <c r="A2675" t="s">
        <v>715</v>
      </c>
      <c r="B2675" t="s">
        <v>716</v>
      </c>
      <c r="C2675">
        <v>30</v>
      </c>
      <c r="D2675" t="s">
        <v>56</v>
      </c>
      <c r="E2675">
        <v>73</v>
      </c>
      <c r="F2675">
        <v>203</v>
      </c>
      <c r="G2675" t="s">
        <v>153</v>
      </c>
      <c r="H2675">
        <v>2020</v>
      </c>
      <c r="I2675" t="s">
        <v>33</v>
      </c>
      <c r="J2675">
        <v>14</v>
      </c>
      <c r="K2675">
        <v>2</v>
      </c>
      <c r="L2675">
        <v>1</v>
      </c>
      <c r="M2675">
        <v>1</v>
      </c>
      <c r="N2675">
        <v>2</v>
      </c>
      <c r="O2675">
        <v>0</v>
      </c>
      <c r="P2675">
        <v>1</v>
      </c>
      <c r="Q2675">
        <v>0</v>
      </c>
      <c r="R2675">
        <v>0</v>
      </c>
      <c r="S2675">
        <v>48</v>
      </c>
      <c r="T2675">
        <v>45</v>
      </c>
      <c r="U2675" s="5">
        <f>IF(Merge1[[#This Row],[team_defense_snaps]]=0, "", Merge1[[#This Row],[defense_snaps]] / Merge1[[#This Row],[team_defense_snaps]])</f>
        <v>0.91836734693877553</v>
      </c>
      <c r="V2675">
        <v>49</v>
      </c>
      <c r="W2675">
        <v>3</v>
      </c>
      <c r="X2675" s="5" t="s">
        <v>35</v>
      </c>
      <c r="Y2675">
        <v>9</v>
      </c>
      <c r="Z2675">
        <v>0</v>
      </c>
      <c r="AA2675" t="s">
        <v>25</v>
      </c>
      <c r="AB2675" t="s">
        <v>26</v>
      </c>
      <c r="AC2675" t="s">
        <v>27</v>
      </c>
      <c r="AD2675" t="s">
        <v>42</v>
      </c>
      <c r="AE2675" t="s">
        <v>25</v>
      </c>
      <c r="AF26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0.10416666666666667</v>
      </c>
      <c r="AG2675" t="s">
        <v>941</v>
      </c>
      <c r="AH2675">
        <v>71</v>
      </c>
      <c r="AI2675" t="s">
        <v>939</v>
      </c>
      <c r="AJ2675">
        <v>6</v>
      </c>
      <c r="AK26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MIN(AJ2675/8, 1) +
  Merge1[[#This Row],[index_defensive_effort]],
  2
)</f>
        <v>1.35</v>
      </c>
    </row>
    <row r="2676" spans="1:37" x14ac:dyDescent="0.25">
      <c r="A2676" t="s">
        <v>715</v>
      </c>
      <c r="B2676" t="s">
        <v>716</v>
      </c>
      <c r="C2676">
        <v>30</v>
      </c>
      <c r="D2676" t="s">
        <v>56</v>
      </c>
      <c r="E2676">
        <v>73</v>
      </c>
      <c r="F2676">
        <v>203</v>
      </c>
      <c r="G2676" t="s">
        <v>153</v>
      </c>
      <c r="H2676">
        <v>2020</v>
      </c>
      <c r="I2676" t="s">
        <v>33</v>
      </c>
      <c r="J2676">
        <v>15</v>
      </c>
      <c r="K2676">
        <v>6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88</v>
      </c>
      <c r="T2676">
        <v>84</v>
      </c>
      <c r="U2676" s="5">
        <f>IF(Merge1[[#This Row],[team_defense_snaps]]=0, "", Merge1[[#This Row],[defense_snaps]] / Merge1[[#This Row],[team_defense_snaps]])</f>
        <v>1</v>
      </c>
      <c r="V2676">
        <v>84</v>
      </c>
      <c r="W2676">
        <v>4</v>
      </c>
      <c r="X2676" s="5" t="s">
        <v>209</v>
      </c>
      <c r="Y2676">
        <v>9</v>
      </c>
      <c r="Z2676">
        <v>0</v>
      </c>
      <c r="AA2676" t="s">
        <v>25</v>
      </c>
      <c r="AB2676" t="s">
        <v>26</v>
      </c>
      <c r="AC2676" t="s">
        <v>27</v>
      </c>
      <c r="AD2676" t="s">
        <v>42</v>
      </c>
      <c r="AE2676" t="s">
        <v>25</v>
      </c>
      <c r="AF26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6.8181818181818177E-2</v>
      </c>
      <c r="AG2676" t="s">
        <v>941</v>
      </c>
      <c r="AH2676">
        <v>74</v>
      </c>
      <c r="AI2676" t="s">
        <v>939</v>
      </c>
      <c r="AJ2676">
        <v>7</v>
      </c>
      <c r="AK26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MIN(AJ2676/8, 1) +
  Merge1[[#This Row],[index_defensive_effort]],
  2
)</f>
        <v>1.44</v>
      </c>
    </row>
    <row r="2677" spans="1:37" x14ac:dyDescent="0.25">
      <c r="A2677" t="s">
        <v>715</v>
      </c>
      <c r="B2677" t="s">
        <v>716</v>
      </c>
      <c r="C2677">
        <v>30</v>
      </c>
      <c r="D2677" t="s">
        <v>56</v>
      </c>
      <c r="E2677">
        <v>73</v>
      </c>
      <c r="F2677">
        <v>203</v>
      </c>
      <c r="G2677" t="s">
        <v>153</v>
      </c>
      <c r="H2677">
        <v>2020</v>
      </c>
      <c r="I2677" t="s">
        <v>33</v>
      </c>
      <c r="J2677">
        <v>16</v>
      </c>
      <c r="K2677">
        <v>2</v>
      </c>
      <c r="L2677">
        <v>1</v>
      </c>
      <c r="M2677">
        <v>0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60</v>
      </c>
      <c r="T2677">
        <v>55</v>
      </c>
      <c r="U2677" s="5">
        <f>IF(Merge1[[#This Row],[team_defense_snaps]]=0, "", Merge1[[#This Row],[defense_snaps]] / Merge1[[#This Row],[team_defense_snaps]])</f>
        <v>0.96491228070175439</v>
      </c>
      <c r="V2677">
        <v>57</v>
      </c>
      <c r="W2677">
        <v>5</v>
      </c>
      <c r="X2677" s="5" t="s">
        <v>293</v>
      </c>
      <c r="Y2677">
        <v>9</v>
      </c>
      <c r="Z2677">
        <v>0</v>
      </c>
      <c r="AA2677" t="s">
        <v>25</v>
      </c>
      <c r="AB2677" t="s">
        <v>26</v>
      </c>
      <c r="AC2677" t="s">
        <v>27</v>
      </c>
      <c r="AD2677" t="s">
        <v>42</v>
      </c>
      <c r="AE2677" t="s">
        <v>25</v>
      </c>
      <c r="AF26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2677" t="s">
        <v>941</v>
      </c>
      <c r="AH2677">
        <v>72.5</v>
      </c>
      <c r="AI2677" t="s">
        <v>939</v>
      </c>
      <c r="AJ2677">
        <v>8</v>
      </c>
      <c r="AK26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MIN(AJ2677/8, 1) +
  Merge1[[#This Row],[index_defensive_effort]],
  2
)</f>
        <v>1.54</v>
      </c>
    </row>
    <row r="2678" spans="1:37" x14ac:dyDescent="0.25">
      <c r="A2678" t="s">
        <v>715</v>
      </c>
      <c r="B2678" t="s">
        <v>716</v>
      </c>
      <c r="C2678">
        <v>30</v>
      </c>
      <c r="D2678" t="s">
        <v>56</v>
      </c>
      <c r="E2678">
        <v>73</v>
      </c>
      <c r="F2678">
        <v>203</v>
      </c>
      <c r="G2678" t="s">
        <v>153</v>
      </c>
      <c r="H2678">
        <v>2020</v>
      </c>
      <c r="I2678" t="s">
        <v>33</v>
      </c>
      <c r="J2678">
        <v>17</v>
      </c>
      <c r="K2678">
        <v>3</v>
      </c>
      <c r="L2678">
        <v>1</v>
      </c>
      <c r="M2678">
        <v>1</v>
      </c>
      <c r="N2678">
        <v>2</v>
      </c>
      <c r="O2678">
        <v>0</v>
      </c>
      <c r="P2678">
        <v>0</v>
      </c>
      <c r="Q2678">
        <v>0</v>
      </c>
      <c r="R2678">
        <v>0</v>
      </c>
      <c r="S2678">
        <v>81</v>
      </c>
      <c r="T2678">
        <v>73</v>
      </c>
      <c r="U2678" s="5">
        <f>IF(Merge1[[#This Row],[team_defense_snaps]]=0, "", Merge1[[#This Row],[defense_snaps]] / Merge1[[#This Row],[team_defense_snaps]])</f>
        <v>1</v>
      </c>
      <c r="V2678">
        <v>73</v>
      </c>
      <c r="W2678">
        <v>8</v>
      </c>
      <c r="X2678" s="5" t="s">
        <v>108</v>
      </c>
      <c r="Y2678">
        <v>9</v>
      </c>
      <c r="Z2678">
        <v>0</v>
      </c>
      <c r="AA2678" t="s">
        <v>25</v>
      </c>
      <c r="AB2678" t="s">
        <v>26</v>
      </c>
      <c r="AC2678" t="s">
        <v>27</v>
      </c>
      <c r="AD2678" t="s">
        <v>42</v>
      </c>
      <c r="AE2678" t="s">
        <v>25</v>
      </c>
      <c r="AF26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4.9382716049382713E-2</v>
      </c>
      <c r="AG2678" t="s">
        <v>941</v>
      </c>
      <c r="AH2678">
        <v>93.5</v>
      </c>
      <c r="AI2678" t="s">
        <v>939</v>
      </c>
      <c r="AJ2678">
        <v>9</v>
      </c>
      <c r="AK26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MIN(AJ2678/8, 1) +
  Merge1[[#This Row],[index_defensive_effort]],
  2
)</f>
        <v>1.55</v>
      </c>
    </row>
    <row r="2679" spans="1:37" x14ac:dyDescent="0.25">
      <c r="A2679" t="s">
        <v>717</v>
      </c>
      <c r="B2679" t="s">
        <v>718</v>
      </c>
      <c r="C2679">
        <v>33</v>
      </c>
      <c r="D2679" t="s">
        <v>56</v>
      </c>
      <c r="E2679">
        <v>71</v>
      </c>
      <c r="F2679">
        <v>191</v>
      </c>
      <c r="G2679" t="s">
        <v>28</v>
      </c>
      <c r="H2679">
        <v>2020</v>
      </c>
      <c r="I2679" t="s">
        <v>33</v>
      </c>
      <c r="J2679">
        <v>1</v>
      </c>
      <c r="K2679">
        <v>0</v>
      </c>
      <c r="L2679">
        <v>1</v>
      </c>
      <c r="M2679">
        <v>0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29</v>
      </c>
      <c r="T2679">
        <v>9</v>
      </c>
      <c r="U2679" s="5">
        <f>IF(Merge1[[#This Row],[team_defense_snaps]]=0, "", Merge1[[#This Row],[defense_snaps]] / Merge1[[#This Row],[team_defense_snaps]])</f>
        <v>0.12857142857142856</v>
      </c>
      <c r="V2679">
        <v>70</v>
      </c>
      <c r="W2679">
        <v>20</v>
      </c>
      <c r="X2679" s="5" t="s">
        <v>125</v>
      </c>
      <c r="Y2679">
        <v>10</v>
      </c>
      <c r="Z2679">
        <v>0</v>
      </c>
      <c r="AA2679" t="s">
        <v>25</v>
      </c>
      <c r="AB2679" t="s">
        <v>26</v>
      </c>
      <c r="AC2679" t="s">
        <v>27</v>
      </c>
      <c r="AD2679" t="s">
        <v>28</v>
      </c>
      <c r="AE2679" t="s">
        <v>25</v>
      </c>
      <c r="AF26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1.7241379310344827E-2</v>
      </c>
      <c r="AG2679" t="s">
        <v>942</v>
      </c>
      <c r="AH2679">
        <v>79</v>
      </c>
      <c r="AI2679" t="s">
        <v>939</v>
      </c>
      <c r="AJ2679">
        <v>1</v>
      </c>
      <c r="AK26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MIN(AJ2679/8, 1) +
  Merge1[[#This Row],[index_defensive_effort]],
  2
)</f>
        <v>0.74</v>
      </c>
    </row>
    <row r="2680" spans="1:37" x14ac:dyDescent="0.25">
      <c r="A2680" t="s">
        <v>717</v>
      </c>
      <c r="B2680" t="s">
        <v>718</v>
      </c>
      <c r="C2680">
        <v>33</v>
      </c>
      <c r="D2680" t="s">
        <v>56</v>
      </c>
      <c r="E2680">
        <v>71</v>
      </c>
      <c r="F2680">
        <v>191</v>
      </c>
      <c r="G2680" t="s">
        <v>28</v>
      </c>
      <c r="H2680">
        <v>2020</v>
      </c>
      <c r="I2680" t="s">
        <v>33</v>
      </c>
      <c r="J2680">
        <v>4</v>
      </c>
      <c r="K2680">
        <v>4</v>
      </c>
      <c r="L2680">
        <v>0</v>
      </c>
      <c r="M2680">
        <v>0</v>
      </c>
      <c r="N2680">
        <v>0</v>
      </c>
      <c r="O2680">
        <v>0</v>
      </c>
      <c r="P2680">
        <v>1</v>
      </c>
      <c r="Q2680">
        <v>2</v>
      </c>
      <c r="R2680">
        <v>0</v>
      </c>
      <c r="S2680">
        <v>58</v>
      </c>
      <c r="T2680">
        <v>58</v>
      </c>
      <c r="U2680" s="5">
        <f>IF(Merge1[[#This Row],[team_defense_snaps]]=0, "", Merge1[[#This Row],[defense_snaps]] / Merge1[[#This Row],[team_defense_snaps]])</f>
        <v>0.95081967213114749</v>
      </c>
      <c r="V2680">
        <v>61</v>
      </c>
      <c r="W2680">
        <v>0</v>
      </c>
      <c r="X2680" s="5" t="s">
        <v>29</v>
      </c>
      <c r="Y2680">
        <v>10</v>
      </c>
      <c r="Z2680">
        <v>0</v>
      </c>
      <c r="AA2680" t="s">
        <v>25</v>
      </c>
      <c r="AB2680" t="s">
        <v>26</v>
      </c>
      <c r="AC2680" t="s">
        <v>27</v>
      </c>
      <c r="AD2680" t="s">
        <v>42</v>
      </c>
      <c r="AE2680" t="s">
        <v>25</v>
      </c>
      <c r="AF26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0.2413793103448276</v>
      </c>
      <c r="AG2680" t="s">
        <v>942</v>
      </c>
      <c r="AH2680">
        <v>68.5</v>
      </c>
      <c r="AI2680" t="s">
        <v>939</v>
      </c>
      <c r="AJ2680">
        <v>1</v>
      </c>
      <c r="AK26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MIN(AJ2680/8, 1) +
  Merge1[[#This Row],[index_defensive_effort]],
  2
)</f>
        <v>0.97</v>
      </c>
    </row>
    <row r="2681" spans="1:37" x14ac:dyDescent="0.25">
      <c r="A2681" t="s">
        <v>717</v>
      </c>
      <c r="B2681" t="s">
        <v>718</v>
      </c>
      <c r="C2681">
        <v>33</v>
      </c>
      <c r="D2681" t="s">
        <v>56</v>
      </c>
      <c r="E2681">
        <v>71</v>
      </c>
      <c r="F2681">
        <v>191</v>
      </c>
      <c r="G2681" t="s">
        <v>28</v>
      </c>
      <c r="H2681">
        <v>2020</v>
      </c>
      <c r="I2681" t="s">
        <v>33</v>
      </c>
      <c r="J2681">
        <v>5</v>
      </c>
      <c r="K2681">
        <v>2</v>
      </c>
      <c r="L2681">
        <v>2</v>
      </c>
      <c r="M2681">
        <v>0</v>
      </c>
      <c r="N2681">
        <v>2</v>
      </c>
      <c r="O2681">
        <v>0</v>
      </c>
      <c r="P2681">
        <v>0</v>
      </c>
      <c r="Q2681">
        <v>0</v>
      </c>
      <c r="R2681">
        <v>0</v>
      </c>
      <c r="S2681">
        <v>74</v>
      </c>
      <c r="T2681">
        <v>68</v>
      </c>
      <c r="U2681" s="5">
        <f>IF(Merge1[[#This Row],[team_defense_snaps]]=0, "", Merge1[[#This Row],[defense_snaps]] / Merge1[[#This Row],[team_defense_snaps]])</f>
        <v>0.95774647887323938</v>
      </c>
      <c r="V2681">
        <v>71</v>
      </c>
      <c r="W2681">
        <v>6</v>
      </c>
      <c r="X2681" s="5" t="s">
        <v>159</v>
      </c>
      <c r="Y2681">
        <v>10</v>
      </c>
      <c r="Z2681">
        <v>0</v>
      </c>
      <c r="AA2681" t="s">
        <v>25</v>
      </c>
      <c r="AB2681" t="s">
        <v>26</v>
      </c>
      <c r="AC2681" t="s">
        <v>27</v>
      </c>
      <c r="AD2681" t="s">
        <v>42</v>
      </c>
      <c r="AE2681" t="s">
        <v>25</v>
      </c>
      <c r="AF26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4.0540540540540543E-2</v>
      </c>
      <c r="AG2681" t="s">
        <v>942</v>
      </c>
      <c r="AH2681">
        <v>71.5</v>
      </c>
      <c r="AI2681" t="s">
        <v>939</v>
      </c>
      <c r="AJ2681">
        <v>2</v>
      </c>
      <c r="AK26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MIN(AJ2681/8, 1) +
  Merge1[[#This Row],[index_defensive_effort]],
  2
)</f>
        <v>0.89</v>
      </c>
    </row>
    <row r="2682" spans="1:37" x14ac:dyDescent="0.25">
      <c r="A2682" t="s">
        <v>717</v>
      </c>
      <c r="B2682" t="s">
        <v>718</v>
      </c>
      <c r="C2682">
        <v>33</v>
      </c>
      <c r="D2682" t="s">
        <v>56</v>
      </c>
      <c r="E2682">
        <v>71</v>
      </c>
      <c r="F2682">
        <v>191</v>
      </c>
      <c r="G2682" t="s">
        <v>28</v>
      </c>
      <c r="H2682">
        <v>2020</v>
      </c>
      <c r="I2682" t="s">
        <v>33</v>
      </c>
      <c r="J2682">
        <v>10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2</v>
      </c>
      <c r="R2682">
        <v>0</v>
      </c>
      <c r="S2682">
        <v>39</v>
      </c>
      <c r="T2682">
        <v>23</v>
      </c>
      <c r="U2682" s="5">
        <f>IF(Merge1[[#This Row],[team_defense_snaps]]=0, "", Merge1[[#This Row],[defense_snaps]] / Merge1[[#This Row],[team_defense_snaps]])</f>
        <v>0.31944444444444442</v>
      </c>
      <c r="V2682">
        <v>72</v>
      </c>
      <c r="W2682">
        <v>16</v>
      </c>
      <c r="X2682" s="5" t="s">
        <v>232</v>
      </c>
      <c r="Y2682">
        <v>10</v>
      </c>
      <c r="Z2682">
        <v>0</v>
      </c>
      <c r="AA2682" t="s">
        <v>25</v>
      </c>
      <c r="AB2682" t="s">
        <v>26</v>
      </c>
      <c r="AC2682" t="s">
        <v>27</v>
      </c>
      <c r="AD2682" t="s">
        <v>28</v>
      </c>
      <c r="AE2682" t="s">
        <v>25</v>
      </c>
      <c r="AF26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0.20512820512820512</v>
      </c>
      <c r="AG2682" t="s">
        <v>942</v>
      </c>
      <c r="AH2682">
        <v>67</v>
      </c>
      <c r="AI2682" t="s">
        <v>939</v>
      </c>
      <c r="AJ2682">
        <v>1</v>
      </c>
      <c r="AK26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MIN(AJ2682/8, 1) +
  Merge1[[#This Row],[index_defensive_effort]],
  2
)</f>
        <v>0.93</v>
      </c>
    </row>
    <row r="2683" spans="1:37" x14ac:dyDescent="0.25">
      <c r="A2683" t="s">
        <v>717</v>
      </c>
      <c r="B2683" t="s">
        <v>718</v>
      </c>
      <c r="C2683">
        <v>33</v>
      </c>
      <c r="D2683" t="s">
        <v>56</v>
      </c>
      <c r="E2683">
        <v>71</v>
      </c>
      <c r="F2683">
        <v>191</v>
      </c>
      <c r="G2683" t="s">
        <v>28</v>
      </c>
      <c r="H2683">
        <v>2020</v>
      </c>
      <c r="I2683" t="s">
        <v>33</v>
      </c>
      <c r="J2683">
        <v>11</v>
      </c>
      <c r="K2683">
        <v>3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65</v>
      </c>
      <c r="T2683">
        <v>62</v>
      </c>
      <c r="U2683" s="5">
        <f>IF(Merge1[[#This Row],[team_defense_snaps]]=0, "", Merge1[[#This Row],[defense_snaps]] / Merge1[[#This Row],[team_defense_snaps]])</f>
        <v>1</v>
      </c>
      <c r="V2683">
        <v>62</v>
      </c>
      <c r="W2683">
        <v>3</v>
      </c>
      <c r="X2683" s="5" t="s">
        <v>251</v>
      </c>
      <c r="Y2683">
        <v>10</v>
      </c>
      <c r="Z2683">
        <v>0</v>
      </c>
      <c r="AA2683" t="s">
        <v>25</v>
      </c>
      <c r="AB2683" t="s">
        <v>26</v>
      </c>
      <c r="AC2683" t="s">
        <v>27</v>
      </c>
      <c r="AD2683" t="s">
        <v>42</v>
      </c>
      <c r="AE2683" t="s">
        <v>25</v>
      </c>
      <c r="AF26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4.6153846153846156E-2</v>
      </c>
      <c r="AG2683" t="s">
        <v>942</v>
      </c>
      <c r="AH2683">
        <v>70</v>
      </c>
      <c r="AI2683" t="s">
        <v>939</v>
      </c>
      <c r="AJ2683">
        <v>2</v>
      </c>
      <c r="AK26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MIN(AJ2683/8, 1) +
  Merge1[[#This Row],[index_defensive_effort]],
  2
)</f>
        <v>0.9</v>
      </c>
    </row>
    <row r="2684" spans="1:37" x14ac:dyDescent="0.25">
      <c r="A2684" t="s">
        <v>717</v>
      </c>
      <c r="B2684" t="s">
        <v>718</v>
      </c>
      <c r="C2684">
        <v>33</v>
      </c>
      <c r="D2684" t="s">
        <v>56</v>
      </c>
      <c r="E2684">
        <v>71</v>
      </c>
      <c r="F2684">
        <v>191</v>
      </c>
      <c r="G2684" t="s">
        <v>28</v>
      </c>
      <c r="H2684">
        <v>2020</v>
      </c>
      <c r="I2684" t="s">
        <v>33</v>
      </c>
      <c r="J2684">
        <v>12</v>
      </c>
      <c r="K2684">
        <v>2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31</v>
      </c>
      <c r="T2684">
        <v>21</v>
      </c>
      <c r="U2684" s="5">
        <f>IF(Merge1[[#This Row],[team_defense_snaps]]=0, "", Merge1[[#This Row],[defense_snaps]] / Merge1[[#This Row],[team_defense_snaps]])</f>
        <v>0.47727272727272729</v>
      </c>
      <c r="V2684">
        <v>44</v>
      </c>
      <c r="W2684">
        <v>10</v>
      </c>
      <c r="X2684" s="5" t="s">
        <v>60</v>
      </c>
      <c r="Y2684">
        <v>10</v>
      </c>
      <c r="Z2684">
        <v>0</v>
      </c>
      <c r="AA2684" t="s">
        <v>25</v>
      </c>
      <c r="AB2684" t="s">
        <v>26</v>
      </c>
      <c r="AC2684" t="s">
        <v>27</v>
      </c>
      <c r="AD2684" t="s">
        <v>28</v>
      </c>
      <c r="AE2684" t="s">
        <v>25</v>
      </c>
      <c r="AF26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6.4516129032258063E-2</v>
      </c>
      <c r="AG2684" t="s">
        <v>942</v>
      </c>
      <c r="AH2684">
        <v>80.5</v>
      </c>
      <c r="AI2684" t="s">
        <v>939</v>
      </c>
      <c r="AJ2684">
        <v>3</v>
      </c>
      <c r="AK26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MIN(AJ2684/8, 1) +
  Merge1[[#This Row],[index_defensive_effort]],
  2
)</f>
        <v>1.04</v>
      </c>
    </row>
    <row r="2685" spans="1:37" x14ac:dyDescent="0.25">
      <c r="A2685" t="s">
        <v>717</v>
      </c>
      <c r="B2685" t="s">
        <v>718</v>
      </c>
      <c r="C2685">
        <v>33</v>
      </c>
      <c r="D2685" t="s">
        <v>56</v>
      </c>
      <c r="E2685">
        <v>71</v>
      </c>
      <c r="F2685">
        <v>191</v>
      </c>
      <c r="G2685" t="s">
        <v>28</v>
      </c>
      <c r="H2685">
        <v>2020</v>
      </c>
      <c r="I2685" t="s">
        <v>33</v>
      </c>
      <c r="J2685">
        <v>13</v>
      </c>
      <c r="K2685">
        <v>1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6</v>
      </c>
      <c r="T2685">
        <v>6</v>
      </c>
      <c r="U2685" s="5">
        <f>IF(Merge1[[#This Row],[team_defense_snaps]]=0, "", Merge1[[#This Row],[defense_snaps]] / Merge1[[#This Row],[team_defense_snaps]])</f>
        <v>8.9552238805970144E-2</v>
      </c>
      <c r="V2685">
        <v>67</v>
      </c>
      <c r="W2685">
        <v>0</v>
      </c>
      <c r="X2685" s="5" t="s">
        <v>29</v>
      </c>
      <c r="Y2685">
        <v>10</v>
      </c>
      <c r="Z2685">
        <v>0</v>
      </c>
      <c r="AA2685" t="s">
        <v>25</v>
      </c>
      <c r="AB2685" t="s">
        <v>36</v>
      </c>
      <c r="AC2685" t="s">
        <v>147</v>
      </c>
      <c r="AD2685" t="s">
        <v>42</v>
      </c>
      <c r="AE2685" t="s">
        <v>25</v>
      </c>
      <c r="AF26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AG2685" t="s">
        <v>942</v>
      </c>
      <c r="AH2685">
        <v>85</v>
      </c>
      <c r="AI2685" t="s">
        <v>939</v>
      </c>
      <c r="AJ2685">
        <v>4</v>
      </c>
      <c r="AK26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MIN(AJ2685/8, 1) +
  Merge1[[#This Row],[index_defensive_effort]],
  2
)</f>
        <v>1.27</v>
      </c>
    </row>
    <row r="2686" spans="1:37" x14ac:dyDescent="0.25">
      <c r="A2686" t="s">
        <v>709</v>
      </c>
      <c r="B2686" t="s">
        <v>710</v>
      </c>
      <c r="C2686">
        <v>29</v>
      </c>
      <c r="D2686" t="s">
        <v>56</v>
      </c>
      <c r="E2686">
        <v>72</v>
      </c>
      <c r="F2686">
        <v>193</v>
      </c>
      <c r="G2686" t="s">
        <v>157</v>
      </c>
      <c r="H2686">
        <v>2020</v>
      </c>
      <c r="I2686" t="s">
        <v>33</v>
      </c>
      <c r="J2686">
        <v>2</v>
      </c>
      <c r="K2686">
        <v>1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19</v>
      </c>
      <c r="T2686">
        <v>13</v>
      </c>
      <c r="U2686" s="5">
        <f>IF(Merge1[[#This Row],[team_defense_snaps]]=0, "", Merge1[[#This Row],[defense_snaps]] / Merge1[[#This Row],[team_defense_snaps]])</f>
        <v>0.2</v>
      </c>
      <c r="V2686">
        <v>65</v>
      </c>
      <c r="W2686">
        <v>6</v>
      </c>
      <c r="X2686" s="5" t="s">
        <v>293</v>
      </c>
      <c r="Y2686">
        <v>6</v>
      </c>
      <c r="Z2686">
        <v>0</v>
      </c>
      <c r="AA2686" t="s">
        <v>25</v>
      </c>
      <c r="AB2686" t="s">
        <v>26</v>
      </c>
      <c r="AC2686" t="s">
        <v>27</v>
      </c>
      <c r="AD2686" t="s">
        <v>28</v>
      </c>
      <c r="AE2686" t="s">
        <v>25</v>
      </c>
      <c r="AF26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5.2631578947368418E-2</v>
      </c>
      <c r="AG2686" t="s">
        <v>942</v>
      </c>
      <c r="AH2686">
        <v>85</v>
      </c>
      <c r="AI2686" t="s">
        <v>939</v>
      </c>
      <c r="AJ2686">
        <v>1</v>
      </c>
      <c r="AK26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MIN(AJ2686/8, 1) +
  Merge1[[#This Row],[index_defensive_effort]],
  2
)</f>
        <v>0.68</v>
      </c>
    </row>
    <row r="2687" spans="1:37" x14ac:dyDescent="0.25">
      <c r="A2687" t="s">
        <v>709</v>
      </c>
      <c r="B2687" t="s">
        <v>710</v>
      </c>
      <c r="C2687">
        <v>29</v>
      </c>
      <c r="D2687" t="s">
        <v>56</v>
      </c>
      <c r="E2687">
        <v>72</v>
      </c>
      <c r="F2687">
        <v>193</v>
      </c>
      <c r="G2687" t="s">
        <v>157</v>
      </c>
      <c r="H2687">
        <v>2020</v>
      </c>
      <c r="I2687" t="s">
        <v>33</v>
      </c>
      <c r="J2687">
        <v>3</v>
      </c>
      <c r="K2687">
        <v>1</v>
      </c>
      <c r="L2687">
        <v>1</v>
      </c>
      <c r="M2687">
        <v>1</v>
      </c>
      <c r="N2687">
        <v>2</v>
      </c>
      <c r="O2687">
        <v>0</v>
      </c>
      <c r="P2687">
        <v>0</v>
      </c>
      <c r="Q2687">
        <v>0</v>
      </c>
      <c r="R2687">
        <v>0</v>
      </c>
      <c r="S2687">
        <v>27</v>
      </c>
      <c r="T2687">
        <v>14</v>
      </c>
      <c r="U2687" s="5">
        <f>IF(Merge1[[#This Row],[team_defense_snaps]]=0, "", Merge1[[#This Row],[defense_snaps]] / Merge1[[#This Row],[team_defense_snaps]])</f>
        <v>0.1728395061728395</v>
      </c>
      <c r="V2687">
        <v>81</v>
      </c>
      <c r="W2687">
        <v>13</v>
      </c>
      <c r="X2687" s="5" t="s">
        <v>200</v>
      </c>
      <c r="Y2687">
        <v>6</v>
      </c>
      <c r="Z2687">
        <v>0</v>
      </c>
      <c r="AA2687" t="s">
        <v>25</v>
      </c>
      <c r="AB2687" t="s">
        <v>26</v>
      </c>
      <c r="AC2687" t="s">
        <v>27</v>
      </c>
      <c r="AD2687" t="s">
        <v>28</v>
      </c>
      <c r="AE2687" t="s">
        <v>25</v>
      </c>
      <c r="AF26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7.407407407407407E-2</v>
      </c>
      <c r="AG2687" t="s">
        <v>942</v>
      </c>
      <c r="AH2687">
        <v>83.5</v>
      </c>
      <c r="AI2687" t="s">
        <v>939</v>
      </c>
      <c r="AJ2687">
        <v>2</v>
      </c>
      <c r="AK26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MIN(AJ2687/8, 1) +
  Merge1[[#This Row],[index_defensive_effort]],
  2
)</f>
        <v>0.82</v>
      </c>
    </row>
    <row r="2688" spans="1:37" x14ac:dyDescent="0.25">
      <c r="A2688" t="s">
        <v>709</v>
      </c>
      <c r="B2688" t="s">
        <v>710</v>
      </c>
      <c r="C2688">
        <v>29</v>
      </c>
      <c r="D2688" t="s">
        <v>56</v>
      </c>
      <c r="E2688">
        <v>72</v>
      </c>
      <c r="F2688">
        <v>193</v>
      </c>
      <c r="G2688" t="s">
        <v>157</v>
      </c>
      <c r="H2688">
        <v>2020</v>
      </c>
      <c r="I2688" t="s">
        <v>33</v>
      </c>
      <c r="J2688">
        <v>4</v>
      </c>
      <c r="K2688">
        <v>1</v>
      </c>
      <c r="L2688">
        <v>2</v>
      </c>
      <c r="M2688">
        <v>1</v>
      </c>
      <c r="N2688">
        <v>3</v>
      </c>
      <c r="O2688">
        <v>0</v>
      </c>
      <c r="P2688">
        <v>0</v>
      </c>
      <c r="Q2688">
        <v>0</v>
      </c>
      <c r="R2688">
        <v>0</v>
      </c>
      <c r="S2688">
        <v>30</v>
      </c>
      <c r="T2688">
        <v>18</v>
      </c>
      <c r="U2688" s="5">
        <f>IF(Merge1[[#This Row],[team_defense_snaps]]=0, "", Merge1[[#This Row],[defense_snaps]] / Merge1[[#This Row],[team_defense_snaps]])</f>
        <v>0.26865671641791045</v>
      </c>
      <c r="V2688">
        <v>67</v>
      </c>
      <c r="W2688">
        <v>12</v>
      </c>
      <c r="X2688" s="5" t="s">
        <v>57</v>
      </c>
      <c r="Y2688">
        <v>6</v>
      </c>
      <c r="Z2688">
        <v>0</v>
      </c>
      <c r="AA2688" t="s">
        <v>25</v>
      </c>
      <c r="AB2688" t="s">
        <v>26</v>
      </c>
      <c r="AC2688" t="s">
        <v>27</v>
      </c>
      <c r="AD2688" t="s">
        <v>28</v>
      </c>
      <c r="AE2688" t="s">
        <v>25</v>
      </c>
      <c r="AF26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2688" t="s">
        <v>942</v>
      </c>
      <c r="AH2688">
        <v>76</v>
      </c>
      <c r="AI2688" t="s">
        <v>939</v>
      </c>
      <c r="AJ2688">
        <v>3</v>
      </c>
      <c r="AK26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MIN(AJ2688/8, 1) +
  Merge1[[#This Row],[index_defensive_effort]],
  2
)</f>
        <v>0.96</v>
      </c>
    </row>
    <row r="2689" spans="1:37" x14ac:dyDescent="0.25">
      <c r="A2689" t="s">
        <v>709</v>
      </c>
      <c r="B2689" t="s">
        <v>710</v>
      </c>
      <c r="C2689">
        <v>29</v>
      </c>
      <c r="D2689" t="s">
        <v>56</v>
      </c>
      <c r="E2689">
        <v>72</v>
      </c>
      <c r="F2689">
        <v>193</v>
      </c>
      <c r="G2689" t="s">
        <v>157</v>
      </c>
      <c r="H2689">
        <v>2020</v>
      </c>
      <c r="I2689" t="s">
        <v>33</v>
      </c>
      <c r="J2689">
        <v>7</v>
      </c>
      <c r="K2689">
        <v>4</v>
      </c>
      <c r="L2689">
        <v>1</v>
      </c>
      <c r="M2689">
        <v>0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66</v>
      </c>
      <c r="T2689">
        <v>59</v>
      </c>
      <c r="U2689" s="5">
        <f>IF(Merge1[[#This Row],[team_defense_snaps]]=0, "", Merge1[[#This Row],[defense_snaps]] / Merge1[[#This Row],[team_defense_snaps]])</f>
        <v>0.95161290322580649</v>
      </c>
      <c r="V2689">
        <v>62</v>
      </c>
      <c r="W2689">
        <v>7</v>
      </c>
      <c r="X2689" s="5" t="s">
        <v>132</v>
      </c>
      <c r="Y2689">
        <v>6</v>
      </c>
      <c r="Z2689">
        <v>0</v>
      </c>
      <c r="AA2689" t="s">
        <v>25</v>
      </c>
      <c r="AB2689" t="s">
        <v>26</v>
      </c>
      <c r="AC2689" t="s">
        <v>27</v>
      </c>
      <c r="AD2689" t="s">
        <v>28</v>
      </c>
      <c r="AE2689" t="s">
        <v>25</v>
      </c>
      <c r="AF26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6.8181818181818177E-2</v>
      </c>
      <c r="AG2689" t="s">
        <v>942</v>
      </c>
      <c r="AH2689">
        <v>70</v>
      </c>
      <c r="AI2689" t="s">
        <v>939</v>
      </c>
      <c r="AJ2689">
        <v>1</v>
      </c>
      <c r="AK26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MIN(AJ2689/8, 1) +
  Merge1[[#This Row],[index_defensive_effort]],
  2
)</f>
        <v>0.69</v>
      </c>
    </row>
    <row r="2690" spans="1:37" x14ac:dyDescent="0.25">
      <c r="A2690" t="s">
        <v>709</v>
      </c>
      <c r="B2690" t="s">
        <v>710</v>
      </c>
      <c r="C2690">
        <v>29</v>
      </c>
      <c r="D2690" t="s">
        <v>56</v>
      </c>
      <c r="E2690">
        <v>72</v>
      </c>
      <c r="F2690">
        <v>193</v>
      </c>
      <c r="G2690" t="s">
        <v>157</v>
      </c>
      <c r="H2690">
        <v>2020</v>
      </c>
      <c r="I2690" t="s">
        <v>33</v>
      </c>
      <c r="J2690">
        <v>9</v>
      </c>
      <c r="K2690">
        <v>4</v>
      </c>
      <c r="L2690">
        <v>2</v>
      </c>
      <c r="M2690">
        <v>0</v>
      </c>
      <c r="N2690">
        <v>2</v>
      </c>
      <c r="O2690">
        <v>0</v>
      </c>
      <c r="P2690">
        <v>0</v>
      </c>
      <c r="Q2690">
        <v>0</v>
      </c>
      <c r="R2690">
        <v>0</v>
      </c>
      <c r="S2690">
        <v>72</v>
      </c>
      <c r="T2690">
        <v>68</v>
      </c>
      <c r="U2690" s="5">
        <f>IF(Merge1[[#This Row],[team_defense_snaps]]=0, "", Merge1[[#This Row],[defense_snaps]] / Merge1[[#This Row],[team_defense_snaps]])</f>
        <v>0.97142857142857142</v>
      </c>
      <c r="V2690">
        <v>70</v>
      </c>
      <c r="W2690">
        <v>4</v>
      </c>
      <c r="X2690" s="5" t="s">
        <v>209</v>
      </c>
      <c r="Y2690">
        <v>6</v>
      </c>
      <c r="Z2690">
        <v>0</v>
      </c>
      <c r="AA2690" t="s">
        <v>25</v>
      </c>
      <c r="AB2690" t="s">
        <v>26</v>
      </c>
      <c r="AC2690" t="s">
        <v>27</v>
      </c>
      <c r="AD2690" t="s">
        <v>42</v>
      </c>
      <c r="AE2690" t="s">
        <v>25</v>
      </c>
      <c r="AF26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6.9444444444444448E-2</v>
      </c>
      <c r="AG2690" t="s">
        <v>942</v>
      </c>
      <c r="AH2690">
        <v>86.5</v>
      </c>
      <c r="AI2690" t="s">
        <v>939</v>
      </c>
      <c r="AJ2690">
        <v>1</v>
      </c>
      <c r="AK26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MIN(AJ2690/8, 1) +
  Merge1[[#This Row],[index_defensive_effort]],
  2
)</f>
        <v>0.69</v>
      </c>
    </row>
    <row r="2691" spans="1:37" x14ac:dyDescent="0.25">
      <c r="A2691" t="s">
        <v>709</v>
      </c>
      <c r="B2691" t="s">
        <v>710</v>
      </c>
      <c r="C2691">
        <v>29</v>
      </c>
      <c r="D2691" t="s">
        <v>56</v>
      </c>
      <c r="E2691">
        <v>72</v>
      </c>
      <c r="F2691">
        <v>193</v>
      </c>
      <c r="G2691" t="s">
        <v>157</v>
      </c>
      <c r="H2691">
        <v>2020</v>
      </c>
      <c r="I2691" t="s">
        <v>33</v>
      </c>
      <c r="J2691">
        <v>11</v>
      </c>
      <c r="K2691">
        <v>1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6</v>
      </c>
      <c r="T2691">
        <v>3</v>
      </c>
      <c r="U2691" s="5">
        <f>IF(Merge1[[#This Row],[team_defense_snaps]]=0, "", Merge1[[#This Row],[defense_snaps]] / Merge1[[#This Row],[team_defense_snaps]])</f>
        <v>0.04</v>
      </c>
      <c r="V2691">
        <v>75</v>
      </c>
      <c r="W2691">
        <v>3</v>
      </c>
      <c r="X2691" s="5" t="s">
        <v>35</v>
      </c>
      <c r="Y2691">
        <v>6</v>
      </c>
      <c r="Z2691">
        <v>0</v>
      </c>
      <c r="AA2691" t="s">
        <v>25</v>
      </c>
      <c r="AB2691" t="s">
        <v>26</v>
      </c>
      <c r="AC2691" t="s">
        <v>27</v>
      </c>
      <c r="AD2691" t="s">
        <v>28</v>
      </c>
      <c r="AE2691" t="s">
        <v>25</v>
      </c>
      <c r="AF26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AG2691" t="s">
        <v>942</v>
      </c>
      <c r="AH2691">
        <v>73</v>
      </c>
      <c r="AI2691" t="s">
        <v>939</v>
      </c>
      <c r="AJ2691">
        <v>1</v>
      </c>
      <c r="AK26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MIN(AJ2691/8, 1) +
  Merge1[[#This Row],[index_defensive_effort]],
  2
)</f>
        <v>0.79</v>
      </c>
    </row>
    <row r="2692" spans="1:37" x14ac:dyDescent="0.25">
      <c r="A2692" t="s">
        <v>709</v>
      </c>
      <c r="B2692" t="s">
        <v>710</v>
      </c>
      <c r="C2692">
        <v>29</v>
      </c>
      <c r="D2692" t="s">
        <v>56</v>
      </c>
      <c r="E2692">
        <v>72</v>
      </c>
      <c r="F2692">
        <v>193</v>
      </c>
      <c r="G2692" t="s">
        <v>157</v>
      </c>
      <c r="H2692">
        <v>2020</v>
      </c>
      <c r="I2692" t="s">
        <v>33</v>
      </c>
      <c r="J2692">
        <v>13</v>
      </c>
      <c r="K2692">
        <v>5</v>
      </c>
      <c r="L2692">
        <v>1</v>
      </c>
      <c r="M2692">
        <v>0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62</v>
      </c>
      <c r="T2692">
        <v>62</v>
      </c>
      <c r="U2692" s="5">
        <f>IF(Merge1[[#This Row],[team_defense_snaps]]=0, "", Merge1[[#This Row],[defense_snaps]] / Merge1[[#This Row],[team_defense_snaps]])</f>
        <v>0.89855072463768115</v>
      </c>
      <c r="V2692">
        <v>69</v>
      </c>
      <c r="W2692">
        <v>0</v>
      </c>
      <c r="X2692" s="5" t="s">
        <v>29</v>
      </c>
      <c r="Y2692">
        <v>6</v>
      </c>
      <c r="Z2692">
        <v>0</v>
      </c>
      <c r="AA2692" t="s">
        <v>25</v>
      </c>
      <c r="AB2692" t="s">
        <v>26</v>
      </c>
      <c r="AC2692" t="s">
        <v>27</v>
      </c>
      <c r="AD2692" t="s">
        <v>42</v>
      </c>
      <c r="AE2692" t="s">
        <v>25</v>
      </c>
      <c r="AF26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8.8709677419354843E-2</v>
      </c>
      <c r="AG2692" t="s">
        <v>942</v>
      </c>
      <c r="AH2692">
        <v>79</v>
      </c>
      <c r="AI2692" t="s">
        <v>939</v>
      </c>
      <c r="AJ2692">
        <v>1</v>
      </c>
      <c r="AK26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MIN(AJ2692/8, 1) +
  Merge1[[#This Row],[index_defensive_effort]],
  2
)</f>
        <v>0.71</v>
      </c>
    </row>
    <row r="2693" spans="1:37" x14ac:dyDescent="0.25">
      <c r="A2693" t="s">
        <v>878</v>
      </c>
      <c r="B2693" t="s">
        <v>879</v>
      </c>
      <c r="C2693">
        <v>30</v>
      </c>
      <c r="D2693" t="s">
        <v>56</v>
      </c>
      <c r="E2693">
        <v>73</v>
      </c>
      <c r="F2693">
        <v>192</v>
      </c>
      <c r="G2693" t="s">
        <v>107</v>
      </c>
      <c r="H2693">
        <v>2020</v>
      </c>
      <c r="I2693" t="s">
        <v>33</v>
      </c>
      <c r="J2693">
        <v>1</v>
      </c>
      <c r="K2693">
        <v>4</v>
      </c>
      <c r="L2693">
        <v>2</v>
      </c>
      <c r="M2693">
        <v>2</v>
      </c>
      <c r="N2693">
        <v>4</v>
      </c>
      <c r="O2693">
        <v>0</v>
      </c>
      <c r="P2693">
        <v>0</v>
      </c>
      <c r="Q2693">
        <v>0</v>
      </c>
      <c r="R2693">
        <v>0</v>
      </c>
      <c r="S2693">
        <v>35</v>
      </c>
      <c r="T2693">
        <v>35</v>
      </c>
      <c r="U2693" s="5">
        <f>IF(Merge1[[#This Row],[team_defense_snaps]]=0, "", Merge1[[#This Row],[defense_snaps]] / Merge1[[#This Row],[team_defense_snaps]])</f>
        <v>0.39772727272727271</v>
      </c>
      <c r="V2693">
        <v>88</v>
      </c>
      <c r="W2693">
        <v>0</v>
      </c>
      <c r="X2693" s="5">
        <v>0</v>
      </c>
      <c r="Y2693">
        <v>6</v>
      </c>
      <c r="Z2693">
        <v>0</v>
      </c>
      <c r="AA2693" t="s">
        <v>25</v>
      </c>
      <c r="AB2693" t="s">
        <v>26</v>
      </c>
      <c r="AC2693" t="s">
        <v>27</v>
      </c>
      <c r="AD2693" t="s">
        <v>42</v>
      </c>
      <c r="AE2693" t="s">
        <v>25</v>
      </c>
      <c r="AF26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0.17142857142857143</v>
      </c>
      <c r="AG2693" t="s">
        <v>942</v>
      </c>
      <c r="AH2693">
        <v>72</v>
      </c>
      <c r="AI2693" t="s">
        <v>939</v>
      </c>
      <c r="AJ2693">
        <v>1</v>
      </c>
      <c r="AK26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MIN(AJ2693/8, 1) +
  Merge1[[#This Row],[index_defensive_effort]],
  2
)</f>
        <v>0.8</v>
      </c>
    </row>
    <row r="2694" spans="1:37" x14ac:dyDescent="0.25">
      <c r="A2694" t="s">
        <v>878</v>
      </c>
      <c r="B2694" t="s">
        <v>879</v>
      </c>
      <c r="C2694">
        <v>30</v>
      </c>
      <c r="D2694" t="s">
        <v>56</v>
      </c>
      <c r="E2694">
        <v>73</v>
      </c>
      <c r="F2694">
        <v>192</v>
      </c>
      <c r="G2694" t="s">
        <v>107</v>
      </c>
      <c r="H2694">
        <v>2020</v>
      </c>
      <c r="I2694" t="s">
        <v>33</v>
      </c>
      <c r="J2694">
        <v>2</v>
      </c>
      <c r="K2694">
        <v>4</v>
      </c>
      <c r="L2694">
        <v>0</v>
      </c>
      <c r="M2694">
        <v>0</v>
      </c>
      <c r="N2694">
        <v>0</v>
      </c>
      <c r="O2694">
        <v>0</v>
      </c>
      <c r="P2694">
        <v>3</v>
      </c>
      <c r="Q2694">
        <v>2</v>
      </c>
      <c r="R2694">
        <v>0</v>
      </c>
      <c r="S2694">
        <v>36</v>
      </c>
      <c r="T2694">
        <v>36</v>
      </c>
      <c r="U2694" s="5">
        <f>IF(Merge1[[#This Row],[team_defense_snaps]]=0, "", Merge1[[#This Row],[defense_snaps]] / Merge1[[#This Row],[team_defense_snaps]])</f>
        <v>0.5901639344262295</v>
      </c>
      <c r="V2694">
        <v>61</v>
      </c>
      <c r="W2694">
        <v>0</v>
      </c>
      <c r="X2694" s="5">
        <v>0</v>
      </c>
      <c r="Y2694">
        <v>6</v>
      </c>
      <c r="Z2694">
        <v>0</v>
      </c>
      <c r="AA2694" t="s">
        <v>25</v>
      </c>
      <c r="AB2694" t="s">
        <v>26</v>
      </c>
      <c r="AC2694" t="s">
        <v>27</v>
      </c>
      <c r="AD2694" t="s">
        <v>42</v>
      </c>
      <c r="AE2694" t="s">
        <v>25</v>
      </c>
      <c r="AF26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</v>
      </c>
      <c r="AG2694" t="s">
        <v>942</v>
      </c>
      <c r="AH2694">
        <v>70.5</v>
      </c>
      <c r="AI2694" t="s">
        <v>939</v>
      </c>
      <c r="AJ2694">
        <v>2</v>
      </c>
      <c r="AK26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MIN(AJ2694/8, 1) +
  Merge1[[#This Row],[index_defensive_effort]],
  2
)</f>
        <v>1.25</v>
      </c>
    </row>
    <row r="2695" spans="1:37" x14ac:dyDescent="0.25">
      <c r="A2695" t="s">
        <v>878</v>
      </c>
      <c r="B2695" t="s">
        <v>879</v>
      </c>
      <c r="C2695">
        <v>30</v>
      </c>
      <c r="D2695" t="s">
        <v>56</v>
      </c>
      <c r="E2695">
        <v>73</v>
      </c>
      <c r="F2695">
        <v>192</v>
      </c>
      <c r="G2695" t="s">
        <v>107</v>
      </c>
      <c r="H2695">
        <v>2020</v>
      </c>
      <c r="I2695" t="s">
        <v>33</v>
      </c>
      <c r="J2695">
        <v>3</v>
      </c>
      <c r="K2695">
        <v>0</v>
      </c>
      <c r="L2695">
        <v>1</v>
      </c>
      <c r="M2695">
        <v>1</v>
      </c>
      <c r="N2695">
        <v>2</v>
      </c>
      <c r="O2695">
        <v>0</v>
      </c>
      <c r="P2695">
        <v>0</v>
      </c>
      <c r="Q2695">
        <v>0</v>
      </c>
      <c r="R2695">
        <v>0</v>
      </c>
      <c r="S2695">
        <v>58</v>
      </c>
      <c r="T2695">
        <v>58</v>
      </c>
      <c r="U2695" s="5">
        <f>IF(Merge1[[#This Row],[team_defense_snaps]]=0, "", Merge1[[#This Row],[defense_snaps]] / Merge1[[#This Row],[team_defense_snaps]])</f>
        <v>0.96666666666666667</v>
      </c>
      <c r="V2695">
        <v>60</v>
      </c>
      <c r="W2695">
        <v>0</v>
      </c>
      <c r="X2695" s="5">
        <v>0</v>
      </c>
      <c r="Y2695">
        <v>6</v>
      </c>
      <c r="Z2695">
        <v>0</v>
      </c>
      <c r="AA2695" t="s">
        <v>25</v>
      </c>
      <c r="AB2695" t="s">
        <v>26</v>
      </c>
      <c r="AC2695" t="s">
        <v>27</v>
      </c>
      <c r="AD2695" t="s">
        <v>42</v>
      </c>
      <c r="AE2695" t="s">
        <v>25</v>
      </c>
      <c r="AF26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1.7241379310344827E-2</v>
      </c>
      <c r="AG2695" t="s">
        <v>942</v>
      </c>
      <c r="AH2695">
        <v>69</v>
      </c>
      <c r="AI2695" t="s">
        <v>939</v>
      </c>
      <c r="AJ2695">
        <v>3</v>
      </c>
      <c r="AK26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MIN(AJ2695/8, 1) +
  Merge1[[#This Row],[index_defensive_effort]],
  2
)</f>
        <v>0.89</v>
      </c>
    </row>
    <row r="2696" spans="1:37" x14ac:dyDescent="0.25">
      <c r="A2696" t="s">
        <v>878</v>
      </c>
      <c r="B2696" t="s">
        <v>879</v>
      </c>
      <c r="C2696">
        <v>30</v>
      </c>
      <c r="D2696" t="s">
        <v>56</v>
      </c>
      <c r="E2696">
        <v>73</v>
      </c>
      <c r="F2696">
        <v>192</v>
      </c>
      <c r="G2696" t="s">
        <v>107</v>
      </c>
      <c r="H2696">
        <v>2020</v>
      </c>
      <c r="I2696" t="s">
        <v>33</v>
      </c>
      <c r="J2696">
        <v>4</v>
      </c>
      <c r="K2696">
        <v>7</v>
      </c>
      <c r="L2696">
        <v>1</v>
      </c>
      <c r="M2696">
        <v>0</v>
      </c>
      <c r="N2696">
        <v>1</v>
      </c>
      <c r="O2696">
        <v>0</v>
      </c>
      <c r="P2696">
        <v>3</v>
      </c>
      <c r="Q2696">
        <v>4</v>
      </c>
      <c r="R2696">
        <v>0</v>
      </c>
      <c r="S2696">
        <v>70</v>
      </c>
      <c r="T2696">
        <v>70</v>
      </c>
      <c r="U2696" s="5">
        <f>IF(Merge1[[#This Row],[team_defense_snaps]]=0, "", Merge1[[#This Row],[defense_snaps]] / Merge1[[#This Row],[team_defense_snaps]])</f>
        <v>1</v>
      </c>
      <c r="V2696">
        <v>70</v>
      </c>
      <c r="W2696">
        <v>0</v>
      </c>
      <c r="X2696" s="5">
        <v>0</v>
      </c>
      <c r="Y2696">
        <v>6</v>
      </c>
      <c r="Z2696">
        <v>0</v>
      </c>
      <c r="AA2696" t="s">
        <v>25</v>
      </c>
      <c r="AB2696" t="s">
        <v>26</v>
      </c>
      <c r="AC2696" t="s">
        <v>27</v>
      </c>
      <c r="AD2696" t="s">
        <v>42</v>
      </c>
      <c r="AE2696" t="s">
        <v>25</v>
      </c>
      <c r="AF26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0.42142857142857143</v>
      </c>
      <c r="AG2696" t="s">
        <v>942</v>
      </c>
      <c r="AH2696">
        <v>67.5</v>
      </c>
      <c r="AI2696" t="s">
        <v>939</v>
      </c>
      <c r="AJ2696">
        <v>4</v>
      </c>
      <c r="AK26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MIN(AJ2696/8, 1) +
  Merge1[[#This Row],[index_defensive_effort]],
  2
)</f>
        <v>1.42</v>
      </c>
    </row>
    <row r="2697" spans="1:37" x14ac:dyDescent="0.25">
      <c r="A2697" t="s">
        <v>878</v>
      </c>
      <c r="B2697" t="s">
        <v>879</v>
      </c>
      <c r="C2697">
        <v>30</v>
      </c>
      <c r="D2697" t="s">
        <v>56</v>
      </c>
      <c r="E2697">
        <v>73</v>
      </c>
      <c r="F2697">
        <v>192</v>
      </c>
      <c r="G2697" t="s">
        <v>107</v>
      </c>
      <c r="H2697">
        <v>2020</v>
      </c>
      <c r="I2697" t="s">
        <v>33</v>
      </c>
      <c r="J2697">
        <v>5</v>
      </c>
      <c r="K2697">
        <v>9</v>
      </c>
      <c r="L2697">
        <v>3</v>
      </c>
      <c r="M2697">
        <v>0</v>
      </c>
      <c r="N2697">
        <v>3</v>
      </c>
      <c r="O2697">
        <v>0</v>
      </c>
      <c r="P2697">
        <v>0</v>
      </c>
      <c r="Q2697">
        <v>0</v>
      </c>
      <c r="R2697">
        <v>0</v>
      </c>
      <c r="S2697">
        <v>76</v>
      </c>
      <c r="T2697">
        <v>76</v>
      </c>
      <c r="U2697" s="5">
        <f>IF(Merge1[[#This Row],[team_defense_snaps]]=0, "", Merge1[[#This Row],[defense_snaps]] / Merge1[[#This Row],[team_defense_snaps]])</f>
        <v>1</v>
      </c>
      <c r="V2697">
        <v>76</v>
      </c>
      <c r="W2697">
        <v>0</v>
      </c>
      <c r="X2697" s="5">
        <v>0</v>
      </c>
      <c r="Y2697">
        <v>6</v>
      </c>
      <c r="Z2697">
        <v>0</v>
      </c>
      <c r="AA2697" t="s">
        <v>25</v>
      </c>
      <c r="AB2697" t="s">
        <v>36</v>
      </c>
      <c r="AC2697" t="s">
        <v>147</v>
      </c>
      <c r="AD2697" t="s">
        <v>42</v>
      </c>
      <c r="AE2697" t="s">
        <v>25</v>
      </c>
      <c r="AF26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0.13815789473684212</v>
      </c>
      <c r="AG2697" t="s">
        <v>942</v>
      </c>
      <c r="AH2697">
        <v>66</v>
      </c>
      <c r="AI2697" t="s">
        <v>939</v>
      </c>
      <c r="AJ2697">
        <v>5</v>
      </c>
      <c r="AK26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MIN(AJ2697/8, 1) +
  Merge1[[#This Row],[index_defensive_effort]],
  2
)</f>
        <v>1.26</v>
      </c>
    </row>
    <row r="2698" spans="1:37" x14ac:dyDescent="0.25">
      <c r="A2698" t="s">
        <v>878</v>
      </c>
      <c r="B2698" t="s">
        <v>879</v>
      </c>
      <c r="C2698">
        <v>30</v>
      </c>
      <c r="D2698" t="s">
        <v>56</v>
      </c>
      <c r="E2698">
        <v>73</v>
      </c>
      <c r="F2698">
        <v>192</v>
      </c>
      <c r="G2698" t="s">
        <v>107</v>
      </c>
      <c r="H2698">
        <v>2020</v>
      </c>
      <c r="I2698" t="s">
        <v>33</v>
      </c>
      <c r="J2698">
        <v>6</v>
      </c>
      <c r="K2698">
        <v>5</v>
      </c>
      <c r="L2698">
        <v>1</v>
      </c>
      <c r="M2698">
        <v>0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56</v>
      </c>
      <c r="T2698">
        <v>56</v>
      </c>
      <c r="U2698" s="5">
        <f>IF(Merge1[[#This Row],[team_defense_snaps]]=0, "", Merge1[[#This Row],[defense_snaps]] / Merge1[[#This Row],[team_defense_snaps]])</f>
        <v>1</v>
      </c>
      <c r="V2698">
        <v>56</v>
      </c>
      <c r="W2698">
        <v>0</v>
      </c>
      <c r="X2698" s="5">
        <v>0</v>
      </c>
      <c r="Y2698">
        <v>6</v>
      </c>
      <c r="Z2698">
        <v>0</v>
      </c>
      <c r="AA2698" t="s">
        <v>25</v>
      </c>
      <c r="AB2698" t="s">
        <v>26</v>
      </c>
      <c r="AC2698" t="s">
        <v>27</v>
      </c>
      <c r="AD2698" t="s">
        <v>42</v>
      </c>
      <c r="AE2698" t="s">
        <v>25</v>
      </c>
      <c r="AF26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9.8214285714285712E-2</v>
      </c>
      <c r="AG2698" t="s">
        <v>942</v>
      </c>
      <c r="AH2698">
        <v>64.5</v>
      </c>
      <c r="AI2698" t="s">
        <v>939</v>
      </c>
      <c r="AJ2698">
        <v>6</v>
      </c>
      <c r="AK26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MIN(AJ2698/8, 1) +
  Merge1[[#This Row],[index_defensive_effort]],
  2
)</f>
        <v>1.35</v>
      </c>
    </row>
    <row r="2699" spans="1:37" x14ac:dyDescent="0.25">
      <c r="A2699" t="s">
        <v>878</v>
      </c>
      <c r="B2699" t="s">
        <v>879</v>
      </c>
      <c r="C2699">
        <v>30</v>
      </c>
      <c r="D2699" t="s">
        <v>56</v>
      </c>
      <c r="E2699">
        <v>73</v>
      </c>
      <c r="F2699">
        <v>192</v>
      </c>
      <c r="G2699" t="s">
        <v>107</v>
      </c>
      <c r="H2699">
        <v>2020</v>
      </c>
      <c r="I2699" t="s">
        <v>33</v>
      </c>
      <c r="J2699">
        <v>7</v>
      </c>
      <c r="K2699">
        <v>3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74</v>
      </c>
      <c r="T2699">
        <v>74</v>
      </c>
      <c r="U2699" s="5">
        <f>IF(Merge1[[#This Row],[team_defense_snaps]]=0, "", Merge1[[#This Row],[defense_snaps]] / Merge1[[#This Row],[team_defense_snaps]])</f>
        <v>0.98666666666666669</v>
      </c>
      <c r="V2699">
        <v>75</v>
      </c>
      <c r="W2699">
        <v>0</v>
      </c>
      <c r="X2699" s="5">
        <v>0</v>
      </c>
      <c r="Y2699">
        <v>6</v>
      </c>
      <c r="Z2699">
        <v>0</v>
      </c>
      <c r="AA2699" t="s">
        <v>25</v>
      </c>
      <c r="AB2699" t="s">
        <v>26</v>
      </c>
      <c r="AC2699" t="s">
        <v>27</v>
      </c>
      <c r="AD2699" t="s">
        <v>42</v>
      </c>
      <c r="AE2699" t="s">
        <v>25</v>
      </c>
      <c r="AF26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4.0540540540540543E-2</v>
      </c>
      <c r="AG2699" t="s">
        <v>942</v>
      </c>
      <c r="AH2699">
        <v>63</v>
      </c>
      <c r="AI2699" t="s">
        <v>939</v>
      </c>
      <c r="AJ2699">
        <v>7</v>
      </c>
      <c r="AK26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MIN(AJ2699/8, 1) +
  Merge1[[#This Row],[index_defensive_effort]],
  2
)</f>
        <v>1.42</v>
      </c>
    </row>
    <row r="2700" spans="1:37" x14ac:dyDescent="0.25">
      <c r="A2700" t="s">
        <v>878</v>
      </c>
      <c r="B2700" t="s">
        <v>879</v>
      </c>
      <c r="C2700">
        <v>30</v>
      </c>
      <c r="D2700" t="s">
        <v>56</v>
      </c>
      <c r="E2700">
        <v>73</v>
      </c>
      <c r="F2700">
        <v>192</v>
      </c>
      <c r="G2700" t="s">
        <v>107</v>
      </c>
      <c r="H2700">
        <v>2020</v>
      </c>
      <c r="I2700" t="s">
        <v>33</v>
      </c>
      <c r="J2700">
        <v>8</v>
      </c>
      <c r="K2700">
        <v>7</v>
      </c>
      <c r="L2700">
        <v>1</v>
      </c>
      <c r="M2700">
        <v>0</v>
      </c>
      <c r="N2700">
        <v>1</v>
      </c>
      <c r="O2700">
        <v>0</v>
      </c>
      <c r="P2700">
        <v>0</v>
      </c>
      <c r="Q2700">
        <v>0</v>
      </c>
      <c r="R2700">
        <v>2</v>
      </c>
      <c r="S2700">
        <v>66</v>
      </c>
      <c r="T2700">
        <v>66</v>
      </c>
      <c r="U2700" s="5">
        <f>IF(Merge1[[#This Row],[team_defense_snaps]]=0, "", Merge1[[#This Row],[defense_snaps]] / Merge1[[#This Row],[team_defense_snaps]])</f>
        <v>1</v>
      </c>
      <c r="V2700">
        <v>66</v>
      </c>
      <c r="W2700">
        <v>0</v>
      </c>
      <c r="X2700" s="5">
        <v>0</v>
      </c>
      <c r="Y2700">
        <v>6</v>
      </c>
      <c r="Z2700">
        <v>0</v>
      </c>
      <c r="AA2700" t="s">
        <v>25</v>
      </c>
      <c r="AB2700" t="s">
        <v>26</v>
      </c>
      <c r="AC2700" t="s">
        <v>27</v>
      </c>
      <c r="AD2700" t="s">
        <v>42</v>
      </c>
      <c r="AE2700" t="s">
        <v>25</v>
      </c>
      <c r="AF27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0.17424242424242425</v>
      </c>
      <c r="AG2700" t="s">
        <v>942</v>
      </c>
      <c r="AH2700">
        <v>61.5</v>
      </c>
      <c r="AI2700" t="s">
        <v>939</v>
      </c>
      <c r="AJ2700">
        <v>8</v>
      </c>
      <c r="AK27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MIN(AJ2700/8, 1) +
  Merge1[[#This Row],[index_defensive_effort]],
  2
)</f>
        <v>1.67</v>
      </c>
    </row>
    <row r="2701" spans="1:37" x14ac:dyDescent="0.25">
      <c r="A2701" t="s">
        <v>878</v>
      </c>
      <c r="B2701" t="s">
        <v>879</v>
      </c>
      <c r="C2701">
        <v>30</v>
      </c>
      <c r="D2701" t="s">
        <v>56</v>
      </c>
      <c r="E2701">
        <v>73</v>
      </c>
      <c r="F2701">
        <v>192</v>
      </c>
      <c r="G2701" t="s">
        <v>107</v>
      </c>
      <c r="H2701">
        <v>2020</v>
      </c>
      <c r="I2701" t="s">
        <v>33</v>
      </c>
      <c r="J2701">
        <v>9</v>
      </c>
      <c r="K2701">
        <v>2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43</v>
      </c>
      <c r="T2701">
        <v>43</v>
      </c>
      <c r="U2701" s="5">
        <f>IF(Merge1[[#This Row],[team_defense_snaps]]=0, "", Merge1[[#This Row],[defense_snaps]] / Merge1[[#This Row],[team_defense_snaps]])</f>
        <v>0.53086419753086422</v>
      </c>
      <c r="V2701">
        <v>81</v>
      </c>
      <c r="W2701">
        <v>0</v>
      </c>
      <c r="X2701" s="5">
        <v>0</v>
      </c>
      <c r="Y2701">
        <v>6</v>
      </c>
      <c r="Z2701">
        <v>0</v>
      </c>
      <c r="AA2701" t="s">
        <v>25</v>
      </c>
      <c r="AB2701" t="s">
        <v>26</v>
      </c>
      <c r="AC2701" t="s">
        <v>27</v>
      </c>
      <c r="AD2701" t="s">
        <v>42</v>
      </c>
      <c r="AE2701" t="s">
        <v>25</v>
      </c>
      <c r="AF27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4.6511627906976744E-2</v>
      </c>
      <c r="AG2701" t="s">
        <v>942</v>
      </c>
      <c r="AH2701">
        <v>60</v>
      </c>
      <c r="AI2701" t="s">
        <v>939</v>
      </c>
      <c r="AJ2701">
        <v>9</v>
      </c>
      <c r="AK27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MIN(AJ2701/8, 1) +
  Merge1[[#This Row],[index_defensive_effort]],
  2
)</f>
        <v>1.55</v>
      </c>
    </row>
    <row r="2702" spans="1:37" x14ac:dyDescent="0.25">
      <c r="A2702" t="s">
        <v>721</v>
      </c>
      <c r="B2702" t="s">
        <v>722</v>
      </c>
      <c r="C2702">
        <v>27</v>
      </c>
      <c r="D2702" t="s">
        <v>22</v>
      </c>
      <c r="E2702">
        <v>69</v>
      </c>
      <c r="F2702">
        <v>197</v>
      </c>
      <c r="G2702" t="s">
        <v>330</v>
      </c>
      <c r="H2702">
        <v>2020</v>
      </c>
      <c r="I2702" t="s">
        <v>33</v>
      </c>
      <c r="J2702">
        <v>1</v>
      </c>
      <c r="K2702">
        <v>3</v>
      </c>
      <c r="L2702">
        <v>1</v>
      </c>
      <c r="M2702">
        <v>0</v>
      </c>
      <c r="N2702">
        <v>1</v>
      </c>
      <c r="O2702">
        <v>0</v>
      </c>
      <c r="P2702">
        <v>1</v>
      </c>
      <c r="Q2702">
        <v>2</v>
      </c>
      <c r="R2702">
        <v>0</v>
      </c>
      <c r="S2702">
        <v>82</v>
      </c>
      <c r="T2702">
        <v>78</v>
      </c>
      <c r="U2702" s="5">
        <f>IF(Merge1[[#This Row],[team_defense_snaps]]=0, "", Merge1[[#This Row],[defense_snaps]] / Merge1[[#This Row],[team_defense_snaps]])</f>
        <v>0.97499999999999998</v>
      </c>
      <c r="V2702">
        <v>80</v>
      </c>
      <c r="W2702">
        <v>4</v>
      </c>
      <c r="X2702" s="5" t="s">
        <v>212</v>
      </c>
      <c r="Y2702">
        <v>5</v>
      </c>
      <c r="Z2702">
        <v>0</v>
      </c>
      <c r="AA2702" t="s">
        <v>25</v>
      </c>
      <c r="AB2702" t="s">
        <v>26</v>
      </c>
      <c r="AC2702" t="s">
        <v>27</v>
      </c>
      <c r="AD2702" t="s">
        <v>42</v>
      </c>
      <c r="AE2702" t="s">
        <v>25</v>
      </c>
      <c r="AF27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0.16463414634146342</v>
      </c>
      <c r="AG2702" t="s">
        <v>942</v>
      </c>
      <c r="AH2702">
        <v>56.5</v>
      </c>
      <c r="AI2702" t="s">
        <v>939</v>
      </c>
      <c r="AJ2702">
        <v>1</v>
      </c>
      <c r="AK27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MIN(AJ2702/8, 1) +
  Merge1[[#This Row],[index_defensive_effort]],
  2
)</f>
        <v>0.89</v>
      </c>
    </row>
    <row r="2703" spans="1:37" x14ac:dyDescent="0.25">
      <c r="A2703" t="s">
        <v>721</v>
      </c>
      <c r="B2703" t="s">
        <v>722</v>
      </c>
      <c r="C2703">
        <v>27</v>
      </c>
      <c r="D2703" t="s">
        <v>22</v>
      </c>
      <c r="E2703">
        <v>69</v>
      </c>
      <c r="F2703">
        <v>197</v>
      </c>
      <c r="G2703" t="s">
        <v>330</v>
      </c>
      <c r="H2703">
        <v>2020</v>
      </c>
      <c r="I2703" t="s">
        <v>33</v>
      </c>
      <c r="J2703">
        <v>2</v>
      </c>
      <c r="K2703">
        <v>1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10</v>
      </c>
      <c r="T2703">
        <v>9</v>
      </c>
      <c r="U2703" s="5">
        <f>IF(Merge1[[#This Row],[team_defense_snaps]]=0, "", Merge1[[#This Row],[defense_snaps]] / Merge1[[#This Row],[team_defense_snaps]])</f>
        <v>0.125</v>
      </c>
      <c r="V2703">
        <v>72</v>
      </c>
      <c r="W2703">
        <v>1</v>
      </c>
      <c r="X2703" s="5" t="s">
        <v>193</v>
      </c>
      <c r="Y2703">
        <v>5</v>
      </c>
      <c r="Z2703">
        <v>0</v>
      </c>
      <c r="AA2703" t="s">
        <v>25</v>
      </c>
      <c r="AB2703" t="s">
        <v>26</v>
      </c>
      <c r="AC2703" t="s">
        <v>27</v>
      </c>
      <c r="AD2703" t="s">
        <v>42</v>
      </c>
      <c r="AE2703" t="s">
        <v>25</v>
      </c>
      <c r="AF27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2703" t="s">
        <v>942</v>
      </c>
      <c r="AH2703">
        <v>70</v>
      </c>
      <c r="AI2703" t="s">
        <v>939</v>
      </c>
      <c r="AJ2703">
        <v>2</v>
      </c>
      <c r="AK27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MIN(AJ2703/8, 1) +
  Merge1[[#This Row],[index_defensive_effort]],
  2
)</f>
        <v>0.95</v>
      </c>
    </row>
    <row r="2704" spans="1:37" x14ac:dyDescent="0.25">
      <c r="A2704" t="s">
        <v>721</v>
      </c>
      <c r="B2704" t="s">
        <v>722</v>
      </c>
      <c r="C2704">
        <v>27</v>
      </c>
      <c r="D2704" t="s">
        <v>22</v>
      </c>
      <c r="E2704">
        <v>69</v>
      </c>
      <c r="F2704">
        <v>197</v>
      </c>
      <c r="G2704" t="s">
        <v>330</v>
      </c>
      <c r="H2704">
        <v>2020</v>
      </c>
      <c r="I2704" t="s">
        <v>33</v>
      </c>
      <c r="J2704">
        <v>3</v>
      </c>
      <c r="K2704">
        <v>5</v>
      </c>
      <c r="L2704">
        <v>1</v>
      </c>
      <c r="M2704">
        <v>0</v>
      </c>
      <c r="N2704">
        <v>1</v>
      </c>
      <c r="O2704">
        <v>0</v>
      </c>
      <c r="P2704">
        <v>1</v>
      </c>
      <c r="Q2704">
        <v>0</v>
      </c>
      <c r="R2704">
        <v>0</v>
      </c>
      <c r="S2704">
        <v>93</v>
      </c>
      <c r="T2704">
        <v>82</v>
      </c>
      <c r="U2704" s="5">
        <f>IF(Merge1[[#This Row],[team_defense_snaps]]=0, "", Merge1[[#This Row],[defense_snaps]] / Merge1[[#This Row],[team_defense_snaps]])</f>
        <v>0.98795180722891562</v>
      </c>
      <c r="V2704">
        <v>83</v>
      </c>
      <c r="W2704">
        <v>11</v>
      </c>
      <c r="X2704" s="5" t="s">
        <v>123</v>
      </c>
      <c r="Y2704">
        <v>5</v>
      </c>
      <c r="Z2704">
        <v>0</v>
      </c>
      <c r="AA2704" t="s">
        <v>25</v>
      </c>
      <c r="AB2704" t="s">
        <v>26</v>
      </c>
      <c r="AC2704" t="s">
        <v>27</v>
      </c>
      <c r="AD2704" t="s">
        <v>42</v>
      </c>
      <c r="AE2704" t="s">
        <v>25</v>
      </c>
      <c r="AF27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8.0645161290322578E-2</v>
      </c>
      <c r="AG2704" t="s">
        <v>942</v>
      </c>
      <c r="AH2704">
        <v>58</v>
      </c>
      <c r="AI2704" t="s">
        <v>939</v>
      </c>
      <c r="AJ2704">
        <v>3</v>
      </c>
      <c r="AK27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MIN(AJ2704/8, 1) +
  Merge1[[#This Row],[index_defensive_effort]],
  2
)</f>
        <v>1.06</v>
      </c>
    </row>
    <row r="2705" spans="1:37" x14ac:dyDescent="0.25">
      <c r="A2705" t="s">
        <v>721</v>
      </c>
      <c r="B2705" t="s">
        <v>722</v>
      </c>
      <c r="C2705">
        <v>27</v>
      </c>
      <c r="D2705" t="s">
        <v>22</v>
      </c>
      <c r="E2705">
        <v>69</v>
      </c>
      <c r="F2705">
        <v>197</v>
      </c>
      <c r="G2705" t="s">
        <v>330</v>
      </c>
      <c r="H2705">
        <v>2020</v>
      </c>
      <c r="I2705" t="s">
        <v>33</v>
      </c>
      <c r="J2705">
        <v>4</v>
      </c>
      <c r="K2705">
        <v>2</v>
      </c>
      <c r="L2705">
        <v>2</v>
      </c>
      <c r="M2705">
        <v>0</v>
      </c>
      <c r="N2705">
        <v>2</v>
      </c>
      <c r="O2705">
        <v>0</v>
      </c>
      <c r="P2705">
        <v>1</v>
      </c>
      <c r="Q2705">
        <v>0</v>
      </c>
      <c r="R2705">
        <v>0</v>
      </c>
      <c r="S2705">
        <v>78</v>
      </c>
      <c r="T2705">
        <v>71</v>
      </c>
      <c r="U2705" s="5">
        <f>IF(Merge1[[#This Row],[team_defense_snaps]]=0, "", Merge1[[#This Row],[defense_snaps]] / Merge1[[#This Row],[team_defense_snaps]])</f>
        <v>1</v>
      </c>
      <c r="V2705">
        <v>71</v>
      </c>
      <c r="W2705">
        <v>7</v>
      </c>
      <c r="X2705" s="5" t="s">
        <v>136</v>
      </c>
      <c r="Y2705">
        <v>5</v>
      </c>
      <c r="Z2705">
        <v>0</v>
      </c>
      <c r="AA2705" t="s">
        <v>25</v>
      </c>
      <c r="AB2705" t="s">
        <v>26</v>
      </c>
      <c r="AC2705" t="s">
        <v>27</v>
      </c>
      <c r="AD2705" t="s">
        <v>42</v>
      </c>
      <c r="AE2705" t="s">
        <v>25</v>
      </c>
      <c r="AF27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6.4102564102564097E-2</v>
      </c>
      <c r="AG2705" t="s">
        <v>942</v>
      </c>
      <c r="AH2705">
        <v>53.5</v>
      </c>
      <c r="AI2705" t="s">
        <v>939</v>
      </c>
      <c r="AJ2705">
        <v>4</v>
      </c>
      <c r="AK27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MIN(AJ2705/8, 1) +
  Merge1[[#This Row],[index_defensive_effort]],
  2
)</f>
        <v>1.1599999999999999</v>
      </c>
    </row>
    <row r="2706" spans="1:37" x14ac:dyDescent="0.25">
      <c r="A2706" t="s">
        <v>721</v>
      </c>
      <c r="B2706" t="s">
        <v>722</v>
      </c>
      <c r="C2706">
        <v>27</v>
      </c>
      <c r="D2706" t="s">
        <v>22</v>
      </c>
      <c r="E2706">
        <v>69</v>
      </c>
      <c r="F2706">
        <v>197</v>
      </c>
      <c r="G2706" t="s">
        <v>330</v>
      </c>
      <c r="H2706">
        <v>2020</v>
      </c>
      <c r="I2706" t="s">
        <v>33</v>
      </c>
      <c r="J2706">
        <v>5</v>
      </c>
      <c r="K2706">
        <v>3</v>
      </c>
      <c r="L2706">
        <v>4</v>
      </c>
      <c r="M2706">
        <v>0</v>
      </c>
      <c r="N2706">
        <v>4</v>
      </c>
      <c r="O2706">
        <v>0</v>
      </c>
      <c r="P2706">
        <v>0</v>
      </c>
      <c r="Q2706">
        <v>0</v>
      </c>
      <c r="R2706">
        <v>0</v>
      </c>
      <c r="S2706">
        <v>92</v>
      </c>
      <c r="T2706">
        <v>87</v>
      </c>
      <c r="U2706" s="5">
        <f>IF(Merge1[[#This Row],[team_defense_snaps]]=0, "", Merge1[[#This Row],[defense_snaps]] / Merge1[[#This Row],[team_defense_snaps]])</f>
        <v>0.98863636363636365</v>
      </c>
      <c r="V2706">
        <v>88</v>
      </c>
      <c r="W2706">
        <v>5</v>
      </c>
      <c r="X2706" s="5" t="s">
        <v>58</v>
      </c>
      <c r="Y2706">
        <v>5</v>
      </c>
      <c r="Z2706">
        <v>0</v>
      </c>
      <c r="AA2706" t="s">
        <v>25</v>
      </c>
      <c r="AB2706" t="s">
        <v>26</v>
      </c>
      <c r="AC2706" t="s">
        <v>27</v>
      </c>
      <c r="AD2706" t="s">
        <v>42</v>
      </c>
      <c r="AE2706" t="s">
        <v>25</v>
      </c>
      <c r="AF27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5.434782608695652E-2</v>
      </c>
      <c r="AG2706" t="s">
        <v>942</v>
      </c>
      <c r="AH2706">
        <v>64</v>
      </c>
      <c r="AI2706" t="s">
        <v>939</v>
      </c>
      <c r="AJ2706">
        <v>5</v>
      </c>
      <c r="AK27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MIN(AJ2706/8, 1) +
  Merge1[[#This Row],[index_defensive_effort]],
  2
)</f>
        <v>1.28</v>
      </c>
    </row>
    <row r="2707" spans="1:37" x14ac:dyDescent="0.25">
      <c r="A2707" t="s">
        <v>721</v>
      </c>
      <c r="B2707" t="s">
        <v>722</v>
      </c>
      <c r="C2707">
        <v>27</v>
      </c>
      <c r="D2707" t="s">
        <v>22</v>
      </c>
      <c r="E2707">
        <v>69</v>
      </c>
      <c r="F2707">
        <v>197</v>
      </c>
      <c r="G2707" t="s">
        <v>330</v>
      </c>
      <c r="H2707">
        <v>2020</v>
      </c>
      <c r="I2707" t="s">
        <v>33</v>
      </c>
      <c r="J2707">
        <v>7</v>
      </c>
      <c r="K2707">
        <v>3</v>
      </c>
      <c r="L2707">
        <v>2</v>
      </c>
      <c r="M2707">
        <v>0</v>
      </c>
      <c r="N2707">
        <v>2</v>
      </c>
      <c r="O2707">
        <v>0</v>
      </c>
      <c r="P2707">
        <v>0</v>
      </c>
      <c r="Q2707">
        <v>2</v>
      </c>
      <c r="R2707">
        <v>0</v>
      </c>
      <c r="S2707">
        <v>93</v>
      </c>
      <c r="T2707">
        <v>84</v>
      </c>
      <c r="U2707" s="5">
        <f>IF(Merge1[[#This Row],[team_defense_snaps]]=0, "", Merge1[[#This Row],[defense_snaps]] / Merge1[[#This Row],[team_defense_snaps]])</f>
        <v>1</v>
      </c>
      <c r="V2707">
        <v>84</v>
      </c>
      <c r="W2707">
        <v>9</v>
      </c>
      <c r="X2707" s="5" t="s">
        <v>136</v>
      </c>
      <c r="Y2707">
        <v>5</v>
      </c>
      <c r="Z2707">
        <v>0</v>
      </c>
      <c r="AA2707" t="s">
        <v>25</v>
      </c>
      <c r="AB2707" t="s">
        <v>26</v>
      </c>
      <c r="AC2707" t="s">
        <v>27</v>
      </c>
      <c r="AD2707" t="s">
        <v>42</v>
      </c>
      <c r="AE2707" t="s">
        <v>25</v>
      </c>
      <c r="AF27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0.12903225806451613</v>
      </c>
      <c r="AG2707" t="s">
        <v>942</v>
      </c>
      <c r="AH2707">
        <v>52</v>
      </c>
      <c r="AI2707" t="s">
        <v>939</v>
      </c>
      <c r="AJ2707">
        <v>1</v>
      </c>
      <c r="AK27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MIN(AJ2707/8, 1) +
  Merge1[[#This Row],[index_defensive_effort]],
  2
)</f>
        <v>0.85</v>
      </c>
    </row>
    <row r="2708" spans="1:37" x14ac:dyDescent="0.25">
      <c r="A2708" t="s">
        <v>721</v>
      </c>
      <c r="B2708" t="s">
        <v>722</v>
      </c>
      <c r="C2708">
        <v>27</v>
      </c>
      <c r="D2708" t="s">
        <v>22</v>
      </c>
      <c r="E2708">
        <v>69</v>
      </c>
      <c r="F2708">
        <v>197</v>
      </c>
      <c r="G2708" t="s">
        <v>330</v>
      </c>
      <c r="H2708">
        <v>2020</v>
      </c>
      <c r="I2708" t="s">
        <v>33</v>
      </c>
      <c r="J2708">
        <v>8</v>
      </c>
      <c r="K2708">
        <v>3</v>
      </c>
      <c r="L2708">
        <v>3</v>
      </c>
      <c r="M2708">
        <v>0</v>
      </c>
      <c r="N2708">
        <v>3</v>
      </c>
      <c r="O2708">
        <v>0</v>
      </c>
      <c r="P2708">
        <v>1</v>
      </c>
      <c r="Q2708">
        <v>0</v>
      </c>
      <c r="R2708">
        <v>0</v>
      </c>
      <c r="S2708">
        <v>73</v>
      </c>
      <c r="T2708">
        <v>70</v>
      </c>
      <c r="U2708" s="5">
        <f>IF(Merge1[[#This Row],[team_defense_snaps]]=0, "", Merge1[[#This Row],[defense_snaps]] / Merge1[[#This Row],[team_defense_snaps]])</f>
        <v>0.9859154929577465</v>
      </c>
      <c r="V2708">
        <v>71</v>
      </c>
      <c r="W2708">
        <v>3</v>
      </c>
      <c r="X2708" s="5" t="s">
        <v>38</v>
      </c>
      <c r="Y2708">
        <v>5</v>
      </c>
      <c r="Z2708">
        <v>0</v>
      </c>
      <c r="AA2708" t="s">
        <v>25</v>
      </c>
      <c r="AB2708" t="s">
        <v>26</v>
      </c>
      <c r="AC2708" t="s">
        <v>27</v>
      </c>
      <c r="AD2708" t="s">
        <v>42</v>
      </c>
      <c r="AE2708" t="s">
        <v>25</v>
      </c>
      <c r="AF27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8.9041095890410954E-2</v>
      </c>
      <c r="AG2708" t="s">
        <v>942</v>
      </c>
      <c r="AH2708">
        <v>61</v>
      </c>
      <c r="AI2708" t="s">
        <v>939</v>
      </c>
      <c r="AJ2708">
        <v>2</v>
      </c>
      <c r="AK27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MIN(AJ2708/8, 1) +
  Merge1[[#This Row],[index_defensive_effort]],
  2
)</f>
        <v>0.94</v>
      </c>
    </row>
    <row r="2709" spans="1:37" x14ac:dyDescent="0.25">
      <c r="A2709" t="s">
        <v>721</v>
      </c>
      <c r="B2709" t="s">
        <v>722</v>
      </c>
      <c r="C2709">
        <v>27</v>
      </c>
      <c r="D2709" t="s">
        <v>22</v>
      </c>
      <c r="E2709">
        <v>69</v>
      </c>
      <c r="F2709">
        <v>197</v>
      </c>
      <c r="G2709" t="s">
        <v>330</v>
      </c>
      <c r="H2709">
        <v>2020</v>
      </c>
      <c r="I2709" t="s">
        <v>33</v>
      </c>
      <c r="J2709">
        <v>9</v>
      </c>
      <c r="K2709">
        <v>3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75</v>
      </c>
      <c r="T2709">
        <v>67</v>
      </c>
      <c r="U2709" s="5">
        <f>IF(Merge1[[#This Row],[team_defense_snaps]]=0, "", Merge1[[#This Row],[defense_snaps]] / Merge1[[#This Row],[team_defense_snaps]])</f>
        <v>0.89333333333333331</v>
      </c>
      <c r="V2709">
        <v>75</v>
      </c>
      <c r="W2709">
        <v>8</v>
      </c>
      <c r="X2709" s="5" t="s">
        <v>133</v>
      </c>
      <c r="Y2709">
        <v>5</v>
      </c>
      <c r="Z2709">
        <v>0</v>
      </c>
      <c r="AA2709" t="s">
        <v>25</v>
      </c>
      <c r="AB2709" t="s">
        <v>26</v>
      </c>
      <c r="AC2709" t="s">
        <v>27</v>
      </c>
      <c r="AD2709" t="s">
        <v>42</v>
      </c>
      <c r="AE2709" t="s">
        <v>25</v>
      </c>
      <c r="AF27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0.04</v>
      </c>
      <c r="AG2709" t="s">
        <v>942</v>
      </c>
      <c r="AH2709">
        <v>50</v>
      </c>
      <c r="AI2709" t="s">
        <v>939</v>
      </c>
      <c r="AJ2709">
        <v>3</v>
      </c>
      <c r="AK27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MIN(AJ2709/8, 1) +
  Merge1[[#This Row],[index_defensive_effort]],
  2
)</f>
        <v>1.02</v>
      </c>
    </row>
    <row r="2710" spans="1:37" x14ac:dyDescent="0.25">
      <c r="A2710" t="s">
        <v>721</v>
      </c>
      <c r="B2710" t="s">
        <v>722</v>
      </c>
      <c r="C2710">
        <v>27</v>
      </c>
      <c r="D2710" t="s">
        <v>22</v>
      </c>
      <c r="E2710">
        <v>69</v>
      </c>
      <c r="F2710">
        <v>197</v>
      </c>
      <c r="G2710" t="s">
        <v>330</v>
      </c>
      <c r="H2710">
        <v>2020</v>
      </c>
      <c r="I2710" t="s">
        <v>33</v>
      </c>
      <c r="J2710">
        <v>10</v>
      </c>
      <c r="K2710">
        <v>5</v>
      </c>
      <c r="L2710">
        <v>1</v>
      </c>
      <c r="M2710">
        <v>0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75</v>
      </c>
      <c r="T2710">
        <v>70</v>
      </c>
      <c r="U2710" s="5">
        <f>IF(Merge1[[#This Row],[team_defense_snaps]]=0, "", Merge1[[#This Row],[defense_snaps]] / Merge1[[#This Row],[team_defense_snaps]])</f>
        <v>1</v>
      </c>
      <c r="V2710">
        <v>70</v>
      </c>
      <c r="W2710">
        <v>5</v>
      </c>
      <c r="X2710" s="5" t="s">
        <v>293</v>
      </c>
      <c r="Y2710">
        <v>5</v>
      </c>
      <c r="Z2710">
        <v>0</v>
      </c>
      <c r="AA2710" t="s">
        <v>25</v>
      </c>
      <c r="AB2710" t="s">
        <v>26</v>
      </c>
      <c r="AC2710" t="s">
        <v>27</v>
      </c>
      <c r="AD2710" t="s">
        <v>42</v>
      </c>
      <c r="AE2710" t="s">
        <v>25</v>
      </c>
      <c r="AF27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7.3333333333333334E-2</v>
      </c>
      <c r="AG2710" t="s">
        <v>942</v>
      </c>
      <c r="AH2710">
        <v>68.5</v>
      </c>
      <c r="AI2710" t="s">
        <v>939</v>
      </c>
      <c r="AJ2710">
        <v>4</v>
      </c>
      <c r="AK27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MIN(AJ2710/8, 1) +
  Merge1[[#This Row],[index_defensive_effort]],
  2
)</f>
        <v>1.17</v>
      </c>
    </row>
    <row r="2711" spans="1:37" x14ac:dyDescent="0.25">
      <c r="A2711" t="s">
        <v>721</v>
      </c>
      <c r="B2711" t="s">
        <v>722</v>
      </c>
      <c r="C2711">
        <v>27</v>
      </c>
      <c r="D2711" t="s">
        <v>22</v>
      </c>
      <c r="E2711">
        <v>69</v>
      </c>
      <c r="F2711">
        <v>197</v>
      </c>
      <c r="G2711" t="s">
        <v>330</v>
      </c>
      <c r="H2711">
        <v>2020</v>
      </c>
      <c r="I2711" t="s">
        <v>33</v>
      </c>
      <c r="J2711">
        <v>11</v>
      </c>
      <c r="K2711">
        <v>1</v>
      </c>
      <c r="L2711">
        <v>0</v>
      </c>
      <c r="M2711">
        <v>0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70</v>
      </c>
      <c r="T2711">
        <v>67</v>
      </c>
      <c r="U2711" s="5">
        <f>IF(Merge1[[#This Row],[team_defense_snaps]]=0, "", Merge1[[#This Row],[defense_snaps]] / Merge1[[#This Row],[team_defense_snaps]])</f>
        <v>1</v>
      </c>
      <c r="V2711">
        <v>67</v>
      </c>
      <c r="W2711">
        <v>3</v>
      </c>
      <c r="X2711" s="5" t="s">
        <v>251</v>
      </c>
      <c r="Y2711">
        <v>5</v>
      </c>
      <c r="Z2711">
        <v>0</v>
      </c>
      <c r="AA2711" t="s">
        <v>25</v>
      </c>
      <c r="AB2711" t="s">
        <v>26</v>
      </c>
      <c r="AC2711" t="s">
        <v>27</v>
      </c>
      <c r="AD2711" t="s">
        <v>42</v>
      </c>
      <c r="AE2711" t="s">
        <v>25</v>
      </c>
      <c r="AF27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4.2857142857142858E-2</v>
      </c>
      <c r="AG2711" t="s">
        <v>942</v>
      </c>
      <c r="AH2711">
        <v>46</v>
      </c>
      <c r="AI2711" t="s">
        <v>939</v>
      </c>
      <c r="AJ2711">
        <v>5</v>
      </c>
      <c r="AK27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MIN(AJ2711/8, 1) +
  Merge1[[#This Row],[index_defensive_effort]],
  2
)</f>
        <v>1.27</v>
      </c>
    </row>
    <row r="2712" spans="1:37" x14ac:dyDescent="0.25">
      <c r="A2712" t="s">
        <v>721</v>
      </c>
      <c r="B2712" t="s">
        <v>722</v>
      </c>
      <c r="C2712">
        <v>27</v>
      </c>
      <c r="D2712" t="s">
        <v>22</v>
      </c>
      <c r="E2712">
        <v>69</v>
      </c>
      <c r="F2712">
        <v>197</v>
      </c>
      <c r="G2712" t="s">
        <v>330</v>
      </c>
      <c r="H2712">
        <v>2020</v>
      </c>
      <c r="I2712" t="s">
        <v>33</v>
      </c>
      <c r="J2712">
        <v>12</v>
      </c>
      <c r="K2712">
        <v>3</v>
      </c>
      <c r="L2712">
        <v>0</v>
      </c>
      <c r="M2712">
        <v>0</v>
      </c>
      <c r="N2712">
        <v>0</v>
      </c>
      <c r="O2712">
        <v>0</v>
      </c>
      <c r="P2712">
        <v>2</v>
      </c>
      <c r="Q2712">
        <v>2</v>
      </c>
      <c r="R2712">
        <v>0</v>
      </c>
      <c r="S2712">
        <v>73</v>
      </c>
      <c r="T2712">
        <v>71</v>
      </c>
      <c r="U2712" s="5">
        <f>IF(Merge1[[#This Row],[team_defense_snaps]]=0, "", Merge1[[#This Row],[defense_snaps]] / Merge1[[#This Row],[team_defense_snaps]])</f>
        <v>1</v>
      </c>
      <c r="V2712">
        <v>71</v>
      </c>
      <c r="W2712">
        <v>2</v>
      </c>
      <c r="X2712" s="5" t="s">
        <v>167</v>
      </c>
      <c r="Y2712">
        <v>5</v>
      </c>
      <c r="Z2712">
        <v>0</v>
      </c>
      <c r="AA2712" t="s">
        <v>25</v>
      </c>
      <c r="AB2712" t="s">
        <v>26</v>
      </c>
      <c r="AC2712" t="s">
        <v>27</v>
      </c>
      <c r="AD2712" t="s">
        <v>42</v>
      </c>
      <c r="AE2712" t="s">
        <v>25</v>
      </c>
      <c r="AF27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0.20547945205479451</v>
      </c>
      <c r="AG2712" t="s">
        <v>942</v>
      </c>
      <c r="AH2712">
        <v>49</v>
      </c>
      <c r="AI2712" t="s">
        <v>939</v>
      </c>
      <c r="AJ2712">
        <v>6</v>
      </c>
      <c r="AK27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MIN(AJ2712/8, 1) +
  Merge1[[#This Row],[index_defensive_effort]],
  2
)</f>
        <v>1.56</v>
      </c>
    </row>
    <row r="2713" spans="1:37" x14ac:dyDescent="0.25">
      <c r="A2713" t="s">
        <v>721</v>
      </c>
      <c r="B2713" t="s">
        <v>722</v>
      </c>
      <c r="C2713">
        <v>27</v>
      </c>
      <c r="D2713" t="s">
        <v>22</v>
      </c>
      <c r="E2713">
        <v>69</v>
      </c>
      <c r="F2713">
        <v>197</v>
      </c>
      <c r="G2713" t="s">
        <v>330</v>
      </c>
      <c r="H2713">
        <v>2020</v>
      </c>
      <c r="I2713" t="s">
        <v>33</v>
      </c>
      <c r="J2713">
        <v>13</v>
      </c>
      <c r="K2713">
        <v>3</v>
      </c>
      <c r="L2713">
        <v>2</v>
      </c>
      <c r="M2713">
        <v>0</v>
      </c>
      <c r="N2713">
        <v>2</v>
      </c>
      <c r="O2713">
        <v>0</v>
      </c>
      <c r="P2713">
        <v>0</v>
      </c>
      <c r="Q2713">
        <v>2</v>
      </c>
      <c r="R2713">
        <v>0</v>
      </c>
      <c r="S2713">
        <v>58</v>
      </c>
      <c r="T2713">
        <v>56</v>
      </c>
      <c r="U2713" s="5">
        <f>IF(Merge1[[#This Row],[team_defense_snaps]]=0, "", Merge1[[#This Row],[defense_snaps]] / Merge1[[#This Row],[team_defense_snaps]])</f>
        <v>0.98245614035087714</v>
      </c>
      <c r="V2713">
        <v>57</v>
      </c>
      <c r="W2713">
        <v>2</v>
      </c>
      <c r="X2713" s="5" t="s">
        <v>167</v>
      </c>
      <c r="Y2713">
        <v>5</v>
      </c>
      <c r="Z2713">
        <v>0</v>
      </c>
      <c r="AA2713" t="s">
        <v>25</v>
      </c>
      <c r="AB2713" t="s">
        <v>26</v>
      </c>
      <c r="AC2713" t="s">
        <v>27</v>
      </c>
      <c r="AD2713" t="s">
        <v>42</v>
      </c>
      <c r="AE2713" t="s">
        <v>25</v>
      </c>
      <c r="AF27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0.20689655172413793</v>
      </c>
      <c r="AG2713" t="s">
        <v>942</v>
      </c>
      <c r="AH2713">
        <v>59.5</v>
      </c>
      <c r="AI2713" t="s">
        <v>939</v>
      </c>
      <c r="AJ2713">
        <v>7</v>
      </c>
      <c r="AK27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MIN(AJ2713/8, 1) +
  Merge1[[#This Row],[index_defensive_effort]],
  2
)</f>
        <v>1.68</v>
      </c>
    </row>
    <row r="2714" spans="1:37" x14ac:dyDescent="0.25">
      <c r="A2714" t="s">
        <v>721</v>
      </c>
      <c r="B2714" t="s">
        <v>722</v>
      </c>
      <c r="C2714">
        <v>27</v>
      </c>
      <c r="D2714" t="s">
        <v>22</v>
      </c>
      <c r="E2714">
        <v>69</v>
      </c>
      <c r="F2714">
        <v>197</v>
      </c>
      <c r="G2714" t="s">
        <v>330</v>
      </c>
      <c r="H2714">
        <v>2020</v>
      </c>
      <c r="I2714" t="s">
        <v>33</v>
      </c>
      <c r="J2714">
        <v>14</v>
      </c>
      <c r="K2714">
        <v>0</v>
      </c>
      <c r="L2714">
        <v>1</v>
      </c>
      <c r="M2714">
        <v>0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47</v>
      </c>
      <c r="T2714">
        <v>43</v>
      </c>
      <c r="U2714" s="5">
        <f>IF(Merge1[[#This Row],[team_defense_snaps]]=0, "", Merge1[[#This Row],[defense_snaps]] / Merge1[[#This Row],[team_defense_snaps]])</f>
        <v>0.81132075471698117</v>
      </c>
      <c r="V2714">
        <v>53</v>
      </c>
      <c r="W2714">
        <v>4</v>
      </c>
      <c r="X2714" s="5" t="s">
        <v>212</v>
      </c>
      <c r="Y2714">
        <v>5</v>
      </c>
      <c r="Z2714">
        <v>0</v>
      </c>
      <c r="AA2714" t="s">
        <v>25</v>
      </c>
      <c r="AB2714" t="s">
        <v>26</v>
      </c>
      <c r="AC2714" t="s">
        <v>27</v>
      </c>
      <c r="AD2714" t="s">
        <v>42</v>
      </c>
      <c r="AE2714" t="s">
        <v>25</v>
      </c>
      <c r="AF27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1.0638297872340425E-2</v>
      </c>
      <c r="AG2714" t="s">
        <v>942</v>
      </c>
      <c r="AH2714">
        <v>65.5</v>
      </c>
      <c r="AI2714" t="s">
        <v>939</v>
      </c>
      <c r="AJ2714">
        <v>8</v>
      </c>
      <c r="AK27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MIN(AJ2714/8, 1) +
  Merge1[[#This Row],[index_defensive_effort]],
  2
)</f>
        <v>1.61</v>
      </c>
    </row>
    <row r="2715" spans="1:37" x14ac:dyDescent="0.25">
      <c r="A2715" t="s">
        <v>721</v>
      </c>
      <c r="B2715" t="s">
        <v>722</v>
      </c>
      <c r="C2715">
        <v>27</v>
      </c>
      <c r="D2715" t="s">
        <v>22</v>
      </c>
      <c r="E2715">
        <v>69</v>
      </c>
      <c r="F2715">
        <v>197</v>
      </c>
      <c r="G2715" t="s">
        <v>330</v>
      </c>
      <c r="H2715">
        <v>2020</v>
      </c>
      <c r="I2715" t="s">
        <v>33</v>
      </c>
      <c r="J2715">
        <v>15</v>
      </c>
      <c r="K2715">
        <v>3</v>
      </c>
      <c r="L2715">
        <v>2</v>
      </c>
      <c r="M2715">
        <v>0</v>
      </c>
      <c r="N2715">
        <v>2</v>
      </c>
      <c r="O2715">
        <v>0</v>
      </c>
      <c r="P2715">
        <v>0</v>
      </c>
      <c r="Q2715">
        <v>1</v>
      </c>
      <c r="R2715">
        <v>0</v>
      </c>
      <c r="S2715">
        <v>82</v>
      </c>
      <c r="T2715">
        <v>80</v>
      </c>
      <c r="U2715" s="5">
        <f>IF(Merge1[[#This Row],[team_defense_snaps]]=0, "", Merge1[[#This Row],[defense_snaps]] / Merge1[[#This Row],[team_defense_snaps]])</f>
        <v>1</v>
      </c>
      <c r="V2715">
        <v>80</v>
      </c>
      <c r="W2715">
        <v>2</v>
      </c>
      <c r="X2715" s="5" t="s">
        <v>250</v>
      </c>
      <c r="Y2715">
        <v>5</v>
      </c>
      <c r="Z2715">
        <v>0</v>
      </c>
      <c r="AA2715" t="s">
        <v>25</v>
      </c>
      <c r="AB2715" t="s">
        <v>26</v>
      </c>
      <c r="AC2715" t="s">
        <v>27</v>
      </c>
      <c r="AD2715" t="s">
        <v>42</v>
      </c>
      <c r="AE2715" t="s">
        <v>25</v>
      </c>
      <c r="AF27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9.7560975609756101E-2</v>
      </c>
      <c r="AG2715" t="s">
        <v>942</v>
      </c>
      <c r="AH2715">
        <v>55</v>
      </c>
      <c r="AI2715" t="s">
        <v>939</v>
      </c>
      <c r="AJ2715">
        <v>9</v>
      </c>
      <c r="AK27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MIN(AJ2715/8, 1) +
  Merge1[[#This Row],[index_defensive_effort]],
  2
)</f>
        <v>1.7</v>
      </c>
    </row>
    <row r="2716" spans="1:37" x14ac:dyDescent="0.25">
      <c r="A2716" t="s">
        <v>721</v>
      </c>
      <c r="B2716" t="s">
        <v>722</v>
      </c>
      <c r="C2716">
        <v>27</v>
      </c>
      <c r="D2716" t="s">
        <v>22</v>
      </c>
      <c r="E2716">
        <v>69</v>
      </c>
      <c r="F2716">
        <v>197</v>
      </c>
      <c r="G2716" t="s">
        <v>330</v>
      </c>
      <c r="H2716">
        <v>2020</v>
      </c>
      <c r="I2716" t="s">
        <v>33</v>
      </c>
      <c r="J2716">
        <v>16</v>
      </c>
      <c r="K2716">
        <v>6</v>
      </c>
      <c r="L2716">
        <v>2</v>
      </c>
      <c r="M2716">
        <v>0</v>
      </c>
      <c r="N2716">
        <v>2</v>
      </c>
      <c r="O2716">
        <v>0</v>
      </c>
      <c r="P2716">
        <v>0</v>
      </c>
      <c r="Q2716">
        <v>2</v>
      </c>
      <c r="R2716">
        <v>0</v>
      </c>
      <c r="S2716">
        <v>78</v>
      </c>
      <c r="T2716">
        <v>75</v>
      </c>
      <c r="U2716" s="5">
        <f>IF(Merge1[[#This Row],[team_defense_snaps]]=0, "", Merge1[[#This Row],[defense_snaps]] / Merge1[[#This Row],[team_defense_snaps]])</f>
        <v>1</v>
      </c>
      <c r="V2716">
        <v>75</v>
      </c>
      <c r="W2716">
        <v>3</v>
      </c>
      <c r="X2716" s="5" t="s">
        <v>251</v>
      </c>
      <c r="Y2716">
        <v>5</v>
      </c>
      <c r="Z2716">
        <v>0</v>
      </c>
      <c r="AA2716" t="s">
        <v>25</v>
      </c>
      <c r="AB2716" t="s">
        <v>26</v>
      </c>
      <c r="AC2716" t="s">
        <v>27</v>
      </c>
      <c r="AD2716" t="s">
        <v>42</v>
      </c>
      <c r="AE2716" t="s">
        <v>25</v>
      </c>
      <c r="AF27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0.19230769230769232</v>
      </c>
      <c r="AG2716" t="s">
        <v>942</v>
      </c>
      <c r="AH2716">
        <v>67</v>
      </c>
      <c r="AI2716" t="s">
        <v>939</v>
      </c>
      <c r="AJ2716">
        <v>10</v>
      </c>
      <c r="AK27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MIN(AJ2716/8, 1) +
  Merge1[[#This Row],[index_defensive_effort]],
  2
)</f>
        <v>1.79</v>
      </c>
    </row>
    <row r="2717" spans="1:37" x14ac:dyDescent="0.25">
      <c r="A2717" t="s">
        <v>721</v>
      </c>
      <c r="B2717" t="s">
        <v>722</v>
      </c>
      <c r="C2717">
        <v>27</v>
      </c>
      <c r="D2717" t="s">
        <v>22</v>
      </c>
      <c r="E2717">
        <v>69</v>
      </c>
      <c r="F2717">
        <v>197</v>
      </c>
      <c r="G2717" t="s">
        <v>330</v>
      </c>
      <c r="H2717">
        <v>2020</v>
      </c>
      <c r="I2717" t="s">
        <v>33</v>
      </c>
      <c r="J2717">
        <v>17</v>
      </c>
      <c r="K2717">
        <v>5</v>
      </c>
      <c r="L2717">
        <v>1</v>
      </c>
      <c r="M2717">
        <v>0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71</v>
      </c>
      <c r="T2717">
        <v>66</v>
      </c>
      <c r="U2717" s="5">
        <f>IF(Merge1[[#This Row],[team_defense_snaps]]=0, "", Merge1[[#This Row],[defense_snaps]] / Merge1[[#This Row],[team_defense_snaps]])</f>
        <v>0.9850746268656716</v>
      </c>
      <c r="V2717">
        <v>67</v>
      </c>
      <c r="W2717">
        <v>5</v>
      </c>
      <c r="X2717" s="5" t="s">
        <v>159</v>
      </c>
      <c r="Y2717">
        <v>5</v>
      </c>
      <c r="Z2717">
        <v>0</v>
      </c>
      <c r="AA2717" t="s">
        <v>25</v>
      </c>
      <c r="AB2717" t="s">
        <v>26</v>
      </c>
      <c r="AC2717" t="s">
        <v>27</v>
      </c>
      <c r="AD2717" t="s">
        <v>42</v>
      </c>
      <c r="AE2717" t="s">
        <v>25</v>
      </c>
      <c r="AF27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7.746478873239436E-2</v>
      </c>
      <c r="AG2717" t="s">
        <v>942</v>
      </c>
      <c r="AH2717">
        <v>50.5</v>
      </c>
      <c r="AI2717" t="s">
        <v>939</v>
      </c>
      <c r="AJ2717">
        <v>11</v>
      </c>
      <c r="AK27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MIN(AJ2717/8, 1) +
  Merge1[[#This Row],[index_defensive_effort]],
  2
)</f>
        <v>1.68</v>
      </c>
    </row>
    <row r="2718" spans="1:37" x14ac:dyDescent="0.25">
      <c r="A2718" t="s">
        <v>721</v>
      </c>
      <c r="B2718" t="s">
        <v>722</v>
      </c>
      <c r="C2718">
        <v>27</v>
      </c>
      <c r="D2718" t="s">
        <v>22</v>
      </c>
      <c r="E2718">
        <v>69</v>
      </c>
      <c r="F2718">
        <v>197</v>
      </c>
      <c r="G2718" t="s">
        <v>330</v>
      </c>
      <c r="H2718">
        <v>2020</v>
      </c>
      <c r="I2718" t="s">
        <v>24</v>
      </c>
      <c r="J2718">
        <v>18</v>
      </c>
      <c r="K2718">
        <v>3</v>
      </c>
      <c r="L2718">
        <v>2</v>
      </c>
      <c r="M2718">
        <v>2</v>
      </c>
      <c r="N2718">
        <v>4</v>
      </c>
      <c r="O2718">
        <v>0</v>
      </c>
      <c r="P2718">
        <v>0</v>
      </c>
      <c r="Q2718">
        <v>0</v>
      </c>
      <c r="R2718">
        <v>0</v>
      </c>
      <c r="S2718">
        <v>79</v>
      </c>
      <c r="T2718">
        <v>71</v>
      </c>
      <c r="U2718" s="5">
        <f>IF(Merge1[[#This Row],[team_defense_snaps]]=0, "", Merge1[[#This Row],[defense_snaps]] / Merge1[[#This Row],[team_defense_snaps]])</f>
        <v>1</v>
      </c>
      <c r="V2718">
        <v>71</v>
      </c>
      <c r="W2718">
        <v>8</v>
      </c>
      <c r="X2718" s="5" t="s">
        <v>139</v>
      </c>
      <c r="Y2718">
        <v>5</v>
      </c>
      <c r="Z2718">
        <v>0</v>
      </c>
      <c r="AA2718" t="s">
        <v>25</v>
      </c>
      <c r="AB2718" t="s">
        <v>26</v>
      </c>
      <c r="AC2718" t="s">
        <v>27</v>
      </c>
      <c r="AD2718" t="s">
        <v>42</v>
      </c>
      <c r="AE2718" t="s">
        <v>25</v>
      </c>
      <c r="AF27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6.3291139240506333E-2</v>
      </c>
      <c r="AG2718" t="s">
        <v>942</v>
      </c>
      <c r="AH2718">
        <v>47.5</v>
      </c>
      <c r="AI2718" t="s">
        <v>939</v>
      </c>
      <c r="AJ2718">
        <v>12</v>
      </c>
      <c r="AK27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MIN(AJ2718/8, 1) +
  Merge1[[#This Row],[index_defensive_effort]],
  2
)</f>
        <v>1.86</v>
      </c>
    </row>
    <row r="2719" spans="1:37" x14ac:dyDescent="0.25">
      <c r="A2719" t="s">
        <v>890</v>
      </c>
      <c r="B2719" t="s">
        <v>891</v>
      </c>
      <c r="C2719">
        <v>24</v>
      </c>
      <c r="D2719" t="s">
        <v>56</v>
      </c>
      <c r="E2719">
        <v>74</v>
      </c>
      <c r="F2719">
        <v>193</v>
      </c>
      <c r="G2719" t="s">
        <v>107</v>
      </c>
      <c r="H2719">
        <v>2020</v>
      </c>
      <c r="I2719" t="s">
        <v>33</v>
      </c>
      <c r="J2719">
        <v>2</v>
      </c>
      <c r="K2719">
        <v>2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25</v>
      </c>
      <c r="T2719">
        <v>25</v>
      </c>
      <c r="U2719" s="5">
        <f>IF(Merge1[[#This Row],[team_defense_snaps]]=0, "", Merge1[[#This Row],[defense_snaps]] / Merge1[[#This Row],[team_defense_snaps]])</f>
        <v>0.4098360655737705</v>
      </c>
      <c r="V2719">
        <v>61</v>
      </c>
      <c r="W2719">
        <v>0</v>
      </c>
      <c r="X2719" s="5">
        <v>0</v>
      </c>
      <c r="Y2719">
        <v>3</v>
      </c>
      <c r="Z2719">
        <v>0</v>
      </c>
      <c r="AA2719" t="s">
        <v>25</v>
      </c>
      <c r="AB2719" t="s">
        <v>26</v>
      </c>
      <c r="AC2719" t="s">
        <v>27</v>
      </c>
      <c r="AD2719" t="s">
        <v>42</v>
      </c>
      <c r="AE2719" t="s">
        <v>25</v>
      </c>
      <c r="AF27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0.08</v>
      </c>
      <c r="AG2719" t="s">
        <v>942</v>
      </c>
      <c r="AH2719">
        <v>70.5</v>
      </c>
      <c r="AI2719" t="s">
        <v>939</v>
      </c>
      <c r="AJ2719">
        <v>1</v>
      </c>
      <c r="AK27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MIN(AJ2719/8, 1) +
  Merge1[[#This Row],[index_defensive_effort]],
  2
)</f>
        <v>0.61</v>
      </c>
    </row>
    <row r="2720" spans="1:37" x14ac:dyDescent="0.25">
      <c r="A2720" t="s">
        <v>723</v>
      </c>
      <c r="B2720" t="s">
        <v>724</v>
      </c>
      <c r="C2720">
        <v>28</v>
      </c>
      <c r="D2720" t="s">
        <v>56</v>
      </c>
      <c r="E2720">
        <v>74</v>
      </c>
      <c r="F2720">
        <v>197</v>
      </c>
      <c r="G2720" t="s">
        <v>330</v>
      </c>
      <c r="H2720">
        <v>2020</v>
      </c>
      <c r="I2720" t="s">
        <v>33</v>
      </c>
      <c r="J2720">
        <v>1</v>
      </c>
      <c r="K2720">
        <v>4</v>
      </c>
      <c r="L2720">
        <v>1</v>
      </c>
      <c r="M2720">
        <v>0</v>
      </c>
      <c r="N2720">
        <v>1</v>
      </c>
      <c r="O2720">
        <v>0</v>
      </c>
      <c r="P2720">
        <v>1</v>
      </c>
      <c r="Q2720">
        <v>0</v>
      </c>
      <c r="R2720">
        <v>0</v>
      </c>
      <c r="S2720">
        <v>68</v>
      </c>
      <c r="T2720">
        <v>68</v>
      </c>
      <c r="U2720" s="5">
        <f>IF(Merge1[[#This Row],[team_defense_snaps]]=0, "", Merge1[[#This Row],[defense_snaps]] / Merge1[[#This Row],[team_defense_snaps]])</f>
        <v>0.85</v>
      </c>
      <c r="V2720">
        <v>80</v>
      </c>
      <c r="W2720">
        <v>0</v>
      </c>
      <c r="X2720" s="5" t="s">
        <v>29</v>
      </c>
      <c r="Y2720">
        <v>5</v>
      </c>
      <c r="Z2720">
        <v>0</v>
      </c>
      <c r="AA2720" t="s">
        <v>25</v>
      </c>
      <c r="AB2720" t="s">
        <v>26</v>
      </c>
      <c r="AC2720" t="s">
        <v>27</v>
      </c>
      <c r="AD2720" t="s">
        <v>42</v>
      </c>
      <c r="AE2720" t="s">
        <v>25</v>
      </c>
      <c r="AF27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9.5588235294117641E-2</v>
      </c>
      <c r="AG2720" t="s">
        <v>942</v>
      </c>
      <c r="AH2720">
        <v>59.5</v>
      </c>
      <c r="AI2720" t="s">
        <v>939</v>
      </c>
      <c r="AJ2720">
        <v>1</v>
      </c>
      <c r="AK27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MIN(AJ2720/8, 1) +
  Merge1[[#This Row],[index_defensive_effort]],
  2
)</f>
        <v>0.72</v>
      </c>
    </row>
    <row r="2721" spans="1:37" x14ac:dyDescent="0.25">
      <c r="A2721" t="s">
        <v>723</v>
      </c>
      <c r="B2721" t="s">
        <v>724</v>
      </c>
      <c r="C2721">
        <v>28</v>
      </c>
      <c r="D2721" t="s">
        <v>56</v>
      </c>
      <c r="E2721">
        <v>74</v>
      </c>
      <c r="F2721">
        <v>197</v>
      </c>
      <c r="G2721" t="s">
        <v>330</v>
      </c>
      <c r="H2721">
        <v>2020</v>
      </c>
      <c r="I2721" t="s">
        <v>33</v>
      </c>
      <c r="J2721">
        <v>2</v>
      </c>
      <c r="K2721">
        <v>8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2</v>
      </c>
      <c r="R2721">
        <v>0</v>
      </c>
      <c r="S2721">
        <v>55</v>
      </c>
      <c r="T2721">
        <v>54</v>
      </c>
      <c r="U2721" s="5">
        <f>IF(Merge1[[#This Row],[team_defense_snaps]]=0, "", Merge1[[#This Row],[defense_snaps]] / Merge1[[#This Row],[team_defense_snaps]])</f>
        <v>0.75</v>
      </c>
      <c r="V2721">
        <v>72</v>
      </c>
      <c r="W2721">
        <v>1</v>
      </c>
      <c r="X2721" s="5" t="s">
        <v>193</v>
      </c>
      <c r="Y2721">
        <v>5</v>
      </c>
      <c r="Z2721">
        <v>0</v>
      </c>
      <c r="AA2721" t="s">
        <v>25</v>
      </c>
      <c r="AB2721" t="s">
        <v>26</v>
      </c>
      <c r="AC2721" t="s">
        <v>27</v>
      </c>
      <c r="AD2721" t="s">
        <v>42</v>
      </c>
      <c r="AE2721" t="s">
        <v>25</v>
      </c>
      <c r="AF27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0.29090909090909089</v>
      </c>
      <c r="AG2721" t="s">
        <v>942</v>
      </c>
      <c r="AH2721">
        <v>68.5</v>
      </c>
      <c r="AI2721" t="s">
        <v>939</v>
      </c>
      <c r="AJ2721">
        <v>2</v>
      </c>
      <c r="AK27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MIN(AJ2721/8, 1) +
  Merge1[[#This Row],[index_defensive_effort]],
  2
)</f>
        <v>1.04</v>
      </c>
    </row>
    <row r="2722" spans="1:37" x14ac:dyDescent="0.25">
      <c r="A2722" t="s">
        <v>723</v>
      </c>
      <c r="B2722" t="s">
        <v>724</v>
      </c>
      <c r="C2722">
        <v>28</v>
      </c>
      <c r="D2722" t="s">
        <v>56</v>
      </c>
      <c r="E2722">
        <v>74</v>
      </c>
      <c r="F2722">
        <v>197</v>
      </c>
      <c r="G2722" t="s">
        <v>330</v>
      </c>
      <c r="H2722">
        <v>2020</v>
      </c>
      <c r="I2722" t="s">
        <v>33</v>
      </c>
      <c r="J2722">
        <v>5</v>
      </c>
      <c r="K2722">
        <v>3</v>
      </c>
      <c r="L2722">
        <v>1</v>
      </c>
      <c r="M2722">
        <v>0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70</v>
      </c>
      <c r="T2722">
        <v>69</v>
      </c>
      <c r="U2722" s="5">
        <f>IF(Merge1[[#This Row],[team_defense_snaps]]=0, "", Merge1[[#This Row],[defense_snaps]] / Merge1[[#This Row],[team_defense_snaps]])</f>
        <v>0.78409090909090906</v>
      </c>
      <c r="V2722">
        <v>88</v>
      </c>
      <c r="W2722">
        <v>1</v>
      </c>
      <c r="X2722" s="5" t="s">
        <v>193</v>
      </c>
      <c r="Y2722">
        <v>5</v>
      </c>
      <c r="Z2722">
        <v>0</v>
      </c>
      <c r="AA2722" t="s">
        <v>25</v>
      </c>
      <c r="AB2722" t="s">
        <v>36</v>
      </c>
      <c r="AC2722" t="s">
        <v>247</v>
      </c>
      <c r="AD2722" t="s">
        <v>42</v>
      </c>
      <c r="AE2722" t="s">
        <v>25</v>
      </c>
      <c r="AF27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2722" t="s">
        <v>942</v>
      </c>
      <c r="AH2722">
        <v>70</v>
      </c>
      <c r="AI2722" t="s">
        <v>939</v>
      </c>
      <c r="AJ2722">
        <v>1</v>
      </c>
      <c r="AK27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MIN(AJ2722/8, 1) +
  Merge1[[#This Row],[index_defensive_effort]],
  2
)</f>
        <v>0.68</v>
      </c>
    </row>
    <row r="2723" spans="1:37" x14ac:dyDescent="0.25">
      <c r="A2723" t="s">
        <v>723</v>
      </c>
      <c r="B2723" t="s">
        <v>724</v>
      </c>
      <c r="C2723">
        <v>28</v>
      </c>
      <c r="D2723" t="s">
        <v>56</v>
      </c>
      <c r="E2723">
        <v>74</v>
      </c>
      <c r="F2723">
        <v>197</v>
      </c>
      <c r="G2723" t="s">
        <v>330</v>
      </c>
      <c r="H2723">
        <v>2020</v>
      </c>
      <c r="I2723" t="s">
        <v>33</v>
      </c>
      <c r="J2723">
        <v>7</v>
      </c>
      <c r="K2723">
        <v>7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91</v>
      </c>
      <c r="T2723">
        <v>84</v>
      </c>
      <c r="U2723" s="5">
        <f>IF(Merge1[[#This Row],[team_defense_snaps]]=0, "", Merge1[[#This Row],[defense_snaps]] / Merge1[[#This Row],[team_defense_snaps]])</f>
        <v>1</v>
      </c>
      <c r="V2723">
        <v>84</v>
      </c>
      <c r="W2723">
        <v>7</v>
      </c>
      <c r="X2723" s="5" t="s">
        <v>293</v>
      </c>
      <c r="Y2723">
        <v>5</v>
      </c>
      <c r="Z2723">
        <v>0</v>
      </c>
      <c r="AA2723" t="s">
        <v>25</v>
      </c>
      <c r="AB2723" t="s">
        <v>26</v>
      </c>
      <c r="AC2723" t="s">
        <v>27</v>
      </c>
      <c r="AD2723" t="s">
        <v>42</v>
      </c>
      <c r="AE2723" t="s">
        <v>25</v>
      </c>
      <c r="AF27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7.6923076923076927E-2</v>
      </c>
      <c r="AG2723" t="s">
        <v>942</v>
      </c>
      <c r="AH2723">
        <v>64</v>
      </c>
      <c r="AI2723" t="s">
        <v>939</v>
      </c>
      <c r="AJ2723">
        <v>1</v>
      </c>
      <c r="AK27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MIN(AJ2723/8, 1) +
  Merge1[[#This Row],[index_defensive_effort]],
  2
)</f>
        <v>0.7</v>
      </c>
    </row>
    <row r="2724" spans="1:37" x14ac:dyDescent="0.25">
      <c r="A2724" t="s">
        <v>723</v>
      </c>
      <c r="B2724" t="s">
        <v>724</v>
      </c>
      <c r="C2724">
        <v>28</v>
      </c>
      <c r="D2724" t="s">
        <v>56</v>
      </c>
      <c r="E2724">
        <v>74</v>
      </c>
      <c r="F2724">
        <v>197</v>
      </c>
      <c r="G2724" t="s">
        <v>330</v>
      </c>
      <c r="H2724">
        <v>2020</v>
      </c>
      <c r="I2724" t="s">
        <v>33</v>
      </c>
      <c r="J2724">
        <v>8</v>
      </c>
      <c r="K2724">
        <v>4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72</v>
      </c>
      <c r="T2724">
        <v>68</v>
      </c>
      <c r="U2724" s="5">
        <f>IF(Merge1[[#This Row],[team_defense_snaps]]=0, "", Merge1[[#This Row],[defense_snaps]] / Merge1[[#This Row],[team_defense_snaps]])</f>
        <v>0.95774647887323938</v>
      </c>
      <c r="V2724">
        <v>71</v>
      </c>
      <c r="W2724">
        <v>4</v>
      </c>
      <c r="X2724" s="5" t="s">
        <v>212</v>
      </c>
      <c r="Y2724">
        <v>5</v>
      </c>
      <c r="Z2724">
        <v>0</v>
      </c>
      <c r="AA2724" t="s">
        <v>25</v>
      </c>
      <c r="AB2724" t="s">
        <v>26</v>
      </c>
      <c r="AC2724" t="s">
        <v>27</v>
      </c>
      <c r="AD2724" t="s">
        <v>42</v>
      </c>
      <c r="AE2724" t="s">
        <v>25</v>
      </c>
      <c r="AF27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2724" t="s">
        <v>942</v>
      </c>
      <c r="AH2724">
        <v>58</v>
      </c>
      <c r="AI2724" t="s">
        <v>939</v>
      </c>
      <c r="AJ2724">
        <v>2</v>
      </c>
      <c r="AK27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MIN(AJ2724/8, 1) +
  Merge1[[#This Row],[index_defensive_effort]],
  2
)</f>
        <v>0.81</v>
      </c>
    </row>
    <row r="2725" spans="1:37" x14ac:dyDescent="0.25">
      <c r="A2725" t="s">
        <v>723</v>
      </c>
      <c r="B2725" t="s">
        <v>724</v>
      </c>
      <c r="C2725">
        <v>28</v>
      </c>
      <c r="D2725" t="s">
        <v>56</v>
      </c>
      <c r="E2725">
        <v>74</v>
      </c>
      <c r="F2725">
        <v>197</v>
      </c>
      <c r="G2725" t="s">
        <v>330</v>
      </c>
      <c r="H2725">
        <v>2020</v>
      </c>
      <c r="I2725" t="s">
        <v>33</v>
      </c>
      <c r="J2725">
        <v>9</v>
      </c>
      <c r="K2725">
        <v>6</v>
      </c>
      <c r="L2725">
        <v>0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58</v>
      </c>
      <c r="T2725">
        <v>54</v>
      </c>
      <c r="U2725" s="5">
        <f>IF(Merge1[[#This Row],[team_defense_snaps]]=0, "", Merge1[[#This Row],[defense_snaps]] / Merge1[[#This Row],[team_defense_snaps]])</f>
        <v>0.72</v>
      </c>
      <c r="V2725">
        <v>75</v>
      </c>
      <c r="W2725">
        <v>4</v>
      </c>
      <c r="X2725" s="5" t="s">
        <v>251</v>
      </c>
      <c r="Y2725">
        <v>5</v>
      </c>
      <c r="Z2725">
        <v>0</v>
      </c>
      <c r="AA2725" t="s">
        <v>25</v>
      </c>
      <c r="AB2725" t="s">
        <v>26</v>
      </c>
      <c r="AC2725" t="s">
        <v>27</v>
      </c>
      <c r="AD2725" t="s">
        <v>42</v>
      </c>
      <c r="AE2725" t="s">
        <v>25</v>
      </c>
      <c r="AF27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0.13793103448275862</v>
      </c>
      <c r="AG2725" t="s">
        <v>942</v>
      </c>
      <c r="AH2725">
        <v>61</v>
      </c>
      <c r="AI2725" t="s">
        <v>939</v>
      </c>
      <c r="AJ2725">
        <v>3</v>
      </c>
      <c r="AK27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MIN(AJ2725/8, 1) +
  Merge1[[#This Row],[index_defensive_effort]],
  2
)</f>
        <v>1.01</v>
      </c>
    </row>
    <row r="2726" spans="1:37" x14ac:dyDescent="0.25">
      <c r="A2726" t="s">
        <v>733</v>
      </c>
      <c r="B2726" t="s">
        <v>734</v>
      </c>
      <c r="C2726">
        <v>23</v>
      </c>
      <c r="D2726" t="s">
        <v>56</v>
      </c>
      <c r="E2726">
        <v>71</v>
      </c>
      <c r="F2726">
        <v>193</v>
      </c>
      <c r="G2726" t="s">
        <v>86</v>
      </c>
      <c r="H2726">
        <v>2020</v>
      </c>
      <c r="I2726" t="s">
        <v>33</v>
      </c>
      <c r="J2726">
        <v>1</v>
      </c>
      <c r="K2726">
        <v>2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42</v>
      </c>
      <c r="T2726">
        <v>32</v>
      </c>
      <c r="U2726" s="5">
        <f>IF(Merge1[[#This Row],[team_defense_snaps]]=0, "", Merge1[[#This Row],[defense_snaps]] / Merge1[[#This Row],[team_defense_snaps]])</f>
        <v>0.5423728813559322</v>
      </c>
      <c r="V2726">
        <v>59</v>
      </c>
      <c r="W2726">
        <v>10</v>
      </c>
      <c r="X2726" s="5" t="s">
        <v>221</v>
      </c>
      <c r="Y2726">
        <v>1</v>
      </c>
      <c r="Z2726">
        <v>0</v>
      </c>
      <c r="AA2726" t="s">
        <v>25</v>
      </c>
      <c r="AB2726" t="s">
        <v>26</v>
      </c>
      <c r="AC2726" t="s">
        <v>27</v>
      </c>
      <c r="AD2726" t="s">
        <v>28</v>
      </c>
      <c r="AE2726" t="s">
        <v>25</v>
      </c>
      <c r="AF27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4.7619047619047616E-2</v>
      </c>
      <c r="AG2726" t="s">
        <v>941</v>
      </c>
      <c r="AH2726">
        <v>80</v>
      </c>
      <c r="AI2726" t="s">
        <v>939</v>
      </c>
      <c r="AJ2726">
        <v>1</v>
      </c>
      <c r="AK27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MIN(AJ2726/8, 1) +
  Merge1[[#This Row],[index_defensive_effort]],
  2
)</f>
        <v>0.56999999999999995</v>
      </c>
    </row>
    <row r="2727" spans="1:37" x14ac:dyDescent="0.25">
      <c r="A2727" t="s">
        <v>733</v>
      </c>
      <c r="B2727" t="s">
        <v>734</v>
      </c>
      <c r="C2727">
        <v>23</v>
      </c>
      <c r="D2727" t="s">
        <v>56</v>
      </c>
      <c r="E2727">
        <v>71</v>
      </c>
      <c r="F2727">
        <v>193</v>
      </c>
      <c r="G2727" t="s">
        <v>86</v>
      </c>
      <c r="H2727">
        <v>2020</v>
      </c>
      <c r="I2727" t="s">
        <v>33</v>
      </c>
      <c r="J2727">
        <v>2</v>
      </c>
      <c r="K2727">
        <v>2</v>
      </c>
      <c r="L2727">
        <v>1</v>
      </c>
      <c r="M2727">
        <v>0</v>
      </c>
      <c r="N2727">
        <v>1</v>
      </c>
      <c r="O2727">
        <v>0</v>
      </c>
      <c r="P2727">
        <v>1</v>
      </c>
      <c r="Q2727">
        <v>0</v>
      </c>
      <c r="R2727">
        <v>0</v>
      </c>
      <c r="S2727">
        <v>82</v>
      </c>
      <c r="T2727">
        <v>82</v>
      </c>
      <c r="U2727" s="5">
        <f>IF(Merge1[[#This Row],[team_defense_snaps]]=0, "", Merge1[[#This Row],[defense_snaps]] / Merge1[[#This Row],[team_defense_snaps]])</f>
        <v>0.97619047619047616</v>
      </c>
      <c r="V2727">
        <v>84</v>
      </c>
      <c r="W2727">
        <v>0</v>
      </c>
      <c r="X2727" s="5" t="s">
        <v>29</v>
      </c>
      <c r="Y2727">
        <v>1</v>
      </c>
      <c r="Z2727">
        <v>0</v>
      </c>
      <c r="AA2727" t="s">
        <v>25</v>
      </c>
      <c r="AB2727" t="s">
        <v>26</v>
      </c>
      <c r="AC2727" t="s">
        <v>27</v>
      </c>
      <c r="AD2727" t="s">
        <v>42</v>
      </c>
      <c r="AE2727" t="s">
        <v>25</v>
      </c>
      <c r="AF27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5.4878048780487805E-2</v>
      </c>
      <c r="AG2727" t="s">
        <v>941</v>
      </c>
      <c r="AH2727">
        <v>60.5</v>
      </c>
      <c r="AI2727" t="s">
        <v>939</v>
      </c>
      <c r="AJ2727">
        <v>2</v>
      </c>
      <c r="AK27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MIN(AJ2727/8, 1) +
  Merge1[[#This Row],[index_defensive_effort]],
  2
)</f>
        <v>0.7</v>
      </c>
    </row>
    <row r="2728" spans="1:37" x14ac:dyDescent="0.25">
      <c r="A2728" t="s">
        <v>733</v>
      </c>
      <c r="B2728" t="s">
        <v>734</v>
      </c>
      <c r="C2728">
        <v>23</v>
      </c>
      <c r="D2728" t="s">
        <v>56</v>
      </c>
      <c r="E2728">
        <v>71</v>
      </c>
      <c r="F2728">
        <v>193</v>
      </c>
      <c r="G2728" t="s">
        <v>86</v>
      </c>
      <c r="H2728">
        <v>2020</v>
      </c>
      <c r="I2728" t="s">
        <v>33</v>
      </c>
      <c r="J2728">
        <v>3</v>
      </c>
      <c r="K2728">
        <v>3</v>
      </c>
      <c r="L2728">
        <v>1</v>
      </c>
      <c r="M2728">
        <v>0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54</v>
      </c>
      <c r="T2728">
        <v>54</v>
      </c>
      <c r="U2728" s="5">
        <f>IF(Merge1[[#This Row],[team_defense_snaps]]=0, "", Merge1[[#This Row],[defense_snaps]] / Merge1[[#This Row],[team_defense_snaps]])</f>
        <v>0.9642857142857143</v>
      </c>
      <c r="V2728">
        <v>56</v>
      </c>
      <c r="W2728">
        <v>0</v>
      </c>
      <c r="X2728" s="5" t="s">
        <v>29</v>
      </c>
      <c r="Y2728">
        <v>1</v>
      </c>
      <c r="Z2728">
        <v>0</v>
      </c>
      <c r="AA2728" t="s">
        <v>25</v>
      </c>
      <c r="AB2728" t="s">
        <v>26</v>
      </c>
      <c r="AC2728" t="s">
        <v>27</v>
      </c>
      <c r="AD2728" t="s">
        <v>42</v>
      </c>
      <c r="AE2728" t="s">
        <v>25</v>
      </c>
      <c r="AF27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6.4814814814814811E-2</v>
      </c>
      <c r="AG2728" t="s">
        <v>941</v>
      </c>
      <c r="AH2728">
        <v>63.5</v>
      </c>
      <c r="AI2728" t="s">
        <v>939</v>
      </c>
      <c r="AJ2728">
        <v>3</v>
      </c>
      <c r="AK27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MIN(AJ2728/8, 1) +
  Merge1[[#This Row],[index_defensive_effort]],
  2
)</f>
        <v>0.84</v>
      </c>
    </row>
    <row r="2729" spans="1:37" x14ac:dyDescent="0.25">
      <c r="A2729" t="s">
        <v>733</v>
      </c>
      <c r="B2729" t="s">
        <v>734</v>
      </c>
      <c r="C2729">
        <v>23</v>
      </c>
      <c r="D2729" t="s">
        <v>56</v>
      </c>
      <c r="E2729">
        <v>71</v>
      </c>
      <c r="F2729">
        <v>193</v>
      </c>
      <c r="G2729" t="s">
        <v>86</v>
      </c>
      <c r="H2729">
        <v>2020</v>
      </c>
      <c r="I2729" t="s">
        <v>33</v>
      </c>
      <c r="J2729">
        <v>4</v>
      </c>
      <c r="K2729">
        <v>6</v>
      </c>
      <c r="L2729">
        <v>0</v>
      </c>
      <c r="M2729">
        <v>0</v>
      </c>
      <c r="N2729">
        <v>0</v>
      </c>
      <c r="O2729">
        <v>0</v>
      </c>
      <c r="P2729">
        <v>2</v>
      </c>
      <c r="Q2729">
        <v>2</v>
      </c>
      <c r="R2729">
        <v>0</v>
      </c>
      <c r="S2729">
        <v>75</v>
      </c>
      <c r="T2729">
        <v>75</v>
      </c>
      <c r="U2729" s="5">
        <f>IF(Merge1[[#This Row],[team_defense_snaps]]=0, "", Merge1[[#This Row],[defense_snaps]] / Merge1[[#This Row],[team_defense_snaps]])</f>
        <v>0.98684210526315785</v>
      </c>
      <c r="V2729">
        <v>76</v>
      </c>
      <c r="W2729">
        <v>0</v>
      </c>
      <c r="X2729" s="5" t="s">
        <v>29</v>
      </c>
      <c r="Y2729">
        <v>1</v>
      </c>
      <c r="Z2729">
        <v>0</v>
      </c>
      <c r="AA2729" t="s">
        <v>25</v>
      </c>
      <c r="AB2729" t="s">
        <v>26</v>
      </c>
      <c r="AC2729" t="s">
        <v>27</v>
      </c>
      <c r="AD2729" t="s">
        <v>42</v>
      </c>
      <c r="AE2729" t="s">
        <v>25</v>
      </c>
      <c r="AF27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0.24</v>
      </c>
      <c r="AG2729" t="s">
        <v>941</v>
      </c>
      <c r="AH2729">
        <v>71</v>
      </c>
      <c r="AI2729" t="s">
        <v>939</v>
      </c>
      <c r="AJ2729">
        <v>4</v>
      </c>
      <c r="AK27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MIN(AJ2729/8, 1) +
  Merge1[[#This Row],[index_defensive_effort]],
  2
)</f>
        <v>1.1399999999999999</v>
      </c>
    </row>
    <row r="2730" spans="1:37" x14ac:dyDescent="0.25">
      <c r="A2730" t="s">
        <v>733</v>
      </c>
      <c r="B2730" t="s">
        <v>734</v>
      </c>
      <c r="C2730">
        <v>23</v>
      </c>
      <c r="D2730" t="s">
        <v>56</v>
      </c>
      <c r="E2730">
        <v>71</v>
      </c>
      <c r="F2730">
        <v>193</v>
      </c>
      <c r="G2730" t="s">
        <v>86</v>
      </c>
      <c r="H2730">
        <v>2020</v>
      </c>
      <c r="I2730" t="s">
        <v>33</v>
      </c>
      <c r="J2730">
        <v>5</v>
      </c>
      <c r="K2730">
        <v>2</v>
      </c>
      <c r="L2730">
        <v>1</v>
      </c>
      <c r="M2730">
        <v>0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41</v>
      </c>
      <c r="T2730">
        <v>35</v>
      </c>
      <c r="U2730" s="5">
        <f>IF(Merge1[[#This Row],[team_defense_snaps]]=0, "", Merge1[[#This Row],[defense_snaps]] / Merge1[[#This Row],[team_defense_snaps]])</f>
        <v>0.5</v>
      </c>
      <c r="V2730">
        <v>70</v>
      </c>
      <c r="W2730">
        <v>6</v>
      </c>
      <c r="X2730" s="5" t="s">
        <v>59</v>
      </c>
      <c r="Y2730">
        <v>1</v>
      </c>
      <c r="Z2730">
        <v>0</v>
      </c>
      <c r="AA2730" t="s">
        <v>25</v>
      </c>
      <c r="AB2730" t="s">
        <v>26</v>
      </c>
      <c r="AC2730" t="s">
        <v>27</v>
      </c>
      <c r="AD2730" t="s">
        <v>28</v>
      </c>
      <c r="AE2730" t="s">
        <v>25</v>
      </c>
      <c r="AF27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6.097560975609756E-2</v>
      </c>
      <c r="AG2730" t="s">
        <v>941</v>
      </c>
      <c r="AH2730">
        <v>78.5</v>
      </c>
      <c r="AI2730" t="s">
        <v>939</v>
      </c>
      <c r="AJ2730">
        <v>5</v>
      </c>
      <c r="AK27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MIN(AJ2730/8, 1) +
  Merge1[[#This Row],[index_defensive_effort]],
  2
)</f>
        <v>1.0900000000000001</v>
      </c>
    </row>
    <row r="2731" spans="1:37" x14ac:dyDescent="0.25">
      <c r="A2731" t="s">
        <v>733</v>
      </c>
      <c r="B2731" t="s">
        <v>734</v>
      </c>
      <c r="C2731">
        <v>23</v>
      </c>
      <c r="D2731" t="s">
        <v>56</v>
      </c>
      <c r="E2731">
        <v>71</v>
      </c>
      <c r="F2731">
        <v>193</v>
      </c>
      <c r="G2731" t="s">
        <v>86</v>
      </c>
      <c r="H2731">
        <v>2020</v>
      </c>
      <c r="I2731" t="s">
        <v>33</v>
      </c>
      <c r="J2731">
        <v>6</v>
      </c>
      <c r="K2731">
        <v>1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32</v>
      </c>
      <c r="T2731">
        <v>30</v>
      </c>
      <c r="U2731" s="5">
        <f>IF(Merge1[[#This Row],[team_defense_snaps]]=0, "", Merge1[[#This Row],[defense_snaps]] / Merge1[[#This Row],[team_defense_snaps]])</f>
        <v>0.56603773584905659</v>
      </c>
      <c r="V2731">
        <v>53</v>
      </c>
      <c r="W2731">
        <v>2</v>
      </c>
      <c r="X2731" s="5" t="s">
        <v>167</v>
      </c>
      <c r="Y2731">
        <v>1</v>
      </c>
      <c r="Z2731">
        <v>0</v>
      </c>
      <c r="AA2731" t="s">
        <v>25</v>
      </c>
      <c r="AB2731" t="s">
        <v>26</v>
      </c>
      <c r="AC2731" t="s">
        <v>27</v>
      </c>
      <c r="AD2731" t="s">
        <v>28</v>
      </c>
      <c r="AE2731" t="s">
        <v>25</v>
      </c>
      <c r="AF27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3.125E-2</v>
      </c>
      <c r="AG2731" t="s">
        <v>941</v>
      </c>
      <c r="AH2731">
        <v>77</v>
      </c>
      <c r="AI2731" t="s">
        <v>939</v>
      </c>
      <c r="AJ2731">
        <v>6</v>
      </c>
      <c r="AK27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MIN(AJ2731/8, 1) +
  Merge1[[#This Row],[index_defensive_effort]],
  2
)</f>
        <v>1.18</v>
      </c>
    </row>
    <row r="2732" spans="1:37" x14ac:dyDescent="0.25">
      <c r="A2732" t="s">
        <v>733</v>
      </c>
      <c r="B2732" t="s">
        <v>734</v>
      </c>
      <c r="C2732">
        <v>23</v>
      </c>
      <c r="D2732" t="s">
        <v>56</v>
      </c>
      <c r="E2732">
        <v>71</v>
      </c>
      <c r="F2732">
        <v>193</v>
      </c>
      <c r="G2732" t="s">
        <v>86</v>
      </c>
      <c r="H2732">
        <v>2020</v>
      </c>
      <c r="I2732" t="s">
        <v>33</v>
      </c>
      <c r="J2732">
        <v>7</v>
      </c>
      <c r="K2732">
        <v>2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40</v>
      </c>
      <c r="T2732">
        <v>31</v>
      </c>
      <c r="U2732" s="5">
        <f>IF(Merge1[[#This Row],[team_defense_snaps]]=0, "", Merge1[[#This Row],[defense_snaps]] / Merge1[[#This Row],[team_defense_snaps]])</f>
        <v>0.38750000000000001</v>
      </c>
      <c r="V2732">
        <v>80</v>
      </c>
      <c r="W2732">
        <v>9</v>
      </c>
      <c r="X2732" s="5" t="s">
        <v>138</v>
      </c>
      <c r="Y2732">
        <v>1</v>
      </c>
      <c r="Z2732">
        <v>0</v>
      </c>
      <c r="AA2732" t="s">
        <v>25</v>
      </c>
      <c r="AB2732" t="s">
        <v>26</v>
      </c>
      <c r="AC2732" t="s">
        <v>27</v>
      </c>
      <c r="AD2732" t="s">
        <v>28</v>
      </c>
      <c r="AE2732" t="s">
        <v>25</v>
      </c>
      <c r="AF27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2732" t="s">
        <v>941</v>
      </c>
      <c r="AH2732">
        <v>74</v>
      </c>
      <c r="AI2732" t="s">
        <v>939</v>
      </c>
      <c r="AJ2732">
        <v>7</v>
      </c>
      <c r="AK27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MIN(AJ2732/8, 1) +
  Merge1[[#This Row],[index_defensive_effort]],
  2
)</f>
        <v>1.33</v>
      </c>
    </row>
    <row r="2733" spans="1:37" x14ac:dyDescent="0.25">
      <c r="A2733" t="s">
        <v>733</v>
      </c>
      <c r="B2733" t="s">
        <v>734</v>
      </c>
      <c r="C2733">
        <v>23</v>
      </c>
      <c r="D2733" t="s">
        <v>56</v>
      </c>
      <c r="E2733">
        <v>71</v>
      </c>
      <c r="F2733">
        <v>193</v>
      </c>
      <c r="G2733" t="s">
        <v>86</v>
      </c>
      <c r="H2733">
        <v>2020</v>
      </c>
      <c r="I2733" t="s">
        <v>33</v>
      </c>
      <c r="J2733">
        <v>8</v>
      </c>
      <c r="K2733">
        <v>1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29</v>
      </c>
      <c r="T2733">
        <v>23</v>
      </c>
      <c r="U2733" s="5">
        <f>IF(Merge1[[#This Row],[team_defense_snaps]]=0, "", Merge1[[#This Row],[defense_snaps]] / Merge1[[#This Row],[team_defense_snaps]])</f>
        <v>0.38333333333333336</v>
      </c>
      <c r="V2733">
        <v>60</v>
      </c>
      <c r="W2733">
        <v>6</v>
      </c>
      <c r="X2733" s="5" t="s">
        <v>293</v>
      </c>
      <c r="Y2733">
        <v>1</v>
      </c>
      <c r="Z2733">
        <v>0</v>
      </c>
      <c r="AA2733" t="s">
        <v>25</v>
      </c>
      <c r="AB2733" t="s">
        <v>26</v>
      </c>
      <c r="AC2733" t="s">
        <v>27</v>
      </c>
      <c r="AD2733" t="s">
        <v>28</v>
      </c>
      <c r="AE2733" t="s">
        <v>25</v>
      </c>
      <c r="AF27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3.4482758620689655E-2</v>
      </c>
      <c r="AG2733" t="s">
        <v>941</v>
      </c>
      <c r="AH2733">
        <v>56</v>
      </c>
      <c r="AI2733" t="s">
        <v>939</v>
      </c>
      <c r="AJ2733">
        <v>8</v>
      </c>
      <c r="AK27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MIN(AJ2733/8, 1) +
  Merge1[[#This Row],[index_defensive_effort]],
  2
)</f>
        <v>1.43</v>
      </c>
    </row>
    <row r="2734" spans="1:37" x14ac:dyDescent="0.25">
      <c r="A2734" t="s">
        <v>733</v>
      </c>
      <c r="B2734" t="s">
        <v>734</v>
      </c>
      <c r="C2734">
        <v>23</v>
      </c>
      <c r="D2734" t="s">
        <v>56</v>
      </c>
      <c r="E2734">
        <v>71</v>
      </c>
      <c r="F2734">
        <v>193</v>
      </c>
      <c r="G2734" t="s">
        <v>86</v>
      </c>
      <c r="H2734">
        <v>2020</v>
      </c>
      <c r="I2734" t="s">
        <v>33</v>
      </c>
      <c r="J2734">
        <v>9</v>
      </c>
      <c r="K2734">
        <v>2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49</v>
      </c>
      <c r="T2734">
        <v>32</v>
      </c>
      <c r="U2734" s="5">
        <f>IF(Merge1[[#This Row],[team_defense_snaps]]=0, "", Merge1[[#This Row],[defense_snaps]] / Merge1[[#This Row],[team_defense_snaps]])</f>
        <v>0.38554216867469882</v>
      </c>
      <c r="V2734">
        <v>83</v>
      </c>
      <c r="W2734">
        <v>17</v>
      </c>
      <c r="X2734" s="5" t="s">
        <v>182</v>
      </c>
      <c r="Y2734">
        <v>1</v>
      </c>
      <c r="Z2734">
        <v>0</v>
      </c>
      <c r="AA2734" t="s">
        <v>25</v>
      </c>
      <c r="AB2734" t="s">
        <v>26</v>
      </c>
      <c r="AC2734" t="s">
        <v>27</v>
      </c>
      <c r="AD2734" t="s">
        <v>28</v>
      </c>
      <c r="AE2734" t="s">
        <v>25</v>
      </c>
      <c r="AF27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4.0816326530612242E-2</v>
      </c>
      <c r="AG2734" t="s">
        <v>941</v>
      </c>
      <c r="AH2734">
        <v>65</v>
      </c>
      <c r="AI2734" t="s">
        <v>939</v>
      </c>
      <c r="AJ2734">
        <v>9</v>
      </c>
      <c r="AK27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MIN(AJ2734/8, 1) +
  Merge1[[#This Row],[index_defensive_effort]],
  2
)</f>
        <v>1.44</v>
      </c>
    </row>
    <row r="2735" spans="1:37" x14ac:dyDescent="0.25">
      <c r="A2735" t="s">
        <v>733</v>
      </c>
      <c r="B2735" t="s">
        <v>734</v>
      </c>
      <c r="C2735">
        <v>23</v>
      </c>
      <c r="D2735" t="s">
        <v>56</v>
      </c>
      <c r="E2735">
        <v>71</v>
      </c>
      <c r="F2735">
        <v>193</v>
      </c>
      <c r="G2735" t="s">
        <v>86</v>
      </c>
      <c r="H2735">
        <v>2020</v>
      </c>
      <c r="I2735" t="s">
        <v>33</v>
      </c>
      <c r="J2735">
        <v>11</v>
      </c>
      <c r="K2735">
        <v>1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25</v>
      </c>
      <c r="T2735">
        <v>11</v>
      </c>
      <c r="U2735" s="5">
        <f>IF(Merge1[[#This Row],[team_defense_snaps]]=0, "", Merge1[[#This Row],[defense_snaps]] / Merge1[[#This Row],[team_defense_snaps]])</f>
        <v>0.1864406779661017</v>
      </c>
      <c r="V2735">
        <v>59</v>
      </c>
      <c r="W2735">
        <v>14</v>
      </c>
      <c r="X2735" s="5" t="s">
        <v>112</v>
      </c>
      <c r="Y2735">
        <v>1</v>
      </c>
      <c r="Z2735">
        <v>0</v>
      </c>
      <c r="AA2735" t="s">
        <v>25</v>
      </c>
      <c r="AB2735" t="s">
        <v>26</v>
      </c>
      <c r="AC2735" t="s">
        <v>27</v>
      </c>
      <c r="AD2735" t="s">
        <v>28</v>
      </c>
      <c r="AE2735" t="s">
        <v>25</v>
      </c>
      <c r="AF27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0.04</v>
      </c>
      <c r="AG2735" t="s">
        <v>941</v>
      </c>
      <c r="AH2735">
        <v>59</v>
      </c>
      <c r="AI2735" t="s">
        <v>939</v>
      </c>
      <c r="AJ2735">
        <v>1</v>
      </c>
      <c r="AK27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MIN(AJ2735/8, 1) +
  Merge1[[#This Row],[index_defensive_effort]],
  2
)</f>
        <v>0.56999999999999995</v>
      </c>
    </row>
    <row r="2736" spans="1:37" x14ac:dyDescent="0.25">
      <c r="A2736" t="s">
        <v>733</v>
      </c>
      <c r="B2736" t="s">
        <v>734</v>
      </c>
      <c r="C2736">
        <v>23</v>
      </c>
      <c r="D2736" t="s">
        <v>56</v>
      </c>
      <c r="E2736">
        <v>71</v>
      </c>
      <c r="F2736">
        <v>193</v>
      </c>
      <c r="G2736" t="s">
        <v>86</v>
      </c>
      <c r="H2736">
        <v>2020</v>
      </c>
      <c r="I2736" t="s">
        <v>33</v>
      </c>
      <c r="J2736">
        <v>12</v>
      </c>
      <c r="K2736">
        <v>5</v>
      </c>
      <c r="L2736">
        <v>1</v>
      </c>
      <c r="M2736">
        <v>0</v>
      </c>
      <c r="N2736">
        <v>1</v>
      </c>
      <c r="O2736">
        <v>0</v>
      </c>
      <c r="P2736">
        <v>3</v>
      </c>
      <c r="Q2736">
        <v>0</v>
      </c>
      <c r="R2736">
        <v>0</v>
      </c>
      <c r="S2736">
        <v>36</v>
      </c>
      <c r="T2736">
        <v>26</v>
      </c>
      <c r="U2736" s="5">
        <f>IF(Merge1[[#This Row],[team_defense_snaps]]=0, "", Merge1[[#This Row],[defense_snaps]] / Merge1[[#This Row],[team_defense_snaps]])</f>
        <v>0.44067796610169491</v>
      </c>
      <c r="V2736">
        <v>59</v>
      </c>
      <c r="W2736">
        <v>10</v>
      </c>
      <c r="X2736" s="5" t="s">
        <v>334</v>
      </c>
      <c r="Y2736">
        <v>1</v>
      </c>
      <c r="Z2736">
        <v>0</v>
      </c>
      <c r="AA2736" t="s">
        <v>25</v>
      </c>
      <c r="AB2736" t="s">
        <v>26</v>
      </c>
      <c r="AC2736" t="s">
        <v>27</v>
      </c>
      <c r="AD2736" t="s">
        <v>28</v>
      </c>
      <c r="AE2736" t="s">
        <v>25</v>
      </c>
      <c r="AF27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0.31944444444444442</v>
      </c>
      <c r="AG2736" t="s">
        <v>941</v>
      </c>
      <c r="AH2736">
        <v>72.5</v>
      </c>
      <c r="AI2736" t="s">
        <v>939</v>
      </c>
      <c r="AJ2736">
        <v>2</v>
      </c>
      <c r="AK27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MIN(AJ2736/8, 1) +
  Merge1[[#This Row],[index_defensive_effort]],
  2
)</f>
        <v>0.97</v>
      </c>
    </row>
    <row r="2737" spans="1:37" x14ac:dyDescent="0.25">
      <c r="A2737" t="s">
        <v>733</v>
      </c>
      <c r="B2737" t="s">
        <v>734</v>
      </c>
      <c r="C2737">
        <v>23</v>
      </c>
      <c r="D2737" t="s">
        <v>56</v>
      </c>
      <c r="E2737">
        <v>71</v>
      </c>
      <c r="F2737">
        <v>193</v>
      </c>
      <c r="G2737" t="s">
        <v>86</v>
      </c>
      <c r="H2737">
        <v>2020</v>
      </c>
      <c r="I2737" t="s">
        <v>33</v>
      </c>
      <c r="J2737">
        <v>14</v>
      </c>
      <c r="K2737">
        <v>2</v>
      </c>
      <c r="L2737">
        <v>1</v>
      </c>
      <c r="M2737">
        <v>0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50</v>
      </c>
      <c r="T2737">
        <v>39</v>
      </c>
      <c r="U2737" s="5">
        <f>IF(Merge1[[#This Row],[team_defense_snaps]]=0, "", Merge1[[#This Row],[defense_snaps]] / Merge1[[#This Row],[team_defense_snaps]])</f>
        <v>0.46987951807228917</v>
      </c>
      <c r="V2737">
        <v>83</v>
      </c>
      <c r="W2737">
        <v>11</v>
      </c>
      <c r="X2737" s="5" t="s">
        <v>123</v>
      </c>
      <c r="Y2737">
        <v>1</v>
      </c>
      <c r="Z2737">
        <v>0</v>
      </c>
      <c r="AA2737" t="s">
        <v>25</v>
      </c>
      <c r="AB2737" t="s">
        <v>26</v>
      </c>
      <c r="AC2737" t="s">
        <v>27</v>
      </c>
      <c r="AD2737" t="s">
        <v>28</v>
      </c>
      <c r="AE2737" t="s">
        <v>25</v>
      </c>
      <c r="AF27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</v>
      </c>
      <c r="AG2737" t="s">
        <v>941</v>
      </c>
      <c r="AH2737">
        <v>69.5</v>
      </c>
      <c r="AI2737" t="s">
        <v>939</v>
      </c>
      <c r="AJ2737">
        <v>1</v>
      </c>
      <c r="AK27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MIN(AJ2737/8, 1) +
  Merge1[[#This Row],[index_defensive_effort]],
  2
)</f>
        <v>0.66</v>
      </c>
    </row>
    <row r="2738" spans="1:37" x14ac:dyDescent="0.25">
      <c r="A2738" t="s">
        <v>733</v>
      </c>
      <c r="B2738" t="s">
        <v>734</v>
      </c>
      <c r="C2738">
        <v>23</v>
      </c>
      <c r="D2738" t="s">
        <v>56</v>
      </c>
      <c r="E2738">
        <v>71</v>
      </c>
      <c r="F2738">
        <v>193</v>
      </c>
      <c r="G2738" t="s">
        <v>86</v>
      </c>
      <c r="H2738">
        <v>2020</v>
      </c>
      <c r="I2738" t="s">
        <v>33</v>
      </c>
      <c r="J2738">
        <v>15</v>
      </c>
      <c r="K2738">
        <v>1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20</v>
      </c>
      <c r="T2738">
        <v>3</v>
      </c>
      <c r="U2738" s="5">
        <f>IF(Merge1[[#This Row],[team_defense_snaps]]=0, "", Merge1[[#This Row],[defense_snaps]] / Merge1[[#This Row],[team_defense_snaps]])</f>
        <v>0.05</v>
      </c>
      <c r="V2738">
        <v>60</v>
      </c>
      <c r="W2738">
        <v>17</v>
      </c>
      <c r="X2738" s="5" t="s">
        <v>275</v>
      </c>
      <c r="Y2738">
        <v>1</v>
      </c>
      <c r="Z2738">
        <v>0</v>
      </c>
      <c r="AA2738" t="s">
        <v>25</v>
      </c>
      <c r="AB2738" t="s">
        <v>26</v>
      </c>
      <c r="AC2738" t="s">
        <v>27</v>
      </c>
      <c r="AD2738" t="s">
        <v>28</v>
      </c>
      <c r="AE2738" t="s">
        <v>25</v>
      </c>
      <c r="AF27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2738" t="s">
        <v>941</v>
      </c>
      <c r="AH2738">
        <v>60</v>
      </c>
      <c r="AI2738" t="s">
        <v>939</v>
      </c>
      <c r="AJ2738">
        <v>2</v>
      </c>
      <c r="AK27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MIN(AJ2738/8, 1) +
  Merge1[[#This Row],[index_defensive_effort]],
  2
)</f>
        <v>0.7</v>
      </c>
    </row>
    <row r="2739" spans="1:37" x14ac:dyDescent="0.25">
      <c r="A2739" t="s">
        <v>733</v>
      </c>
      <c r="B2739" t="s">
        <v>734</v>
      </c>
      <c r="C2739">
        <v>23</v>
      </c>
      <c r="D2739" t="s">
        <v>56</v>
      </c>
      <c r="E2739">
        <v>71</v>
      </c>
      <c r="F2739">
        <v>193</v>
      </c>
      <c r="G2739" t="s">
        <v>86</v>
      </c>
      <c r="H2739">
        <v>2020</v>
      </c>
      <c r="I2739" t="s">
        <v>33</v>
      </c>
      <c r="J2739">
        <v>17</v>
      </c>
      <c r="K2739">
        <v>1</v>
      </c>
      <c r="L2739">
        <v>2</v>
      </c>
      <c r="M2739">
        <v>0</v>
      </c>
      <c r="N2739">
        <v>2</v>
      </c>
      <c r="O2739">
        <v>0</v>
      </c>
      <c r="P2739">
        <v>0</v>
      </c>
      <c r="Q2739">
        <v>0</v>
      </c>
      <c r="R2739">
        <v>0</v>
      </c>
      <c r="S2739">
        <v>65</v>
      </c>
      <c r="T2739">
        <v>52</v>
      </c>
      <c r="U2739" s="5">
        <f>IF(Merge1[[#This Row],[team_defense_snaps]]=0, "", Merge1[[#This Row],[defense_snaps]] / Merge1[[#This Row],[team_defense_snaps]])</f>
        <v>0.72222222222222221</v>
      </c>
      <c r="V2739">
        <v>72</v>
      </c>
      <c r="W2739">
        <v>13</v>
      </c>
      <c r="X2739" s="5" t="s">
        <v>102</v>
      </c>
      <c r="Y2739">
        <v>1</v>
      </c>
      <c r="Z2739">
        <v>0</v>
      </c>
      <c r="AA2739" t="s">
        <v>25</v>
      </c>
      <c r="AB2739" t="s">
        <v>26</v>
      </c>
      <c r="AC2739" t="s">
        <v>27</v>
      </c>
      <c r="AD2739" t="s">
        <v>28</v>
      </c>
      <c r="AE2739" t="s">
        <v>25</v>
      </c>
      <c r="AF27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3.0769230769230771E-2</v>
      </c>
      <c r="AG2739" t="s">
        <v>941</v>
      </c>
      <c r="AH2739">
        <v>75.5</v>
      </c>
      <c r="AI2739" t="s">
        <v>939</v>
      </c>
      <c r="AJ2739">
        <v>1</v>
      </c>
      <c r="AK27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MIN(AJ2739/8, 1) +
  Merge1[[#This Row],[index_defensive_effort]],
  2
)</f>
        <v>0.56000000000000005</v>
      </c>
    </row>
    <row r="2740" spans="1:37" x14ac:dyDescent="0.25">
      <c r="A2740" t="s">
        <v>733</v>
      </c>
      <c r="B2740" t="s">
        <v>734</v>
      </c>
      <c r="C2740">
        <v>23</v>
      </c>
      <c r="D2740" t="s">
        <v>56</v>
      </c>
      <c r="E2740">
        <v>71</v>
      </c>
      <c r="F2740">
        <v>193</v>
      </c>
      <c r="G2740" t="s">
        <v>86</v>
      </c>
      <c r="H2740">
        <v>2020</v>
      </c>
      <c r="I2740" t="s">
        <v>24</v>
      </c>
      <c r="J2740">
        <v>20</v>
      </c>
      <c r="K2740">
        <v>3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2</v>
      </c>
      <c r="R2740">
        <v>0</v>
      </c>
      <c r="S2740">
        <v>29</v>
      </c>
      <c r="T2740">
        <v>29</v>
      </c>
      <c r="U2740" s="5">
        <f>IF(Merge1[[#This Row],[team_defense_snaps]]=0, "", Merge1[[#This Row],[defense_snaps]] / Merge1[[#This Row],[team_defense_snaps]])</f>
        <v>0.40277777777777779</v>
      </c>
      <c r="V2740">
        <v>72</v>
      </c>
      <c r="W2740">
        <v>0</v>
      </c>
      <c r="X2740" s="5" t="s">
        <v>29</v>
      </c>
      <c r="Y2740">
        <v>1</v>
      </c>
      <c r="Z2740">
        <v>0</v>
      </c>
      <c r="AA2740" t="s">
        <v>25</v>
      </c>
      <c r="AB2740" t="s">
        <v>36</v>
      </c>
      <c r="AC2740" t="s">
        <v>190</v>
      </c>
      <c r="AD2740" t="s">
        <v>28</v>
      </c>
      <c r="AE2740" t="s">
        <v>25</v>
      </c>
      <c r="AF27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0.37931034482758619</v>
      </c>
      <c r="AG2740" t="s">
        <v>941</v>
      </c>
      <c r="AH2740">
        <v>68</v>
      </c>
      <c r="AI2740" t="s">
        <v>938</v>
      </c>
      <c r="AJ2740">
        <v>1</v>
      </c>
      <c r="AK27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MIN(AJ2740/8, 1) +
  Merge1[[#This Row],[index_defensive_effort]],
  2
)</f>
        <v>1.1000000000000001</v>
      </c>
    </row>
    <row r="2741" spans="1:37" x14ac:dyDescent="0.25">
      <c r="A2741" t="s">
        <v>752</v>
      </c>
      <c r="B2741" t="s">
        <v>753</v>
      </c>
      <c r="C2741">
        <v>25</v>
      </c>
      <c r="D2741" t="s">
        <v>56</v>
      </c>
      <c r="E2741">
        <v>74</v>
      </c>
      <c r="F2741">
        <v>177</v>
      </c>
      <c r="G2741" t="s">
        <v>78</v>
      </c>
      <c r="H2741">
        <v>2020</v>
      </c>
      <c r="I2741" t="s">
        <v>33</v>
      </c>
      <c r="J2741">
        <v>11</v>
      </c>
      <c r="K2741">
        <v>3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19</v>
      </c>
      <c r="T2741">
        <v>19</v>
      </c>
      <c r="U2741" s="5">
        <f>IF(Merge1[[#This Row],[team_defense_snaps]]=0, "", Merge1[[#This Row],[defense_snaps]] / Merge1[[#This Row],[team_defense_snaps]])</f>
        <v>0.2878787878787879</v>
      </c>
      <c r="V2741">
        <v>66</v>
      </c>
      <c r="W2741">
        <v>0</v>
      </c>
      <c r="X2741" s="5" t="s">
        <v>29</v>
      </c>
      <c r="Y2741">
        <v>4</v>
      </c>
      <c r="Z2741">
        <v>0</v>
      </c>
      <c r="AA2741" t="s">
        <v>25</v>
      </c>
      <c r="AB2741" t="s">
        <v>26</v>
      </c>
      <c r="AC2741" t="s">
        <v>27</v>
      </c>
      <c r="AD2741" t="s">
        <v>28</v>
      </c>
      <c r="AE2741" t="s">
        <v>25</v>
      </c>
      <c r="AF27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0.15789473684210525</v>
      </c>
      <c r="AG2741" t="s">
        <v>942</v>
      </c>
      <c r="AH2741">
        <v>67</v>
      </c>
      <c r="AI2741" t="s">
        <v>939</v>
      </c>
      <c r="AJ2741">
        <v>1</v>
      </c>
      <c r="AK27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MIN(AJ2741/8, 1) +
  Merge1[[#This Row],[index_defensive_effort]],
  2
)</f>
        <v>0.57999999999999996</v>
      </c>
    </row>
    <row r="2742" spans="1:37" x14ac:dyDescent="0.25">
      <c r="A2742" t="s">
        <v>752</v>
      </c>
      <c r="B2742" t="s">
        <v>753</v>
      </c>
      <c r="C2742">
        <v>25</v>
      </c>
      <c r="D2742" t="s">
        <v>56</v>
      </c>
      <c r="E2742">
        <v>74</v>
      </c>
      <c r="F2742">
        <v>177</v>
      </c>
      <c r="G2742" t="s">
        <v>78</v>
      </c>
      <c r="H2742">
        <v>2020</v>
      </c>
      <c r="I2742" t="s">
        <v>33</v>
      </c>
      <c r="J2742">
        <v>12</v>
      </c>
      <c r="K2742">
        <v>3</v>
      </c>
      <c r="L2742">
        <v>2</v>
      </c>
      <c r="M2742">
        <v>0</v>
      </c>
      <c r="N2742">
        <v>2</v>
      </c>
      <c r="O2742">
        <v>0</v>
      </c>
      <c r="P2742">
        <v>0</v>
      </c>
      <c r="Q2742">
        <v>0</v>
      </c>
      <c r="R2742">
        <v>0</v>
      </c>
      <c r="S2742">
        <v>57</v>
      </c>
      <c r="T2742">
        <v>57</v>
      </c>
      <c r="U2742" s="5">
        <f>IF(Merge1[[#This Row],[team_defense_snaps]]=0, "", Merge1[[#This Row],[defense_snaps]] / Merge1[[#This Row],[team_defense_snaps]])</f>
        <v>0.82608695652173914</v>
      </c>
      <c r="V2742">
        <v>69</v>
      </c>
      <c r="W2742">
        <v>0</v>
      </c>
      <c r="X2742" s="5" t="s">
        <v>29</v>
      </c>
      <c r="Y2742">
        <v>4</v>
      </c>
      <c r="Z2742">
        <v>0</v>
      </c>
      <c r="AA2742" t="s">
        <v>25</v>
      </c>
      <c r="AB2742" t="s">
        <v>26</v>
      </c>
      <c r="AC2742" t="s">
        <v>27</v>
      </c>
      <c r="AD2742" t="s">
        <v>28</v>
      </c>
      <c r="AE2742" t="s">
        <v>25</v>
      </c>
      <c r="AF27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7.0175438596491224E-2</v>
      </c>
      <c r="AG2742" t="s">
        <v>942</v>
      </c>
      <c r="AH2742">
        <v>70</v>
      </c>
      <c r="AI2742" t="s">
        <v>939</v>
      </c>
      <c r="AJ2742">
        <v>2</v>
      </c>
      <c r="AK27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MIN(AJ2742/8, 1) +
  Merge1[[#This Row],[index_defensive_effort]],
  2
)</f>
        <v>0.62</v>
      </c>
    </row>
    <row r="2743" spans="1:37" x14ac:dyDescent="0.25">
      <c r="A2743" t="s">
        <v>752</v>
      </c>
      <c r="B2743" t="s">
        <v>753</v>
      </c>
      <c r="C2743">
        <v>25</v>
      </c>
      <c r="D2743" t="s">
        <v>56</v>
      </c>
      <c r="E2743">
        <v>74</v>
      </c>
      <c r="F2743">
        <v>177</v>
      </c>
      <c r="G2743" t="s">
        <v>78</v>
      </c>
      <c r="H2743">
        <v>2020</v>
      </c>
      <c r="I2743" t="s">
        <v>33</v>
      </c>
      <c r="J2743">
        <v>13</v>
      </c>
      <c r="K2743">
        <v>1</v>
      </c>
      <c r="L2743">
        <v>2</v>
      </c>
      <c r="M2743">
        <v>1</v>
      </c>
      <c r="N2743">
        <v>3</v>
      </c>
      <c r="O2743">
        <v>0</v>
      </c>
      <c r="P2743">
        <v>0</v>
      </c>
      <c r="Q2743">
        <v>0</v>
      </c>
      <c r="R2743">
        <v>0</v>
      </c>
      <c r="S2743">
        <v>54</v>
      </c>
      <c r="T2743">
        <v>51</v>
      </c>
      <c r="U2743" s="5">
        <f>IF(Merge1[[#This Row],[team_defense_snaps]]=0, "", Merge1[[#This Row],[defense_snaps]] / Merge1[[#This Row],[team_defense_snaps]])</f>
        <v>0.92727272727272725</v>
      </c>
      <c r="V2743">
        <v>55</v>
      </c>
      <c r="W2743">
        <v>3</v>
      </c>
      <c r="X2743" s="5" t="s">
        <v>251</v>
      </c>
      <c r="Y2743">
        <v>4</v>
      </c>
      <c r="Z2743">
        <v>0</v>
      </c>
      <c r="AA2743" t="s">
        <v>25</v>
      </c>
      <c r="AB2743" t="s">
        <v>26</v>
      </c>
      <c r="AC2743" t="s">
        <v>27</v>
      </c>
      <c r="AD2743" t="s">
        <v>28</v>
      </c>
      <c r="AE2743" t="s">
        <v>25</v>
      </c>
      <c r="AF27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4.6296296296296294E-2</v>
      </c>
      <c r="AG2743" t="s">
        <v>942</v>
      </c>
      <c r="AH2743">
        <v>65.5</v>
      </c>
      <c r="AI2743" t="s">
        <v>939</v>
      </c>
      <c r="AJ2743">
        <v>3</v>
      </c>
      <c r="AK27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MIN(AJ2743/8, 1) +
  Merge1[[#This Row],[index_defensive_effort]],
  2
)</f>
        <v>0.72</v>
      </c>
    </row>
    <row r="2744" spans="1:37" x14ac:dyDescent="0.25">
      <c r="A2744" t="s">
        <v>752</v>
      </c>
      <c r="B2744" t="s">
        <v>753</v>
      </c>
      <c r="C2744">
        <v>25</v>
      </c>
      <c r="D2744" t="s">
        <v>56</v>
      </c>
      <c r="E2744">
        <v>74</v>
      </c>
      <c r="F2744">
        <v>177</v>
      </c>
      <c r="G2744" t="s">
        <v>78</v>
      </c>
      <c r="H2744">
        <v>2020</v>
      </c>
      <c r="I2744" t="s">
        <v>33</v>
      </c>
      <c r="J2744">
        <v>14</v>
      </c>
      <c r="K2744">
        <v>6</v>
      </c>
      <c r="L2744">
        <v>3</v>
      </c>
      <c r="M2744">
        <v>0</v>
      </c>
      <c r="N2744">
        <v>3</v>
      </c>
      <c r="O2744">
        <v>0</v>
      </c>
      <c r="P2744">
        <v>0</v>
      </c>
      <c r="Q2744">
        <v>0</v>
      </c>
      <c r="R2744">
        <v>0</v>
      </c>
      <c r="S2744">
        <v>61</v>
      </c>
      <c r="T2744">
        <v>60</v>
      </c>
      <c r="U2744" s="5">
        <f>IF(Merge1[[#This Row],[team_defense_snaps]]=0, "", Merge1[[#This Row],[defense_snaps]] / Merge1[[#This Row],[team_defense_snaps]])</f>
        <v>0.81081081081081086</v>
      </c>
      <c r="V2744">
        <v>74</v>
      </c>
      <c r="W2744">
        <v>1</v>
      </c>
      <c r="X2744" s="5" t="s">
        <v>34</v>
      </c>
      <c r="Y2744">
        <v>4</v>
      </c>
      <c r="Z2744">
        <v>0</v>
      </c>
      <c r="AA2744" t="s">
        <v>25</v>
      </c>
      <c r="AB2744" t="s">
        <v>26</v>
      </c>
      <c r="AC2744" t="s">
        <v>27</v>
      </c>
      <c r="AD2744" t="s">
        <v>28</v>
      </c>
      <c r="AE2744" t="s">
        <v>25</v>
      </c>
      <c r="AF27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0.12295081967213115</v>
      </c>
      <c r="AG2744" t="s">
        <v>942</v>
      </c>
      <c r="AH2744">
        <v>68.5</v>
      </c>
      <c r="AI2744" t="s">
        <v>939</v>
      </c>
      <c r="AJ2744">
        <v>4</v>
      </c>
      <c r="AK27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MIN(AJ2744/8, 1) +
  Merge1[[#This Row],[index_defensive_effort]],
  2
)</f>
        <v>0.92</v>
      </c>
    </row>
    <row r="2745" spans="1:37" x14ac:dyDescent="0.25">
      <c r="A2745" t="s">
        <v>731</v>
      </c>
      <c r="B2745" t="s">
        <v>732</v>
      </c>
      <c r="C2745">
        <v>26</v>
      </c>
      <c r="D2745" t="s">
        <v>56</v>
      </c>
      <c r="E2745">
        <v>74</v>
      </c>
      <c r="F2745">
        <v>209</v>
      </c>
      <c r="G2745" t="s">
        <v>259</v>
      </c>
      <c r="H2745">
        <v>2020</v>
      </c>
      <c r="I2745" t="s">
        <v>33</v>
      </c>
      <c r="J2745">
        <v>1</v>
      </c>
      <c r="K2745">
        <v>1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55</v>
      </c>
      <c r="T2745">
        <v>51</v>
      </c>
      <c r="U2745" s="5">
        <f>IF(Merge1[[#This Row],[team_defense_snaps]]=0, "", Merge1[[#This Row],[defense_snaps]] / Merge1[[#This Row],[team_defense_snaps]])</f>
        <v>0.80952380952380953</v>
      </c>
      <c r="V2745">
        <v>63</v>
      </c>
      <c r="W2745">
        <v>4</v>
      </c>
      <c r="X2745" s="5" t="s">
        <v>212</v>
      </c>
      <c r="Y2745">
        <v>3</v>
      </c>
      <c r="Z2745">
        <v>0</v>
      </c>
      <c r="AA2745" t="s">
        <v>25</v>
      </c>
      <c r="AB2745" t="s">
        <v>26</v>
      </c>
      <c r="AC2745" t="s">
        <v>27</v>
      </c>
      <c r="AD2745" t="s">
        <v>28</v>
      </c>
      <c r="AE2745" t="s">
        <v>25</v>
      </c>
      <c r="AF27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1.8181818181818181E-2</v>
      </c>
      <c r="AG2745" t="s">
        <v>942</v>
      </c>
      <c r="AH2745">
        <v>55.5</v>
      </c>
      <c r="AI2745" t="s">
        <v>939</v>
      </c>
      <c r="AJ2745">
        <v>1</v>
      </c>
      <c r="AK27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MIN(AJ2745/8, 1) +
  Merge1[[#This Row],[index_defensive_effort]],
  2
)</f>
        <v>0.64</v>
      </c>
    </row>
    <row r="2746" spans="1:37" x14ac:dyDescent="0.25">
      <c r="A2746" t="s">
        <v>731</v>
      </c>
      <c r="B2746" t="s">
        <v>732</v>
      </c>
      <c r="C2746">
        <v>26</v>
      </c>
      <c r="D2746" t="s">
        <v>56</v>
      </c>
      <c r="E2746">
        <v>74</v>
      </c>
      <c r="F2746">
        <v>209</v>
      </c>
      <c r="G2746" t="s">
        <v>259</v>
      </c>
      <c r="H2746">
        <v>2020</v>
      </c>
      <c r="I2746" t="s">
        <v>33</v>
      </c>
      <c r="J2746">
        <v>2</v>
      </c>
      <c r="K2746">
        <v>8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59</v>
      </c>
      <c r="T2746">
        <v>53</v>
      </c>
      <c r="U2746" s="5">
        <f>IF(Merge1[[#This Row],[team_defense_snaps]]=0, "", Merge1[[#This Row],[defense_snaps]] / Merge1[[#This Row],[team_defense_snaps]])</f>
        <v>0.86885245901639341</v>
      </c>
      <c r="V2746">
        <v>61</v>
      </c>
      <c r="W2746">
        <v>6</v>
      </c>
      <c r="X2746" s="5" t="s">
        <v>133</v>
      </c>
      <c r="Y2746">
        <v>3</v>
      </c>
      <c r="Z2746">
        <v>0</v>
      </c>
      <c r="AA2746" t="s">
        <v>25</v>
      </c>
      <c r="AB2746" t="s">
        <v>26</v>
      </c>
      <c r="AC2746" t="s">
        <v>27</v>
      </c>
      <c r="AD2746" t="s">
        <v>42</v>
      </c>
      <c r="AE2746" t="s">
        <v>25</v>
      </c>
      <c r="AF27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0.13559322033898305</v>
      </c>
      <c r="AG2746" t="s">
        <v>942</v>
      </c>
      <c r="AH2746">
        <v>73.5</v>
      </c>
      <c r="AI2746" t="s">
        <v>939</v>
      </c>
      <c r="AJ2746">
        <v>2</v>
      </c>
      <c r="AK27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MIN(AJ2746/8, 1) +
  Merge1[[#This Row],[index_defensive_effort]],
  2
)</f>
        <v>0.89</v>
      </c>
    </row>
    <row r="2747" spans="1:37" x14ac:dyDescent="0.25">
      <c r="A2747" t="s">
        <v>731</v>
      </c>
      <c r="B2747" t="s">
        <v>732</v>
      </c>
      <c r="C2747">
        <v>26</v>
      </c>
      <c r="D2747" t="s">
        <v>56</v>
      </c>
      <c r="E2747">
        <v>74</v>
      </c>
      <c r="F2747">
        <v>209</v>
      </c>
      <c r="G2747" t="s">
        <v>259</v>
      </c>
      <c r="H2747">
        <v>2020</v>
      </c>
      <c r="I2747" t="s">
        <v>33</v>
      </c>
      <c r="J2747">
        <v>3</v>
      </c>
      <c r="K2747">
        <v>1</v>
      </c>
      <c r="L2747">
        <v>5</v>
      </c>
      <c r="M2747">
        <v>2</v>
      </c>
      <c r="N2747">
        <v>7</v>
      </c>
      <c r="O2747">
        <v>0</v>
      </c>
      <c r="P2747">
        <v>0</v>
      </c>
      <c r="Q2747">
        <v>0</v>
      </c>
      <c r="R2747">
        <v>0</v>
      </c>
      <c r="S2747">
        <v>81</v>
      </c>
      <c r="T2747">
        <v>78</v>
      </c>
      <c r="U2747" s="5">
        <f>IF(Merge1[[#This Row],[team_defense_snaps]]=0, "", Merge1[[#This Row],[defense_snaps]] / Merge1[[#This Row],[team_defense_snaps]])</f>
        <v>1</v>
      </c>
      <c r="V2747">
        <v>78</v>
      </c>
      <c r="W2747">
        <v>3</v>
      </c>
      <c r="X2747" s="5" t="s">
        <v>251</v>
      </c>
      <c r="Y2747">
        <v>3</v>
      </c>
      <c r="Z2747">
        <v>0</v>
      </c>
      <c r="AA2747" t="s">
        <v>25</v>
      </c>
      <c r="AB2747" t="s">
        <v>26</v>
      </c>
      <c r="AC2747" t="s">
        <v>27</v>
      </c>
      <c r="AD2747" t="s">
        <v>42</v>
      </c>
      <c r="AE2747" t="s">
        <v>25</v>
      </c>
      <c r="AF27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2747" t="s">
        <v>942</v>
      </c>
      <c r="AH2747">
        <v>52.5</v>
      </c>
      <c r="AI2747" t="s">
        <v>939</v>
      </c>
      <c r="AJ2747">
        <v>3</v>
      </c>
      <c r="AK27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MIN(AJ2747/8, 1) +
  Merge1[[#This Row],[index_defensive_effort]],
  2
)</f>
        <v>0.93</v>
      </c>
    </row>
    <row r="2748" spans="1:37" x14ac:dyDescent="0.25">
      <c r="A2748" t="s">
        <v>731</v>
      </c>
      <c r="B2748" t="s">
        <v>732</v>
      </c>
      <c r="C2748">
        <v>26</v>
      </c>
      <c r="D2748" t="s">
        <v>56</v>
      </c>
      <c r="E2748">
        <v>74</v>
      </c>
      <c r="F2748">
        <v>209</v>
      </c>
      <c r="G2748" t="s">
        <v>259</v>
      </c>
      <c r="H2748">
        <v>2020</v>
      </c>
      <c r="I2748" t="s">
        <v>33</v>
      </c>
      <c r="J2748">
        <v>4</v>
      </c>
      <c r="K2748">
        <v>4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65</v>
      </c>
      <c r="T2748">
        <v>57</v>
      </c>
      <c r="U2748" s="5">
        <f>IF(Merge1[[#This Row],[team_defense_snaps]]=0, "", Merge1[[#This Row],[defense_snaps]] / Merge1[[#This Row],[team_defense_snaps]])</f>
        <v>1</v>
      </c>
      <c r="V2748">
        <v>57</v>
      </c>
      <c r="W2748">
        <v>8</v>
      </c>
      <c r="X2748" s="5" t="s">
        <v>108</v>
      </c>
      <c r="Y2748">
        <v>3</v>
      </c>
      <c r="Z2748">
        <v>0</v>
      </c>
      <c r="AA2748" t="s">
        <v>25</v>
      </c>
      <c r="AB2748" t="s">
        <v>26</v>
      </c>
      <c r="AC2748" t="s">
        <v>27</v>
      </c>
      <c r="AD2748" t="s">
        <v>42</v>
      </c>
      <c r="AE2748" t="s">
        <v>25</v>
      </c>
      <c r="AF27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6.1538461538461542E-2</v>
      </c>
      <c r="AG2748" t="s">
        <v>942</v>
      </c>
      <c r="AH2748">
        <v>69</v>
      </c>
      <c r="AI2748" t="s">
        <v>939</v>
      </c>
      <c r="AJ2748">
        <v>4</v>
      </c>
      <c r="AK27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MIN(AJ2748/8, 1) +
  Merge1[[#This Row],[index_defensive_effort]],
  2
)</f>
        <v>1.06</v>
      </c>
    </row>
    <row r="2749" spans="1:37" x14ac:dyDescent="0.25">
      <c r="A2749" t="s">
        <v>731</v>
      </c>
      <c r="B2749" t="s">
        <v>732</v>
      </c>
      <c r="C2749">
        <v>26</v>
      </c>
      <c r="D2749" t="s">
        <v>56</v>
      </c>
      <c r="E2749">
        <v>74</v>
      </c>
      <c r="F2749">
        <v>209</v>
      </c>
      <c r="G2749" t="s">
        <v>259</v>
      </c>
      <c r="H2749">
        <v>2020</v>
      </c>
      <c r="I2749" t="s">
        <v>33</v>
      </c>
      <c r="J2749">
        <v>5</v>
      </c>
      <c r="K2749">
        <v>5</v>
      </c>
      <c r="L2749">
        <v>3</v>
      </c>
      <c r="M2749">
        <v>1</v>
      </c>
      <c r="N2749">
        <v>4</v>
      </c>
      <c r="O2749">
        <v>0</v>
      </c>
      <c r="P2749">
        <v>1</v>
      </c>
      <c r="Q2749">
        <v>0</v>
      </c>
      <c r="R2749">
        <v>0</v>
      </c>
      <c r="S2749">
        <v>69</v>
      </c>
      <c r="T2749">
        <v>65</v>
      </c>
      <c r="U2749" s="5">
        <f>IF(Merge1[[#This Row],[team_defense_snaps]]=0, "", Merge1[[#This Row],[defense_snaps]] / Merge1[[#This Row],[team_defense_snaps]])</f>
        <v>1</v>
      </c>
      <c r="V2749">
        <v>65</v>
      </c>
      <c r="W2749">
        <v>4</v>
      </c>
      <c r="X2749" s="5" t="s">
        <v>168</v>
      </c>
      <c r="Y2749">
        <v>3</v>
      </c>
      <c r="Z2749">
        <v>0</v>
      </c>
      <c r="AA2749" t="s">
        <v>25</v>
      </c>
      <c r="AB2749" t="s">
        <v>26</v>
      </c>
      <c r="AC2749" t="s">
        <v>27</v>
      </c>
      <c r="AD2749" t="s">
        <v>42</v>
      </c>
      <c r="AE2749" t="s">
        <v>25</v>
      </c>
      <c r="AF27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0.13043478260869565</v>
      </c>
      <c r="AG2749" t="s">
        <v>942</v>
      </c>
      <c r="AH2749">
        <v>75</v>
      </c>
      <c r="AI2749" t="s">
        <v>939</v>
      </c>
      <c r="AJ2749">
        <v>5</v>
      </c>
      <c r="AK27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MIN(AJ2749/8, 1) +
  Merge1[[#This Row],[index_defensive_effort]],
  2
)</f>
        <v>1.26</v>
      </c>
    </row>
    <row r="2750" spans="1:37" x14ac:dyDescent="0.25">
      <c r="A2750" t="s">
        <v>731</v>
      </c>
      <c r="B2750" t="s">
        <v>732</v>
      </c>
      <c r="C2750">
        <v>26</v>
      </c>
      <c r="D2750" t="s">
        <v>56</v>
      </c>
      <c r="E2750">
        <v>74</v>
      </c>
      <c r="F2750">
        <v>209</v>
      </c>
      <c r="G2750" t="s">
        <v>259</v>
      </c>
      <c r="H2750">
        <v>2020</v>
      </c>
      <c r="I2750" t="s">
        <v>33</v>
      </c>
      <c r="J2750">
        <v>6</v>
      </c>
      <c r="K2750">
        <v>1</v>
      </c>
      <c r="L2750">
        <v>0</v>
      </c>
      <c r="M2750">
        <v>0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72</v>
      </c>
      <c r="T2750">
        <v>65</v>
      </c>
      <c r="U2750" s="5">
        <f>IF(Merge1[[#This Row],[team_defense_snaps]]=0, "", Merge1[[#This Row],[defense_snaps]] / Merge1[[#This Row],[team_defense_snaps]])</f>
        <v>0.97014925373134331</v>
      </c>
      <c r="V2750">
        <v>67</v>
      </c>
      <c r="W2750">
        <v>7</v>
      </c>
      <c r="X2750" s="5" t="s">
        <v>136</v>
      </c>
      <c r="Y2750">
        <v>3</v>
      </c>
      <c r="Z2750">
        <v>0</v>
      </c>
      <c r="AA2750" t="s">
        <v>25</v>
      </c>
      <c r="AB2750" t="s">
        <v>26</v>
      </c>
      <c r="AC2750" t="s">
        <v>27</v>
      </c>
      <c r="AD2750" t="s">
        <v>42</v>
      </c>
      <c r="AE2750" t="s">
        <v>25</v>
      </c>
      <c r="AF27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2750" t="s">
        <v>942</v>
      </c>
      <c r="AH2750">
        <v>58.5</v>
      </c>
      <c r="AI2750" t="s">
        <v>939</v>
      </c>
      <c r="AJ2750">
        <v>6</v>
      </c>
      <c r="AK27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MIN(AJ2750/8, 1) +
  Merge1[[#This Row],[index_defensive_effort]],
  2
)</f>
        <v>1.29</v>
      </c>
    </row>
    <row r="2751" spans="1:37" x14ac:dyDescent="0.25">
      <c r="A2751" t="s">
        <v>731</v>
      </c>
      <c r="B2751" t="s">
        <v>732</v>
      </c>
      <c r="C2751">
        <v>26</v>
      </c>
      <c r="D2751" t="s">
        <v>56</v>
      </c>
      <c r="E2751">
        <v>74</v>
      </c>
      <c r="F2751">
        <v>209</v>
      </c>
      <c r="G2751" t="s">
        <v>259</v>
      </c>
      <c r="H2751">
        <v>2020</v>
      </c>
      <c r="I2751" t="s">
        <v>33</v>
      </c>
      <c r="J2751">
        <v>9</v>
      </c>
      <c r="K2751">
        <v>5</v>
      </c>
      <c r="L2751">
        <v>0</v>
      </c>
      <c r="M2751">
        <v>0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69</v>
      </c>
      <c r="T2751">
        <v>62</v>
      </c>
      <c r="U2751" s="5">
        <f>IF(Merge1[[#This Row],[team_defense_snaps]]=0, "", Merge1[[#This Row],[defense_snaps]] / Merge1[[#This Row],[team_defense_snaps]])</f>
        <v>1</v>
      </c>
      <c r="V2751">
        <v>62</v>
      </c>
      <c r="W2751">
        <v>7</v>
      </c>
      <c r="X2751" s="5" t="s">
        <v>132</v>
      </c>
      <c r="Y2751">
        <v>3</v>
      </c>
      <c r="Z2751">
        <v>0</v>
      </c>
      <c r="AA2751" t="s">
        <v>25</v>
      </c>
      <c r="AB2751" t="s">
        <v>36</v>
      </c>
      <c r="AC2751" t="s">
        <v>188</v>
      </c>
      <c r="AD2751" t="s">
        <v>42</v>
      </c>
      <c r="AE2751" t="s">
        <v>25</v>
      </c>
      <c r="AF27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0.10144927536231885</v>
      </c>
      <c r="AG2751" t="s">
        <v>942</v>
      </c>
      <c r="AH2751">
        <v>63</v>
      </c>
      <c r="AI2751" t="s">
        <v>939</v>
      </c>
      <c r="AJ2751">
        <v>1</v>
      </c>
      <c r="AK27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MIN(AJ2751/8, 1) +
  Merge1[[#This Row],[index_defensive_effort]],
  2
)</f>
        <v>0.73</v>
      </c>
    </row>
    <row r="2752" spans="1:37" x14ac:dyDescent="0.25">
      <c r="A2752" t="s">
        <v>731</v>
      </c>
      <c r="B2752" t="s">
        <v>732</v>
      </c>
      <c r="C2752">
        <v>26</v>
      </c>
      <c r="D2752" t="s">
        <v>56</v>
      </c>
      <c r="E2752">
        <v>74</v>
      </c>
      <c r="F2752">
        <v>209</v>
      </c>
      <c r="G2752" t="s">
        <v>259</v>
      </c>
      <c r="H2752">
        <v>2020</v>
      </c>
      <c r="I2752" t="s">
        <v>33</v>
      </c>
      <c r="J2752">
        <v>10</v>
      </c>
      <c r="K2752">
        <v>3</v>
      </c>
      <c r="L2752">
        <v>1</v>
      </c>
      <c r="M2752">
        <v>0</v>
      </c>
      <c r="N2752">
        <v>1</v>
      </c>
      <c r="O2752">
        <v>0</v>
      </c>
      <c r="P2752">
        <v>2</v>
      </c>
      <c r="Q2752">
        <v>0</v>
      </c>
      <c r="R2752">
        <v>0</v>
      </c>
      <c r="S2752">
        <v>80</v>
      </c>
      <c r="T2752">
        <v>71</v>
      </c>
      <c r="U2752" s="5">
        <f>IF(Merge1[[#This Row],[team_defense_snaps]]=0, "", Merge1[[#This Row],[defense_snaps]] / Merge1[[#This Row],[team_defense_snaps]])</f>
        <v>0.88749999999999996</v>
      </c>
      <c r="V2752">
        <v>80</v>
      </c>
      <c r="W2752">
        <v>9</v>
      </c>
      <c r="X2752" s="5" t="s">
        <v>261</v>
      </c>
      <c r="Y2752">
        <v>3</v>
      </c>
      <c r="Z2752">
        <v>0</v>
      </c>
      <c r="AA2752" t="s">
        <v>25</v>
      </c>
      <c r="AB2752" t="s">
        <v>26</v>
      </c>
      <c r="AC2752" t="s">
        <v>27</v>
      </c>
      <c r="AD2752" t="s">
        <v>42</v>
      </c>
      <c r="AE2752" t="s">
        <v>25</v>
      </c>
      <c r="AF27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9.375E-2</v>
      </c>
      <c r="AG2752" t="s">
        <v>942</v>
      </c>
      <c r="AH2752">
        <v>72</v>
      </c>
      <c r="AI2752" t="s">
        <v>939</v>
      </c>
      <c r="AJ2752">
        <v>2</v>
      </c>
      <c r="AK27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MIN(AJ2752/8, 1) +
  Merge1[[#This Row],[index_defensive_effort]],
  2
)</f>
        <v>0.84</v>
      </c>
    </row>
    <row r="2753" spans="1:37" x14ac:dyDescent="0.25">
      <c r="A2753" t="s">
        <v>731</v>
      </c>
      <c r="B2753" t="s">
        <v>732</v>
      </c>
      <c r="C2753">
        <v>26</v>
      </c>
      <c r="D2753" t="s">
        <v>56</v>
      </c>
      <c r="E2753">
        <v>74</v>
      </c>
      <c r="F2753">
        <v>209</v>
      </c>
      <c r="G2753" t="s">
        <v>259</v>
      </c>
      <c r="H2753">
        <v>2020</v>
      </c>
      <c r="I2753" t="s">
        <v>33</v>
      </c>
      <c r="J2753">
        <v>11</v>
      </c>
      <c r="K2753">
        <v>2</v>
      </c>
      <c r="L2753">
        <v>1</v>
      </c>
      <c r="M2753">
        <v>0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60</v>
      </c>
      <c r="T2753">
        <v>55</v>
      </c>
      <c r="U2753" s="5">
        <f>IF(Merge1[[#This Row],[team_defense_snaps]]=0, "", Merge1[[#This Row],[defense_snaps]] / Merge1[[#This Row],[team_defense_snaps]])</f>
        <v>0.96491228070175439</v>
      </c>
      <c r="V2753">
        <v>57</v>
      </c>
      <c r="W2753">
        <v>5</v>
      </c>
      <c r="X2753" s="5" t="s">
        <v>132</v>
      </c>
      <c r="Y2753">
        <v>3</v>
      </c>
      <c r="Z2753">
        <v>0</v>
      </c>
      <c r="AA2753" t="s">
        <v>25</v>
      </c>
      <c r="AB2753" t="s">
        <v>36</v>
      </c>
      <c r="AC2753" t="s">
        <v>63</v>
      </c>
      <c r="AD2753" t="s">
        <v>42</v>
      </c>
      <c r="AE2753" t="s">
        <v>25</v>
      </c>
      <c r="AF27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2753" t="s">
        <v>942</v>
      </c>
      <c r="AH2753">
        <v>51</v>
      </c>
      <c r="AI2753" t="s">
        <v>939</v>
      </c>
      <c r="AJ2753">
        <v>3</v>
      </c>
      <c r="AK27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MIN(AJ2753/8, 1) +
  Merge1[[#This Row],[index_defensive_effort]],
  2
)</f>
        <v>0.92</v>
      </c>
    </row>
    <row r="2754" spans="1:37" x14ac:dyDescent="0.25">
      <c r="A2754" t="s">
        <v>731</v>
      </c>
      <c r="B2754" t="s">
        <v>732</v>
      </c>
      <c r="C2754">
        <v>26</v>
      </c>
      <c r="D2754" t="s">
        <v>56</v>
      </c>
      <c r="E2754">
        <v>74</v>
      </c>
      <c r="F2754">
        <v>209</v>
      </c>
      <c r="G2754" t="s">
        <v>259</v>
      </c>
      <c r="H2754">
        <v>2020</v>
      </c>
      <c r="I2754" t="s">
        <v>33</v>
      </c>
      <c r="J2754">
        <v>12</v>
      </c>
      <c r="K2754">
        <v>6</v>
      </c>
      <c r="L2754">
        <v>1</v>
      </c>
      <c r="M2754">
        <v>0</v>
      </c>
      <c r="N2754">
        <v>1</v>
      </c>
      <c r="O2754">
        <v>0</v>
      </c>
      <c r="P2754">
        <v>2</v>
      </c>
      <c r="Q2754">
        <v>0</v>
      </c>
      <c r="R2754">
        <v>0</v>
      </c>
      <c r="S2754">
        <v>79</v>
      </c>
      <c r="T2754">
        <v>73</v>
      </c>
      <c r="U2754" s="5">
        <f>IF(Merge1[[#This Row],[team_defense_snaps]]=0, "", Merge1[[#This Row],[defense_snaps]] / Merge1[[#This Row],[team_defense_snaps]])</f>
        <v>1</v>
      </c>
      <c r="V2754">
        <v>73</v>
      </c>
      <c r="W2754">
        <v>6</v>
      </c>
      <c r="X2754" s="5" t="s">
        <v>293</v>
      </c>
      <c r="Y2754">
        <v>3</v>
      </c>
      <c r="Z2754">
        <v>0</v>
      </c>
      <c r="AA2754" t="s">
        <v>25</v>
      </c>
      <c r="AB2754" t="s">
        <v>26</v>
      </c>
      <c r="AC2754" t="s">
        <v>27</v>
      </c>
      <c r="AD2754" t="s">
        <v>42</v>
      </c>
      <c r="AE2754" t="s">
        <v>25</v>
      </c>
      <c r="AF27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0.13291139240506328</v>
      </c>
      <c r="AG2754" t="s">
        <v>942</v>
      </c>
      <c r="AH2754">
        <v>54</v>
      </c>
      <c r="AI2754" t="s">
        <v>939</v>
      </c>
      <c r="AJ2754">
        <v>4</v>
      </c>
      <c r="AK27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MIN(AJ2754/8, 1) +
  Merge1[[#This Row],[index_defensive_effort]],
  2
)</f>
        <v>1.1299999999999999</v>
      </c>
    </row>
    <row r="2755" spans="1:37" x14ac:dyDescent="0.25">
      <c r="A2755" t="s">
        <v>731</v>
      </c>
      <c r="B2755" t="s">
        <v>732</v>
      </c>
      <c r="C2755">
        <v>26</v>
      </c>
      <c r="D2755" t="s">
        <v>56</v>
      </c>
      <c r="E2755">
        <v>74</v>
      </c>
      <c r="F2755">
        <v>209</v>
      </c>
      <c r="G2755" t="s">
        <v>259</v>
      </c>
      <c r="H2755">
        <v>2020</v>
      </c>
      <c r="I2755" t="s">
        <v>33</v>
      </c>
      <c r="J2755">
        <v>14</v>
      </c>
      <c r="K2755">
        <v>1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24</v>
      </c>
      <c r="T2755">
        <v>21</v>
      </c>
      <c r="U2755" s="5">
        <f>IF(Merge1[[#This Row],[team_defense_snaps]]=0, "", Merge1[[#This Row],[defense_snaps]] / Merge1[[#This Row],[team_defense_snaps]])</f>
        <v>0.33870967741935482</v>
      </c>
      <c r="V2755">
        <v>62</v>
      </c>
      <c r="W2755">
        <v>3</v>
      </c>
      <c r="X2755" s="5" t="s">
        <v>38</v>
      </c>
      <c r="Y2755">
        <v>3</v>
      </c>
      <c r="Z2755">
        <v>0</v>
      </c>
      <c r="AA2755" t="s">
        <v>25</v>
      </c>
      <c r="AB2755" t="s">
        <v>36</v>
      </c>
      <c r="AC2755" t="s">
        <v>188</v>
      </c>
      <c r="AD2755" t="s">
        <v>28</v>
      </c>
      <c r="AE2755" t="s">
        <v>25</v>
      </c>
      <c r="AF27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2755" t="s">
        <v>942</v>
      </c>
      <c r="AH2755">
        <v>67.5</v>
      </c>
      <c r="AI2755" t="s">
        <v>938</v>
      </c>
      <c r="AJ2755">
        <v>1</v>
      </c>
      <c r="AK27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MIN(AJ2755/8, 1) +
  Merge1[[#This Row],[index_defensive_effort]],
  2
)</f>
        <v>0.67</v>
      </c>
    </row>
    <row r="2756" spans="1:37" x14ac:dyDescent="0.25">
      <c r="A2756" t="s">
        <v>731</v>
      </c>
      <c r="B2756" t="s">
        <v>732</v>
      </c>
      <c r="C2756">
        <v>26</v>
      </c>
      <c r="D2756" t="s">
        <v>56</v>
      </c>
      <c r="E2756">
        <v>74</v>
      </c>
      <c r="F2756">
        <v>209</v>
      </c>
      <c r="G2756" t="s">
        <v>259</v>
      </c>
      <c r="H2756">
        <v>2020</v>
      </c>
      <c r="I2756" t="s">
        <v>33</v>
      </c>
      <c r="J2756">
        <v>15</v>
      </c>
      <c r="K2756">
        <v>5</v>
      </c>
      <c r="L2756">
        <v>2</v>
      </c>
      <c r="M2756">
        <v>1</v>
      </c>
      <c r="N2756">
        <v>3</v>
      </c>
      <c r="O2756">
        <v>0</v>
      </c>
      <c r="P2756">
        <v>0</v>
      </c>
      <c r="Q2756">
        <v>0</v>
      </c>
      <c r="R2756">
        <v>0</v>
      </c>
      <c r="S2756">
        <v>53</v>
      </c>
      <c r="T2756">
        <v>44</v>
      </c>
      <c r="U2756" s="5">
        <f>IF(Merge1[[#This Row],[team_defense_snaps]]=0, "", Merge1[[#This Row],[defense_snaps]] / Merge1[[#This Row],[team_defense_snaps]])</f>
        <v>0.70967741935483875</v>
      </c>
      <c r="V2756">
        <v>62</v>
      </c>
      <c r="W2756">
        <v>9</v>
      </c>
      <c r="X2756" s="5" t="s">
        <v>108</v>
      </c>
      <c r="Y2756">
        <v>3</v>
      </c>
      <c r="Z2756">
        <v>0</v>
      </c>
      <c r="AA2756" t="s">
        <v>25</v>
      </c>
      <c r="AB2756" t="s">
        <v>26</v>
      </c>
      <c r="AC2756" t="s">
        <v>27</v>
      </c>
      <c r="AD2756" t="s">
        <v>28</v>
      </c>
      <c r="AE2756" t="s">
        <v>25</v>
      </c>
      <c r="AF27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0.12264150943396226</v>
      </c>
      <c r="AG2756" t="s">
        <v>942</v>
      </c>
      <c r="AH2756">
        <v>70.5</v>
      </c>
      <c r="AI2756" t="s">
        <v>939</v>
      </c>
      <c r="AJ2756">
        <v>2</v>
      </c>
      <c r="AK27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MIN(AJ2756/8, 1) +
  Merge1[[#This Row],[index_defensive_effort]],
  2
)</f>
        <v>0.87</v>
      </c>
    </row>
    <row r="2757" spans="1:37" x14ac:dyDescent="0.25">
      <c r="A2757" t="s">
        <v>731</v>
      </c>
      <c r="B2757" t="s">
        <v>732</v>
      </c>
      <c r="C2757">
        <v>26</v>
      </c>
      <c r="D2757" t="s">
        <v>56</v>
      </c>
      <c r="E2757">
        <v>74</v>
      </c>
      <c r="F2757">
        <v>209</v>
      </c>
      <c r="G2757" t="s">
        <v>259</v>
      </c>
      <c r="H2757">
        <v>2020</v>
      </c>
      <c r="I2757" t="s">
        <v>33</v>
      </c>
      <c r="J2757">
        <v>16</v>
      </c>
      <c r="K2757">
        <v>3</v>
      </c>
      <c r="L2757">
        <v>1</v>
      </c>
      <c r="M2757">
        <v>0</v>
      </c>
      <c r="N2757">
        <v>1</v>
      </c>
      <c r="O2757">
        <v>0</v>
      </c>
      <c r="P2757">
        <v>1</v>
      </c>
      <c r="Q2757">
        <v>0</v>
      </c>
      <c r="R2757">
        <v>0</v>
      </c>
      <c r="S2757">
        <v>76</v>
      </c>
      <c r="T2757">
        <v>70</v>
      </c>
      <c r="U2757" s="5">
        <f>IF(Merge1[[#This Row],[team_defense_snaps]]=0, "", Merge1[[#This Row],[defense_snaps]] / Merge1[[#This Row],[team_defense_snaps]])</f>
        <v>0.9859154929577465</v>
      </c>
      <c r="V2757">
        <v>71</v>
      </c>
      <c r="W2757">
        <v>6</v>
      </c>
      <c r="X2757" s="5" t="s">
        <v>136</v>
      </c>
      <c r="Y2757">
        <v>3</v>
      </c>
      <c r="Z2757">
        <v>0</v>
      </c>
      <c r="AA2757" t="s">
        <v>25</v>
      </c>
      <c r="AB2757" t="s">
        <v>26</v>
      </c>
      <c r="AC2757" t="s">
        <v>27</v>
      </c>
      <c r="AD2757" t="s">
        <v>42</v>
      </c>
      <c r="AE2757" t="s">
        <v>25</v>
      </c>
      <c r="AF27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7.2368421052631582E-2</v>
      </c>
      <c r="AG2757" t="s">
        <v>942</v>
      </c>
      <c r="AH2757">
        <v>60</v>
      </c>
      <c r="AI2757" t="s">
        <v>939</v>
      </c>
      <c r="AJ2757">
        <v>3</v>
      </c>
      <c r="AK27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MIN(AJ2757/8, 1) +
  Merge1[[#This Row],[index_defensive_effort]],
  2
)</f>
        <v>0.95</v>
      </c>
    </row>
    <row r="2758" spans="1:37" x14ac:dyDescent="0.25">
      <c r="A2758" t="s">
        <v>731</v>
      </c>
      <c r="B2758" t="s">
        <v>732</v>
      </c>
      <c r="C2758">
        <v>26</v>
      </c>
      <c r="D2758" t="s">
        <v>56</v>
      </c>
      <c r="E2758">
        <v>74</v>
      </c>
      <c r="F2758">
        <v>209</v>
      </c>
      <c r="G2758" t="s">
        <v>259</v>
      </c>
      <c r="H2758">
        <v>2020</v>
      </c>
      <c r="I2758" t="s">
        <v>33</v>
      </c>
      <c r="J2758">
        <v>17</v>
      </c>
      <c r="K2758">
        <v>3</v>
      </c>
      <c r="L2758">
        <v>1</v>
      </c>
      <c r="M2758">
        <v>0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62</v>
      </c>
      <c r="T2758">
        <v>56</v>
      </c>
      <c r="U2758" s="5">
        <f>IF(Merge1[[#This Row],[team_defense_snaps]]=0, "", Merge1[[#This Row],[defense_snaps]] / Merge1[[#This Row],[team_defense_snaps]])</f>
        <v>0.875</v>
      </c>
      <c r="V2758">
        <v>64</v>
      </c>
      <c r="W2758">
        <v>6</v>
      </c>
      <c r="X2758" s="5" t="s">
        <v>137</v>
      </c>
      <c r="Y2758">
        <v>3</v>
      </c>
      <c r="Z2758">
        <v>0</v>
      </c>
      <c r="AA2758" t="s">
        <v>25</v>
      </c>
      <c r="AB2758" t="s">
        <v>26</v>
      </c>
      <c r="AC2758" t="s">
        <v>27</v>
      </c>
      <c r="AD2758" t="s">
        <v>42</v>
      </c>
      <c r="AE2758" t="s">
        <v>25</v>
      </c>
      <c r="AF27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5.6451612903225805E-2</v>
      </c>
      <c r="AG2758" t="s">
        <v>942</v>
      </c>
      <c r="AH2758">
        <v>61.5</v>
      </c>
      <c r="AI2758" t="s">
        <v>939</v>
      </c>
      <c r="AJ2758">
        <v>4</v>
      </c>
      <c r="AK27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MIN(AJ2758/8, 1) +
  Merge1[[#This Row],[index_defensive_effort]],
  2
)</f>
        <v>1.06</v>
      </c>
    </row>
    <row r="2759" spans="1:37" x14ac:dyDescent="0.25">
      <c r="A2759" t="s">
        <v>737</v>
      </c>
      <c r="B2759" t="s">
        <v>738</v>
      </c>
      <c r="C2759">
        <v>25</v>
      </c>
      <c r="D2759" t="s">
        <v>22</v>
      </c>
      <c r="E2759">
        <v>71</v>
      </c>
      <c r="F2759">
        <v>197</v>
      </c>
      <c r="G2759" t="s">
        <v>41</v>
      </c>
      <c r="H2759">
        <v>2020</v>
      </c>
      <c r="I2759" t="s">
        <v>33</v>
      </c>
      <c r="J2759">
        <v>2</v>
      </c>
      <c r="K2759">
        <v>2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25</v>
      </c>
      <c r="T2759">
        <v>21</v>
      </c>
      <c r="U2759" s="5">
        <f>IF(Merge1[[#This Row],[team_defense_snaps]]=0, "", Merge1[[#This Row],[defense_snaps]] / Merge1[[#This Row],[team_defense_snaps]])</f>
        <v>0.33870967741935482</v>
      </c>
      <c r="V2759">
        <v>62</v>
      </c>
      <c r="W2759">
        <v>4</v>
      </c>
      <c r="X2759" s="5" t="s">
        <v>209</v>
      </c>
      <c r="Y2759">
        <v>2</v>
      </c>
      <c r="Z2759">
        <v>0</v>
      </c>
      <c r="AA2759" t="s">
        <v>25</v>
      </c>
      <c r="AB2759" t="s">
        <v>36</v>
      </c>
      <c r="AC2759" t="s">
        <v>553</v>
      </c>
      <c r="AD2759" t="s">
        <v>28</v>
      </c>
      <c r="AE2759" t="s">
        <v>25</v>
      </c>
      <c r="AF27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0.08</v>
      </c>
      <c r="AG2759" t="s">
        <v>943</v>
      </c>
      <c r="AH2759">
        <v>47</v>
      </c>
      <c r="AI2759" t="s">
        <v>938</v>
      </c>
      <c r="AJ2759">
        <v>1</v>
      </c>
      <c r="AK27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MIN(AJ2759/8, 1) +
  Merge1[[#This Row],[index_defensive_effort]],
  2
)</f>
        <v>0.71</v>
      </c>
    </row>
    <row r="2760" spans="1:37" x14ac:dyDescent="0.25">
      <c r="A2760" t="s">
        <v>737</v>
      </c>
      <c r="B2760" t="s">
        <v>738</v>
      </c>
      <c r="C2760">
        <v>25</v>
      </c>
      <c r="D2760" t="s">
        <v>22</v>
      </c>
      <c r="E2760">
        <v>71</v>
      </c>
      <c r="F2760">
        <v>197</v>
      </c>
      <c r="G2760" t="s">
        <v>41</v>
      </c>
      <c r="H2760">
        <v>2020</v>
      </c>
      <c r="I2760" t="s">
        <v>33</v>
      </c>
      <c r="J2760">
        <v>3</v>
      </c>
      <c r="K2760">
        <v>0</v>
      </c>
      <c r="L2760">
        <v>1</v>
      </c>
      <c r="M2760">
        <v>0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18</v>
      </c>
      <c r="T2760">
        <v>6</v>
      </c>
      <c r="U2760" s="5">
        <f>IF(Merge1[[#This Row],[team_defense_snaps]]=0, "", Merge1[[#This Row],[defense_snaps]] / Merge1[[#This Row],[team_defense_snaps]])</f>
        <v>9.6774193548387094E-2</v>
      </c>
      <c r="V2760">
        <v>62</v>
      </c>
      <c r="W2760">
        <v>12</v>
      </c>
      <c r="X2760" s="5" t="s">
        <v>158</v>
      </c>
      <c r="Y2760">
        <v>2</v>
      </c>
      <c r="Z2760">
        <v>0</v>
      </c>
      <c r="AA2760" t="s">
        <v>25</v>
      </c>
      <c r="AB2760" t="s">
        <v>26</v>
      </c>
      <c r="AC2760" t="s">
        <v>27</v>
      </c>
      <c r="AD2760" t="s">
        <v>28</v>
      </c>
      <c r="AE2760" t="s">
        <v>25</v>
      </c>
      <c r="AF27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2.7777777777777776E-2</v>
      </c>
      <c r="AG2760" t="s">
        <v>943</v>
      </c>
      <c r="AH2760">
        <v>51.5</v>
      </c>
      <c r="AI2760" t="s">
        <v>939</v>
      </c>
      <c r="AJ2760">
        <v>2</v>
      </c>
      <c r="AK27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MIN(AJ2760/8, 1) +
  Merge1[[#This Row],[index_defensive_effort]],
  2
)</f>
        <v>0.78</v>
      </c>
    </row>
    <row r="2761" spans="1:37" x14ac:dyDescent="0.25">
      <c r="A2761" t="s">
        <v>737</v>
      </c>
      <c r="B2761" t="s">
        <v>738</v>
      </c>
      <c r="C2761">
        <v>25</v>
      </c>
      <c r="D2761" t="s">
        <v>22</v>
      </c>
      <c r="E2761">
        <v>71</v>
      </c>
      <c r="F2761">
        <v>197</v>
      </c>
      <c r="G2761" t="s">
        <v>41</v>
      </c>
      <c r="H2761">
        <v>2020</v>
      </c>
      <c r="I2761" t="s">
        <v>33</v>
      </c>
      <c r="J2761">
        <v>4</v>
      </c>
      <c r="K2761">
        <v>6</v>
      </c>
      <c r="L2761">
        <v>4</v>
      </c>
      <c r="M2761">
        <v>3</v>
      </c>
      <c r="N2761">
        <v>7</v>
      </c>
      <c r="O2761">
        <v>4</v>
      </c>
      <c r="P2761">
        <v>4</v>
      </c>
      <c r="Q2761">
        <v>0</v>
      </c>
      <c r="R2761">
        <v>0</v>
      </c>
      <c r="S2761">
        <v>62</v>
      </c>
      <c r="T2761">
        <v>50</v>
      </c>
      <c r="U2761" s="5">
        <f>IF(Merge1[[#This Row],[team_defense_snaps]]=0, "", Merge1[[#This Row],[defense_snaps]] / Merge1[[#This Row],[team_defense_snaps]])</f>
        <v>0.66666666666666663</v>
      </c>
      <c r="V2761">
        <v>75</v>
      </c>
      <c r="W2761">
        <v>12</v>
      </c>
      <c r="X2761" s="5" t="s">
        <v>52</v>
      </c>
      <c r="Y2761">
        <v>2</v>
      </c>
      <c r="Z2761">
        <v>0</v>
      </c>
      <c r="AA2761" t="s">
        <v>25</v>
      </c>
      <c r="AB2761" t="s">
        <v>26</v>
      </c>
      <c r="AC2761" t="s">
        <v>27</v>
      </c>
      <c r="AD2761" t="s">
        <v>28</v>
      </c>
      <c r="AE2761" t="s">
        <v>25</v>
      </c>
      <c r="AF27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0.47580645161290325</v>
      </c>
      <c r="AG2761" t="s">
        <v>943</v>
      </c>
      <c r="AH2761">
        <v>53</v>
      </c>
      <c r="AI2761" t="s">
        <v>939</v>
      </c>
      <c r="AJ2761">
        <v>3</v>
      </c>
      <c r="AK27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MIN(AJ2761/8, 1) +
  Merge1[[#This Row],[index_defensive_effort]],
  2
)</f>
        <v>1.35</v>
      </c>
    </row>
    <row r="2762" spans="1:37" x14ac:dyDescent="0.25">
      <c r="A2762" t="s">
        <v>737</v>
      </c>
      <c r="B2762" t="s">
        <v>738</v>
      </c>
      <c r="C2762">
        <v>25</v>
      </c>
      <c r="D2762" t="s">
        <v>22</v>
      </c>
      <c r="E2762">
        <v>71</v>
      </c>
      <c r="F2762">
        <v>197</v>
      </c>
      <c r="G2762" t="s">
        <v>41</v>
      </c>
      <c r="H2762">
        <v>2020</v>
      </c>
      <c r="I2762" t="s">
        <v>33</v>
      </c>
      <c r="J2762">
        <v>6</v>
      </c>
      <c r="K2762">
        <v>2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40</v>
      </c>
      <c r="T2762">
        <v>23</v>
      </c>
      <c r="U2762" s="5">
        <f>IF(Merge1[[#This Row],[team_defense_snaps]]=0, "", Merge1[[#This Row],[defense_snaps]] / Merge1[[#This Row],[team_defense_snaps]])</f>
        <v>0.359375</v>
      </c>
      <c r="V2762">
        <v>64</v>
      </c>
      <c r="W2762">
        <v>17</v>
      </c>
      <c r="X2762" s="5" t="s">
        <v>232</v>
      </c>
      <c r="Y2762">
        <v>2</v>
      </c>
      <c r="Z2762">
        <v>0</v>
      </c>
      <c r="AA2762" t="s">
        <v>25</v>
      </c>
      <c r="AB2762" t="s">
        <v>26</v>
      </c>
      <c r="AC2762" t="s">
        <v>27</v>
      </c>
      <c r="AD2762" t="s">
        <v>28</v>
      </c>
      <c r="AE2762" t="s">
        <v>25</v>
      </c>
      <c r="AF27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2762" t="s">
        <v>943</v>
      </c>
      <c r="AH2762">
        <v>56</v>
      </c>
      <c r="AI2762" t="s">
        <v>939</v>
      </c>
      <c r="AJ2762">
        <v>1</v>
      </c>
      <c r="AK27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MIN(AJ2762/8, 1) +
  Merge1[[#This Row],[index_defensive_effort]],
  2
)</f>
        <v>0.68</v>
      </c>
    </row>
    <row r="2763" spans="1:37" x14ac:dyDescent="0.25">
      <c r="A2763" t="s">
        <v>737</v>
      </c>
      <c r="B2763" t="s">
        <v>738</v>
      </c>
      <c r="C2763">
        <v>25</v>
      </c>
      <c r="D2763" t="s">
        <v>22</v>
      </c>
      <c r="E2763">
        <v>71</v>
      </c>
      <c r="F2763">
        <v>197</v>
      </c>
      <c r="G2763" t="s">
        <v>41</v>
      </c>
      <c r="H2763">
        <v>2020</v>
      </c>
      <c r="I2763" t="s">
        <v>33</v>
      </c>
      <c r="J2763">
        <v>7</v>
      </c>
      <c r="K2763">
        <v>5</v>
      </c>
      <c r="L2763">
        <v>2</v>
      </c>
      <c r="M2763">
        <v>0</v>
      </c>
      <c r="N2763">
        <v>2</v>
      </c>
      <c r="O2763">
        <v>0</v>
      </c>
      <c r="P2763">
        <v>1</v>
      </c>
      <c r="Q2763">
        <v>0</v>
      </c>
      <c r="R2763">
        <v>0</v>
      </c>
      <c r="S2763">
        <v>41</v>
      </c>
      <c r="T2763">
        <v>34</v>
      </c>
      <c r="U2763" s="5">
        <f>IF(Merge1[[#This Row],[team_defense_snaps]]=0, "", Merge1[[#This Row],[defense_snaps]] / Merge1[[#This Row],[team_defense_snaps]])</f>
        <v>0.5</v>
      </c>
      <c r="V2763">
        <v>68</v>
      </c>
      <c r="W2763">
        <v>7</v>
      </c>
      <c r="X2763" s="5" t="s">
        <v>132</v>
      </c>
      <c r="Y2763">
        <v>2</v>
      </c>
      <c r="Z2763">
        <v>0</v>
      </c>
      <c r="AA2763" t="s">
        <v>25</v>
      </c>
      <c r="AB2763" t="s">
        <v>26</v>
      </c>
      <c r="AC2763" t="s">
        <v>27</v>
      </c>
      <c r="AD2763" t="s">
        <v>28</v>
      </c>
      <c r="AE2763" t="s">
        <v>25</v>
      </c>
      <c r="AF27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0.1951219512195122</v>
      </c>
      <c r="AG2763" t="s">
        <v>943</v>
      </c>
      <c r="AH2763">
        <v>60.5</v>
      </c>
      <c r="AI2763" t="s">
        <v>939</v>
      </c>
      <c r="AJ2763">
        <v>2</v>
      </c>
      <c r="AK27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MIN(AJ2763/8, 1) +
  Merge1[[#This Row],[index_defensive_effort]],
  2
)</f>
        <v>0.95</v>
      </c>
    </row>
    <row r="2764" spans="1:37" x14ac:dyDescent="0.25">
      <c r="A2764" t="s">
        <v>737</v>
      </c>
      <c r="B2764" t="s">
        <v>738</v>
      </c>
      <c r="C2764">
        <v>25</v>
      </c>
      <c r="D2764" t="s">
        <v>22</v>
      </c>
      <c r="E2764">
        <v>71</v>
      </c>
      <c r="F2764">
        <v>197</v>
      </c>
      <c r="G2764" t="s">
        <v>41</v>
      </c>
      <c r="H2764">
        <v>2020</v>
      </c>
      <c r="I2764" t="s">
        <v>33</v>
      </c>
      <c r="J2764">
        <v>9</v>
      </c>
      <c r="K2764">
        <v>3</v>
      </c>
      <c r="L2764">
        <v>0</v>
      </c>
      <c r="M2764">
        <v>0</v>
      </c>
      <c r="N2764">
        <v>0</v>
      </c>
      <c r="O2764">
        <v>0</v>
      </c>
      <c r="P2764">
        <v>2</v>
      </c>
      <c r="Q2764">
        <v>2</v>
      </c>
      <c r="R2764">
        <v>0</v>
      </c>
      <c r="S2764">
        <v>38</v>
      </c>
      <c r="T2764">
        <v>27</v>
      </c>
      <c r="U2764" s="5">
        <f>IF(Merge1[[#This Row],[team_defense_snaps]]=0, "", Merge1[[#This Row],[defense_snaps]] / Merge1[[#This Row],[team_defense_snaps]])</f>
        <v>0.47368421052631576</v>
      </c>
      <c r="V2764">
        <v>57</v>
      </c>
      <c r="W2764">
        <v>11</v>
      </c>
      <c r="X2764" s="5" t="s">
        <v>210</v>
      </c>
      <c r="Y2764">
        <v>2</v>
      </c>
      <c r="Z2764">
        <v>0</v>
      </c>
      <c r="AA2764" t="s">
        <v>25</v>
      </c>
      <c r="AB2764" t="s">
        <v>36</v>
      </c>
      <c r="AC2764" t="s">
        <v>739</v>
      </c>
      <c r="AD2764" t="s">
        <v>28</v>
      </c>
      <c r="AE2764" t="s">
        <v>25</v>
      </c>
      <c r="AF27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0.39473684210526316</v>
      </c>
      <c r="AG2764" t="s">
        <v>943</v>
      </c>
      <c r="AH2764">
        <v>62</v>
      </c>
      <c r="AI2764" t="s">
        <v>938</v>
      </c>
      <c r="AJ2764">
        <v>1</v>
      </c>
      <c r="AK27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MIN(AJ2764/8, 1) +
  Merge1[[#This Row],[index_defensive_effort]],
  2
)</f>
        <v>1.02</v>
      </c>
    </row>
    <row r="2765" spans="1:37" x14ac:dyDescent="0.25">
      <c r="A2765" t="s">
        <v>737</v>
      </c>
      <c r="B2765" t="s">
        <v>738</v>
      </c>
      <c r="C2765">
        <v>25</v>
      </c>
      <c r="D2765" t="s">
        <v>22</v>
      </c>
      <c r="E2765">
        <v>71</v>
      </c>
      <c r="F2765">
        <v>197</v>
      </c>
      <c r="G2765" t="s">
        <v>41</v>
      </c>
      <c r="H2765">
        <v>2020</v>
      </c>
      <c r="I2765" t="s">
        <v>33</v>
      </c>
      <c r="J2765">
        <v>10</v>
      </c>
      <c r="K2765">
        <v>3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47</v>
      </c>
      <c r="T2765">
        <v>39</v>
      </c>
      <c r="U2765" s="5">
        <f>IF(Merge1[[#This Row],[team_defense_snaps]]=0, "", Merge1[[#This Row],[defense_snaps]] / Merge1[[#This Row],[team_defense_snaps]])</f>
        <v>0.609375</v>
      </c>
      <c r="V2765">
        <v>64</v>
      </c>
      <c r="W2765">
        <v>8</v>
      </c>
      <c r="X2765" s="5" t="s">
        <v>136</v>
      </c>
      <c r="Y2765">
        <v>2</v>
      </c>
      <c r="Z2765">
        <v>0</v>
      </c>
      <c r="AA2765" t="s">
        <v>25</v>
      </c>
      <c r="AB2765" t="s">
        <v>26</v>
      </c>
      <c r="AC2765" t="s">
        <v>27</v>
      </c>
      <c r="AD2765" t="s">
        <v>28</v>
      </c>
      <c r="AE2765" t="s">
        <v>25</v>
      </c>
      <c r="AF27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6.3829787234042548E-2</v>
      </c>
      <c r="AG2765" t="s">
        <v>943</v>
      </c>
      <c r="AH2765">
        <v>48.5</v>
      </c>
      <c r="AI2765" t="s">
        <v>939</v>
      </c>
      <c r="AJ2765">
        <v>2</v>
      </c>
      <c r="AK27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MIN(AJ2765/8, 1) +
  Merge1[[#This Row],[index_defensive_effort]],
  2
)</f>
        <v>0.81</v>
      </c>
    </row>
    <row r="2766" spans="1:37" x14ac:dyDescent="0.25">
      <c r="A2766" t="s">
        <v>737</v>
      </c>
      <c r="B2766" t="s">
        <v>738</v>
      </c>
      <c r="C2766">
        <v>25</v>
      </c>
      <c r="D2766" t="s">
        <v>22</v>
      </c>
      <c r="E2766">
        <v>71</v>
      </c>
      <c r="F2766">
        <v>197</v>
      </c>
      <c r="G2766" t="s">
        <v>41</v>
      </c>
      <c r="H2766">
        <v>2020</v>
      </c>
      <c r="I2766" t="s">
        <v>33</v>
      </c>
      <c r="J2766">
        <v>11</v>
      </c>
      <c r="K2766">
        <v>3</v>
      </c>
      <c r="L2766">
        <v>6</v>
      </c>
      <c r="M2766">
        <v>5</v>
      </c>
      <c r="N2766">
        <v>11</v>
      </c>
      <c r="O2766">
        <v>0</v>
      </c>
      <c r="P2766">
        <v>0</v>
      </c>
      <c r="Q2766">
        <v>0</v>
      </c>
      <c r="R2766">
        <v>2</v>
      </c>
      <c r="S2766">
        <v>50</v>
      </c>
      <c r="T2766">
        <v>41</v>
      </c>
      <c r="U2766" s="5">
        <f>IF(Merge1[[#This Row],[team_defense_snaps]]=0, "", Merge1[[#This Row],[defense_snaps]] / Merge1[[#This Row],[team_defense_snaps]])</f>
        <v>0.48809523809523808</v>
      </c>
      <c r="V2766">
        <v>84</v>
      </c>
      <c r="W2766">
        <v>9</v>
      </c>
      <c r="X2766" s="5" t="s">
        <v>113</v>
      </c>
      <c r="Y2766">
        <v>2</v>
      </c>
      <c r="Z2766">
        <v>0</v>
      </c>
      <c r="AA2766" t="s">
        <v>25</v>
      </c>
      <c r="AB2766" t="s">
        <v>26</v>
      </c>
      <c r="AC2766" t="s">
        <v>27</v>
      </c>
      <c r="AD2766" t="s">
        <v>28</v>
      </c>
      <c r="AE2766" t="s">
        <v>25</v>
      </c>
      <c r="AF27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</v>
      </c>
      <c r="AG2766" t="s">
        <v>943</v>
      </c>
      <c r="AH2766">
        <v>63.5</v>
      </c>
      <c r="AI2766" t="s">
        <v>939</v>
      </c>
      <c r="AJ2766">
        <v>3</v>
      </c>
      <c r="AK27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MIN(AJ2766/8, 1) +
  Merge1[[#This Row],[index_defensive_effort]],
  2
)</f>
        <v>1.1299999999999999</v>
      </c>
    </row>
    <row r="2767" spans="1:37" x14ac:dyDescent="0.25">
      <c r="A2767" t="s">
        <v>737</v>
      </c>
      <c r="B2767" t="s">
        <v>738</v>
      </c>
      <c r="C2767">
        <v>25</v>
      </c>
      <c r="D2767" t="s">
        <v>22</v>
      </c>
      <c r="E2767">
        <v>71</v>
      </c>
      <c r="F2767">
        <v>197</v>
      </c>
      <c r="G2767" t="s">
        <v>41</v>
      </c>
      <c r="H2767">
        <v>2020</v>
      </c>
      <c r="I2767" t="s">
        <v>33</v>
      </c>
      <c r="J2767">
        <v>12</v>
      </c>
      <c r="K2767">
        <v>3</v>
      </c>
      <c r="L2767">
        <v>4</v>
      </c>
      <c r="M2767">
        <v>0</v>
      </c>
      <c r="N2767">
        <v>4</v>
      </c>
      <c r="O2767">
        <v>0</v>
      </c>
      <c r="P2767">
        <v>1</v>
      </c>
      <c r="Q2767">
        <v>0</v>
      </c>
      <c r="R2767">
        <v>0</v>
      </c>
      <c r="S2767">
        <v>68</v>
      </c>
      <c r="T2767">
        <v>51</v>
      </c>
      <c r="U2767" s="5">
        <f>IF(Merge1[[#This Row],[team_defense_snaps]]=0, "", Merge1[[#This Row],[defense_snaps]] / Merge1[[#This Row],[team_defense_snaps]])</f>
        <v>0.75</v>
      </c>
      <c r="V2767">
        <v>68</v>
      </c>
      <c r="W2767">
        <v>17</v>
      </c>
      <c r="X2767" s="5" t="s">
        <v>176</v>
      </c>
      <c r="Y2767">
        <v>2</v>
      </c>
      <c r="Z2767">
        <v>0</v>
      </c>
      <c r="AA2767" t="s">
        <v>25</v>
      </c>
      <c r="AB2767" t="s">
        <v>26</v>
      </c>
      <c r="AC2767" t="s">
        <v>27</v>
      </c>
      <c r="AD2767" t="s">
        <v>28</v>
      </c>
      <c r="AE2767" t="s">
        <v>25</v>
      </c>
      <c r="AF27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0.10294117647058823</v>
      </c>
      <c r="AG2767" t="s">
        <v>943</v>
      </c>
      <c r="AH2767">
        <v>57.5</v>
      </c>
      <c r="AI2767" t="s">
        <v>939</v>
      </c>
      <c r="AJ2767">
        <v>4</v>
      </c>
      <c r="AK27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MIN(AJ2767/8, 1) +
  Merge1[[#This Row],[index_defensive_effort]],
  2
)</f>
        <v>1.1000000000000001</v>
      </c>
    </row>
    <row r="2768" spans="1:37" x14ac:dyDescent="0.25">
      <c r="A2768" t="s">
        <v>737</v>
      </c>
      <c r="B2768" t="s">
        <v>738</v>
      </c>
      <c r="C2768">
        <v>25</v>
      </c>
      <c r="D2768" t="s">
        <v>22</v>
      </c>
      <c r="E2768">
        <v>71</v>
      </c>
      <c r="F2768">
        <v>197</v>
      </c>
      <c r="G2768" t="s">
        <v>41</v>
      </c>
      <c r="H2768">
        <v>2020</v>
      </c>
      <c r="I2768" t="s">
        <v>33</v>
      </c>
      <c r="J2768">
        <v>13</v>
      </c>
      <c r="K2768">
        <v>2</v>
      </c>
      <c r="L2768">
        <v>3</v>
      </c>
      <c r="M2768">
        <v>0</v>
      </c>
      <c r="N2768">
        <v>3</v>
      </c>
      <c r="O2768">
        <v>3</v>
      </c>
      <c r="P2768">
        <v>4</v>
      </c>
      <c r="Q2768">
        <v>0</v>
      </c>
      <c r="R2768">
        <v>0</v>
      </c>
      <c r="S2768">
        <v>46</v>
      </c>
      <c r="T2768">
        <v>32</v>
      </c>
      <c r="U2768" s="5">
        <f>IF(Merge1[[#This Row],[team_defense_snaps]]=0, "", Merge1[[#This Row],[defense_snaps]] / Merge1[[#This Row],[team_defense_snaps]])</f>
        <v>0.5161290322580645</v>
      </c>
      <c r="V2768">
        <v>62</v>
      </c>
      <c r="W2768">
        <v>14</v>
      </c>
      <c r="X2768" s="5" t="s">
        <v>52</v>
      </c>
      <c r="Y2768">
        <v>2</v>
      </c>
      <c r="Z2768">
        <v>0</v>
      </c>
      <c r="AA2768" t="s">
        <v>25</v>
      </c>
      <c r="AB2768" t="s">
        <v>26</v>
      </c>
      <c r="AC2768" t="s">
        <v>27</v>
      </c>
      <c r="AD2768" t="s">
        <v>28</v>
      </c>
      <c r="AE2768" t="s">
        <v>25</v>
      </c>
      <c r="AF27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0.44565217391304346</v>
      </c>
      <c r="AG2768" t="s">
        <v>943</v>
      </c>
      <c r="AH2768">
        <v>50</v>
      </c>
      <c r="AI2768" t="s">
        <v>939</v>
      </c>
      <c r="AJ2768">
        <v>5</v>
      </c>
      <c r="AK27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MIN(AJ2768/8, 1) +
  Merge1[[#This Row],[index_defensive_effort]],
  2
)</f>
        <v>1.57</v>
      </c>
    </row>
    <row r="2769" spans="1:37" x14ac:dyDescent="0.25">
      <c r="A2769" t="s">
        <v>744</v>
      </c>
      <c r="B2769" t="s">
        <v>745</v>
      </c>
      <c r="C2769">
        <v>26</v>
      </c>
      <c r="D2769" t="s">
        <v>22</v>
      </c>
      <c r="E2769">
        <v>73</v>
      </c>
      <c r="F2769">
        <v>220</v>
      </c>
      <c r="G2769" t="s">
        <v>120</v>
      </c>
      <c r="H2769">
        <v>2020</v>
      </c>
      <c r="I2769" t="s">
        <v>33</v>
      </c>
      <c r="J2769">
        <v>1</v>
      </c>
      <c r="K2769">
        <v>1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77</v>
      </c>
      <c r="T2769">
        <v>68</v>
      </c>
      <c r="U2769" s="5">
        <f>IF(Merge1[[#This Row],[team_defense_snaps]]=0, "", Merge1[[#This Row],[defense_snaps]] / Merge1[[#This Row],[team_defense_snaps]])</f>
        <v>1</v>
      </c>
      <c r="V2769">
        <v>68</v>
      </c>
      <c r="W2769">
        <v>9</v>
      </c>
      <c r="X2769" s="5" t="s">
        <v>314</v>
      </c>
      <c r="Y2769">
        <v>3</v>
      </c>
      <c r="Z2769">
        <v>0</v>
      </c>
      <c r="AA2769" t="s">
        <v>25</v>
      </c>
      <c r="AB2769" t="s">
        <v>26</v>
      </c>
      <c r="AC2769" t="s">
        <v>27</v>
      </c>
      <c r="AD2769" t="s">
        <v>42</v>
      </c>
      <c r="AE2769" t="s">
        <v>25</v>
      </c>
      <c r="AF27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1.2987012987012988E-2</v>
      </c>
      <c r="AG2769" t="s">
        <v>942</v>
      </c>
      <c r="AH2769">
        <v>76</v>
      </c>
      <c r="AI2769" t="s">
        <v>939</v>
      </c>
      <c r="AJ2769">
        <v>1</v>
      </c>
      <c r="AK27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MIN(AJ2769/8, 1) +
  Merge1[[#This Row],[index_defensive_effort]],
  2
)</f>
        <v>0.74</v>
      </c>
    </row>
    <row r="2770" spans="1:37" x14ac:dyDescent="0.25">
      <c r="A2770" t="s">
        <v>744</v>
      </c>
      <c r="B2770" t="s">
        <v>745</v>
      </c>
      <c r="C2770">
        <v>26</v>
      </c>
      <c r="D2770" t="s">
        <v>22</v>
      </c>
      <c r="E2770">
        <v>73</v>
      </c>
      <c r="F2770">
        <v>220</v>
      </c>
      <c r="G2770" t="s">
        <v>120</v>
      </c>
      <c r="H2770">
        <v>2020</v>
      </c>
      <c r="I2770" t="s">
        <v>33</v>
      </c>
      <c r="J2770">
        <v>2</v>
      </c>
      <c r="K2770">
        <v>1</v>
      </c>
      <c r="L2770">
        <v>2</v>
      </c>
      <c r="M2770">
        <v>0</v>
      </c>
      <c r="N2770">
        <v>2</v>
      </c>
      <c r="O2770">
        <v>0</v>
      </c>
      <c r="P2770">
        <v>0</v>
      </c>
      <c r="Q2770">
        <v>0</v>
      </c>
      <c r="R2770">
        <v>0</v>
      </c>
      <c r="S2770">
        <v>39</v>
      </c>
      <c r="T2770">
        <v>34</v>
      </c>
      <c r="U2770" s="5">
        <f>IF(Merge1[[#This Row],[team_defense_snaps]]=0, "", Merge1[[#This Row],[defense_snaps]] / Merge1[[#This Row],[team_defense_snaps]])</f>
        <v>0.44155844155844154</v>
      </c>
      <c r="V2770">
        <v>77</v>
      </c>
      <c r="W2770">
        <v>5</v>
      </c>
      <c r="X2770" s="5" t="s">
        <v>59</v>
      </c>
      <c r="Y2770">
        <v>3</v>
      </c>
      <c r="Z2770">
        <v>0</v>
      </c>
      <c r="AA2770" t="s">
        <v>25</v>
      </c>
      <c r="AB2770" t="s">
        <v>26</v>
      </c>
      <c r="AC2770" t="s">
        <v>27</v>
      </c>
      <c r="AD2770" t="s">
        <v>42</v>
      </c>
      <c r="AE2770" t="s">
        <v>25</v>
      </c>
      <c r="AF27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5.128205128205128E-2</v>
      </c>
      <c r="AG2770" t="s">
        <v>942</v>
      </c>
      <c r="AH2770">
        <v>62.5</v>
      </c>
      <c r="AI2770" t="s">
        <v>939</v>
      </c>
      <c r="AJ2770">
        <v>2</v>
      </c>
      <c r="AK27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MIN(AJ2770/8, 1) +
  Merge1[[#This Row],[index_defensive_effort]],
  2
)</f>
        <v>0.9</v>
      </c>
    </row>
    <row r="2771" spans="1:37" x14ac:dyDescent="0.25">
      <c r="A2771" t="s">
        <v>744</v>
      </c>
      <c r="B2771" t="s">
        <v>745</v>
      </c>
      <c r="C2771">
        <v>26</v>
      </c>
      <c r="D2771" t="s">
        <v>22</v>
      </c>
      <c r="E2771">
        <v>73</v>
      </c>
      <c r="F2771">
        <v>220</v>
      </c>
      <c r="G2771" t="s">
        <v>120</v>
      </c>
      <c r="H2771">
        <v>2020</v>
      </c>
      <c r="I2771" t="s">
        <v>33</v>
      </c>
      <c r="J2771">
        <v>3</v>
      </c>
      <c r="K2771">
        <v>7</v>
      </c>
      <c r="L2771">
        <v>6</v>
      </c>
      <c r="M2771">
        <v>1</v>
      </c>
      <c r="N2771">
        <v>7</v>
      </c>
      <c r="O2771">
        <v>4</v>
      </c>
      <c r="P2771">
        <v>4</v>
      </c>
      <c r="Q2771">
        <v>0</v>
      </c>
      <c r="R2771">
        <v>0</v>
      </c>
      <c r="S2771">
        <v>51</v>
      </c>
      <c r="T2771">
        <v>51</v>
      </c>
      <c r="U2771" s="5">
        <f>IF(Merge1[[#This Row],[team_defense_snaps]]=0, "", Merge1[[#This Row],[defense_snaps]] / Merge1[[#This Row],[team_defense_snaps]])</f>
        <v>1</v>
      </c>
      <c r="V2771">
        <v>51</v>
      </c>
      <c r="W2771">
        <v>0</v>
      </c>
      <c r="X2771" s="5" t="s">
        <v>29</v>
      </c>
      <c r="Y2771">
        <v>3</v>
      </c>
      <c r="Z2771">
        <v>0</v>
      </c>
      <c r="AA2771" t="s">
        <v>25</v>
      </c>
      <c r="AB2771" t="s">
        <v>36</v>
      </c>
      <c r="AC2771" t="s">
        <v>50</v>
      </c>
      <c r="AD2771" t="s">
        <v>42</v>
      </c>
      <c r="AE2771" t="s">
        <v>25</v>
      </c>
      <c r="AF27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0.59803921568627449</v>
      </c>
      <c r="AG2771" t="s">
        <v>942</v>
      </c>
      <c r="AH2771">
        <v>61</v>
      </c>
      <c r="AI2771" t="s">
        <v>939</v>
      </c>
      <c r="AJ2771">
        <v>3</v>
      </c>
      <c r="AK27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MIN(AJ2771/8, 1) +
  Merge1[[#This Row],[index_defensive_effort]],
  2
)</f>
        <v>1.57</v>
      </c>
    </row>
    <row r="2772" spans="1:37" x14ac:dyDescent="0.25">
      <c r="A2772" t="s">
        <v>744</v>
      </c>
      <c r="B2772" t="s">
        <v>745</v>
      </c>
      <c r="C2772">
        <v>26</v>
      </c>
      <c r="D2772" t="s">
        <v>22</v>
      </c>
      <c r="E2772">
        <v>73</v>
      </c>
      <c r="F2772">
        <v>220</v>
      </c>
      <c r="G2772" t="s">
        <v>120</v>
      </c>
      <c r="H2772">
        <v>2020</v>
      </c>
      <c r="I2772" t="s">
        <v>33</v>
      </c>
      <c r="J2772">
        <v>4</v>
      </c>
      <c r="K2772">
        <v>2</v>
      </c>
      <c r="L2772">
        <v>2</v>
      </c>
      <c r="M2772">
        <v>1</v>
      </c>
      <c r="N2772">
        <v>3</v>
      </c>
      <c r="O2772">
        <v>0</v>
      </c>
      <c r="P2772">
        <v>0</v>
      </c>
      <c r="Q2772">
        <v>0</v>
      </c>
      <c r="R2772">
        <v>0</v>
      </c>
      <c r="S2772">
        <v>78</v>
      </c>
      <c r="T2772">
        <v>76</v>
      </c>
      <c r="U2772" s="5">
        <f>IF(Merge1[[#This Row],[team_defense_snaps]]=0, "", Merge1[[#This Row],[defense_snaps]] / Merge1[[#This Row],[team_defense_snaps]])</f>
        <v>0.76</v>
      </c>
      <c r="V2772">
        <v>100</v>
      </c>
      <c r="W2772">
        <v>2</v>
      </c>
      <c r="X2772" s="5" t="s">
        <v>114</v>
      </c>
      <c r="Y2772">
        <v>3</v>
      </c>
      <c r="Z2772">
        <v>0</v>
      </c>
      <c r="AA2772" t="s">
        <v>25</v>
      </c>
      <c r="AB2772" t="s">
        <v>36</v>
      </c>
      <c r="AC2772" t="s">
        <v>50</v>
      </c>
      <c r="AD2772" t="s">
        <v>42</v>
      </c>
      <c r="AE2772" t="s">
        <v>25</v>
      </c>
      <c r="AF27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4.4871794871794872E-2</v>
      </c>
      <c r="AG2772" t="s">
        <v>942</v>
      </c>
      <c r="AH2772">
        <v>68.5</v>
      </c>
      <c r="AI2772" t="s">
        <v>939</v>
      </c>
      <c r="AJ2772">
        <v>4</v>
      </c>
      <c r="AK27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MIN(AJ2772/8, 1) +
  Merge1[[#This Row],[index_defensive_effort]],
  2
)</f>
        <v>1.1399999999999999</v>
      </c>
    </row>
    <row r="2773" spans="1:37" x14ac:dyDescent="0.25">
      <c r="A2773" t="s">
        <v>744</v>
      </c>
      <c r="B2773" t="s">
        <v>745</v>
      </c>
      <c r="C2773">
        <v>26</v>
      </c>
      <c r="D2773" t="s">
        <v>22</v>
      </c>
      <c r="E2773">
        <v>73</v>
      </c>
      <c r="F2773">
        <v>220</v>
      </c>
      <c r="G2773" t="s">
        <v>120</v>
      </c>
      <c r="H2773">
        <v>2020</v>
      </c>
      <c r="I2773" t="s">
        <v>33</v>
      </c>
      <c r="J2773">
        <v>5</v>
      </c>
      <c r="K2773">
        <v>7</v>
      </c>
      <c r="L2773">
        <v>2</v>
      </c>
      <c r="M2773">
        <v>0</v>
      </c>
      <c r="N2773">
        <v>2</v>
      </c>
      <c r="O2773">
        <v>0</v>
      </c>
      <c r="P2773">
        <v>0</v>
      </c>
      <c r="Q2773">
        <v>0</v>
      </c>
      <c r="R2773">
        <v>0</v>
      </c>
      <c r="S2773">
        <v>77</v>
      </c>
      <c r="T2773">
        <v>76</v>
      </c>
      <c r="U2773" s="5">
        <f>IF(Merge1[[#This Row],[team_defense_snaps]]=0, "", Merge1[[#This Row],[defense_snaps]] / Merge1[[#This Row],[team_defense_snaps]])</f>
        <v>1</v>
      </c>
      <c r="V2773">
        <v>76</v>
      </c>
      <c r="W2773">
        <v>1</v>
      </c>
      <c r="X2773" s="5" t="s">
        <v>303</v>
      </c>
      <c r="Y2773">
        <v>3</v>
      </c>
      <c r="Z2773">
        <v>0</v>
      </c>
      <c r="AA2773" t="s">
        <v>25</v>
      </c>
      <c r="AB2773" t="s">
        <v>26</v>
      </c>
      <c r="AC2773" t="s">
        <v>27</v>
      </c>
      <c r="AD2773" t="s">
        <v>42</v>
      </c>
      <c r="AE2773" t="s">
        <v>25</v>
      </c>
      <c r="AF27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0.1038961038961039</v>
      </c>
      <c r="AG2773" t="s">
        <v>942</v>
      </c>
      <c r="AH2773">
        <v>82</v>
      </c>
      <c r="AI2773" t="s">
        <v>939</v>
      </c>
      <c r="AJ2773">
        <v>5</v>
      </c>
      <c r="AK27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MIN(AJ2773/8, 1) +
  Merge1[[#This Row],[index_defensive_effort]],
  2
)</f>
        <v>1.33</v>
      </c>
    </row>
    <row r="2774" spans="1:37" x14ac:dyDescent="0.25">
      <c r="A2774" t="s">
        <v>744</v>
      </c>
      <c r="B2774" t="s">
        <v>745</v>
      </c>
      <c r="C2774">
        <v>26</v>
      </c>
      <c r="D2774" t="s">
        <v>22</v>
      </c>
      <c r="E2774">
        <v>73</v>
      </c>
      <c r="F2774">
        <v>220</v>
      </c>
      <c r="G2774" t="s">
        <v>120</v>
      </c>
      <c r="H2774">
        <v>2020</v>
      </c>
      <c r="I2774" t="s">
        <v>33</v>
      </c>
      <c r="J2774">
        <v>7</v>
      </c>
      <c r="K2774">
        <v>7</v>
      </c>
      <c r="L2774">
        <v>1</v>
      </c>
      <c r="M2774">
        <v>0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63</v>
      </c>
      <c r="T2774">
        <v>63</v>
      </c>
      <c r="U2774" s="5">
        <f>IF(Merge1[[#This Row],[team_defense_snaps]]=0, "", Merge1[[#This Row],[defense_snaps]] / Merge1[[#This Row],[team_defense_snaps]])</f>
        <v>1</v>
      </c>
      <c r="V2774">
        <v>63</v>
      </c>
      <c r="W2774">
        <v>0</v>
      </c>
      <c r="X2774" s="5" t="s">
        <v>29</v>
      </c>
      <c r="Y2774">
        <v>3</v>
      </c>
      <c r="Z2774">
        <v>0</v>
      </c>
      <c r="AA2774" t="s">
        <v>25</v>
      </c>
      <c r="AB2774" t="s">
        <v>26</v>
      </c>
      <c r="AC2774" t="s">
        <v>27</v>
      </c>
      <c r="AD2774" t="s">
        <v>42</v>
      </c>
      <c r="AE2774" t="s">
        <v>25</v>
      </c>
      <c r="AF27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0.11904761904761904</v>
      </c>
      <c r="AG2774" t="s">
        <v>942</v>
      </c>
      <c r="AH2774">
        <v>73</v>
      </c>
      <c r="AI2774" t="s">
        <v>939</v>
      </c>
      <c r="AJ2774">
        <v>1</v>
      </c>
      <c r="AK27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MIN(AJ2774/8, 1) +
  Merge1[[#This Row],[index_defensive_effort]],
  2
)</f>
        <v>0.84</v>
      </c>
    </row>
    <row r="2775" spans="1:37" x14ac:dyDescent="0.25">
      <c r="A2775" t="s">
        <v>744</v>
      </c>
      <c r="B2775" t="s">
        <v>745</v>
      </c>
      <c r="C2775">
        <v>26</v>
      </c>
      <c r="D2775" t="s">
        <v>22</v>
      </c>
      <c r="E2775">
        <v>73</v>
      </c>
      <c r="F2775">
        <v>220</v>
      </c>
      <c r="G2775" t="s">
        <v>120</v>
      </c>
      <c r="H2775">
        <v>2020</v>
      </c>
      <c r="I2775" t="s">
        <v>33</v>
      </c>
      <c r="J2775">
        <v>8</v>
      </c>
      <c r="K2775">
        <v>8</v>
      </c>
      <c r="L2775">
        <v>1</v>
      </c>
      <c r="M2775">
        <v>0</v>
      </c>
      <c r="N2775">
        <v>1</v>
      </c>
      <c r="O2775">
        <v>0</v>
      </c>
      <c r="P2775">
        <v>0</v>
      </c>
      <c r="Q2775">
        <v>2</v>
      </c>
      <c r="R2775">
        <v>0</v>
      </c>
      <c r="S2775">
        <v>65</v>
      </c>
      <c r="T2775">
        <v>65</v>
      </c>
      <c r="U2775" s="5">
        <f>IF(Merge1[[#This Row],[team_defense_snaps]]=0, "", Merge1[[#This Row],[defense_snaps]] / Merge1[[#This Row],[team_defense_snaps]])</f>
        <v>1</v>
      </c>
      <c r="V2775">
        <v>65</v>
      </c>
      <c r="W2775">
        <v>0</v>
      </c>
      <c r="X2775" s="5" t="s">
        <v>29</v>
      </c>
      <c r="Y2775">
        <v>3</v>
      </c>
      <c r="Z2775">
        <v>0</v>
      </c>
      <c r="AA2775" t="s">
        <v>25</v>
      </c>
      <c r="AB2775" t="s">
        <v>26</v>
      </c>
      <c r="AC2775" t="s">
        <v>27</v>
      </c>
      <c r="AD2775" t="s">
        <v>42</v>
      </c>
      <c r="AE2775" t="s">
        <v>25</v>
      </c>
      <c r="AF27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0.25384615384615383</v>
      </c>
      <c r="AG2775" t="s">
        <v>942</v>
      </c>
      <c r="AH2775">
        <v>77.5</v>
      </c>
      <c r="AI2775" t="s">
        <v>939</v>
      </c>
      <c r="AJ2775">
        <v>2</v>
      </c>
      <c r="AK27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MIN(AJ2775/8, 1) +
  Merge1[[#This Row],[index_defensive_effort]],
  2
)</f>
        <v>1.1000000000000001</v>
      </c>
    </row>
    <row r="2776" spans="1:37" x14ac:dyDescent="0.25">
      <c r="A2776" t="s">
        <v>744</v>
      </c>
      <c r="B2776" t="s">
        <v>745</v>
      </c>
      <c r="C2776">
        <v>26</v>
      </c>
      <c r="D2776" t="s">
        <v>22</v>
      </c>
      <c r="E2776">
        <v>73</v>
      </c>
      <c r="F2776">
        <v>220</v>
      </c>
      <c r="G2776" t="s">
        <v>120</v>
      </c>
      <c r="H2776">
        <v>2020</v>
      </c>
      <c r="I2776" t="s">
        <v>33</v>
      </c>
      <c r="J2776">
        <v>9</v>
      </c>
      <c r="K2776">
        <v>3</v>
      </c>
      <c r="L2776">
        <v>3</v>
      </c>
      <c r="M2776">
        <v>1</v>
      </c>
      <c r="N2776">
        <v>4</v>
      </c>
      <c r="O2776">
        <v>0</v>
      </c>
      <c r="P2776">
        <v>0</v>
      </c>
      <c r="Q2776">
        <v>0</v>
      </c>
      <c r="R2776">
        <v>0</v>
      </c>
      <c r="S2776">
        <v>51</v>
      </c>
      <c r="T2776">
        <v>51</v>
      </c>
      <c r="U2776" s="5">
        <f>IF(Merge1[[#This Row],[team_defense_snaps]]=0, "", Merge1[[#This Row],[defense_snaps]] / Merge1[[#This Row],[team_defense_snaps]])</f>
        <v>1</v>
      </c>
      <c r="V2776">
        <v>51</v>
      </c>
      <c r="W2776">
        <v>0</v>
      </c>
      <c r="X2776" s="5" t="s">
        <v>29</v>
      </c>
      <c r="Y2776">
        <v>3</v>
      </c>
      <c r="Z2776">
        <v>0</v>
      </c>
      <c r="AA2776" t="s">
        <v>25</v>
      </c>
      <c r="AB2776" t="s">
        <v>26</v>
      </c>
      <c r="AC2776" t="s">
        <v>27</v>
      </c>
      <c r="AD2776" t="s">
        <v>42</v>
      </c>
      <c r="AE2776" t="s">
        <v>25</v>
      </c>
      <c r="AF27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9.8039215686274508E-2</v>
      </c>
      <c r="AG2776" t="s">
        <v>942</v>
      </c>
      <c r="AH2776">
        <v>70</v>
      </c>
      <c r="AI2776" t="s">
        <v>939</v>
      </c>
      <c r="AJ2776">
        <v>3</v>
      </c>
      <c r="AK27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MIN(AJ2776/8, 1) +
  Merge1[[#This Row],[index_defensive_effort]],
  2
)</f>
        <v>1.07</v>
      </c>
    </row>
    <row r="2777" spans="1:37" x14ac:dyDescent="0.25">
      <c r="A2777" t="s">
        <v>744</v>
      </c>
      <c r="B2777" t="s">
        <v>745</v>
      </c>
      <c r="C2777">
        <v>26</v>
      </c>
      <c r="D2777" t="s">
        <v>22</v>
      </c>
      <c r="E2777">
        <v>73</v>
      </c>
      <c r="F2777">
        <v>220</v>
      </c>
      <c r="G2777" t="s">
        <v>120</v>
      </c>
      <c r="H2777">
        <v>2020</v>
      </c>
      <c r="I2777" t="s">
        <v>33</v>
      </c>
      <c r="J2777">
        <v>10</v>
      </c>
      <c r="K2777">
        <v>4</v>
      </c>
      <c r="L2777">
        <v>1</v>
      </c>
      <c r="M2777">
        <v>0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58</v>
      </c>
      <c r="T2777">
        <v>58</v>
      </c>
      <c r="U2777" s="5">
        <f>IF(Merge1[[#This Row],[team_defense_snaps]]=0, "", Merge1[[#This Row],[defense_snaps]] / Merge1[[#This Row],[team_defense_snaps]])</f>
        <v>1</v>
      </c>
      <c r="V2777">
        <v>58</v>
      </c>
      <c r="W2777">
        <v>0</v>
      </c>
      <c r="X2777" s="5" t="s">
        <v>29</v>
      </c>
      <c r="Y2777">
        <v>3</v>
      </c>
      <c r="Z2777">
        <v>0</v>
      </c>
      <c r="AA2777" t="s">
        <v>25</v>
      </c>
      <c r="AB2777" t="s">
        <v>26</v>
      </c>
      <c r="AC2777" t="s">
        <v>27</v>
      </c>
      <c r="AD2777" t="s">
        <v>42</v>
      </c>
      <c r="AE2777" t="s">
        <v>25</v>
      </c>
      <c r="AF27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7.7586206896551727E-2</v>
      </c>
      <c r="AG2777" t="s">
        <v>942</v>
      </c>
      <c r="AH2777">
        <v>67</v>
      </c>
      <c r="AI2777" t="s">
        <v>939</v>
      </c>
      <c r="AJ2777">
        <v>4</v>
      </c>
      <c r="AK27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MIN(AJ2777/8, 1) +
  Merge1[[#This Row],[index_defensive_effort]],
  2
)</f>
        <v>1.18</v>
      </c>
    </row>
    <row r="2778" spans="1:37" x14ac:dyDescent="0.25">
      <c r="A2778" t="s">
        <v>744</v>
      </c>
      <c r="B2778" t="s">
        <v>745</v>
      </c>
      <c r="C2778">
        <v>26</v>
      </c>
      <c r="D2778" t="s">
        <v>22</v>
      </c>
      <c r="E2778">
        <v>73</v>
      </c>
      <c r="F2778">
        <v>220</v>
      </c>
      <c r="G2778" t="s">
        <v>120</v>
      </c>
      <c r="H2778">
        <v>2020</v>
      </c>
      <c r="I2778" t="s">
        <v>33</v>
      </c>
      <c r="J2778">
        <v>11</v>
      </c>
      <c r="K2778">
        <v>4</v>
      </c>
      <c r="L2778">
        <v>3</v>
      </c>
      <c r="M2778">
        <v>0</v>
      </c>
      <c r="N2778">
        <v>3</v>
      </c>
      <c r="O2778">
        <v>0</v>
      </c>
      <c r="P2778">
        <v>1</v>
      </c>
      <c r="Q2778">
        <v>0</v>
      </c>
      <c r="R2778">
        <v>0</v>
      </c>
      <c r="S2778">
        <v>65</v>
      </c>
      <c r="T2778">
        <v>60</v>
      </c>
      <c r="U2778" s="5">
        <f>IF(Merge1[[#This Row],[team_defense_snaps]]=0, "", Merge1[[#This Row],[defense_snaps]] / Merge1[[#This Row],[team_defense_snaps]])</f>
        <v>0.98360655737704916</v>
      </c>
      <c r="V2778">
        <v>61</v>
      </c>
      <c r="W2778">
        <v>5</v>
      </c>
      <c r="X2778" s="5" t="s">
        <v>124</v>
      </c>
      <c r="Y2778">
        <v>3</v>
      </c>
      <c r="Z2778">
        <v>0</v>
      </c>
      <c r="AA2778" t="s">
        <v>25</v>
      </c>
      <c r="AB2778" t="s">
        <v>26</v>
      </c>
      <c r="AC2778" t="s">
        <v>27</v>
      </c>
      <c r="AD2778" t="s">
        <v>42</v>
      </c>
      <c r="AE2778" t="s">
        <v>25</v>
      </c>
      <c r="AF27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0.11538461538461539</v>
      </c>
      <c r="AG2778" t="s">
        <v>942</v>
      </c>
      <c r="AH2778">
        <v>80.5</v>
      </c>
      <c r="AI2778" t="s">
        <v>939</v>
      </c>
      <c r="AJ2778">
        <v>5</v>
      </c>
      <c r="AK27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MIN(AJ2778/8, 1) +
  Merge1[[#This Row],[index_defensive_effort]],
  2
)</f>
        <v>1.34</v>
      </c>
    </row>
    <row r="2779" spans="1:37" x14ac:dyDescent="0.25">
      <c r="A2779" t="s">
        <v>744</v>
      </c>
      <c r="B2779" t="s">
        <v>745</v>
      </c>
      <c r="C2779">
        <v>26</v>
      </c>
      <c r="D2779" t="s">
        <v>22</v>
      </c>
      <c r="E2779">
        <v>73</v>
      </c>
      <c r="F2779">
        <v>220</v>
      </c>
      <c r="G2779" t="s">
        <v>120</v>
      </c>
      <c r="H2779">
        <v>2020</v>
      </c>
      <c r="I2779" t="s">
        <v>33</v>
      </c>
      <c r="J2779">
        <v>12</v>
      </c>
      <c r="K2779">
        <v>8</v>
      </c>
      <c r="L2779">
        <v>3</v>
      </c>
      <c r="M2779">
        <v>1</v>
      </c>
      <c r="N2779">
        <v>4</v>
      </c>
      <c r="O2779">
        <v>0</v>
      </c>
      <c r="P2779">
        <v>0</v>
      </c>
      <c r="Q2779">
        <v>0</v>
      </c>
      <c r="R2779">
        <v>0</v>
      </c>
      <c r="S2779">
        <v>61</v>
      </c>
      <c r="T2779">
        <v>61</v>
      </c>
      <c r="U2779" s="5">
        <f>IF(Merge1[[#This Row],[team_defense_snaps]]=0, "", Merge1[[#This Row],[defense_snaps]] / Merge1[[#This Row],[team_defense_snaps]])</f>
        <v>0.9838709677419355</v>
      </c>
      <c r="V2779">
        <v>62</v>
      </c>
      <c r="W2779">
        <v>0</v>
      </c>
      <c r="X2779" s="5" t="s">
        <v>29</v>
      </c>
      <c r="Y2779">
        <v>3</v>
      </c>
      <c r="Z2779">
        <v>0</v>
      </c>
      <c r="AA2779" t="s">
        <v>25</v>
      </c>
      <c r="AB2779" t="s">
        <v>26</v>
      </c>
      <c r="AC2779" t="s">
        <v>27</v>
      </c>
      <c r="AD2779" t="s">
        <v>42</v>
      </c>
      <c r="AE2779" t="s">
        <v>25</v>
      </c>
      <c r="AF27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0.16393442622950818</v>
      </c>
      <c r="AG2779" t="s">
        <v>942</v>
      </c>
      <c r="AH2779">
        <v>79</v>
      </c>
      <c r="AI2779" t="s">
        <v>939</v>
      </c>
      <c r="AJ2779">
        <v>6</v>
      </c>
      <c r="AK27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MIN(AJ2779/8, 1) +
  Merge1[[#This Row],[index_defensive_effort]],
  2
)</f>
        <v>1.51</v>
      </c>
    </row>
    <row r="2780" spans="1:37" x14ac:dyDescent="0.25">
      <c r="A2780" t="s">
        <v>744</v>
      </c>
      <c r="B2780" t="s">
        <v>745</v>
      </c>
      <c r="C2780">
        <v>26</v>
      </c>
      <c r="D2780" t="s">
        <v>22</v>
      </c>
      <c r="E2780">
        <v>73</v>
      </c>
      <c r="F2780">
        <v>220</v>
      </c>
      <c r="G2780" t="s">
        <v>120</v>
      </c>
      <c r="H2780">
        <v>2020</v>
      </c>
      <c r="I2780" t="s">
        <v>33</v>
      </c>
      <c r="J2780">
        <v>13</v>
      </c>
      <c r="K2780">
        <v>5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65</v>
      </c>
      <c r="T2780">
        <v>63</v>
      </c>
      <c r="U2780" s="5">
        <f>IF(Merge1[[#This Row],[team_defense_snaps]]=0, "", Merge1[[#This Row],[defense_snaps]] / Merge1[[#This Row],[team_defense_snaps]])</f>
        <v>0.94029850746268662</v>
      </c>
      <c r="V2780">
        <v>67</v>
      </c>
      <c r="W2780">
        <v>2</v>
      </c>
      <c r="X2780" s="5" t="s">
        <v>167</v>
      </c>
      <c r="Y2780">
        <v>3</v>
      </c>
      <c r="Z2780">
        <v>0</v>
      </c>
      <c r="AA2780" t="s">
        <v>25</v>
      </c>
      <c r="AB2780" t="s">
        <v>26</v>
      </c>
      <c r="AC2780" t="s">
        <v>27</v>
      </c>
      <c r="AD2780" t="s">
        <v>42</v>
      </c>
      <c r="AE2780" t="s">
        <v>25</v>
      </c>
      <c r="AF27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7.6923076923076927E-2</v>
      </c>
      <c r="AG2780" t="s">
        <v>942</v>
      </c>
      <c r="AH2780">
        <v>64</v>
      </c>
      <c r="AI2780" t="s">
        <v>939</v>
      </c>
      <c r="AJ2780">
        <v>7</v>
      </c>
      <c r="AK27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MIN(AJ2780/8, 1) +
  Merge1[[#This Row],[index_defensive_effort]],
  2
)</f>
        <v>1.55</v>
      </c>
    </row>
    <row r="2781" spans="1:37" x14ac:dyDescent="0.25">
      <c r="A2781" t="s">
        <v>744</v>
      </c>
      <c r="B2781" t="s">
        <v>745</v>
      </c>
      <c r="C2781">
        <v>26</v>
      </c>
      <c r="D2781" t="s">
        <v>22</v>
      </c>
      <c r="E2781">
        <v>73</v>
      </c>
      <c r="F2781">
        <v>220</v>
      </c>
      <c r="G2781" t="s">
        <v>120</v>
      </c>
      <c r="H2781">
        <v>2020</v>
      </c>
      <c r="I2781" t="s">
        <v>33</v>
      </c>
      <c r="J2781">
        <v>14</v>
      </c>
      <c r="K2781">
        <v>4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2</v>
      </c>
      <c r="R2781">
        <v>0</v>
      </c>
      <c r="S2781">
        <v>60</v>
      </c>
      <c r="T2781">
        <v>57</v>
      </c>
      <c r="U2781" s="5">
        <f>IF(Merge1[[#This Row],[team_defense_snaps]]=0, "", Merge1[[#This Row],[defense_snaps]] / Merge1[[#This Row],[team_defense_snaps]])</f>
        <v>1</v>
      </c>
      <c r="V2781">
        <v>57</v>
      </c>
      <c r="W2781">
        <v>3</v>
      </c>
      <c r="X2781" s="5" t="s">
        <v>212</v>
      </c>
      <c r="Y2781">
        <v>3</v>
      </c>
      <c r="Z2781">
        <v>0</v>
      </c>
      <c r="AA2781" t="s">
        <v>25</v>
      </c>
      <c r="AB2781" t="s">
        <v>26</v>
      </c>
      <c r="AC2781" t="s">
        <v>27</v>
      </c>
      <c r="AD2781" t="s">
        <v>42</v>
      </c>
      <c r="AE2781" t="s">
        <v>25</v>
      </c>
      <c r="AF27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</v>
      </c>
      <c r="AG2781" t="s">
        <v>942</v>
      </c>
      <c r="AH2781">
        <v>71.5</v>
      </c>
      <c r="AI2781" t="s">
        <v>939</v>
      </c>
      <c r="AJ2781">
        <v>8</v>
      </c>
      <c r="AK27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MIN(AJ2781/8, 1) +
  Merge1[[#This Row],[index_defensive_effort]],
  2
)</f>
        <v>1.8</v>
      </c>
    </row>
    <row r="2782" spans="1:37" x14ac:dyDescent="0.25">
      <c r="A2782" t="s">
        <v>744</v>
      </c>
      <c r="B2782" t="s">
        <v>745</v>
      </c>
      <c r="C2782">
        <v>26</v>
      </c>
      <c r="D2782" t="s">
        <v>22</v>
      </c>
      <c r="E2782">
        <v>73</v>
      </c>
      <c r="F2782">
        <v>220</v>
      </c>
      <c r="G2782" t="s">
        <v>120</v>
      </c>
      <c r="H2782">
        <v>2020</v>
      </c>
      <c r="I2782" t="s">
        <v>33</v>
      </c>
      <c r="J2782">
        <v>15</v>
      </c>
      <c r="K2782">
        <v>2</v>
      </c>
      <c r="L2782">
        <v>2</v>
      </c>
      <c r="M2782">
        <v>0</v>
      </c>
      <c r="N2782">
        <v>2</v>
      </c>
      <c r="O2782">
        <v>0</v>
      </c>
      <c r="P2782">
        <v>0</v>
      </c>
      <c r="Q2782">
        <v>0</v>
      </c>
      <c r="R2782">
        <v>0</v>
      </c>
      <c r="S2782">
        <v>80</v>
      </c>
      <c r="T2782">
        <v>72</v>
      </c>
      <c r="U2782" s="5">
        <f>IF(Merge1[[#This Row],[team_defense_snaps]]=0, "", Merge1[[#This Row],[defense_snaps]] / Merge1[[#This Row],[team_defense_snaps]])</f>
        <v>0.93506493506493504</v>
      </c>
      <c r="V2782">
        <v>77</v>
      </c>
      <c r="W2782">
        <v>8</v>
      </c>
      <c r="X2782" s="5" t="s">
        <v>113</v>
      </c>
      <c r="Y2782">
        <v>3</v>
      </c>
      <c r="Z2782">
        <v>0</v>
      </c>
      <c r="AA2782" t="s">
        <v>25</v>
      </c>
      <c r="AB2782" t="s">
        <v>26</v>
      </c>
      <c r="AC2782" t="s">
        <v>27</v>
      </c>
      <c r="AD2782" t="s">
        <v>42</v>
      </c>
      <c r="AE2782" t="s">
        <v>25</v>
      </c>
      <c r="AF27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3.7499999999999999E-2</v>
      </c>
      <c r="AG2782" t="s">
        <v>942</v>
      </c>
      <c r="AH2782">
        <v>65.5</v>
      </c>
      <c r="AI2782" t="s">
        <v>939</v>
      </c>
      <c r="AJ2782">
        <v>9</v>
      </c>
      <c r="AK27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MIN(AJ2782/8, 1) +
  Merge1[[#This Row],[index_defensive_effort]],
  2
)</f>
        <v>1.64</v>
      </c>
    </row>
    <row r="2783" spans="1:37" x14ac:dyDescent="0.25">
      <c r="A2783" t="s">
        <v>725</v>
      </c>
      <c r="B2783" t="s">
        <v>726</v>
      </c>
      <c r="C2783">
        <v>29</v>
      </c>
      <c r="D2783" t="s">
        <v>22</v>
      </c>
      <c r="E2783">
        <v>69</v>
      </c>
      <c r="F2783">
        <v>186</v>
      </c>
      <c r="G2783" t="s">
        <v>173</v>
      </c>
      <c r="H2783">
        <v>2020</v>
      </c>
      <c r="I2783" t="s">
        <v>33</v>
      </c>
      <c r="J2783">
        <v>2</v>
      </c>
      <c r="K2783">
        <v>1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19</v>
      </c>
      <c r="T2783">
        <v>19</v>
      </c>
      <c r="U2783" s="5">
        <f>IF(Merge1[[#This Row],[team_defense_snaps]]=0, "", Merge1[[#This Row],[defense_snaps]] / Merge1[[#This Row],[team_defense_snaps]])</f>
        <v>0.2289156626506024</v>
      </c>
      <c r="V2783">
        <v>83</v>
      </c>
      <c r="W2783">
        <v>0</v>
      </c>
      <c r="X2783" s="5" t="s">
        <v>29</v>
      </c>
      <c r="Y2783">
        <v>6</v>
      </c>
      <c r="Z2783">
        <v>0</v>
      </c>
      <c r="AA2783" t="s">
        <v>25</v>
      </c>
      <c r="AB2783" t="s">
        <v>26</v>
      </c>
      <c r="AC2783" t="s">
        <v>27</v>
      </c>
      <c r="AD2783" t="s">
        <v>42</v>
      </c>
      <c r="AE2783" t="s">
        <v>25</v>
      </c>
      <c r="AF27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5.2631578947368418E-2</v>
      </c>
      <c r="AG2783" t="s">
        <v>942</v>
      </c>
      <c r="AH2783">
        <v>55.5</v>
      </c>
      <c r="AI2783" t="s">
        <v>939</v>
      </c>
      <c r="AJ2783">
        <v>1</v>
      </c>
      <c r="AK27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MIN(AJ2783/8, 1) +
  Merge1[[#This Row],[index_defensive_effort]],
  2
)</f>
        <v>0.78</v>
      </c>
    </row>
    <row r="2784" spans="1:37" x14ac:dyDescent="0.25">
      <c r="A2784" t="s">
        <v>725</v>
      </c>
      <c r="B2784" t="s">
        <v>726</v>
      </c>
      <c r="C2784">
        <v>29</v>
      </c>
      <c r="D2784" t="s">
        <v>22</v>
      </c>
      <c r="E2784">
        <v>69</v>
      </c>
      <c r="F2784">
        <v>186</v>
      </c>
      <c r="G2784" t="s">
        <v>173</v>
      </c>
      <c r="H2784">
        <v>2020</v>
      </c>
      <c r="I2784" t="s">
        <v>33</v>
      </c>
      <c r="J2784">
        <v>5</v>
      </c>
      <c r="K2784">
        <v>3</v>
      </c>
      <c r="L2784">
        <v>2</v>
      </c>
      <c r="M2784">
        <v>1</v>
      </c>
      <c r="N2784">
        <v>3</v>
      </c>
      <c r="O2784">
        <v>0</v>
      </c>
      <c r="P2784">
        <v>0</v>
      </c>
      <c r="Q2784">
        <v>0</v>
      </c>
      <c r="R2784">
        <v>0</v>
      </c>
      <c r="S2784">
        <v>64</v>
      </c>
      <c r="T2784">
        <v>64</v>
      </c>
      <c r="U2784" s="5">
        <f>IF(Merge1[[#This Row],[team_defense_snaps]]=0, "", Merge1[[#This Row],[defense_snaps]] / Merge1[[#This Row],[team_defense_snaps]])</f>
        <v>0.96969696969696972</v>
      </c>
      <c r="V2784">
        <v>66</v>
      </c>
      <c r="W2784">
        <v>0</v>
      </c>
      <c r="X2784" s="5" t="s">
        <v>29</v>
      </c>
      <c r="Y2784">
        <v>6</v>
      </c>
      <c r="Z2784">
        <v>0</v>
      </c>
      <c r="AA2784" t="s">
        <v>25</v>
      </c>
      <c r="AB2784" t="s">
        <v>26</v>
      </c>
      <c r="AC2784" t="s">
        <v>27</v>
      </c>
      <c r="AD2784" t="s">
        <v>42</v>
      </c>
      <c r="AE2784" t="s">
        <v>25</v>
      </c>
      <c r="AF27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7.03125E-2</v>
      </c>
      <c r="AG2784" t="s">
        <v>942</v>
      </c>
      <c r="AH2784">
        <v>70.5</v>
      </c>
      <c r="AI2784" t="s">
        <v>939</v>
      </c>
      <c r="AJ2784">
        <v>1</v>
      </c>
      <c r="AK27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MIN(AJ2784/8, 1) +
  Merge1[[#This Row],[index_defensive_effort]],
  2
)</f>
        <v>0.8</v>
      </c>
    </row>
    <row r="2785" spans="1:37" x14ac:dyDescent="0.25">
      <c r="A2785" t="s">
        <v>725</v>
      </c>
      <c r="B2785" t="s">
        <v>726</v>
      </c>
      <c r="C2785">
        <v>29</v>
      </c>
      <c r="D2785" t="s">
        <v>22</v>
      </c>
      <c r="E2785">
        <v>69</v>
      </c>
      <c r="F2785">
        <v>186</v>
      </c>
      <c r="G2785" t="s">
        <v>173</v>
      </c>
      <c r="H2785">
        <v>2020</v>
      </c>
      <c r="I2785" t="s">
        <v>33</v>
      </c>
      <c r="J2785">
        <v>6</v>
      </c>
      <c r="K2785">
        <v>1</v>
      </c>
      <c r="L2785">
        <v>1</v>
      </c>
      <c r="M2785">
        <v>0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56</v>
      </c>
      <c r="T2785">
        <v>54</v>
      </c>
      <c r="U2785" s="5">
        <f>IF(Merge1[[#This Row],[team_defense_snaps]]=0, "", Merge1[[#This Row],[defense_snaps]] / Merge1[[#This Row],[team_defense_snaps]])</f>
        <v>0.9642857142857143</v>
      </c>
      <c r="V2785">
        <v>56</v>
      </c>
      <c r="W2785">
        <v>2</v>
      </c>
      <c r="X2785" s="5" t="s">
        <v>208</v>
      </c>
      <c r="Y2785">
        <v>6</v>
      </c>
      <c r="Z2785">
        <v>0</v>
      </c>
      <c r="AA2785" t="s">
        <v>25</v>
      </c>
      <c r="AB2785" t="s">
        <v>26</v>
      </c>
      <c r="AC2785" t="s">
        <v>27</v>
      </c>
      <c r="AD2785" t="s">
        <v>42</v>
      </c>
      <c r="AE2785" t="s">
        <v>25</v>
      </c>
      <c r="AF27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2.6785714285714284E-2</v>
      </c>
      <c r="AG2785" t="s">
        <v>942</v>
      </c>
      <c r="AH2785">
        <v>63</v>
      </c>
      <c r="AI2785" t="s">
        <v>939</v>
      </c>
      <c r="AJ2785">
        <v>2</v>
      </c>
      <c r="AK27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MIN(AJ2785/8, 1) +
  Merge1[[#This Row],[index_defensive_effort]],
  2
)</f>
        <v>0.88</v>
      </c>
    </row>
    <row r="2786" spans="1:37" x14ac:dyDescent="0.25">
      <c r="A2786" t="s">
        <v>725</v>
      </c>
      <c r="B2786" t="s">
        <v>726</v>
      </c>
      <c r="C2786">
        <v>29</v>
      </c>
      <c r="D2786" t="s">
        <v>22</v>
      </c>
      <c r="E2786">
        <v>69</v>
      </c>
      <c r="F2786">
        <v>186</v>
      </c>
      <c r="G2786" t="s">
        <v>173</v>
      </c>
      <c r="H2786">
        <v>2020</v>
      </c>
      <c r="I2786" t="s">
        <v>33</v>
      </c>
      <c r="J2786">
        <v>7</v>
      </c>
      <c r="K2786">
        <v>2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60</v>
      </c>
      <c r="T2786">
        <v>60</v>
      </c>
      <c r="U2786" s="5">
        <f>IF(Merge1[[#This Row],[team_defense_snaps]]=0, "", Merge1[[#This Row],[defense_snaps]] / Merge1[[#This Row],[team_defense_snaps]])</f>
        <v>0.98360655737704916</v>
      </c>
      <c r="V2786">
        <v>61</v>
      </c>
      <c r="W2786">
        <v>0</v>
      </c>
      <c r="X2786" s="5" t="s">
        <v>29</v>
      </c>
      <c r="Y2786">
        <v>6</v>
      </c>
      <c r="Z2786">
        <v>0</v>
      </c>
      <c r="AA2786" t="s">
        <v>25</v>
      </c>
      <c r="AB2786" t="s">
        <v>26</v>
      </c>
      <c r="AC2786" t="s">
        <v>27</v>
      </c>
      <c r="AD2786" t="s">
        <v>42</v>
      </c>
      <c r="AE2786" t="s">
        <v>25</v>
      </c>
      <c r="AF27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3.3333333333333333E-2</v>
      </c>
      <c r="AG2786" t="s">
        <v>942</v>
      </c>
      <c r="AH2786">
        <v>61.5</v>
      </c>
      <c r="AI2786" t="s">
        <v>939</v>
      </c>
      <c r="AJ2786">
        <v>3</v>
      </c>
      <c r="AK27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MIN(AJ2786/8, 1) +
  Merge1[[#This Row],[index_defensive_effort]],
  2
)</f>
        <v>1.01</v>
      </c>
    </row>
    <row r="2787" spans="1:37" x14ac:dyDescent="0.25">
      <c r="A2787" t="s">
        <v>725</v>
      </c>
      <c r="B2787" t="s">
        <v>726</v>
      </c>
      <c r="C2787">
        <v>29</v>
      </c>
      <c r="D2787" t="s">
        <v>22</v>
      </c>
      <c r="E2787">
        <v>69</v>
      </c>
      <c r="F2787">
        <v>186</v>
      </c>
      <c r="G2787" t="s">
        <v>173</v>
      </c>
      <c r="H2787">
        <v>2020</v>
      </c>
      <c r="I2787" t="s">
        <v>33</v>
      </c>
      <c r="J2787">
        <v>8</v>
      </c>
      <c r="K2787">
        <v>1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53</v>
      </c>
      <c r="T2787">
        <v>53</v>
      </c>
      <c r="U2787" s="5">
        <f>IF(Merge1[[#This Row],[team_defense_snaps]]=0, "", Merge1[[#This Row],[defense_snaps]] / Merge1[[#This Row],[team_defense_snaps]])</f>
        <v>0.98148148148148151</v>
      </c>
      <c r="V2787">
        <v>54</v>
      </c>
      <c r="W2787">
        <v>0</v>
      </c>
      <c r="X2787" s="5" t="s">
        <v>29</v>
      </c>
      <c r="Y2787">
        <v>6</v>
      </c>
      <c r="Z2787">
        <v>0</v>
      </c>
      <c r="AA2787" t="s">
        <v>25</v>
      </c>
      <c r="AB2787" t="s">
        <v>26</v>
      </c>
      <c r="AC2787" t="s">
        <v>27</v>
      </c>
      <c r="AD2787" t="s">
        <v>42</v>
      </c>
      <c r="AE2787" t="s">
        <v>25</v>
      </c>
      <c r="AF27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1.8867924528301886E-2</v>
      </c>
      <c r="AG2787" t="s">
        <v>942</v>
      </c>
      <c r="AH2787">
        <v>67.5</v>
      </c>
      <c r="AI2787" t="s">
        <v>939</v>
      </c>
      <c r="AJ2787">
        <v>4</v>
      </c>
      <c r="AK27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MIN(AJ2787/8, 1) +
  Merge1[[#This Row],[index_defensive_effort]],
  2
)</f>
        <v>1.1200000000000001</v>
      </c>
    </row>
    <row r="2788" spans="1:37" x14ac:dyDescent="0.25">
      <c r="A2788" t="s">
        <v>725</v>
      </c>
      <c r="B2788" t="s">
        <v>726</v>
      </c>
      <c r="C2788">
        <v>29</v>
      </c>
      <c r="D2788" t="s">
        <v>22</v>
      </c>
      <c r="E2788">
        <v>69</v>
      </c>
      <c r="F2788">
        <v>186</v>
      </c>
      <c r="G2788" t="s">
        <v>173</v>
      </c>
      <c r="H2788">
        <v>2020</v>
      </c>
      <c r="I2788" t="s">
        <v>33</v>
      </c>
      <c r="J2788">
        <v>9</v>
      </c>
      <c r="K2788">
        <v>3</v>
      </c>
      <c r="L2788">
        <v>0</v>
      </c>
      <c r="M2788">
        <v>0</v>
      </c>
      <c r="N2788">
        <v>0</v>
      </c>
      <c r="O2788">
        <v>0</v>
      </c>
      <c r="P2788">
        <v>3</v>
      </c>
      <c r="Q2788">
        <v>2</v>
      </c>
      <c r="R2788">
        <v>0</v>
      </c>
      <c r="S2788">
        <v>74</v>
      </c>
      <c r="T2788">
        <v>72</v>
      </c>
      <c r="U2788" s="5">
        <f>IF(Merge1[[#This Row],[team_defense_snaps]]=0, "", Merge1[[#This Row],[defense_snaps]] / Merge1[[#This Row],[team_defense_snaps]])</f>
        <v>0.72</v>
      </c>
      <c r="V2788">
        <v>100</v>
      </c>
      <c r="W2788">
        <v>2</v>
      </c>
      <c r="X2788" s="5" t="s">
        <v>114</v>
      </c>
      <c r="Y2788">
        <v>6</v>
      </c>
      <c r="Z2788">
        <v>0</v>
      </c>
      <c r="AA2788" t="s">
        <v>25</v>
      </c>
      <c r="AB2788" t="s">
        <v>26</v>
      </c>
      <c r="AC2788" t="s">
        <v>27</v>
      </c>
      <c r="AD2788" t="s">
        <v>42</v>
      </c>
      <c r="AE2788" t="s">
        <v>25</v>
      </c>
      <c r="AF27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0.22972972972972974</v>
      </c>
      <c r="AG2788" t="s">
        <v>942</v>
      </c>
      <c r="AH2788">
        <v>69</v>
      </c>
      <c r="AI2788" t="s">
        <v>939</v>
      </c>
      <c r="AJ2788">
        <v>5</v>
      </c>
      <c r="AK27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MIN(AJ2788/8, 1) +
  Merge1[[#This Row],[index_defensive_effort]],
  2
)</f>
        <v>1.45</v>
      </c>
    </row>
    <row r="2789" spans="1:37" x14ac:dyDescent="0.25">
      <c r="A2789" t="s">
        <v>725</v>
      </c>
      <c r="B2789" t="s">
        <v>726</v>
      </c>
      <c r="C2789">
        <v>29</v>
      </c>
      <c r="D2789" t="s">
        <v>22</v>
      </c>
      <c r="E2789">
        <v>69</v>
      </c>
      <c r="F2789">
        <v>186</v>
      </c>
      <c r="G2789" t="s">
        <v>173</v>
      </c>
      <c r="H2789">
        <v>2020</v>
      </c>
      <c r="I2789" t="s">
        <v>33</v>
      </c>
      <c r="J2789">
        <v>11</v>
      </c>
      <c r="K2789">
        <v>1</v>
      </c>
      <c r="L2789">
        <v>1</v>
      </c>
      <c r="M2789">
        <v>0</v>
      </c>
      <c r="N2789">
        <v>1</v>
      </c>
      <c r="O2789">
        <v>0</v>
      </c>
      <c r="P2789">
        <v>1</v>
      </c>
      <c r="Q2789">
        <v>0</v>
      </c>
      <c r="R2789">
        <v>0</v>
      </c>
      <c r="S2789">
        <v>63</v>
      </c>
      <c r="T2789">
        <v>63</v>
      </c>
      <c r="U2789" s="5">
        <f>IF(Merge1[[#This Row],[team_defense_snaps]]=0, "", Merge1[[#This Row],[defense_snaps]] / Merge1[[#This Row],[team_defense_snaps]])</f>
        <v>0.92647058823529416</v>
      </c>
      <c r="V2789">
        <v>68</v>
      </c>
      <c r="W2789">
        <v>0</v>
      </c>
      <c r="X2789" s="5" t="s">
        <v>29</v>
      </c>
      <c r="Y2789">
        <v>6</v>
      </c>
      <c r="Z2789">
        <v>0</v>
      </c>
      <c r="AA2789" t="s">
        <v>25</v>
      </c>
      <c r="AB2789" t="s">
        <v>26</v>
      </c>
      <c r="AC2789" t="s">
        <v>27</v>
      </c>
      <c r="AD2789" t="s">
        <v>42</v>
      </c>
      <c r="AE2789" t="s">
        <v>25</v>
      </c>
      <c r="AF27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2789" t="s">
        <v>942</v>
      </c>
      <c r="AH2789">
        <v>76.5</v>
      </c>
      <c r="AI2789" t="s">
        <v>939</v>
      </c>
      <c r="AJ2789">
        <v>1</v>
      </c>
      <c r="AK27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MIN(AJ2789/8, 1) +
  Merge1[[#This Row],[index_defensive_effort]],
  2
)</f>
        <v>0.78</v>
      </c>
    </row>
    <row r="2790" spans="1:37" x14ac:dyDescent="0.25">
      <c r="A2790" t="s">
        <v>725</v>
      </c>
      <c r="B2790" t="s">
        <v>726</v>
      </c>
      <c r="C2790">
        <v>29</v>
      </c>
      <c r="D2790" t="s">
        <v>22</v>
      </c>
      <c r="E2790">
        <v>69</v>
      </c>
      <c r="F2790">
        <v>186</v>
      </c>
      <c r="G2790" t="s">
        <v>173</v>
      </c>
      <c r="H2790">
        <v>2020</v>
      </c>
      <c r="I2790" t="s">
        <v>33</v>
      </c>
      <c r="J2790">
        <v>12</v>
      </c>
      <c r="K2790">
        <v>1</v>
      </c>
      <c r="L2790">
        <v>1</v>
      </c>
      <c r="M2790">
        <v>0</v>
      </c>
      <c r="N2790">
        <v>1</v>
      </c>
      <c r="O2790">
        <v>0</v>
      </c>
      <c r="P2790">
        <v>0</v>
      </c>
      <c r="Q2790">
        <v>0</v>
      </c>
      <c r="R2790">
        <v>1</v>
      </c>
      <c r="S2790">
        <v>45</v>
      </c>
      <c r="T2790">
        <v>45</v>
      </c>
      <c r="U2790" s="5">
        <f>IF(Merge1[[#This Row],[team_defense_snaps]]=0, "", Merge1[[#This Row],[defense_snaps]] / Merge1[[#This Row],[team_defense_snaps]])</f>
        <v>0.7142857142857143</v>
      </c>
      <c r="V2790">
        <v>63</v>
      </c>
      <c r="W2790">
        <v>0</v>
      </c>
      <c r="X2790" s="5" t="s">
        <v>29</v>
      </c>
      <c r="Y2790">
        <v>6</v>
      </c>
      <c r="Z2790">
        <v>0</v>
      </c>
      <c r="AA2790" t="s">
        <v>25</v>
      </c>
      <c r="AB2790" t="s">
        <v>26</v>
      </c>
      <c r="AC2790" t="s">
        <v>27</v>
      </c>
      <c r="AD2790" t="s">
        <v>42</v>
      </c>
      <c r="AE2790" t="s">
        <v>25</v>
      </c>
      <c r="AF27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7.7777777777777779E-2</v>
      </c>
      <c r="AG2790" t="s">
        <v>942</v>
      </c>
      <c r="AH2790">
        <v>54</v>
      </c>
      <c r="AI2790" t="s">
        <v>939</v>
      </c>
      <c r="AJ2790">
        <v>2</v>
      </c>
      <c r="AK27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MIN(AJ2790/8, 1) +
  Merge1[[#This Row],[index_defensive_effort]],
  2
)</f>
        <v>0.93</v>
      </c>
    </row>
    <row r="2791" spans="1:37" x14ac:dyDescent="0.25">
      <c r="A2791" t="s">
        <v>725</v>
      </c>
      <c r="B2791" t="s">
        <v>726</v>
      </c>
      <c r="C2791">
        <v>29</v>
      </c>
      <c r="D2791" t="s">
        <v>22</v>
      </c>
      <c r="E2791">
        <v>69</v>
      </c>
      <c r="F2791">
        <v>186</v>
      </c>
      <c r="G2791" t="s">
        <v>173</v>
      </c>
      <c r="H2791">
        <v>2020</v>
      </c>
      <c r="I2791" t="s">
        <v>33</v>
      </c>
      <c r="J2791">
        <v>13</v>
      </c>
      <c r="K2791">
        <v>3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50</v>
      </c>
      <c r="T2791">
        <v>50</v>
      </c>
      <c r="U2791" s="5">
        <f>IF(Merge1[[#This Row],[team_defense_snaps]]=0, "", Merge1[[#This Row],[defense_snaps]] / Merge1[[#This Row],[team_defense_snaps]])</f>
        <v>0.64102564102564108</v>
      </c>
      <c r="V2791">
        <v>78</v>
      </c>
      <c r="W2791">
        <v>0</v>
      </c>
      <c r="X2791" s="5" t="s">
        <v>29</v>
      </c>
      <c r="Y2791">
        <v>6</v>
      </c>
      <c r="Z2791">
        <v>0</v>
      </c>
      <c r="AA2791" t="s">
        <v>25</v>
      </c>
      <c r="AB2791" t="s">
        <v>26</v>
      </c>
      <c r="AC2791" t="s">
        <v>27</v>
      </c>
      <c r="AD2791" t="s">
        <v>42</v>
      </c>
      <c r="AE2791" t="s">
        <v>25</v>
      </c>
      <c r="AF27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0.06</v>
      </c>
      <c r="AG2791" t="s">
        <v>942</v>
      </c>
      <c r="AH2791">
        <v>60</v>
      </c>
      <c r="AI2791" t="s">
        <v>939</v>
      </c>
      <c r="AJ2791">
        <v>3</v>
      </c>
      <c r="AK27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MIN(AJ2791/8, 1) +
  Merge1[[#This Row],[index_defensive_effort]],
  2
)</f>
        <v>1.04</v>
      </c>
    </row>
    <row r="2792" spans="1:37" x14ac:dyDescent="0.25">
      <c r="A2792" t="s">
        <v>725</v>
      </c>
      <c r="B2792" t="s">
        <v>726</v>
      </c>
      <c r="C2792">
        <v>29</v>
      </c>
      <c r="D2792" t="s">
        <v>22</v>
      </c>
      <c r="E2792">
        <v>69</v>
      </c>
      <c r="F2792">
        <v>186</v>
      </c>
      <c r="G2792" t="s">
        <v>173</v>
      </c>
      <c r="H2792">
        <v>2020</v>
      </c>
      <c r="I2792" t="s">
        <v>33</v>
      </c>
      <c r="J2792">
        <v>16</v>
      </c>
      <c r="K2792">
        <v>1</v>
      </c>
      <c r="L2792">
        <v>1</v>
      </c>
      <c r="M2792">
        <v>0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55</v>
      </c>
      <c r="T2792">
        <v>55</v>
      </c>
      <c r="U2792" s="5">
        <f>IF(Merge1[[#This Row],[team_defense_snaps]]=0, "", Merge1[[#This Row],[defense_snaps]] / Merge1[[#This Row],[team_defense_snaps]])</f>
        <v>0.82089552238805974</v>
      </c>
      <c r="V2792">
        <v>67</v>
      </c>
      <c r="W2792">
        <v>0</v>
      </c>
      <c r="X2792" s="5" t="s">
        <v>29</v>
      </c>
      <c r="Y2792">
        <v>6</v>
      </c>
      <c r="Z2792">
        <v>0</v>
      </c>
      <c r="AA2792" t="s">
        <v>25</v>
      </c>
      <c r="AB2792" t="s">
        <v>36</v>
      </c>
      <c r="AC2792" t="s">
        <v>91</v>
      </c>
      <c r="AD2792" t="s">
        <v>42</v>
      </c>
      <c r="AE2792" t="s">
        <v>25</v>
      </c>
      <c r="AF27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2.7272727272727271E-2</v>
      </c>
      <c r="AG2792" t="s">
        <v>942</v>
      </c>
      <c r="AH2792">
        <v>66</v>
      </c>
      <c r="AI2792" t="s">
        <v>939</v>
      </c>
      <c r="AJ2792">
        <v>1</v>
      </c>
      <c r="AK27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MIN(AJ2792/8, 1) +
  Merge1[[#This Row],[index_defensive_effort]],
  2
)</f>
        <v>0.75</v>
      </c>
    </row>
    <row r="2793" spans="1:37" x14ac:dyDescent="0.25">
      <c r="A2793" t="s">
        <v>725</v>
      </c>
      <c r="B2793" t="s">
        <v>726</v>
      </c>
      <c r="C2793">
        <v>29</v>
      </c>
      <c r="D2793" t="s">
        <v>22</v>
      </c>
      <c r="E2793">
        <v>69</v>
      </c>
      <c r="F2793">
        <v>186</v>
      </c>
      <c r="G2793" t="s">
        <v>173</v>
      </c>
      <c r="H2793">
        <v>2020</v>
      </c>
      <c r="I2793" t="s">
        <v>33</v>
      </c>
      <c r="J2793">
        <v>17</v>
      </c>
      <c r="K2793">
        <v>6</v>
      </c>
      <c r="L2793">
        <v>1</v>
      </c>
      <c r="M2793">
        <v>1</v>
      </c>
      <c r="N2793">
        <v>2</v>
      </c>
      <c r="O2793">
        <v>0</v>
      </c>
      <c r="P2793">
        <v>0</v>
      </c>
      <c r="Q2793">
        <v>2</v>
      </c>
      <c r="R2793">
        <v>0</v>
      </c>
      <c r="S2793">
        <v>45</v>
      </c>
      <c r="T2793">
        <v>45</v>
      </c>
      <c r="U2793" s="5">
        <f>IF(Merge1[[#This Row],[team_defense_snaps]]=0, "", Merge1[[#This Row],[defense_snaps]] / Merge1[[#This Row],[team_defense_snaps]])</f>
        <v>0.65217391304347827</v>
      </c>
      <c r="V2793">
        <v>69</v>
      </c>
      <c r="W2793">
        <v>0</v>
      </c>
      <c r="X2793" s="5" t="s">
        <v>29</v>
      </c>
      <c r="Y2793">
        <v>6</v>
      </c>
      <c r="Z2793">
        <v>0</v>
      </c>
      <c r="AA2793" t="s">
        <v>25</v>
      </c>
      <c r="AB2793" t="s">
        <v>26</v>
      </c>
      <c r="AC2793" t="s">
        <v>27</v>
      </c>
      <c r="AD2793" t="s">
        <v>42</v>
      </c>
      <c r="AE2793" t="s">
        <v>25</v>
      </c>
      <c r="AF27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0.33333333333333331</v>
      </c>
      <c r="AG2793" t="s">
        <v>942</v>
      </c>
      <c r="AH2793">
        <v>72</v>
      </c>
      <c r="AI2793" t="s">
        <v>939</v>
      </c>
      <c r="AJ2793">
        <v>2</v>
      </c>
      <c r="AK27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MIN(AJ2793/8, 1) +
  Merge1[[#This Row],[index_defensive_effort]],
  2
)</f>
        <v>1.18</v>
      </c>
    </row>
    <row r="2794" spans="1:37" x14ac:dyDescent="0.25">
      <c r="A2794" t="s">
        <v>754</v>
      </c>
      <c r="B2794" t="s">
        <v>755</v>
      </c>
      <c r="C2794">
        <v>32</v>
      </c>
      <c r="D2794" t="s">
        <v>56</v>
      </c>
      <c r="E2794">
        <v>75</v>
      </c>
      <c r="F2794">
        <v>205</v>
      </c>
      <c r="G2794" t="s">
        <v>144</v>
      </c>
      <c r="H2794">
        <v>2020</v>
      </c>
      <c r="I2794" t="s">
        <v>33</v>
      </c>
      <c r="J2794">
        <v>1</v>
      </c>
      <c r="K2794">
        <v>3</v>
      </c>
      <c r="L2794">
        <v>1</v>
      </c>
      <c r="M2794">
        <v>1</v>
      </c>
      <c r="N2794">
        <v>2</v>
      </c>
      <c r="O2794">
        <v>0</v>
      </c>
      <c r="P2794">
        <v>0</v>
      </c>
      <c r="Q2794">
        <v>0</v>
      </c>
      <c r="R2794">
        <v>0</v>
      </c>
      <c r="S2794">
        <v>78</v>
      </c>
      <c r="T2794">
        <v>78</v>
      </c>
      <c r="U2794" s="5">
        <f>IF(Merge1[[#This Row],[team_defense_snaps]]=0, "", Merge1[[#This Row],[defense_snaps]] / Merge1[[#This Row],[team_defense_snaps]])</f>
        <v>0.78</v>
      </c>
      <c r="V2794">
        <v>100</v>
      </c>
      <c r="W2794">
        <v>0</v>
      </c>
      <c r="X2794" s="5" t="s">
        <v>29</v>
      </c>
      <c r="Y2794">
        <v>9</v>
      </c>
      <c r="Z2794">
        <v>0</v>
      </c>
      <c r="AA2794" t="s">
        <v>25</v>
      </c>
      <c r="AB2794" t="s">
        <v>26</v>
      </c>
      <c r="AC2794" t="s">
        <v>27</v>
      </c>
      <c r="AD2794" t="s">
        <v>42</v>
      </c>
      <c r="AE2794" t="s">
        <v>25</v>
      </c>
      <c r="AF27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5.128205128205128E-2</v>
      </c>
      <c r="AG2794" t="s">
        <v>941</v>
      </c>
      <c r="AH2794">
        <v>58.5</v>
      </c>
      <c r="AI2794" t="s">
        <v>939</v>
      </c>
      <c r="AJ2794">
        <v>1</v>
      </c>
      <c r="AK27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MIN(AJ2794/8, 1) +
  Merge1[[#This Row],[index_defensive_effort]],
  2
)</f>
        <v>0.78</v>
      </c>
    </row>
    <row r="2795" spans="1:37" x14ac:dyDescent="0.25">
      <c r="A2795" t="s">
        <v>754</v>
      </c>
      <c r="B2795" t="s">
        <v>755</v>
      </c>
      <c r="C2795">
        <v>32</v>
      </c>
      <c r="D2795" t="s">
        <v>56</v>
      </c>
      <c r="E2795">
        <v>75</v>
      </c>
      <c r="F2795">
        <v>205</v>
      </c>
      <c r="G2795" t="s">
        <v>144</v>
      </c>
      <c r="H2795">
        <v>2020</v>
      </c>
      <c r="I2795" t="s">
        <v>33</v>
      </c>
      <c r="J2795">
        <v>12</v>
      </c>
      <c r="K2795">
        <v>9</v>
      </c>
      <c r="L2795">
        <v>1</v>
      </c>
      <c r="M2795">
        <v>0</v>
      </c>
      <c r="N2795">
        <v>1</v>
      </c>
      <c r="O2795">
        <v>0</v>
      </c>
      <c r="P2795">
        <v>0</v>
      </c>
      <c r="Q2795">
        <v>2</v>
      </c>
      <c r="R2795">
        <v>0</v>
      </c>
      <c r="S2795">
        <v>62</v>
      </c>
      <c r="T2795">
        <v>62</v>
      </c>
      <c r="U2795" s="5">
        <f>IF(Merge1[[#This Row],[team_defense_snaps]]=0, "", Merge1[[#This Row],[defense_snaps]] / Merge1[[#This Row],[team_defense_snaps]])</f>
        <v>1</v>
      </c>
      <c r="V2795">
        <v>62</v>
      </c>
      <c r="W2795">
        <v>0</v>
      </c>
      <c r="X2795" s="5" t="s">
        <v>29</v>
      </c>
      <c r="Y2795">
        <v>9</v>
      </c>
      <c r="Z2795">
        <v>0</v>
      </c>
      <c r="AA2795" t="s">
        <v>25</v>
      </c>
      <c r="AB2795" t="s">
        <v>62</v>
      </c>
      <c r="AC2795" t="s">
        <v>27</v>
      </c>
      <c r="AD2795" t="s">
        <v>42</v>
      </c>
      <c r="AE2795" t="s">
        <v>25</v>
      </c>
      <c r="AF27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0.28225806451612906</v>
      </c>
      <c r="AG2795" t="s">
        <v>941</v>
      </c>
      <c r="AH2795">
        <v>60</v>
      </c>
      <c r="AI2795" t="s">
        <v>938</v>
      </c>
      <c r="AJ2795">
        <v>1</v>
      </c>
      <c r="AK27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MIN(AJ2795/8, 1) +
  Merge1[[#This Row],[index_defensive_effort]],
  2
)</f>
        <v>1.01</v>
      </c>
    </row>
    <row r="2796" spans="1:37" x14ac:dyDescent="0.25">
      <c r="A2796" t="s">
        <v>754</v>
      </c>
      <c r="B2796" t="s">
        <v>755</v>
      </c>
      <c r="C2796">
        <v>32</v>
      </c>
      <c r="D2796" t="s">
        <v>56</v>
      </c>
      <c r="E2796">
        <v>75</v>
      </c>
      <c r="F2796">
        <v>205</v>
      </c>
      <c r="G2796" t="s">
        <v>144</v>
      </c>
      <c r="H2796">
        <v>2020</v>
      </c>
      <c r="I2796" t="s">
        <v>33</v>
      </c>
      <c r="J2796">
        <v>13</v>
      </c>
      <c r="K2796">
        <v>3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72</v>
      </c>
      <c r="T2796">
        <v>72</v>
      </c>
      <c r="U2796" s="5">
        <f>IF(Merge1[[#This Row],[team_defense_snaps]]=0, "", Merge1[[#This Row],[defense_snaps]] / Merge1[[#This Row],[team_defense_snaps]])</f>
        <v>0.98630136986301364</v>
      </c>
      <c r="V2796">
        <v>73</v>
      </c>
      <c r="W2796">
        <v>0</v>
      </c>
      <c r="X2796" s="5" t="s">
        <v>29</v>
      </c>
      <c r="Y2796">
        <v>9</v>
      </c>
      <c r="Z2796">
        <v>0</v>
      </c>
      <c r="AA2796" t="s">
        <v>25</v>
      </c>
      <c r="AB2796" t="s">
        <v>26</v>
      </c>
      <c r="AC2796" t="s">
        <v>27</v>
      </c>
      <c r="AD2796" t="s">
        <v>42</v>
      </c>
      <c r="AE2796" t="s">
        <v>25</v>
      </c>
      <c r="AF27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2796" t="s">
        <v>941</v>
      </c>
      <c r="AH2796">
        <v>57</v>
      </c>
      <c r="AI2796" t="s">
        <v>939</v>
      </c>
      <c r="AJ2796">
        <v>2</v>
      </c>
      <c r="AK27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MIN(AJ2796/8, 1) +
  Merge1[[#This Row],[index_defensive_effort]],
  2
)</f>
        <v>0.89</v>
      </c>
    </row>
    <row r="2797" spans="1:37" x14ac:dyDescent="0.25">
      <c r="A2797" t="s">
        <v>754</v>
      </c>
      <c r="B2797" t="s">
        <v>755</v>
      </c>
      <c r="C2797">
        <v>32</v>
      </c>
      <c r="D2797" t="s">
        <v>56</v>
      </c>
      <c r="E2797">
        <v>75</v>
      </c>
      <c r="F2797">
        <v>205</v>
      </c>
      <c r="G2797" t="s">
        <v>144</v>
      </c>
      <c r="H2797">
        <v>2020</v>
      </c>
      <c r="I2797" t="s">
        <v>33</v>
      </c>
      <c r="J2797">
        <v>14</v>
      </c>
      <c r="K2797">
        <v>2</v>
      </c>
      <c r="L2797">
        <v>0</v>
      </c>
      <c r="M2797">
        <v>0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63</v>
      </c>
      <c r="T2797">
        <v>63</v>
      </c>
      <c r="U2797" s="5">
        <f>IF(Merge1[[#This Row],[team_defense_snaps]]=0, "", Merge1[[#This Row],[defense_snaps]] / Merge1[[#This Row],[team_defense_snaps]])</f>
        <v>0.94029850746268662</v>
      </c>
      <c r="V2797">
        <v>67</v>
      </c>
      <c r="W2797">
        <v>0</v>
      </c>
      <c r="X2797" s="5" t="s">
        <v>29</v>
      </c>
      <c r="Y2797">
        <v>9</v>
      </c>
      <c r="Z2797">
        <v>0</v>
      </c>
      <c r="AA2797" t="s">
        <v>25</v>
      </c>
      <c r="AB2797" t="s">
        <v>26</v>
      </c>
      <c r="AC2797" t="s">
        <v>27</v>
      </c>
      <c r="AD2797" t="s">
        <v>42</v>
      </c>
      <c r="AE2797" t="s">
        <v>25</v>
      </c>
      <c r="AF27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6.3492063492063489E-2</v>
      </c>
      <c r="AG2797" t="s">
        <v>941</v>
      </c>
      <c r="AH2797">
        <v>61.5</v>
      </c>
      <c r="AI2797" t="s">
        <v>939</v>
      </c>
      <c r="AJ2797">
        <v>3</v>
      </c>
      <c r="AK27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MIN(AJ2797/8, 1) +
  Merge1[[#This Row],[index_defensive_effort]],
  2
)</f>
        <v>1.04</v>
      </c>
    </row>
    <row r="2798" spans="1:37" x14ac:dyDescent="0.25">
      <c r="A2798" t="s">
        <v>754</v>
      </c>
      <c r="B2798" t="s">
        <v>755</v>
      </c>
      <c r="C2798">
        <v>32</v>
      </c>
      <c r="D2798" t="s">
        <v>56</v>
      </c>
      <c r="E2798">
        <v>75</v>
      </c>
      <c r="F2798">
        <v>205</v>
      </c>
      <c r="G2798" t="s">
        <v>144</v>
      </c>
      <c r="H2798">
        <v>2020</v>
      </c>
      <c r="I2798" t="s">
        <v>33</v>
      </c>
      <c r="J2798">
        <v>15</v>
      </c>
      <c r="K2798">
        <v>1</v>
      </c>
      <c r="L2798">
        <v>1</v>
      </c>
      <c r="M2798">
        <v>0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57</v>
      </c>
      <c r="T2798">
        <v>57</v>
      </c>
      <c r="U2798" s="5">
        <f>IF(Merge1[[#This Row],[team_defense_snaps]]=0, "", Merge1[[#This Row],[defense_snaps]] / Merge1[[#This Row],[team_defense_snaps]])</f>
        <v>0.98275862068965514</v>
      </c>
      <c r="V2798">
        <v>58</v>
      </c>
      <c r="W2798">
        <v>0</v>
      </c>
      <c r="X2798" s="5" t="s">
        <v>29</v>
      </c>
      <c r="Y2798">
        <v>9</v>
      </c>
      <c r="Z2798">
        <v>0</v>
      </c>
      <c r="AA2798" t="s">
        <v>25</v>
      </c>
      <c r="AB2798" t="s">
        <v>26</v>
      </c>
      <c r="AC2798" t="s">
        <v>27</v>
      </c>
      <c r="AD2798" t="s">
        <v>42</v>
      </c>
      <c r="AE2798" t="s">
        <v>25</v>
      </c>
      <c r="AF27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2.6315789473684209E-2</v>
      </c>
      <c r="AG2798" t="s">
        <v>941</v>
      </c>
      <c r="AH2798">
        <v>78</v>
      </c>
      <c r="AI2798" t="s">
        <v>939</v>
      </c>
      <c r="AJ2798">
        <v>4</v>
      </c>
      <c r="AK27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MIN(AJ2798/8, 1) +
  Merge1[[#This Row],[index_defensive_effort]],
  2
)</f>
        <v>1.1299999999999999</v>
      </c>
    </row>
    <row r="2799" spans="1:37" x14ac:dyDescent="0.25">
      <c r="A2799" t="s">
        <v>742</v>
      </c>
      <c r="B2799" t="s">
        <v>743</v>
      </c>
      <c r="C2799">
        <v>27</v>
      </c>
      <c r="D2799" t="s">
        <v>56</v>
      </c>
      <c r="E2799">
        <v>74</v>
      </c>
      <c r="F2799">
        <v>205</v>
      </c>
      <c r="G2799" t="s">
        <v>47</v>
      </c>
      <c r="H2799">
        <v>2020</v>
      </c>
      <c r="I2799" t="s">
        <v>33</v>
      </c>
      <c r="J2799">
        <v>17</v>
      </c>
      <c r="K2799">
        <v>5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67</v>
      </c>
      <c r="T2799">
        <v>67</v>
      </c>
      <c r="U2799" s="5">
        <f>IF(Merge1[[#This Row],[team_defense_snaps]]=0, "", Merge1[[#This Row],[defense_snaps]] / Merge1[[#This Row],[team_defense_snaps]])</f>
        <v>1</v>
      </c>
      <c r="V2799">
        <v>67</v>
      </c>
      <c r="W2799">
        <v>0</v>
      </c>
      <c r="X2799" s="5" t="s">
        <v>29</v>
      </c>
      <c r="Y2799">
        <v>2</v>
      </c>
      <c r="Z2799">
        <v>0</v>
      </c>
      <c r="AA2799" t="s">
        <v>25</v>
      </c>
      <c r="AB2799" t="s">
        <v>26</v>
      </c>
      <c r="AC2799" t="s">
        <v>27</v>
      </c>
      <c r="AD2799" t="s">
        <v>42</v>
      </c>
      <c r="AE2799" t="s">
        <v>25</v>
      </c>
      <c r="AF27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7.4626865671641784E-2</v>
      </c>
      <c r="AG2799" t="s">
        <v>941</v>
      </c>
      <c r="AH2799">
        <v>50</v>
      </c>
      <c r="AI2799" t="s">
        <v>939</v>
      </c>
      <c r="AJ2799">
        <v>1</v>
      </c>
      <c r="AK27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MIN(AJ2799/8, 1) +
  Merge1[[#This Row],[index_defensive_effort]],
  2
)</f>
        <v>0.7</v>
      </c>
    </row>
    <row r="2800" spans="1:37" x14ac:dyDescent="0.25">
      <c r="A2800" t="s">
        <v>742</v>
      </c>
      <c r="B2800" t="s">
        <v>743</v>
      </c>
      <c r="C2800">
        <v>27</v>
      </c>
      <c r="D2800" t="s">
        <v>56</v>
      </c>
      <c r="E2800">
        <v>74</v>
      </c>
      <c r="F2800">
        <v>205</v>
      </c>
      <c r="G2800" t="s">
        <v>47</v>
      </c>
      <c r="H2800">
        <v>2020</v>
      </c>
      <c r="I2800" t="s">
        <v>24</v>
      </c>
      <c r="J2800">
        <v>18</v>
      </c>
      <c r="K2800">
        <v>7</v>
      </c>
      <c r="L2800">
        <v>1</v>
      </c>
      <c r="M2800">
        <v>0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76</v>
      </c>
      <c r="T2800">
        <v>76</v>
      </c>
      <c r="U2800" s="5">
        <f>IF(Merge1[[#This Row],[team_defense_snaps]]=0, "", Merge1[[#This Row],[defense_snaps]] / Merge1[[#This Row],[team_defense_snaps]])</f>
        <v>0.82608695652173914</v>
      </c>
      <c r="V2800">
        <v>92</v>
      </c>
      <c r="W2800">
        <v>0</v>
      </c>
      <c r="X2800" s="5" t="s">
        <v>29</v>
      </c>
      <c r="Y2800">
        <v>2</v>
      </c>
      <c r="Z2800">
        <v>0</v>
      </c>
      <c r="AA2800" t="s">
        <v>25</v>
      </c>
      <c r="AB2800" t="s">
        <v>26</v>
      </c>
      <c r="AC2800" t="s">
        <v>27</v>
      </c>
      <c r="AD2800" t="s">
        <v>42</v>
      </c>
      <c r="AE2800" t="s">
        <v>25</v>
      </c>
      <c r="AF28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9.8684210526315791E-2</v>
      </c>
      <c r="AG2800" t="s">
        <v>941</v>
      </c>
      <c r="AH2800">
        <v>46</v>
      </c>
      <c r="AI2800" t="s">
        <v>939</v>
      </c>
      <c r="AJ2800">
        <v>2</v>
      </c>
      <c r="AK28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MIN(AJ2800/8, 1) +
  Merge1[[#This Row],[index_defensive_effort]],
  2
)</f>
        <v>1.05</v>
      </c>
    </row>
    <row r="2801" spans="1:37" x14ac:dyDescent="0.25">
      <c r="A2801" t="s">
        <v>756</v>
      </c>
      <c r="B2801" t="s">
        <v>757</v>
      </c>
      <c r="C2801">
        <v>24</v>
      </c>
      <c r="D2801" t="s">
        <v>56</v>
      </c>
      <c r="E2801">
        <v>72</v>
      </c>
      <c r="F2801">
        <v>190</v>
      </c>
      <c r="G2801" t="s">
        <v>424</v>
      </c>
      <c r="H2801">
        <v>2020</v>
      </c>
      <c r="I2801" t="s">
        <v>33</v>
      </c>
      <c r="J2801">
        <v>1</v>
      </c>
      <c r="K2801">
        <v>3</v>
      </c>
      <c r="L2801">
        <v>1</v>
      </c>
      <c r="M2801">
        <v>0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57</v>
      </c>
      <c r="T2801">
        <v>46</v>
      </c>
      <c r="U2801" s="5">
        <f>IF(Merge1[[#This Row],[team_defense_snaps]]=0, "", Merge1[[#This Row],[defense_snaps]] / Merge1[[#This Row],[team_defense_snaps]])</f>
        <v>0.92</v>
      </c>
      <c r="V2801">
        <v>50</v>
      </c>
      <c r="W2801">
        <v>11</v>
      </c>
      <c r="X2801" s="5" t="s">
        <v>260</v>
      </c>
      <c r="Y2801">
        <v>1</v>
      </c>
      <c r="Z2801">
        <v>0</v>
      </c>
      <c r="AA2801" t="s">
        <v>25</v>
      </c>
      <c r="AB2801" t="s">
        <v>26</v>
      </c>
      <c r="AC2801" t="s">
        <v>27</v>
      </c>
      <c r="AD2801" t="s">
        <v>42</v>
      </c>
      <c r="AE2801" t="s">
        <v>25</v>
      </c>
      <c r="AF28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6.1403508771929821E-2</v>
      </c>
      <c r="AG2801" t="s">
        <v>942</v>
      </c>
      <c r="AH2801">
        <v>54</v>
      </c>
      <c r="AI2801" t="s">
        <v>939</v>
      </c>
      <c r="AJ2801">
        <v>1</v>
      </c>
      <c r="AK28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MIN(AJ2801/8, 1) +
  Merge1[[#This Row],[index_defensive_effort]],
  2
)</f>
        <v>0.59</v>
      </c>
    </row>
    <row r="2802" spans="1:37" x14ac:dyDescent="0.25">
      <c r="A2802" t="s">
        <v>756</v>
      </c>
      <c r="B2802" t="s">
        <v>757</v>
      </c>
      <c r="C2802">
        <v>24</v>
      </c>
      <c r="D2802" t="s">
        <v>56</v>
      </c>
      <c r="E2802">
        <v>72</v>
      </c>
      <c r="F2802">
        <v>190</v>
      </c>
      <c r="G2802" t="s">
        <v>424</v>
      </c>
      <c r="H2802">
        <v>2020</v>
      </c>
      <c r="I2802" t="s">
        <v>33</v>
      </c>
      <c r="J2802">
        <v>4</v>
      </c>
      <c r="K2802">
        <v>1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56</v>
      </c>
      <c r="T2802">
        <v>48</v>
      </c>
      <c r="U2802" s="5">
        <f>IF(Merge1[[#This Row],[team_defense_snaps]]=0, "", Merge1[[#This Row],[defense_snaps]] / Merge1[[#This Row],[team_defense_snaps]])</f>
        <v>0.75</v>
      </c>
      <c r="V2802">
        <v>64</v>
      </c>
      <c r="W2802">
        <v>8</v>
      </c>
      <c r="X2802" s="5" t="s">
        <v>138</v>
      </c>
      <c r="Y2802">
        <v>1</v>
      </c>
      <c r="Z2802">
        <v>0</v>
      </c>
      <c r="AA2802" t="s">
        <v>25</v>
      </c>
      <c r="AB2802" t="s">
        <v>26</v>
      </c>
      <c r="AC2802" t="s">
        <v>27</v>
      </c>
      <c r="AD2802" t="s">
        <v>28</v>
      </c>
      <c r="AE2802" t="s">
        <v>25</v>
      </c>
      <c r="AF28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1.7857142857142856E-2</v>
      </c>
      <c r="AG2802" t="s">
        <v>942</v>
      </c>
      <c r="AH2802">
        <v>60</v>
      </c>
      <c r="AI2802" t="s">
        <v>939</v>
      </c>
      <c r="AJ2802">
        <v>1</v>
      </c>
      <c r="AK28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MIN(AJ2802/8, 1) +
  Merge1[[#This Row],[index_defensive_effort]],
  2
)</f>
        <v>0.54</v>
      </c>
    </row>
    <row r="2803" spans="1:37" x14ac:dyDescent="0.25">
      <c r="A2803" t="s">
        <v>756</v>
      </c>
      <c r="B2803" t="s">
        <v>757</v>
      </c>
      <c r="C2803">
        <v>24</v>
      </c>
      <c r="D2803" t="s">
        <v>56</v>
      </c>
      <c r="E2803">
        <v>72</v>
      </c>
      <c r="F2803">
        <v>190</v>
      </c>
      <c r="G2803" t="s">
        <v>424</v>
      </c>
      <c r="H2803">
        <v>2020</v>
      </c>
      <c r="I2803" t="s">
        <v>33</v>
      </c>
      <c r="J2803">
        <v>5</v>
      </c>
      <c r="K2803">
        <v>6</v>
      </c>
      <c r="L2803">
        <v>2</v>
      </c>
      <c r="M2803">
        <v>2</v>
      </c>
      <c r="N2803">
        <v>4</v>
      </c>
      <c r="O2803">
        <v>0</v>
      </c>
      <c r="P2803">
        <v>1</v>
      </c>
      <c r="Q2803">
        <v>0</v>
      </c>
      <c r="R2803">
        <v>0</v>
      </c>
      <c r="S2803">
        <v>49</v>
      </c>
      <c r="T2803">
        <v>49</v>
      </c>
      <c r="U2803" s="5">
        <f>IF(Merge1[[#This Row],[team_defense_snaps]]=0, "", Merge1[[#This Row],[defense_snaps]] / Merge1[[#This Row],[team_defense_snaps]])</f>
        <v>0.65333333333333332</v>
      </c>
      <c r="V2803">
        <v>75</v>
      </c>
      <c r="W2803">
        <v>0</v>
      </c>
      <c r="X2803" s="5" t="s">
        <v>29</v>
      </c>
      <c r="Y2803">
        <v>1</v>
      </c>
      <c r="Z2803">
        <v>0</v>
      </c>
      <c r="AA2803" t="s">
        <v>25</v>
      </c>
      <c r="AB2803" t="s">
        <v>26</v>
      </c>
      <c r="AC2803" t="s">
        <v>27</v>
      </c>
      <c r="AD2803" t="s">
        <v>42</v>
      </c>
      <c r="AE2803" t="s">
        <v>25</v>
      </c>
      <c r="AF28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0.20408163265306123</v>
      </c>
      <c r="AG2803" t="s">
        <v>942</v>
      </c>
      <c r="AH2803">
        <v>67.5</v>
      </c>
      <c r="AI2803" t="s">
        <v>939</v>
      </c>
      <c r="AJ2803">
        <v>2</v>
      </c>
      <c r="AK28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MIN(AJ2803/8, 1) +
  Merge1[[#This Row],[index_defensive_effort]],
  2
)</f>
        <v>0.85</v>
      </c>
    </row>
    <row r="2804" spans="1:37" x14ac:dyDescent="0.25">
      <c r="A2804" t="s">
        <v>756</v>
      </c>
      <c r="B2804" t="s">
        <v>757</v>
      </c>
      <c r="C2804">
        <v>24</v>
      </c>
      <c r="D2804" t="s">
        <v>56</v>
      </c>
      <c r="E2804">
        <v>72</v>
      </c>
      <c r="F2804">
        <v>190</v>
      </c>
      <c r="G2804" t="s">
        <v>424</v>
      </c>
      <c r="H2804">
        <v>2020</v>
      </c>
      <c r="I2804" t="s">
        <v>33</v>
      </c>
      <c r="J2804">
        <v>6</v>
      </c>
      <c r="K2804">
        <v>5</v>
      </c>
      <c r="L2804">
        <v>1</v>
      </c>
      <c r="M2804">
        <v>1</v>
      </c>
      <c r="N2804">
        <v>2</v>
      </c>
      <c r="O2804">
        <v>0</v>
      </c>
      <c r="P2804">
        <v>2</v>
      </c>
      <c r="Q2804">
        <v>0</v>
      </c>
      <c r="R2804">
        <v>2</v>
      </c>
      <c r="S2804">
        <v>64</v>
      </c>
      <c r="T2804">
        <v>64</v>
      </c>
      <c r="U2804" s="5">
        <f>IF(Merge1[[#This Row],[team_defense_snaps]]=0, "", Merge1[[#This Row],[defense_snaps]] / Merge1[[#This Row],[team_defense_snaps]])</f>
        <v>0.8</v>
      </c>
      <c r="V2804">
        <v>80</v>
      </c>
      <c r="W2804">
        <v>0</v>
      </c>
      <c r="X2804" s="5" t="s">
        <v>29</v>
      </c>
      <c r="Y2804">
        <v>1</v>
      </c>
      <c r="Z2804">
        <v>0</v>
      </c>
      <c r="AA2804" t="s">
        <v>25</v>
      </c>
      <c r="AB2804" t="s">
        <v>26</v>
      </c>
      <c r="AC2804" t="s">
        <v>27</v>
      </c>
      <c r="AD2804" t="s">
        <v>42</v>
      </c>
      <c r="AE2804" t="s">
        <v>25</v>
      </c>
      <c r="AF28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0.21875</v>
      </c>
      <c r="AG2804" t="s">
        <v>942</v>
      </c>
      <c r="AH2804">
        <v>72</v>
      </c>
      <c r="AI2804" t="s">
        <v>939</v>
      </c>
      <c r="AJ2804">
        <v>3</v>
      </c>
      <c r="AK28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MIN(AJ2804/8, 1) +
  Merge1[[#This Row],[index_defensive_effort]],
  2
)</f>
        <v>0.99</v>
      </c>
    </row>
    <row r="2805" spans="1:37" x14ac:dyDescent="0.25">
      <c r="A2805" t="s">
        <v>756</v>
      </c>
      <c r="B2805" t="s">
        <v>757</v>
      </c>
      <c r="C2805">
        <v>24</v>
      </c>
      <c r="D2805" t="s">
        <v>56</v>
      </c>
      <c r="E2805">
        <v>72</v>
      </c>
      <c r="F2805">
        <v>190</v>
      </c>
      <c r="G2805" t="s">
        <v>424</v>
      </c>
      <c r="H2805">
        <v>2020</v>
      </c>
      <c r="I2805" t="s">
        <v>33</v>
      </c>
      <c r="J2805">
        <v>8</v>
      </c>
      <c r="K2805">
        <v>1</v>
      </c>
      <c r="L2805">
        <v>1</v>
      </c>
      <c r="M2805">
        <v>0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47</v>
      </c>
      <c r="T2805">
        <v>47</v>
      </c>
      <c r="U2805" s="5">
        <f>IF(Merge1[[#This Row],[team_defense_snaps]]=0, "", Merge1[[#This Row],[defense_snaps]] / Merge1[[#This Row],[team_defense_snaps]])</f>
        <v>0.75806451612903225</v>
      </c>
      <c r="V2805">
        <v>62</v>
      </c>
      <c r="W2805">
        <v>0</v>
      </c>
      <c r="X2805" s="5" t="s">
        <v>29</v>
      </c>
      <c r="Y2805">
        <v>1</v>
      </c>
      <c r="Z2805">
        <v>0</v>
      </c>
      <c r="AA2805" t="s">
        <v>25</v>
      </c>
      <c r="AB2805" t="s">
        <v>26</v>
      </c>
      <c r="AC2805" t="s">
        <v>27</v>
      </c>
      <c r="AD2805" t="s">
        <v>42</v>
      </c>
      <c r="AE2805" t="s">
        <v>25</v>
      </c>
      <c r="AF28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3.1914893617021274E-2</v>
      </c>
      <c r="AG2805" t="s">
        <v>942</v>
      </c>
      <c r="AH2805">
        <v>58.5</v>
      </c>
      <c r="AI2805" t="s">
        <v>939</v>
      </c>
      <c r="AJ2805">
        <v>1</v>
      </c>
      <c r="AK28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MIN(AJ2805/8, 1) +
  Merge1[[#This Row],[index_defensive_effort]],
  2
)</f>
        <v>0.56000000000000005</v>
      </c>
    </row>
    <row r="2806" spans="1:37" x14ac:dyDescent="0.25">
      <c r="A2806" t="s">
        <v>756</v>
      </c>
      <c r="B2806" t="s">
        <v>757</v>
      </c>
      <c r="C2806">
        <v>24</v>
      </c>
      <c r="D2806" t="s">
        <v>56</v>
      </c>
      <c r="E2806">
        <v>72</v>
      </c>
      <c r="F2806">
        <v>190</v>
      </c>
      <c r="G2806" t="s">
        <v>424</v>
      </c>
      <c r="H2806">
        <v>2020</v>
      </c>
      <c r="I2806" t="s">
        <v>33</v>
      </c>
      <c r="J2806">
        <v>9</v>
      </c>
      <c r="K2806">
        <v>2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41</v>
      </c>
      <c r="T2806">
        <v>32</v>
      </c>
      <c r="U2806" s="5">
        <f>IF(Merge1[[#This Row],[team_defense_snaps]]=0, "", Merge1[[#This Row],[defense_snaps]] / Merge1[[#This Row],[team_defense_snaps]])</f>
        <v>0.47761194029850745</v>
      </c>
      <c r="V2806">
        <v>67</v>
      </c>
      <c r="W2806">
        <v>9</v>
      </c>
      <c r="X2806" s="5" t="s">
        <v>158</v>
      </c>
      <c r="Y2806">
        <v>1</v>
      </c>
      <c r="Z2806">
        <v>0</v>
      </c>
      <c r="AA2806" t="s">
        <v>25</v>
      </c>
      <c r="AB2806" t="s">
        <v>26</v>
      </c>
      <c r="AC2806" t="s">
        <v>27</v>
      </c>
      <c r="AD2806" t="s">
        <v>42</v>
      </c>
      <c r="AE2806" t="s">
        <v>25</v>
      </c>
      <c r="AF28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4.878048780487805E-2</v>
      </c>
      <c r="AG2806" t="s">
        <v>942</v>
      </c>
      <c r="AH2806">
        <v>49.5</v>
      </c>
      <c r="AI2806" t="s">
        <v>939</v>
      </c>
      <c r="AJ2806">
        <v>2</v>
      </c>
      <c r="AK28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MIN(AJ2806/8, 1) +
  Merge1[[#This Row],[index_defensive_effort]],
  2
)</f>
        <v>0.7</v>
      </c>
    </row>
    <row r="2807" spans="1:37" x14ac:dyDescent="0.25">
      <c r="A2807" t="s">
        <v>756</v>
      </c>
      <c r="B2807" t="s">
        <v>757</v>
      </c>
      <c r="C2807">
        <v>24</v>
      </c>
      <c r="D2807" t="s">
        <v>56</v>
      </c>
      <c r="E2807">
        <v>72</v>
      </c>
      <c r="F2807">
        <v>190</v>
      </c>
      <c r="G2807" t="s">
        <v>424</v>
      </c>
      <c r="H2807">
        <v>2020</v>
      </c>
      <c r="I2807" t="s">
        <v>33</v>
      </c>
      <c r="J2807">
        <v>10</v>
      </c>
      <c r="K2807">
        <v>2</v>
      </c>
      <c r="L2807">
        <v>2</v>
      </c>
      <c r="M2807">
        <v>1</v>
      </c>
      <c r="N2807">
        <v>3</v>
      </c>
      <c r="O2807">
        <v>0</v>
      </c>
      <c r="P2807">
        <v>0</v>
      </c>
      <c r="Q2807">
        <v>0</v>
      </c>
      <c r="R2807">
        <v>0</v>
      </c>
      <c r="S2807">
        <v>49</v>
      </c>
      <c r="T2807">
        <v>44</v>
      </c>
      <c r="U2807" s="5">
        <f>IF(Merge1[[#This Row],[team_defense_snaps]]=0, "", Merge1[[#This Row],[defense_snaps]] / Merge1[[#This Row],[team_defense_snaps]])</f>
        <v>0.65671641791044777</v>
      </c>
      <c r="V2807">
        <v>67</v>
      </c>
      <c r="W2807">
        <v>5</v>
      </c>
      <c r="X2807" s="5" t="s">
        <v>293</v>
      </c>
      <c r="Y2807">
        <v>1</v>
      </c>
      <c r="Z2807">
        <v>0</v>
      </c>
      <c r="AA2807" t="s">
        <v>25</v>
      </c>
      <c r="AB2807" t="s">
        <v>26</v>
      </c>
      <c r="AC2807" t="s">
        <v>27</v>
      </c>
      <c r="AD2807" t="s">
        <v>28</v>
      </c>
      <c r="AE2807" t="s">
        <v>25</v>
      </c>
      <c r="AF28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2807" t="s">
        <v>942</v>
      </c>
      <c r="AH2807">
        <v>61.5</v>
      </c>
      <c r="AI2807" t="s">
        <v>939</v>
      </c>
      <c r="AJ2807">
        <v>3</v>
      </c>
      <c r="AK28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MIN(AJ2807/8, 1) +
  Merge1[[#This Row],[index_defensive_effort]],
  2
)</f>
        <v>0.85</v>
      </c>
    </row>
    <row r="2808" spans="1:37" x14ac:dyDescent="0.25">
      <c r="A2808" t="s">
        <v>756</v>
      </c>
      <c r="B2808" t="s">
        <v>757</v>
      </c>
      <c r="C2808">
        <v>24</v>
      </c>
      <c r="D2808" t="s">
        <v>56</v>
      </c>
      <c r="E2808">
        <v>72</v>
      </c>
      <c r="F2808">
        <v>190</v>
      </c>
      <c r="G2808" t="s">
        <v>424</v>
      </c>
      <c r="H2808">
        <v>2020</v>
      </c>
      <c r="I2808" t="s">
        <v>33</v>
      </c>
      <c r="J2808">
        <v>11</v>
      </c>
      <c r="K2808">
        <v>5</v>
      </c>
      <c r="L2808">
        <v>1</v>
      </c>
      <c r="M2808">
        <v>0</v>
      </c>
      <c r="N2808">
        <v>1</v>
      </c>
      <c r="O2808">
        <v>0</v>
      </c>
      <c r="P2808">
        <v>0</v>
      </c>
      <c r="Q2808">
        <v>2</v>
      </c>
      <c r="R2808">
        <v>0</v>
      </c>
      <c r="S2808">
        <v>67</v>
      </c>
      <c r="T2808">
        <v>56</v>
      </c>
      <c r="U2808" s="5">
        <f>IF(Merge1[[#This Row],[team_defense_snaps]]=0, "", Merge1[[#This Row],[defense_snaps]] / Merge1[[#This Row],[team_defense_snaps]])</f>
        <v>0.93333333333333335</v>
      </c>
      <c r="V2808">
        <v>60</v>
      </c>
      <c r="W2808">
        <v>11</v>
      </c>
      <c r="X2808" s="5" t="s">
        <v>70</v>
      </c>
      <c r="Y2808">
        <v>1</v>
      </c>
      <c r="Z2808">
        <v>0</v>
      </c>
      <c r="AA2808" t="s">
        <v>25</v>
      </c>
      <c r="AB2808" t="s">
        <v>26</v>
      </c>
      <c r="AC2808" t="s">
        <v>27</v>
      </c>
      <c r="AD2808" t="s">
        <v>42</v>
      </c>
      <c r="AE2808" t="s">
        <v>25</v>
      </c>
      <c r="AF28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0.20149253731343283</v>
      </c>
      <c r="AG2808" t="s">
        <v>942</v>
      </c>
      <c r="AH2808">
        <v>57</v>
      </c>
      <c r="AI2808" t="s">
        <v>939</v>
      </c>
      <c r="AJ2808">
        <v>4</v>
      </c>
      <c r="AK28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MIN(AJ2808/8, 1) +
  Merge1[[#This Row],[index_defensive_effort]],
  2
)</f>
        <v>1.1000000000000001</v>
      </c>
    </row>
    <row r="2809" spans="1:37" x14ac:dyDescent="0.25">
      <c r="A2809" t="s">
        <v>756</v>
      </c>
      <c r="B2809" t="s">
        <v>757</v>
      </c>
      <c r="C2809">
        <v>24</v>
      </c>
      <c r="D2809" t="s">
        <v>56</v>
      </c>
      <c r="E2809">
        <v>72</v>
      </c>
      <c r="F2809">
        <v>190</v>
      </c>
      <c r="G2809" t="s">
        <v>424</v>
      </c>
      <c r="H2809">
        <v>2020</v>
      </c>
      <c r="I2809" t="s">
        <v>33</v>
      </c>
      <c r="J2809">
        <v>12</v>
      </c>
      <c r="K2809">
        <v>2</v>
      </c>
      <c r="L2809">
        <v>1</v>
      </c>
      <c r="M2809">
        <v>1</v>
      </c>
      <c r="N2809">
        <v>2</v>
      </c>
      <c r="O2809">
        <v>0</v>
      </c>
      <c r="P2809">
        <v>0</v>
      </c>
      <c r="Q2809">
        <v>0</v>
      </c>
      <c r="R2809">
        <v>0</v>
      </c>
      <c r="S2809">
        <v>32</v>
      </c>
      <c r="T2809">
        <v>27</v>
      </c>
      <c r="U2809" s="5">
        <f>IF(Merge1[[#This Row],[team_defense_snaps]]=0, "", Merge1[[#This Row],[defense_snaps]] / Merge1[[#This Row],[team_defense_snaps]])</f>
        <v>0.375</v>
      </c>
      <c r="V2809">
        <v>72</v>
      </c>
      <c r="W2809">
        <v>5</v>
      </c>
      <c r="X2809" s="5" t="s">
        <v>159</v>
      </c>
      <c r="Y2809">
        <v>1</v>
      </c>
      <c r="Z2809">
        <v>0</v>
      </c>
      <c r="AA2809" t="s">
        <v>25</v>
      </c>
      <c r="AB2809" t="s">
        <v>26</v>
      </c>
      <c r="AC2809" t="s">
        <v>27</v>
      </c>
      <c r="AD2809" t="s">
        <v>28</v>
      </c>
      <c r="AE2809" t="s">
        <v>25</v>
      </c>
      <c r="AF28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9.375E-2</v>
      </c>
      <c r="AG2809" t="s">
        <v>942</v>
      </c>
      <c r="AH2809">
        <v>64.5</v>
      </c>
      <c r="AI2809" t="s">
        <v>939</v>
      </c>
      <c r="AJ2809">
        <v>5</v>
      </c>
      <c r="AK28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MIN(AJ2809/8, 1) +
  Merge1[[#This Row],[index_defensive_effort]],
  2
)</f>
        <v>1.1200000000000001</v>
      </c>
    </row>
    <row r="2810" spans="1:37" x14ac:dyDescent="0.25">
      <c r="A2810" t="s">
        <v>756</v>
      </c>
      <c r="B2810" t="s">
        <v>757</v>
      </c>
      <c r="C2810">
        <v>24</v>
      </c>
      <c r="D2810" t="s">
        <v>56</v>
      </c>
      <c r="E2810">
        <v>72</v>
      </c>
      <c r="F2810">
        <v>190</v>
      </c>
      <c r="G2810" t="s">
        <v>424</v>
      </c>
      <c r="H2810">
        <v>2020</v>
      </c>
      <c r="I2810" t="s">
        <v>33</v>
      </c>
      <c r="J2810">
        <v>13</v>
      </c>
      <c r="K2810">
        <v>2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34</v>
      </c>
      <c r="T2810">
        <v>29</v>
      </c>
      <c r="U2810" s="5">
        <f>IF(Merge1[[#This Row],[team_defense_snaps]]=0, "", Merge1[[#This Row],[defense_snaps]] / Merge1[[#This Row],[team_defense_snaps]])</f>
        <v>0.453125</v>
      </c>
      <c r="V2810">
        <v>64</v>
      </c>
      <c r="W2810">
        <v>5</v>
      </c>
      <c r="X2810" s="5" t="s">
        <v>181</v>
      </c>
      <c r="Y2810">
        <v>1</v>
      </c>
      <c r="Z2810">
        <v>0</v>
      </c>
      <c r="AA2810" t="s">
        <v>25</v>
      </c>
      <c r="AB2810" t="s">
        <v>26</v>
      </c>
      <c r="AC2810" t="s">
        <v>27</v>
      </c>
      <c r="AD2810" t="s">
        <v>28</v>
      </c>
      <c r="AE2810" t="s">
        <v>25</v>
      </c>
      <c r="AF28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AG2810" t="s">
        <v>942</v>
      </c>
      <c r="AH2810">
        <v>55.5</v>
      </c>
      <c r="AI2810" t="s">
        <v>939</v>
      </c>
      <c r="AJ2810">
        <v>6</v>
      </c>
      <c r="AK28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MIN(AJ2810/8, 1) +
  Merge1[[#This Row],[index_defensive_effort]],
  2
)</f>
        <v>1.21</v>
      </c>
    </row>
    <row r="2811" spans="1:37" x14ac:dyDescent="0.25">
      <c r="A2811" t="s">
        <v>756</v>
      </c>
      <c r="B2811" t="s">
        <v>757</v>
      </c>
      <c r="C2811">
        <v>24</v>
      </c>
      <c r="D2811" t="s">
        <v>56</v>
      </c>
      <c r="E2811">
        <v>72</v>
      </c>
      <c r="F2811">
        <v>190</v>
      </c>
      <c r="G2811" t="s">
        <v>424</v>
      </c>
      <c r="H2811">
        <v>2020</v>
      </c>
      <c r="I2811" t="s">
        <v>33</v>
      </c>
      <c r="J2811">
        <v>14</v>
      </c>
      <c r="K2811">
        <v>4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54</v>
      </c>
      <c r="T2811">
        <v>46</v>
      </c>
      <c r="U2811" s="5">
        <f>IF(Merge1[[#This Row],[team_defense_snaps]]=0, "", Merge1[[#This Row],[defense_snaps]] / Merge1[[#This Row],[team_defense_snaps]])</f>
        <v>0.66666666666666663</v>
      </c>
      <c r="V2811">
        <v>69</v>
      </c>
      <c r="W2811">
        <v>8</v>
      </c>
      <c r="X2811" s="5" t="s">
        <v>261</v>
      </c>
      <c r="Y2811">
        <v>1</v>
      </c>
      <c r="Z2811">
        <v>0</v>
      </c>
      <c r="AA2811" t="s">
        <v>25</v>
      </c>
      <c r="AB2811" t="s">
        <v>26</v>
      </c>
      <c r="AC2811" t="s">
        <v>27</v>
      </c>
      <c r="AD2811" t="s">
        <v>28</v>
      </c>
      <c r="AE2811" t="s">
        <v>25</v>
      </c>
      <c r="AF28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7.407407407407407E-2</v>
      </c>
      <c r="AG2811" t="s">
        <v>942</v>
      </c>
      <c r="AH2811">
        <v>66</v>
      </c>
      <c r="AI2811" t="s">
        <v>939</v>
      </c>
      <c r="AJ2811">
        <v>7</v>
      </c>
      <c r="AK28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MIN(AJ2811/8, 1) +
  Merge1[[#This Row],[index_defensive_effort]],
  2
)</f>
        <v>1.35</v>
      </c>
    </row>
    <row r="2812" spans="1:37" x14ac:dyDescent="0.25">
      <c r="A2812" t="s">
        <v>756</v>
      </c>
      <c r="B2812" t="s">
        <v>757</v>
      </c>
      <c r="C2812">
        <v>24</v>
      </c>
      <c r="D2812" t="s">
        <v>56</v>
      </c>
      <c r="E2812">
        <v>72</v>
      </c>
      <c r="F2812">
        <v>190</v>
      </c>
      <c r="G2812" t="s">
        <v>424</v>
      </c>
      <c r="H2812">
        <v>2020</v>
      </c>
      <c r="I2812" t="s">
        <v>33</v>
      </c>
      <c r="J2812">
        <v>16</v>
      </c>
      <c r="K2812">
        <v>2</v>
      </c>
      <c r="L2812">
        <v>2</v>
      </c>
      <c r="M2812">
        <v>0</v>
      </c>
      <c r="N2812">
        <v>2</v>
      </c>
      <c r="O2812">
        <v>0</v>
      </c>
      <c r="P2812">
        <v>0</v>
      </c>
      <c r="Q2812">
        <v>0</v>
      </c>
      <c r="R2812">
        <v>0</v>
      </c>
      <c r="S2812">
        <v>50</v>
      </c>
      <c r="T2812">
        <v>39</v>
      </c>
      <c r="U2812" s="5">
        <f>IF(Merge1[[#This Row],[team_defense_snaps]]=0, "", Merge1[[#This Row],[defense_snaps]] / Merge1[[#This Row],[team_defense_snaps]])</f>
        <v>0.57352941176470584</v>
      </c>
      <c r="V2812">
        <v>68</v>
      </c>
      <c r="W2812">
        <v>11</v>
      </c>
      <c r="X2812" s="5" t="s">
        <v>158</v>
      </c>
      <c r="Y2812">
        <v>1</v>
      </c>
      <c r="Z2812">
        <v>0</v>
      </c>
      <c r="AA2812" t="s">
        <v>25</v>
      </c>
      <c r="AB2812" t="s">
        <v>26</v>
      </c>
      <c r="AC2812" t="s">
        <v>27</v>
      </c>
      <c r="AD2812" t="s">
        <v>42</v>
      </c>
      <c r="AE2812" t="s">
        <v>25</v>
      </c>
      <c r="AF28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0.06</v>
      </c>
      <c r="AG2812" t="s">
        <v>942</v>
      </c>
      <c r="AH2812">
        <v>52.5</v>
      </c>
      <c r="AI2812" t="s">
        <v>939</v>
      </c>
      <c r="AJ2812">
        <v>1</v>
      </c>
      <c r="AK28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MIN(AJ2812/8, 1) +
  Merge1[[#This Row],[index_defensive_effort]],
  2
)</f>
        <v>0.59</v>
      </c>
    </row>
    <row r="2813" spans="1:37" x14ac:dyDescent="0.25">
      <c r="A2813" t="s">
        <v>748</v>
      </c>
      <c r="B2813" t="s">
        <v>749</v>
      </c>
      <c r="C2813">
        <v>30</v>
      </c>
      <c r="D2813" t="s">
        <v>22</v>
      </c>
      <c r="E2813">
        <v>70</v>
      </c>
      <c r="F2813">
        <v>185</v>
      </c>
      <c r="G2813" t="s">
        <v>150</v>
      </c>
      <c r="H2813">
        <v>2020</v>
      </c>
      <c r="I2813" t="s">
        <v>33</v>
      </c>
      <c r="J2813">
        <v>1</v>
      </c>
      <c r="K2813">
        <v>6</v>
      </c>
      <c r="L2813">
        <v>2</v>
      </c>
      <c r="M2813">
        <v>0</v>
      </c>
      <c r="N2813">
        <v>2</v>
      </c>
      <c r="O2813">
        <v>0</v>
      </c>
      <c r="P2813">
        <v>1</v>
      </c>
      <c r="Q2813">
        <v>0</v>
      </c>
      <c r="R2813">
        <v>0</v>
      </c>
      <c r="S2813">
        <v>80</v>
      </c>
      <c r="T2813">
        <v>70</v>
      </c>
      <c r="U2813" s="5">
        <f>IF(Merge1[[#This Row],[team_defense_snaps]]=0, "", Merge1[[#This Row],[defense_snaps]] / Merge1[[#This Row],[team_defense_snaps]])</f>
        <v>0.93333333333333335</v>
      </c>
      <c r="V2813">
        <v>75</v>
      </c>
      <c r="W2813">
        <v>10</v>
      </c>
      <c r="X2813" s="5" t="s">
        <v>138</v>
      </c>
      <c r="Y2813">
        <v>8</v>
      </c>
      <c r="Z2813">
        <v>0</v>
      </c>
      <c r="AA2813" t="s">
        <v>25</v>
      </c>
      <c r="AB2813" t="s">
        <v>26</v>
      </c>
      <c r="AC2813" t="s">
        <v>27</v>
      </c>
      <c r="AD2813" t="s">
        <v>42</v>
      </c>
      <c r="AE2813" t="s">
        <v>25</v>
      </c>
      <c r="AF28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0.1125</v>
      </c>
      <c r="AG2813" t="s">
        <v>943</v>
      </c>
      <c r="AH2813">
        <v>56.5</v>
      </c>
      <c r="AI2813" t="s">
        <v>939</v>
      </c>
      <c r="AJ2813">
        <v>1</v>
      </c>
      <c r="AK28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MIN(AJ2813/8, 1) +
  Merge1[[#This Row],[index_defensive_effort]],
  2
)</f>
        <v>0.74</v>
      </c>
    </row>
    <row r="2814" spans="1:37" x14ac:dyDescent="0.25">
      <c r="A2814" t="s">
        <v>748</v>
      </c>
      <c r="B2814" t="s">
        <v>749</v>
      </c>
      <c r="C2814">
        <v>30</v>
      </c>
      <c r="D2814" t="s">
        <v>22</v>
      </c>
      <c r="E2814">
        <v>70</v>
      </c>
      <c r="F2814">
        <v>185</v>
      </c>
      <c r="G2814" t="s">
        <v>150</v>
      </c>
      <c r="H2814">
        <v>2020</v>
      </c>
      <c r="I2814" t="s">
        <v>33</v>
      </c>
      <c r="J2814">
        <v>2</v>
      </c>
      <c r="K2814">
        <v>3</v>
      </c>
      <c r="L2814">
        <v>1</v>
      </c>
      <c r="M2814">
        <v>0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81</v>
      </c>
      <c r="T2814">
        <v>69</v>
      </c>
      <c r="U2814" s="5">
        <f>IF(Merge1[[#This Row],[team_defense_snaps]]=0, "", Merge1[[#This Row],[defense_snaps]] / Merge1[[#This Row],[team_defense_snaps]])</f>
        <v>0.98571428571428577</v>
      </c>
      <c r="V2814">
        <v>70</v>
      </c>
      <c r="W2814">
        <v>12</v>
      </c>
      <c r="X2814" s="5" t="s">
        <v>200</v>
      </c>
      <c r="Y2814">
        <v>8</v>
      </c>
      <c r="Z2814">
        <v>0</v>
      </c>
      <c r="AA2814" t="s">
        <v>25</v>
      </c>
      <c r="AB2814" t="s">
        <v>26</v>
      </c>
      <c r="AC2814" t="s">
        <v>27</v>
      </c>
      <c r="AD2814" t="s">
        <v>42</v>
      </c>
      <c r="AE2814" t="s">
        <v>25</v>
      </c>
      <c r="AF28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4.3209876543209874E-2</v>
      </c>
      <c r="AG2814" t="s">
        <v>943</v>
      </c>
      <c r="AH2814">
        <v>73</v>
      </c>
      <c r="AI2814" t="s">
        <v>939</v>
      </c>
      <c r="AJ2814">
        <v>2</v>
      </c>
      <c r="AK28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MIN(AJ2814/8, 1) +
  Merge1[[#This Row],[index_defensive_effort]],
  2
)</f>
        <v>0.79</v>
      </c>
    </row>
    <row r="2815" spans="1:37" x14ac:dyDescent="0.25">
      <c r="A2815" t="s">
        <v>748</v>
      </c>
      <c r="B2815" t="s">
        <v>749</v>
      </c>
      <c r="C2815">
        <v>30</v>
      </c>
      <c r="D2815" t="s">
        <v>22</v>
      </c>
      <c r="E2815">
        <v>70</v>
      </c>
      <c r="F2815">
        <v>185</v>
      </c>
      <c r="G2815" t="s">
        <v>150</v>
      </c>
      <c r="H2815">
        <v>2020</v>
      </c>
      <c r="I2815" t="s">
        <v>33</v>
      </c>
      <c r="J2815">
        <v>3</v>
      </c>
      <c r="K2815">
        <v>2</v>
      </c>
      <c r="L2815">
        <v>3</v>
      </c>
      <c r="M2815">
        <v>1</v>
      </c>
      <c r="N2815">
        <v>4</v>
      </c>
      <c r="O2815">
        <v>0</v>
      </c>
      <c r="P2815">
        <v>0</v>
      </c>
      <c r="Q2815">
        <v>0</v>
      </c>
      <c r="R2815">
        <v>0</v>
      </c>
      <c r="S2815">
        <v>85</v>
      </c>
      <c r="T2815">
        <v>72</v>
      </c>
      <c r="U2815" s="5">
        <f>IF(Merge1[[#This Row],[team_defense_snaps]]=0, "", Merge1[[#This Row],[defense_snaps]] / Merge1[[#This Row],[team_defense_snaps]])</f>
        <v>0.98630136986301364</v>
      </c>
      <c r="V2815">
        <v>73</v>
      </c>
      <c r="W2815">
        <v>13</v>
      </c>
      <c r="X2815" s="5" t="s">
        <v>134</v>
      </c>
      <c r="Y2815">
        <v>8</v>
      </c>
      <c r="Z2815">
        <v>0</v>
      </c>
      <c r="AA2815" t="s">
        <v>25</v>
      </c>
      <c r="AB2815" t="s">
        <v>26</v>
      </c>
      <c r="AC2815" t="s">
        <v>27</v>
      </c>
      <c r="AD2815" t="s">
        <v>42</v>
      </c>
      <c r="AE2815" t="s">
        <v>25</v>
      </c>
      <c r="AF28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4.7058823529411764E-2</v>
      </c>
      <c r="AG2815" t="s">
        <v>943</v>
      </c>
      <c r="AH2815">
        <v>67</v>
      </c>
      <c r="AI2815" t="s">
        <v>939</v>
      </c>
      <c r="AJ2815">
        <v>3</v>
      </c>
      <c r="AK28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MIN(AJ2815/8, 1) +
  Merge1[[#This Row],[index_defensive_effort]],
  2
)</f>
        <v>0.92</v>
      </c>
    </row>
    <row r="2816" spans="1:37" x14ac:dyDescent="0.25">
      <c r="A2816" t="s">
        <v>748</v>
      </c>
      <c r="B2816" t="s">
        <v>749</v>
      </c>
      <c r="C2816">
        <v>30</v>
      </c>
      <c r="D2816" t="s">
        <v>22</v>
      </c>
      <c r="E2816">
        <v>70</v>
      </c>
      <c r="F2816">
        <v>185</v>
      </c>
      <c r="G2816" t="s">
        <v>150</v>
      </c>
      <c r="H2816">
        <v>2020</v>
      </c>
      <c r="I2816" t="s">
        <v>33</v>
      </c>
      <c r="J2816">
        <v>4</v>
      </c>
      <c r="K2816">
        <v>10</v>
      </c>
      <c r="L2816">
        <v>1</v>
      </c>
      <c r="M2816">
        <v>0</v>
      </c>
      <c r="N2816">
        <v>1</v>
      </c>
      <c r="O2816">
        <v>0</v>
      </c>
      <c r="P2816">
        <v>3</v>
      </c>
      <c r="Q2816">
        <v>2</v>
      </c>
      <c r="R2816">
        <v>0</v>
      </c>
      <c r="S2816">
        <v>81</v>
      </c>
      <c r="T2816">
        <v>73</v>
      </c>
      <c r="U2816" s="5">
        <f>IF(Merge1[[#This Row],[team_defense_snaps]]=0, "", Merge1[[#This Row],[defense_snaps]] / Merge1[[#This Row],[team_defense_snaps]])</f>
        <v>0.98648648648648651</v>
      </c>
      <c r="V2816">
        <v>74</v>
      </c>
      <c r="W2816">
        <v>8</v>
      </c>
      <c r="X2816" s="5" t="s">
        <v>123</v>
      </c>
      <c r="Y2816">
        <v>8</v>
      </c>
      <c r="Z2816">
        <v>0</v>
      </c>
      <c r="AA2816" t="s">
        <v>25</v>
      </c>
      <c r="AB2816" t="s">
        <v>26</v>
      </c>
      <c r="AC2816" t="s">
        <v>27</v>
      </c>
      <c r="AD2816" t="s">
        <v>42</v>
      </c>
      <c r="AE2816" t="s">
        <v>25</v>
      </c>
      <c r="AF28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0.30246913580246915</v>
      </c>
      <c r="AG2816" t="s">
        <v>943</v>
      </c>
      <c r="AH2816">
        <v>64</v>
      </c>
      <c r="AI2816" t="s">
        <v>939</v>
      </c>
      <c r="AJ2816">
        <v>4</v>
      </c>
      <c r="AK28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MIN(AJ2816/8, 1) +
  Merge1[[#This Row],[index_defensive_effort]],
  2
)</f>
        <v>1.3</v>
      </c>
    </row>
    <row r="2817" spans="1:37" x14ac:dyDescent="0.25">
      <c r="A2817" t="s">
        <v>748</v>
      </c>
      <c r="B2817" t="s">
        <v>749</v>
      </c>
      <c r="C2817">
        <v>30</v>
      </c>
      <c r="D2817" t="s">
        <v>22</v>
      </c>
      <c r="E2817">
        <v>70</v>
      </c>
      <c r="F2817">
        <v>185</v>
      </c>
      <c r="G2817" t="s">
        <v>150</v>
      </c>
      <c r="H2817">
        <v>2020</v>
      </c>
      <c r="I2817" t="s">
        <v>33</v>
      </c>
      <c r="J2817">
        <v>5</v>
      </c>
      <c r="K2817">
        <v>4</v>
      </c>
      <c r="L2817">
        <v>4</v>
      </c>
      <c r="M2817">
        <v>3</v>
      </c>
      <c r="N2817">
        <v>7</v>
      </c>
      <c r="O2817">
        <v>0</v>
      </c>
      <c r="P2817">
        <v>0</v>
      </c>
      <c r="Q2817">
        <v>0</v>
      </c>
      <c r="R2817">
        <v>0</v>
      </c>
      <c r="S2817">
        <v>82</v>
      </c>
      <c r="T2817">
        <v>76</v>
      </c>
      <c r="U2817" s="5">
        <f>IF(Merge1[[#This Row],[team_defense_snaps]]=0, "", Merge1[[#This Row],[defense_snaps]] / Merge1[[#This Row],[team_defense_snaps]])</f>
        <v>0.97435897435897434</v>
      </c>
      <c r="V2817">
        <v>78</v>
      </c>
      <c r="W2817">
        <v>6</v>
      </c>
      <c r="X2817" s="5" t="s">
        <v>132</v>
      </c>
      <c r="Y2817">
        <v>8</v>
      </c>
      <c r="Z2817">
        <v>0</v>
      </c>
      <c r="AA2817" t="s">
        <v>25</v>
      </c>
      <c r="AB2817" t="s">
        <v>26</v>
      </c>
      <c r="AC2817" t="s">
        <v>27</v>
      </c>
      <c r="AD2817" t="s">
        <v>42</v>
      </c>
      <c r="AE2817" t="s">
        <v>25</v>
      </c>
      <c r="AF28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9.1463414634146339E-2</v>
      </c>
      <c r="AG2817" t="s">
        <v>943</v>
      </c>
      <c r="AH2817">
        <v>55</v>
      </c>
      <c r="AI2817" t="s">
        <v>939</v>
      </c>
      <c r="AJ2817">
        <v>5</v>
      </c>
      <c r="AK28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MIN(AJ2817/8, 1) +
  Merge1[[#This Row],[index_defensive_effort]],
  2
)</f>
        <v>1.22</v>
      </c>
    </row>
    <row r="2818" spans="1:37" x14ac:dyDescent="0.25">
      <c r="A2818" t="s">
        <v>748</v>
      </c>
      <c r="B2818" t="s">
        <v>749</v>
      </c>
      <c r="C2818">
        <v>30</v>
      </c>
      <c r="D2818" t="s">
        <v>22</v>
      </c>
      <c r="E2818">
        <v>70</v>
      </c>
      <c r="F2818">
        <v>185</v>
      </c>
      <c r="G2818" t="s">
        <v>150</v>
      </c>
      <c r="H2818">
        <v>2020</v>
      </c>
      <c r="I2818" t="s">
        <v>33</v>
      </c>
      <c r="J2818">
        <v>6</v>
      </c>
      <c r="K2818">
        <v>4</v>
      </c>
      <c r="L2818">
        <v>1</v>
      </c>
      <c r="M2818">
        <v>0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87</v>
      </c>
      <c r="T2818">
        <v>73</v>
      </c>
      <c r="U2818" s="5">
        <f>IF(Merge1[[#This Row],[team_defense_snaps]]=0, "", Merge1[[#This Row],[defense_snaps]] / Merge1[[#This Row],[team_defense_snaps]])</f>
        <v>0.98648648648648651</v>
      </c>
      <c r="V2818">
        <v>74</v>
      </c>
      <c r="W2818">
        <v>14</v>
      </c>
      <c r="X2818" s="5" t="s">
        <v>243</v>
      </c>
      <c r="Y2818">
        <v>8</v>
      </c>
      <c r="Z2818">
        <v>0</v>
      </c>
      <c r="AA2818" t="s">
        <v>25</v>
      </c>
      <c r="AB2818" t="s">
        <v>26</v>
      </c>
      <c r="AC2818" t="s">
        <v>27</v>
      </c>
      <c r="AD2818" t="s">
        <v>42</v>
      </c>
      <c r="AE2818" t="s">
        <v>25</v>
      </c>
      <c r="AF28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5.1724137931034482E-2</v>
      </c>
      <c r="AG2818" t="s">
        <v>943</v>
      </c>
      <c r="AH2818">
        <v>71.5</v>
      </c>
      <c r="AI2818" t="s">
        <v>939</v>
      </c>
      <c r="AJ2818">
        <v>6</v>
      </c>
      <c r="AK28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MIN(AJ2818/8, 1) +
  Merge1[[#This Row],[index_defensive_effort]],
  2
)</f>
        <v>1.3</v>
      </c>
    </row>
    <row r="2819" spans="1:37" x14ac:dyDescent="0.25">
      <c r="A2819" t="s">
        <v>748</v>
      </c>
      <c r="B2819" t="s">
        <v>749</v>
      </c>
      <c r="C2819">
        <v>30</v>
      </c>
      <c r="D2819" t="s">
        <v>22</v>
      </c>
      <c r="E2819">
        <v>70</v>
      </c>
      <c r="F2819">
        <v>185</v>
      </c>
      <c r="G2819" t="s">
        <v>150</v>
      </c>
      <c r="H2819">
        <v>2020</v>
      </c>
      <c r="I2819" t="s">
        <v>33</v>
      </c>
      <c r="J2819">
        <v>7</v>
      </c>
      <c r="K2819">
        <v>3</v>
      </c>
      <c r="L2819">
        <v>3</v>
      </c>
      <c r="M2819">
        <v>0</v>
      </c>
      <c r="N2819">
        <v>3</v>
      </c>
      <c r="O2819">
        <v>0</v>
      </c>
      <c r="P2819">
        <v>0</v>
      </c>
      <c r="Q2819">
        <v>0</v>
      </c>
      <c r="R2819">
        <v>0</v>
      </c>
      <c r="S2819">
        <v>68</v>
      </c>
      <c r="T2819">
        <v>60</v>
      </c>
      <c r="U2819" s="5">
        <f>IF(Merge1[[#This Row],[team_defense_snaps]]=0, "", Merge1[[#This Row],[defense_snaps]] / Merge1[[#This Row],[team_defense_snaps]])</f>
        <v>0.98360655737704916</v>
      </c>
      <c r="V2819">
        <v>61</v>
      </c>
      <c r="W2819">
        <v>8</v>
      </c>
      <c r="X2819" s="5" t="s">
        <v>314</v>
      </c>
      <c r="Y2819">
        <v>8</v>
      </c>
      <c r="Z2819">
        <v>0</v>
      </c>
      <c r="AA2819" t="s">
        <v>25</v>
      </c>
      <c r="AB2819" t="s">
        <v>26</v>
      </c>
      <c r="AC2819" t="s">
        <v>27</v>
      </c>
      <c r="AD2819" t="s">
        <v>42</v>
      </c>
      <c r="AE2819" t="s">
        <v>25</v>
      </c>
      <c r="AF28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6.6176470588235295E-2</v>
      </c>
      <c r="AG2819" t="s">
        <v>943</v>
      </c>
      <c r="AH2819">
        <v>62.5</v>
      </c>
      <c r="AI2819" t="s">
        <v>939</v>
      </c>
      <c r="AJ2819">
        <v>7</v>
      </c>
      <c r="AK28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MIN(AJ2819/8, 1) +
  Merge1[[#This Row],[index_defensive_effort]],
  2
)</f>
        <v>1.44</v>
      </c>
    </row>
    <row r="2820" spans="1:37" x14ac:dyDescent="0.25">
      <c r="A2820" t="s">
        <v>748</v>
      </c>
      <c r="B2820" t="s">
        <v>749</v>
      </c>
      <c r="C2820">
        <v>30</v>
      </c>
      <c r="D2820" t="s">
        <v>22</v>
      </c>
      <c r="E2820">
        <v>70</v>
      </c>
      <c r="F2820">
        <v>185</v>
      </c>
      <c r="G2820" t="s">
        <v>150</v>
      </c>
      <c r="H2820">
        <v>2020</v>
      </c>
      <c r="I2820" t="s">
        <v>33</v>
      </c>
      <c r="J2820">
        <v>8</v>
      </c>
      <c r="K2820">
        <v>1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88</v>
      </c>
      <c r="T2820">
        <v>79</v>
      </c>
      <c r="U2820" s="5">
        <f>IF(Merge1[[#This Row],[team_defense_snaps]]=0, "", Merge1[[#This Row],[defense_snaps]] / Merge1[[#This Row],[team_defense_snaps]])</f>
        <v>0.98750000000000004</v>
      </c>
      <c r="V2820">
        <v>80</v>
      </c>
      <c r="W2820">
        <v>9</v>
      </c>
      <c r="X2820" s="5" t="s">
        <v>238</v>
      </c>
      <c r="Y2820">
        <v>8</v>
      </c>
      <c r="Z2820">
        <v>0</v>
      </c>
      <c r="AA2820" t="s">
        <v>25</v>
      </c>
      <c r="AB2820" t="s">
        <v>26</v>
      </c>
      <c r="AC2820" t="s">
        <v>27</v>
      </c>
      <c r="AD2820" t="s">
        <v>42</v>
      </c>
      <c r="AE2820" t="s">
        <v>25</v>
      </c>
      <c r="AF28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1.1363636363636364E-2</v>
      </c>
      <c r="AG2820" t="s">
        <v>943</v>
      </c>
      <c r="AH2820">
        <v>53.5</v>
      </c>
      <c r="AI2820" t="s">
        <v>939</v>
      </c>
      <c r="AJ2820">
        <v>8</v>
      </c>
      <c r="AK28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MIN(AJ2820/8, 1) +
  Merge1[[#This Row],[index_defensive_effort]],
  2
)</f>
        <v>1.51</v>
      </c>
    </row>
    <row r="2821" spans="1:37" x14ac:dyDescent="0.25">
      <c r="A2821" t="s">
        <v>748</v>
      </c>
      <c r="B2821" t="s">
        <v>749</v>
      </c>
      <c r="C2821">
        <v>30</v>
      </c>
      <c r="D2821" t="s">
        <v>22</v>
      </c>
      <c r="E2821">
        <v>70</v>
      </c>
      <c r="F2821">
        <v>185</v>
      </c>
      <c r="G2821" t="s">
        <v>150</v>
      </c>
      <c r="H2821">
        <v>2020</v>
      </c>
      <c r="I2821" t="s">
        <v>33</v>
      </c>
      <c r="J2821">
        <v>10</v>
      </c>
      <c r="K2821">
        <v>3</v>
      </c>
      <c r="L2821">
        <v>4</v>
      </c>
      <c r="M2821">
        <v>2</v>
      </c>
      <c r="N2821">
        <v>6</v>
      </c>
      <c r="O2821">
        <v>0</v>
      </c>
      <c r="P2821">
        <v>0</v>
      </c>
      <c r="Q2821">
        <v>0</v>
      </c>
      <c r="R2821">
        <v>0</v>
      </c>
      <c r="S2821">
        <v>84</v>
      </c>
      <c r="T2821">
        <v>71</v>
      </c>
      <c r="U2821" s="5">
        <f>IF(Merge1[[#This Row],[team_defense_snaps]]=0, "", Merge1[[#This Row],[defense_snaps]] / Merge1[[#This Row],[team_defense_snaps]])</f>
        <v>1</v>
      </c>
      <c r="V2821">
        <v>71</v>
      </c>
      <c r="W2821">
        <v>13</v>
      </c>
      <c r="X2821" s="5" t="s">
        <v>52</v>
      </c>
      <c r="Y2821">
        <v>8</v>
      </c>
      <c r="Z2821">
        <v>0</v>
      </c>
      <c r="AA2821" t="s">
        <v>25</v>
      </c>
      <c r="AB2821" t="s">
        <v>26</v>
      </c>
      <c r="AC2821" t="s">
        <v>27</v>
      </c>
      <c r="AD2821" t="s">
        <v>42</v>
      </c>
      <c r="AE2821" t="s">
        <v>25</v>
      </c>
      <c r="AF28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2821" t="s">
        <v>943</v>
      </c>
      <c r="AH2821">
        <v>59.5</v>
      </c>
      <c r="AI2821" t="s">
        <v>939</v>
      </c>
      <c r="AJ2821">
        <v>1</v>
      </c>
      <c r="AK28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MIN(AJ2821/8, 1) +
  Merge1[[#This Row],[index_defensive_effort]],
  2
)</f>
        <v>0.7</v>
      </c>
    </row>
    <row r="2822" spans="1:37" x14ac:dyDescent="0.25">
      <c r="A2822" t="s">
        <v>748</v>
      </c>
      <c r="B2822" t="s">
        <v>749</v>
      </c>
      <c r="C2822">
        <v>30</v>
      </c>
      <c r="D2822" t="s">
        <v>22</v>
      </c>
      <c r="E2822">
        <v>70</v>
      </c>
      <c r="F2822">
        <v>185</v>
      </c>
      <c r="G2822" t="s">
        <v>150</v>
      </c>
      <c r="H2822">
        <v>2020</v>
      </c>
      <c r="I2822" t="s">
        <v>33</v>
      </c>
      <c r="J2822">
        <v>11</v>
      </c>
      <c r="K2822">
        <v>2</v>
      </c>
      <c r="L2822">
        <v>2</v>
      </c>
      <c r="M2822">
        <v>0</v>
      </c>
      <c r="N2822">
        <v>2</v>
      </c>
      <c r="O2822">
        <v>0</v>
      </c>
      <c r="P2822">
        <v>0</v>
      </c>
      <c r="Q2822">
        <v>0</v>
      </c>
      <c r="R2822">
        <v>0</v>
      </c>
      <c r="S2822">
        <v>72</v>
      </c>
      <c r="T2822">
        <v>67</v>
      </c>
      <c r="U2822" s="5">
        <f>IF(Merge1[[#This Row],[team_defense_snaps]]=0, "", Merge1[[#This Row],[defense_snaps]] / Merge1[[#This Row],[team_defense_snaps]])</f>
        <v>0.98529411764705888</v>
      </c>
      <c r="V2822">
        <v>68</v>
      </c>
      <c r="W2822">
        <v>5</v>
      </c>
      <c r="X2822" s="5" t="s">
        <v>124</v>
      </c>
      <c r="Y2822">
        <v>8</v>
      </c>
      <c r="Z2822">
        <v>0</v>
      </c>
      <c r="AA2822" t="s">
        <v>25</v>
      </c>
      <c r="AB2822" t="s">
        <v>26</v>
      </c>
      <c r="AC2822" t="s">
        <v>27</v>
      </c>
      <c r="AD2822" t="s">
        <v>42</v>
      </c>
      <c r="AE2822" t="s">
        <v>25</v>
      </c>
      <c r="AF28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2822" t="s">
        <v>943</v>
      </c>
      <c r="AH2822">
        <v>70</v>
      </c>
      <c r="AI2822" t="s">
        <v>939</v>
      </c>
      <c r="AJ2822">
        <v>2</v>
      </c>
      <c r="AK28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MIN(AJ2822/8, 1) +
  Merge1[[#This Row],[index_defensive_effort]],
  2
)</f>
        <v>0.79</v>
      </c>
    </row>
    <row r="2823" spans="1:37" x14ac:dyDescent="0.25">
      <c r="A2823" t="s">
        <v>748</v>
      </c>
      <c r="B2823" t="s">
        <v>749</v>
      </c>
      <c r="C2823">
        <v>30</v>
      </c>
      <c r="D2823" t="s">
        <v>22</v>
      </c>
      <c r="E2823">
        <v>70</v>
      </c>
      <c r="F2823">
        <v>185</v>
      </c>
      <c r="G2823" t="s">
        <v>150</v>
      </c>
      <c r="H2823">
        <v>2020</v>
      </c>
      <c r="I2823" t="s">
        <v>33</v>
      </c>
      <c r="J2823">
        <v>12</v>
      </c>
      <c r="K2823">
        <v>3</v>
      </c>
      <c r="L2823">
        <v>1</v>
      </c>
      <c r="M2823">
        <v>0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72</v>
      </c>
      <c r="T2823">
        <v>67</v>
      </c>
      <c r="U2823" s="5">
        <f>IF(Merge1[[#This Row],[team_defense_snaps]]=0, "", Merge1[[#This Row],[defense_snaps]] / Merge1[[#This Row],[team_defense_snaps]])</f>
        <v>0.89333333333333331</v>
      </c>
      <c r="V2823">
        <v>75</v>
      </c>
      <c r="W2823">
        <v>5</v>
      </c>
      <c r="X2823" s="5" t="s">
        <v>58</v>
      </c>
      <c r="Y2823">
        <v>8</v>
      </c>
      <c r="Z2823">
        <v>0</v>
      </c>
      <c r="AA2823" t="s">
        <v>25</v>
      </c>
      <c r="AB2823" t="s">
        <v>26</v>
      </c>
      <c r="AC2823" t="s">
        <v>27</v>
      </c>
      <c r="AD2823" t="s">
        <v>42</v>
      </c>
      <c r="AE2823" t="s">
        <v>25</v>
      </c>
      <c r="AF28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4.8611111111111112E-2</v>
      </c>
      <c r="AG2823" t="s">
        <v>943</v>
      </c>
      <c r="AH2823">
        <v>68.5</v>
      </c>
      <c r="AI2823" t="s">
        <v>939</v>
      </c>
      <c r="AJ2823">
        <v>3</v>
      </c>
      <c r="AK28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MIN(AJ2823/8, 1) +
  Merge1[[#This Row],[index_defensive_effort]],
  2
)</f>
        <v>0.92</v>
      </c>
    </row>
    <row r="2824" spans="1:37" x14ac:dyDescent="0.25">
      <c r="A2824" t="s">
        <v>748</v>
      </c>
      <c r="B2824" t="s">
        <v>749</v>
      </c>
      <c r="C2824">
        <v>30</v>
      </c>
      <c r="D2824" t="s">
        <v>22</v>
      </c>
      <c r="E2824">
        <v>70</v>
      </c>
      <c r="F2824">
        <v>185</v>
      </c>
      <c r="G2824" t="s">
        <v>150</v>
      </c>
      <c r="H2824">
        <v>2020</v>
      </c>
      <c r="I2824" t="s">
        <v>33</v>
      </c>
      <c r="J2824">
        <v>13</v>
      </c>
      <c r="K2824">
        <v>4</v>
      </c>
      <c r="L2824">
        <v>1</v>
      </c>
      <c r="M2824">
        <v>0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66</v>
      </c>
      <c r="T2824">
        <v>61</v>
      </c>
      <c r="U2824" s="5">
        <f>IF(Merge1[[#This Row],[team_defense_snaps]]=0, "", Merge1[[#This Row],[defense_snaps]] / Merge1[[#This Row],[team_defense_snaps]])</f>
        <v>0.9838709677419355</v>
      </c>
      <c r="V2824">
        <v>62</v>
      </c>
      <c r="W2824">
        <v>5</v>
      </c>
      <c r="X2824" s="5" t="s">
        <v>59</v>
      </c>
      <c r="Y2824">
        <v>8</v>
      </c>
      <c r="Z2824">
        <v>0</v>
      </c>
      <c r="AA2824" t="s">
        <v>25</v>
      </c>
      <c r="AB2824" t="s">
        <v>26</v>
      </c>
      <c r="AC2824" t="s">
        <v>27</v>
      </c>
      <c r="AD2824" t="s">
        <v>42</v>
      </c>
      <c r="AE2824" t="s">
        <v>25</v>
      </c>
      <c r="AF28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6.8181818181818177E-2</v>
      </c>
      <c r="AG2824" t="s">
        <v>943</v>
      </c>
      <c r="AH2824">
        <v>65.5</v>
      </c>
      <c r="AI2824" t="s">
        <v>939</v>
      </c>
      <c r="AJ2824">
        <v>4</v>
      </c>
      <c r="AK28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MIN(AJ2824/8, 1) +
  Merge1[[#This Row],[index_defensive_effort]],
  2
)</f>
        <v>1.07</v>
      </c>
    </row>
    <row r="2825" spans="1:37" x14ac:dyDescent="0.25">
      <c r="A2825" t="s">
        <v>748</v>
      </c>
      <c r="B2825" t="s">
        <v>749</v>
      </c>
      <c r="C2825">
        <v>30</v>
      </c>
      <c r="D2825" t="s">
        <v>22</v>
      </c>
      <c r="E2825">
        <v>70</v>
      </c>
      <c r="F2825">
        <v>185</v>
      </c>
      <c r="G2825" t="s">
        <v>150</v>
      </c>
      <c r="H2825">
        <v>2020</v>
      </c>
      <c r="I2825" t="s">
        <v>33</v>
      </c>
      <c r="J2825">
        <v>14</v>
      </c>
      <c r="K2825">
        <v>1</v>
      </c>
      <c r="L2825">
        <v>1</v>
      </c>
      <c r="M2825">
        <v>0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41</v>
      </c>
      <c r="T2825">
        <v>35</v>
      </c>
      <c r="U2825" s="5">
        <f>IF(Merge1[[#This Row],[team_defense_snaps]]=0, "", Merge1[[#This Row],[defense_snaps]] / Merge1[[#This Row],[team_defense_snaps]])</f>
        <v>0.55555555555555558</v>
      </c>
      <c r="V2825">
        <v>63</v>
      </c>
      <c r="W2825">
        <v>6</v>
      </c>
      <c r="X2825" s="5" t="s">
        <v>132</v>
      </c>
      <c r="Y2825">
        <v>8</v>
      </c>
      <c r="Z2825">
        <v>0</v>
      </c>
      <c r="AA2825" t="s">
        <v>25</v>
      </c>
      <c r="AB2825" t="s">
        <v>26</v>
      </c>
      <c r="AC2825" t="s">
        <v>27</v>
      </c>
      <c r="AD2825" t="s">
        <v>42</v>
      </c>
      <c r="AE2825" t="s">
        <v>25</v>
      </c>
      <c r="AF28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3.6585365853658534E-2</v>
      </c>
      <c r="AG2825" t="s">
        <v>943</v>
      </c>
      <c r="AH2825">
        <v>58</v>
      </c>
      <c r="AI2825" t="s">
        <v>939</v>
      </c>
      <c r="AJ2825">
        <v>5</v>
      </c>
      <c r="AK28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MIN(AJ2825/8, 1) +
  Merge1[[#This Row],[index_defensive_effort]],
  2
)</f>
        <v>1.1599999999999999</v>
      </c>
    </row>
    <row r="2826" spans="1:37" x14ac:dyDescent="0.25">
      <c r="A2826" t="s">
        <v>729</v>
      </c>
      <c r="B2826" t="s">
        <v>730</v>
      </c>
      <c r="C2826">
        <v>26</v>
      </c>
      <c r="D2826" t="s">
        <v>56</v>
      </c>
      <c r="E2826">
        <v>71</v>
      </c>
      <c r="F2826">
        <v>193</v>
      </c>
      <c r="G2826" t="s">
        <v>286</v>
      </c>
      <c r="H2826">
        <v>2020</v>
      </c>
      <c r="I2826" t="s">
        <v>33</v>
      </c>
      <c r="J2826">
        <v>1</v>
      </c>
      <c r="K2826">
        <v>2</v>
      </c>
      <c r="L2826">
        <v>2</v>
      </c>
      <c r="M2826">
        <v>1</v>
      </c>
      <c r="N2826">
        <v>3</v>
      </c>
      <c r="O2826">
        <v>0</v>
      </c>
      <c r="P2826">
        <v>1</v>
      </c>
      <c r="Q2826">
        <v>0</v>
      </c>
      <c r="R2826">
        <v>0</v>
      </c>
      <c r="S2826">
        <v>68</v>
      </c>
      <c r="T2826">
        <v>68</v>
      </c>
      <c r="U2826" s="5">
        <f>IF(Merge1[[#This Row],[team_defense_snaps]]=0, "", Merge1[[#This Row],[defense_snaps]] / Merge1[[#This Row],[team_defense_snaps]])</f>
        <v>0.98550724637681164</v>
      </c>
      <c r="V2826">
        <v>69</v>
      </c>
      <c r="W2826">
        <v>0</v>
      </c>
      <c r="X2826" s="5" t="s">
        <v>29</v>
      </c>
      <c r="Y2826">
        <v>5</v>
      </c>
      <c r="Z2826">
        <v>0</v>
      </c>
      <c r="AA2826" t="s">
        <v>25</v>
      </c>
      <c r="AB2826" t="s">
        <v>26</v>
      </c>
      <c r="AC2826" t="s">
        <v>27</v>
      </c>
      <c r="AD2826" t="s">
        <v>42</v>
      </c>
      <c r="AE2826" t="s">
        <v>25</v>
      </c>
      <c r="AF28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8.0882352941176475E-2</v>
      </c>
      <c r="AG2826" t="s">
        <v>941</v>
      </c>
      <c r="AH2826">
        <v>51.5</v>
      </c>
      <c r="AI2826" t="s">
        <v>939</v>
      </c>
      <c r="AJ2826">
        <v>1</v>
      </c>
      <c r="AK28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MIN(AJ2826/8, 1) +
  Merge1[[#This Row],[index_defensive_effort]],
  2
)</f>
        <v>0.71</v>
      </c>
    </row>
    <row r="2827" spans="1:37" x14ac:dyDescent="0.25">
      <c r="A2827" t="s">
        <v>729</v>
      </c>
      <c r="B2827" t="s">
        <v>730</v>
      </c>
      <c r="C2827">
        <v>26</v>
      </c>
      <c r="D2827" t="s">
        <v>56</v>
      </c>
      <c r="E2827">
        <v>71</v>
      </c>
      <c r="F2827">
        <v>193</v>
      </c>
      <c r="G2827" t="s">
        <v>286</v>
      </c>
      <c r="H2827">
        <v>2020</v>
      </c>
      <c r="I2827" t="s">
        <v>33</v>
      </c>
      <c r="J2827">
        <v>1</v>
      </c>
      <c r="K2827">
        <v>2</v>
      </c>
      <c r="L2827">
        <v>2</v>
      </c>
      <c r="M2827">
        <v>1</v>
      </c>
      <c r="N2827">
        <v>3</v>
      </c>
      <c r="O2827">
        <v>0</v>
      </c>
      <c r="P2827">
        <v>1</v>
      </c>
      <c r="Q2827">
        <v>0</v>
      </c>
      <c r="R2827">
        <v>0</v>
      </c>
      <c r="S2827">
        <v>68</v>
      </c>
      <c r="T2827">
        <v>68</v>
      </c>
      <c r="U2827" s="5">
        <f>IF(Merge1[[#This Row],[team_defense_snaps]]=0, "", Merge1[[#This Row],[defense_snaps]] / Merge1[[#This Row],[team_defense_snaps]])</f>
        <v>0.98550724637681164</v>
      </c>
      <c r="V2827">
        <v>69</v>
      </c>
      <c r="W2827">
        <v>0</v>
      </c>
      <c r="X2827" s="5" t="s">
        <v>29</v>
      </c>
      <c r="Y2827">
        <v>5</v>
      </c>
      <c r="Z2827">
        <v>0</v>
      </c>
      <c r="AA2827" t="s">
        <v>25</v>
      </c>
      <c r="AB2827" t="s">
        <v>26</v>
      </c>
      <c r="AC2827" t="s">
        <v>27</v>
      </c>
      <c r="AD2827" t="s">
        <v>42</v>
      </c>
      <c r="AE2827" t="s">
        <v>25</v>
      </c>
      <c r="AF28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8.0882352941176475E-2</v>
      </c>
      <c r="AG2827" t="s">
        <v>941</v>
      </c>
      <c r="AH2827">
        <v>54.5</v>
      </c>
      <c r="AI2827" t="s">
        <v>939</v>
      </c>
      <c r="AJ2827">
        <v>1</v>
      </c>
      <c r="AK28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MIN(AJ2827/8, 1) +
  Merge1[[#This Row],[index_defensive_effort]],
  2
)</f>
        <v>0.71</v>
      </c>
    </row>
    <row r="2828" spans="1:37" x14ac:dyDescent="0.25">
      <c r="A2828" t="s">
        <v>729</v>
      </c>
      <c r="B2828" t="s">
        <v>730</v>
      </c>
      <c r="C2828">
        <v>26</v>
      </c>
      <c r="D2828" t="s">
        <v>56</v>
      </c>
      <c r="E2828">
        <v>71</v>
      </c>
      <c r="F2828">
        <v>193</v>
      </c>
      <c r="G2828" t="s">
        <v>286</v>
      </c>
      <c r="H2828">
        <v>2020</v>
      </c>
      <c r="I2828" t="s">
        <v>33</v>
      </c>
      <c r="J2828">
        <v>2</v>
      </c>
      <c r="K2828">
        <v>3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76</v>
      </c>
      <c r="T2828">
        <v>76</v>
      </c>
      <c r="U2828" s="5">
        <f>IF(Merge1[[#This Row],[team_defense_snaps]]=0, "", Merge1[[#This Row],[defense_snaps]] / Merge1[[#This Row],[team_defense_snaps]])</f>
        <v>0.98701298701298701</v>
      </c>
      <c r="V2828">
        <v>77</v>
      </c>
      <c r="W2828">
        <v>0</v>
      </c>
      <c r="X2828" s="5" t="s">
        <v>29</v>
      </c>
      <c r="Y2828">
        <v>5</v>
      </c>
      <c r="Z2828">
        <v>0</v>
      </c>
      <c r="AA2828" t="s">
        <v>25</v>
      </c>
      <c r="AB2828" t="s">
        <v>26</v>
      </c>
      <c r="AC2828" t="s">
        <v>27</v>
      </c>
      <c r="AD2828" t="s">
        <v>42</v>
      </c>
      <c r="AE2828" t="s">
        <v>25</v>
      </c>
      <c r="AF28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3.9473684210526314E-2</v>
      </c>
      <c r="AG2828" t="s">
        <v>941</v>
      </c>
      <c r="AH2828">
        <v>71</v>
      </c>
      <c r="AI2828" t="s">
        <v>939</v>
      </c>
      <c r="AJ2828">
        <v>2</v>
      </c>
      <c r="AK28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MIN(AJ2828/8, 1) +
  Merge1[[#This Row],[index_defensive_effort]],
  2
)</f>
        <v>0.79</v>
      </c>
    </row>
    <row r="2829" spans="1:37" x14ac:dyDescent="0.25">
      <c r="A2829" t="s">
        <v>729</v>
      </c>
      <c r="B2829" t="s">
        <v>730</v>
      </c>
      <c r="C2829">
        <v>26</v>
      </c>
      <c r="D2829" t="s">
        <v>56</v>
      </c>
      <c r="E2829">
        <v>71</v>
      </c>
      <c r="F2829">
        <v>193</v>
      </c>
      <c r="G2829" t="s">
        <v>286</v>
      </c>
      <c r="H2829">
        <v>2020</v>
      </c>
      <c r="I2829" t="s">
        <v>33</v>
      </c>
      <c r="J2829">
        <v>2</v>
      </c>
      <c r="K2829">
        <v>3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76</v>
      </c>
      <c r="T2829">
        <v>76</v>
      </c>
      <c r="U2829" s="5">
        <f>IF(Merge1[[#This Row],[team_defense_snaps]]=0, "", Merge1[[#This Row],[defense_snaps]] / Merge1[[#This Row],[team_defense_snaps]])</f>
        <v>0.98701298701298701</v>
      </c>
      <c r="V2829">
        <v>77</v>
      </c>
      <c r="W2829">
        <v>0</v>
      </c>
      <c r="X2829" s="5" t="s">
        <v>29</v>
      </c>
      <c r="Y2829">
        <v>5</v>
      </c>
      <c r="Z2829">
        <v>0</v>
      </c>
      <c r="AA2829" t="s">
        <v>25</v>
      </c>
      <c r="AB2829" t="s">
        <v>26</v>
      </c>
      <c r="AC2829" t="s">
        <v>27</v>
      </c>
      <c r="AD2829" t="s">
        <v>42</v>
      </c>
      <c r="AE2829" t="s">
        <v>25</v>
      </c>
      <c r="AF28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3.9473684210526314E-2</v>
      </c>
      <c r="AG2829" t="s">
        <v>941</v>
      </c>
      <c r="AH2829">
        <v>53</v>
      </c>
      <c r="AI2829" t="s">
        <v>939</v>
      </c>
      <c r="AJ2829">
        <v>1</v>
      </c>
      <c r="AK28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MIN(AJ2829/8, 1) +
  Merge1[[#This Row],[index_defensive_effort]],
  2
)</f>
        <v>0.66</v>
      </c>
    </row>
    <row r="2830" spans="1:37" x14ac:dyDescent="0.25">
      <c r="A2830" t="s">
        <v>729</v>
      </c>
      <c r="B2830" t="s">
        <v>730</v>
      </c>
      <c r="C2830">
        <v>26</v>
      </c>
      <c r="D2830" t="s">
        <v>56</v>
      </c>
      <c r="E2830">
        <v>71</v>
      </c>
      <c r="F2830">
        <v>193</v>
      </c>
      <c r="G2830" t="s">
        <v>286</v>
      </c>
      <c r="H2830">
        <v>2020</v>
      </c>
      <c r="I2830" t="s">
        <v>33</v>
      </c>
      <c r="J2830">
        <v>3</v>
      </c>
      <c r="K2830">
        <v>2</v>
      </c>
      <c r="L2830">
        <v>2</v>
      </c>
      <c r="M2830">
        <v>0</v>
      </c>
      <c r="N2830">
        <v>2</v>
      </c>
      <c r="O2830">
        <v>0</v>
      </c>
      <c r="P2830">
        <v>0</v>
      </c>
      <c r="Q2830">
        <v>0</v>
      </c>
      <c r="R2830">
        <v>0</v>
      </c>
      <c r="S2830">
        <v>63</v>
      </c>
      <c r="T2830">
        <v>63</v>
      </c>
      <c r="U2830" s="5">
        <f>IF(Merge1[[#This Row],[team_defense_snaps]]=0, "", Merge1[[#This Row],[defense_snaps]] / Merge1[[#This Row],[team_defense_snaps]])</f>
        <v>0.984375</v>
      </c>
      <c r="V2830">
        <v>64</v>
      </c>
      <c r="W2830">
        <v>0</v>
      </c>
      <c r="X2830" s="5" t="s">
        <v>29</v>
      </c>
      <c r="Y2830">
        <v>5</v>
      </c>
      <c r="Z2830">
        <v>0</v>
      </c>
      <c r="AA2830" t="s">
        <v>25</v>
      </c>
      <c r="AB2830" t="s">
        <v>26</v>
      </c>
      <c r="AC2830" t="s">
        <v>27</v>
      </c>
      <c r="AD2830" t="s">
        <v>42</v>
      </c>
      <c r="AE2830" t="s">
        <v>25</v>
      </c>
      <c r="AF28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4.7619047619047616E-2</v>
      </c>
      <c r="AG2830" t="s">
        <v>941</v>
      </c>
      <c r="AH2830">
        <v>69.5</v>
      </c>
      <c r="AI2830" t="s">
        <v>939</v>
      </c>
      <c r="AJ2830">
        <v>2</v>
      </c>
      <c r="AK28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MIN(AJ2830/8, 1) +
  Merge1[[#This Row],[index_defensive_effort]],
  2
)</f>
        <v>0.8</v>
      </c>
    </row>
    <row r="2831" spans="1:37" x14ac:dyDescent="0.25">
      <c r="A2831" t="s">
        <v>729</v>
      </c>
      <c r="B2831" t="s">
        <v>730</v>
      </c>
      <c r="C2831">
        <v>26</v>
      </c>
      <c r="D2831" t="s">
        <v>56</v>
      </c>
      <c r="E2831">
        <v>71</v>
      </c>
      <c r="F2831">
        <v>193</v>
      </c>
      <c r="G2831" t="s">
        <v>286</v>
      </c>
      <c r="H2831">
        <v>2020</v>
      </c>
      <c r="I2831" t="s">
        <v>33</v>
      </c>
      <c r="J2831">
        <v>3</v>
      </c>
      <c r="K2831">
        <v>2</v>
      </c>
      <c r="L2831">
        <v>2</v>
      </c>
      <c r="M2831">
        <v>0</v>
      </c>
      <c r="N2831">
        <v>2</v>
      </c>
      <c r="O2831">
        <v>0</v>
      </c>
      <c r="P2831">
        <v>0</v>
      </c>
      <c r="Q2831">
        <v>0</v>
      </c>
      <c r="R2831">
        <v>0</v>
      </c>
      <c r="S2831">
        <v>63</v>
      </c>
      <c r="T2831">
        <v>63</v>
      </c>
      <c r="U2831" s="5">
        <f>IF(Merge1[[#This Row],[team_defense_snaps]]=0, "", Merge1[[#This Row],[defense_snaps]] / Merge1[[#This Row],[team_defense_snaps]])</f>
        <v>0.984375</v>
      </c>
      <c r="V2831">
        <v>64</v>
      </c>
      <c r="W2831">
        <v>0</v>
      </c>
      <c r="X2831" s="5" t="s">
        <v>29</v>
      </c>
      <c r="Y2831">
        <v>5</v>
      </c>
      <c r="Z2831">
        <v>0</v>
      </c>
      <c r="AA2831" t="s">
        <v>25</v>
      </c>
      <c r="AB2831" t="s">
        <v>26</v>
      </c>
      <c r="AC2831" t="s">
        <v>27</v>
      </c>
      <c r="AD2831" t="s">
        <v>42</v>
      </c>
      <c r="AE2831" t="s">
        <v>25</v>
      </c>
      <c r="AF28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4.7619047619047616E-2</v>
      </c>
      <c r="AG2831" t="s">
        <v>941</v>
      </c>
      <c r="AH2831">
        <v>66.5</v>
      </c>
      <c r="AI2831" t="s">
        <v>939</v>
      </c>
      <c r="AJ2831">
        <v>1</v>
      </c>
      <c r="AK28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MIN(AJ2831/8, 1) +
  Merge1[[#This Row],[index_defensive_effort]],
  2
)</f>
        <v>0.67</v>
      </c>
    </row>
    <row r="2832" spans="1:37" x14ac:dyDescent="0.25">
      <c r="A2832" t="s">
        <v>729</v>
      </c>
      <c r="B2832" t="s">
        <v>730</v>
      </c>
      <c r="C2832">
        <v>26</v>
      </c>
      <c r="D2832" t="s">
        <v>56</v>
      </c>
      <c r="E2832">
        <v>71</v>
      </c>
      <c r="F2832">
        <v>193</v>
      </c>
      <c r="G2832" t="s">
        <v>286</v>
      </c>
      <c r="H2832">
        <v>2020</v>
      </c>
      <c r="I2832" t="s">
        <v>33</v>
      </c>
      <c r="J2832">
        <v>4</v>
      </c>
      <c r="K2832">
        <v>2</v>
      </c>
      <c r="L2832">
        <v>1</v>
      </c>
      <c r="M2832">
        <v>0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56</v>
      </c>
      <c r="T2832">
        <v>56</v>
      </c>
      <c r="U2832" s="5">
        <f>IF(Merge1[[#This Row],[team_defense_snaps]]=0, "", Merge1[[#This Row],[defense_snaps]] / Merge1[[#This Row],[team_defense_snaps]])</f>
        <v>0.98245614035087714</v>
      </c>
      <c r="V2832">
        <v>57</v>
      </c>
      <c r="W2832">
        <v>0</v>
      </c>
      <c r="X2832" s="5" t="s">
        <v>29</v>
      </c>
      <c r="Y2832">
        <v>5</v>
      </c>
      <c r="Z2832">
        <v>0</v>
      </c>
      <c r="AA2832" t="s">
        <v>25</v>
      </c>
      <c r="AB2832" t="s">
        <v>26</v>
      </c>
      <c r="AC2832" t="s">
        <v>27</v>
      </c>
      <c r="AD2832" t="s">
        <v>42</v>
      </c>
      <c r="AE2832" t="s">
        <v>25</v>
      </c>
      <c r="AF28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4.4642857142857144E-2</v>
      </c>
      <c r="AG2832" t="s">
        <v>941</v>
      </c>
      <c r="AH2832">
        <v>56</v>
      </c>
      <c r="AI2832" t="s">
        <v>939</v>
      </c>
      <c r="AJ2832">
        <v>2</v>
      </c>
      <c r="AK28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MIN(AJ2832/8, 1) +
  Merge1[[#This Row],[index_defensive_effort]],
  2
)</f>
        <v>0.79</v>
      </c>
    </row>
    <row r="2833" spans="1:37" x14ac:dyDescent="0.25">
      <c r="A2833" t="s">
        <v>729</v>
      </c>
      <c r="B2833" t="s">
        <v>730</v>
      </c>
      <c r="C2833">
        <v>26</v>
      </c>
      <c r="D2833" t="s">
        <v>56</v>
      </c>
      <c r="E2833">
        <v>71</v>
      </c>
      <c r="F2833">
        <v>193</v>
      </c>
      <c r="G2833" t="s">
        <v>286</v>
      </c>
      <c r="H2833">
        <v>2020</v>
      </c>
      <c r="I2833" t="s">
        <v>33</v>
      </c>
      <c r="J2833">
        <v>4</v>
      </c>
      <c r="K2833">
        <v>2</v>
      </c>
      <c r="L2833">
        <v>1</v>
      </c>
      <c r="M2833">
        <v>0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56</v>
      </c>
      <c r="T2833">
        <v>56</v>
      </c>
      <c r="U2833" s="5">
        <f>IF(Merge1[[#This Row],[team_defense_snaps]]=0, "", Merge1[[#This Row],[defense_snaps]] / Merge1[[#This Row],[team_defense_snaps]])</f>
        <v>0.98245614035087714</v>
      </c>
      <c r="V2833">
        <v>57</v>
      </c>
      <c r="W2833">
        <v>0</v>
      </c>
      <c r="X2833" s="5" t="s">
        <v>29</v>
      </c>
      <c r="Y2833">
        <v>5</v>
      </c>
      <c r="Z2833">
        <v>0</v>
      </c>
      <c r="AA2833" t="s">
        <v>25</v>
      </c>
      <c r="AB2833" t="s">
        <v>26</v>
      </c>
      <c r="AC2833" t="s">
        <v>27</v>
      </c>
      <c r="AD2833" t="s">
        <v>42</v>
      </c>
      <c r="AE2833" t="s">
        <v>25</v>
      </c>
      <c r="AF28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4.4642857142857144E-2</v>
      </c>
      <c r="AG2833" t="s">
        <v>941</v>
      </c>
      <c r="AH2833">
        <v>72.5</v>
      </c>
      <c r="AI2833" t="s">
        <v>939</v>
      </c>
      <c r="AJ2833">
        <v>1</v>
      </c>
      <c r="AK28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MIN(AJ2833/8, 1) +
  Merge1[[#This Row],[index_defensive_effort]],
  2
)</f>
        <v>0.67</v>
      </c>
    </row>
    <row r="2834" spans="1:37" x14ac:dyDescent="0.25">
      <c r="A2834" t="s">
        <v>729</v>
      </c>
      <c r="B2834" t="s">
        <v>730</v>
      </c>
      <c r="C2834">
        <v>26</v>
      </c>
      <c r="D2834" t="s">
        <v>56</v>
      </c>
      <c r="E2834">
        <v>71</v>
      </c>
      <c r="F2834">
        <v>193</v>
      </c>
      <c r="G2834" t="s">
        <v>286</v>
      </c>
      <c r="H2834">
        <v>2020</v>
      </c>
      <c r="I2834" t="s">
        <v>33</v>
      </c>
      <c r="J2834">
        <v>5</v>
      </c>
      <c r="K2834">
        <v>4</v>
      </c>
      <c r="L2834">
        <v>1</v>
      </c>
      <c r="M2834">
        <v>0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68</v>
      </c>
      <c r="T2834">
        <v>68</v>
      </c>
      <c r="U2834" s="5">
        <f>IF(Merge1[[#This Row],[team_defense_snaps]]=0, "", Merge1[[#This Row],[defense_snaps]] / Merge1[[#This Row],[team_defense_snaps]])</f>
        <v>1</v>
      </c>
      <c r="V2834">
        <v>68</v>
      </c>
      <c r="W2834">
        <v>0</v>
      </c>
      <c r="X2834" s="5" t="s">
        <v>29</v>
      </c>
      <c r="Y2834">
        <v>5</v>
      </c>
      <c r="Z2834">
        <v>0</v>
      </c>
      <c r="AA2834" t="s">
        <v>25</v>
      </c>
      <c r="AB2834" t="s">
        <v>26</v>
      </c>
      <c r="AC2834" t="s">
        <v>27</v>
      </c>
      <c r="AD2834" t="s">
        <v>42</v>
      </c>
      <c r="AE2834" t="s">
        <v>25</v>
      </c>
      <c r="AF28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6.6176470588235295E-2</v>
      </c>
      <c r="AG2834" t="s">
        <v>941</v>
      </c>
      <c r="AH2834">
        <v>74</v>
      </c>
      <c r="AI2834" t="s">
        <v>939</v>
      </c>
      <c r="AJ2834">
        <v>2</v>
      </c>
      <c r="AK28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MIN(AJ2834/8, 1) +
  Merge1[[#This Row],[index_defensive_effort]],
  2
)</f>
        <v>0.82</v>
      </c>
    </row>
    <row r="2835" spans="1:37" x14ac:dyDescent="0.25">
      <c r="A2835" t="s">
        <v>729</v>
      </c>
      <c r="B2835" t="s">
        <v>730</v>
      </c>
      <c r="C2835">
        <v>26</v>
      </c>
      <c r="D2835" t="s">
        <v>56</v>
      </c>
      <c r="E2835">
        <v>71</v>
      </c>
      <c r="F2835">
        <v>193</v>
      </c>
      <c r="G2835" t="s">
        <v>286</v>
      </c>
      <c r="H2835">
        <v>2020</v>
      </c>
      <c r="I2835" t="s">
        <v>33</v>
      </c>
      <c r="J2835">
        <v>5</v>
      </c>
      <c r="K2835">
        <v>4</v>
      </c>
      <c r="L2835">
        <v>1</v>
      </c>
      <c r="M2835">
        <v>0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68</v>
      </c>
      <c r="T2835">
        <v>68</v>
      </c>
      <c r="U2835" s="5">
        <f>IF(Merge1[[#This Row],[team_defense_snaps]]=0, "", Merge1[[#This Row],[defense_snaps]] / Merge1[[#This Row],[team_defense_snaps]])</f>
        <v>1</v>
      </c>
      <c r="V2835">
        <v>68</v>
      </c>
      <c r="W2835">
        <v>0</v>
      </c>
      <c r="X2835" s="5" t="s">
        <v>29</v>
      </c>
      <c r="Y2835">
        <v>5</v>
      </c>
      <c r="Z2835">
        <v>0</v>
      </c>
      <c r="AA2835" t="s">
        <v>25</v>
      </c>
      <c r="AB2835" t="s">
        <v>26</v>
      </c>
      <c r="AC2835" t="s">
        <v>27</v>
      </c>
      <c r="AD2835" t="s">
        <v>42</v>
      </c>
      <c r="AE2835" t="s">
        <v>25</v>
      </c>
      <c r="AF28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6.6176470588235295E-2</v>
      </c>
      <c r="AG2835" t="s">
        <v>941</v>
      </c>
      <c r="AH2835">
        <v>65</v>
      </c>
      <c r="AI2835" t="s">
        <v>939</v>
      </c>
      <c r="AJ2835">
        <v>1</v>
      </c>
      <c r="AK28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MIN(AJ2835/8, 1) +
  Merge1[[#This Row],[index_defensive_effort]],
  2
)</f>
        <v>0.69</v>
      </c>
    </row>
    <row r="2836" spans="1:37" x14ac:dyDescent="0.25">
      <c r="A2836" t="s">
        <v>729</v>
      </c>
      <c r="B2836" t="s">
        <v>730</v>
      </c>
      <c r="C2836">
        <v>26</v>
      </c>
      <c r="D2836" t="s">
        <v>56</v>
      </c>
      <c r="E2836">
        <v>71</v>
      </c>
      <c r="F2836">
        <v>193</v>
      </c>
      <c r="G2836" t="s">
        <v>286</v>
      </c>
      <c r="H2836">
        <v>2020</v>
      </c>
      <c r="I2836" t="s">
        <v>33</v>
      </c>
      <c r="J2836">
        <v>6</v>
      </c>
      <c r="K2836">
        <v>1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36</v>
      </c>
      <c r="T2836">
        <v>36</v>
      </c>
      <c r="U2836" s="5">
        <f>IF(Merge1[[#This Row],[team_defense_snaps]]=0, "", Merge1[[#This Row],[defense_snaps]] / Merge1[[#This Row],[team_defense_snaps]])</f>
        <v>0.72</v>
      </c>
      <c r="V2836">
        <v>50</v>
      </c>
      <c r="W2836">
        <v>0</v>
      </c>
      <c r="X2836" s="5" t="s">
        <v>29</v>
      </c>
      <c r="Y2836">
        <v>5</v>
      </c>
      <c r="Z2836">
        <v>0</v>
      </c>
      <c r="AA2836" t="s">
        <v>25</v>
      </c>
      <c r="AB2836" t="s">
        <v>26</v>
      </c>
      <c r="AC2836" t="s">
        <v>27</v>
      </c>
      <c r="AD2836" t="s">
        <v>42</v>
      </c>
      <c r="AE2836" t="s">
        <v>25</v>
      </c>
      <c r="AF28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2.7777777777777776E-2</v>
      </c>
      <c r="AG2836" t="s">
        <v>941</v>
      </c>
      <c r="AH2836">
        <v>54</v>
      </c>
      <c r="AI2836" t="s">
        <v>939</v>
      </c>
      <c r="AJ2836">
        <v>2</v>
      </c>
      <c r="AK28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MIN(AJ2836/8, 1) +
  Merge1[[#This Row],[index_defensive_effort]],
  2
)</f>
        <v>0.78</v>
      </c>
    </row>
    <row r="2837" spans="1:37" x14ac:dyDescent="0.25">
      <c r="A2837" t="s">
        <v>729</v>
      </c>
      <c r="B2837" t="s">
        <v>730</v>
      </c>
      <c r="C2837">
        <v>26</v>
      </c>
      <c r="D2837" t="s">
        <v>56</v>
      </c>
      <c r="E2837">
        <v>71</v>
      </c>
      <c r="F2837">
        <v>193</v>
      </c>
      <c r="G2837" t="s">
        <v>286</v>
      </c>
      <c r="H2837">
        <v>2020</v>
      </c>
      <c r="I2837" t="s">
        <v>33</v>
      </c>
      <c r="J2837">
        <v>6</v>
      </c>
      <c r="K2837">
        <v>1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36</v>
      </c>
      <c r="T2837">
        <v>36</v>
      </c>
      <c r="U2837" s="5">
        <f>IF(Merge1[[#This Row],[team_defense_snaps]]=0, "", Merge1[[#This Row],[defense_snaps]] / Merge1[[#This Row],[team_defense_snaps]])</f>
        <v>0.72</v>
      </c>
      <c r="V2837">
        <v>50</v>
      </c>
      <c r="W2837">
        <v>0</v>
      </c>
      <c r="X2837" s="5" t="s">
        <v>29</v>
      </c>
      <c r="Y2837">
        <v>5</v>
      </c>
      <c r="Z2837">
        <v>0</v>
      </c>
      <c r="AA2837" t="s">
        <v>25</v>
      </c>
      <c r="AB2837" t="s">
        <v>26</v>
      </c>
      <c r="AC2837" t="s">
        <v>27</v>
      </c>
      <c r="AD2837" t="s">
        <v>42</v>
      </c>
      <c r="AE2837" t="s">
        <v>25</v>
      </c>
      <c r="AF28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2.7777777777777776E-2</v>
      </c>
      <c r="AG2837" t="s">
        <v>941</v>
      </c>
      <c r="AH2837">
        <v>68</v>
      </c>
      <c r="AI2837" t="s">
        <v>939</v>
      </c>
      <c r="AJ2837">
        <v>1</v>
      </c>
      <c r="AK28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MIN(AJ2837/8, 1) +
  Merge1[[#This Row],[index_defensive_effort]],
  2
)</f>
        <v>0.65</v>
      </c>
    </row>
    <row r="2838" spans="1:37" x14ac:dyDescent="0.25">
      <c r="A2838" t="s">
        <v>729</v>
      </c>
      <c r="B2838" t="s">
        <v>730</v>
      </c>
      <c r="C2838">
        <v>26</v>
      </c>
      <c r="D2838" t="s">
        <v>56</v>
      </c>
      <c r="E2838">
        <v>71</v>
      </c>
      <c r="F2838">
        <v>193</v>
      </c>
      <c r="G2838" t="s">
        <v>286</v>
      </c>
      <c r="H2838">
        <v>2020</v>
      </c>
      <c r="I2838" t="s">
        <v>33</v>
      </c>
      <c r="J2838">
        <v>7</v>
      </c>
      <c r="K2838">
        <v>4</v>
      </c>
      <c r="L2838">
        <v>1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50</v>
      </c>
      <c r="T2838">
        <v>50</v>
      </c>
      <c r="U2838" s="5">
        <f>IF(Merge1[[#This Row],[team_defense_snaps]]=0, "", Merge1[[#This Row],[defense_snaps]] / Merge1[[#This Row],[team_defense_snaps]])</f>
        <v>0.8771929824561403</v>
      </c>
      <c r="V2838">
        <v>57</v>
      </c>
      <c r="W2838">
        <v>0</v>
      </c>
      <c r="X2838" s="5" t="s">
        <v>29</v>
      </c>
      <c r="Y2838">
        <v>5</v>
      </c>
      <c r="Z2838">
        <v>0</v>
      </c>
      <c r="AA2838" t="s">
        <v>25</v>
      </c>
      <c r="AB2838" t="s">
        <v>26</v>
      </c>
      <c r="AC2838" t="s">
        <v>27</v>
      </c>
      <c r="AD2838" t="s">
        <v>42</v>
      </c>
      <c r="AE2838" t="s">
        <v>25</v>
      </c>
      <c r="AF28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0.09</v>
      </c>
      <c r="AG2838" t="s">
        <v>941</v>
      </c>
      <c r="AH2838">
        <v>60.5</v>
      </c>
      <c r="AI2838" t="s">
        <v>939</v>
      </c>
      <c r="AJ2838">
        <v>2</v>
      </c>
      <c r="AK28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MIN(AJ2838/8, 1) +
  Merge1[[#This Row],[index_defensive_effort]],
  2
)</f>
        <v>0.84</v>
      </c>
    </row>
    <row r="2839" spans="1:37" x14ac:dyDescent="0.25">
      <c r="A2839" t="s">
        <v>729</v>
      </c>
      <c r="B2839" t="s">
        <v>730</v>
      </c>
      <c r="C2839">
        <v>26</v>
      </c>
      <c r="D2839" t="s">
        <v>56</v>
      </c>
      <c r="E2839">
        <v>71</v>
      </c>
      <c r="F2839">
        <v>193</v>
      </c>
      <c r="G2839" t="s">
        <v>286</v>
      </c>
      <c r="H2839">
        <v>2020</v>
      </c>
      <c r="I2839" t="s">
        <v>33</v>
      </c>
      <c r="J2839">
        <v>7</v>
      </c>
      <c r="K2839">
        <v>4</v>
      </c>
      <c r="L2839">
        <v>1</v>
      </c>
      <c r="M2839">
        <v>0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50</v>
      </c>
      <c r="T2839">
        <v>50</v>
      </c>
      <c r="U2839" s="5">
        <f>IF(Merge1[[#This Row],[team_defense_snaps]]=0, "", Merge1[[#This Row],[defense_snaps]] / Merge1[[#This Row],[team_defense_snaps]])</f>
        <v>0.8771929824561403</v>
      </c>
      <c r="V2839">
        <v>57</v>
      </c>
      <c r="W2839">
        <v>0</v>
      </c>
      <c r="X2839" s="5" t="s">
        <v>29</v>
      </c>
      <c r="Y2839">
        <v>5</v>
      </c>
      <c r="Z2839">
        <v>0</v>
      </c>
      <c r="AA2839" t="s">
        <v>25</v>
      </c>
      <c r="AB2839" t="s">
        <v>26</v>
      </c>
      <c r="AC2839" t="s">
        <v>27</v>
      </c>
      <c r="AD2839" t="s">
        <v>42</v>
      </c>
      <c r="AE2839" t="s">
        <v>25</v>
      </c>
      <c r="AF28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0.09</v>
      </c>
      <c r="AG2839" t="s">
        <v>941</v>
      </c>
      <c r="AH2839">
        <v>59</v>
      </c>
      <c r="AI2839" t="s">
        <v>939</v>
      </c>
      <c r="AJ2839">
        <v>1</v>
      </c>
      <c r="AK28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MIN(AJ2839/8, 1) +
  Merge1[[#This Row],[index_defensive_effort]],
  2
)</f>
        <v>0.72</v>
      </c>
    </row>
    <row r="2840" spans="1:37" x14ac:dyDescent="0.25">
      <c r="A2840" t="s">
        <v>729</v>
      </c>
      <c r="B2840" t="s">
        <v>730</v>
      </c>
      <c r="C2840">
        <v>26</v>
      </c>
      <c r="D2840" t="s">
        <v>56</v>
      </c>
      <c r="E2840">
        <v>71</v>
      </c>
      <c r="F2840">
        <v>193</v>
      </c>
      <c r="G2840" t="s">
        <v>286</v>
      </c>
      <c r="H2840">
        <v>2020</v>
      </c>
      <c r="I2840" t="s">
        <v>33</v>
      </c>
      <c r="J2840">
        <v>9</v>
      </c>
      <c r="K2840">
        <v>6</v>
      </c>
      <c r="L2840">
        <v>1</v>
      </c>
      <c r="M2840">
        <v>0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77</v>
      </c>
      <c r="T2840">
        <v>77</v>
      </c>
      <c r="U2840" s="5">
        <f>IF(Merge1[[#This Row],[team_defense_snaps]]=0, "", Merge1[[#This Row],[defense_snaps]] / Merge1[[#This Row],[team_defense_snaps]])</f>
        <v>1</v>
      </c>
      <c r="V2840">
        <v>77</v>
      </c>
      <c r="W2840">
        <v>0</v>
      </c>
      <c r="X2840" s="5" t="s">
        <v>29</v>
      </c>
      <c r="Y2840">
        <v>5</v>
      </c>
      <c r="Z2840">
        <v>0</v>
      </c>
      <c r="AA2840" t="s">
        <v>25</v>
      </c>
      <c r="AB2840" t="s">
        <v>26</v>
      </c>
      <c r="AC2840" t="s">
        <v>27</v>
      </c>
      <c r="AD2840" t="s">
        <v>42</v>
      </c>
      <c r="AE2840" t="s">
        <v>25</v>
      </c>
      <c r="AF28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8.4415584415584416E-2</v>
      </c>
      <c r="AG2840" t="s">
        <v>941</v>
      </c>
      <c r="AH2840">
        <v>57.5</v>
      </c>
      <c r="AI2840" t="s">
        <v>939</v>
      </c>
      <c r="AJ2840">
        <v>1</v>
      </c>
      <c r="AK28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MIN(AJ2840/8, 1) +
  Merge1[[#This Row],[index_defensive_effort]],
  2
)</f>
        <v>0.71</v>
      </c>
    </row>
    <row r="2841" spans="1:37" x14ac:dyDescent="0.25">
      <c r="A2841" t="s">
        <v>729</v>
      </c>
      <c r="B2841" t="s">
        <v>730</v>
      </c>
      <c r="C2841">
        <v>26</v>
      </c>
      <c r="D2841" t="s">
        <v>56</v>
      </c>
      <c r="E2841">
        <v>71</v>
      </c>
      <c r="F2841">
        <v>193</v>
      </c>
      <c r="G2841" t="s">
        <v>286</v>
      </c>
      <c r="H2841">
        <v>2020</v>
      </c>
      <c r="I2841" t="s">
        <v>33</v>
      </c>
      <c r="J2841">
        <v>9</v>
      </c>
      <c r="K2841">
        <v>6</v>
      </c>
      <c r="L2841">
        <v>1</v>
      </c>
      <c r="M2841">
        <v>0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77</v>
      </c>
      <c r="T2841">
        <v>77</v>
      </c>
      <c r="U2841" s="5">
        <f>IF(Merge1[[#This Row],[team_defense_snaps]]=0, "", Merge1[[#This Row],[defense_snaps]] / Merge1[[#This Row],[team_defense_snaps]])</f>
        <v>1</v>
      </c>
      <c r="V2841">
        <v>77</v>
      </c>
      <c r="W2841">
        <v>0</v>
      </c>
      <c r="X2841" s="5" t="s">
        <v>29</v>
      </c>
      <c r="Y2841">
        <v>5</v>
      </c>
      <c r="Z2841">
        <v>0</v>
      </c>
      <c r="AA2841" t="s">
        <v>25</v>
      </c>
      <c r="AB2841" t="s">
        <v>26</v>
      </c>
      <c r="AC2841" t="s">
        <v>27</v>
      </c>
      <c r="AD2841" t="s">
        <v>42</v>
      </c>
      <c r="AE2841" t="s">
        <v>25</v>
      </c>
      <c r="AF28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8.4415584415584416E-2</v>
      </c>
      <c r="AG2841" t="s">
        <v>941</v>
      </c>
      <c r="AH2841">
        <v>50</v>
      </c>
      <c r="AI2841" t="s">
        <v>939</v>
      </c>
      <c r="AJ2841">
        <v>1</v>
      </c>
      <c r="AK28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MIN(AJ2841/8, 1) +
  Merge1[[#This Row],[index_defensive_effort]],
  2
)</f>
        <v>0.71</v>
      </c>
    </row>
    <row r="2842" spans="1:37" x14ac:dyDescent="0.25">
      <c r="A2842" t="s">
        <v>729</v>
      </c>
      <c r="B2842" t="s">
        <v>730</v>
      </c>
      <c r="C2842">
        <v>26</v>
      </c>
      <c r="D2842" t="s">
        <v>56</v>
      </c>
      <c r="E2842">
        <v>71</v>
      </c>
      <c r="F2842">
        <v>193</v>
      </c>
      <c r="G2842" t="s">
        <v>286</v>
      </c>
      <c r="H2842">
        <v>2020</v>
      </c>
      <c r="I2842" t="s">
        <v>33</v>
      </c>
      <c r="J2842">
        <v>10</v>
      </c>
      <c r="K2842">
        <v>3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55</v>
      </c>
      <c r="T2842">
        <v>55</v>
      </c>
      <c r="U2842" s="5">
        <f>IF(Merge1[[#This Row],[team_defense_snaps]]=0, "", Merge1[[#This Row],[defense_snaps]] / Merge1[[#This Row],[team_defense_snaps]])</f>
        <v>0.93220338983050843</v>
      </c>
      <c r="V2842">
        <v>59</v>
      </c>
      <c r="W2842">
        <v>0</v>
      </c>
      <c r="X2842" s="5" t="s">
        <v>29</v>
      </c>
      <c r="Y2842">
        <v>5</v>
      </c>
      <c r="Z2842">
        <v>0</v>
      </c>
      <c r="AA2842" t="s">
        <v>25</v>
      </c>
      <c r="AB2842" t="s">
        <v>26</v>
      </c>
      <c r="AC2842" t="s">
        <v>27</v>
      </c>
      <c r="AD2842" t="s">
        <v>42</v>
      </c>
      <c r="AE2842" t="s">
        <v>25</v>
      </c>
      <c r="AF28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5.4545454545454543E-2</v>
      </c>
      <c r="AG2842" t="s">
        <v>941</v>
      </c>
      <c r="AH2842">
        <v>62</v>
      </c>
      <c r="AI2842" t="s">
        <v>939</v>
      </c>
      <c r="AJ2842">
        <v>2</v>
      </c>
      <c r="AK28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MIN(AJ2842/8, 1) +
  Merge1[[#This Row],[index_defensive_effort]],
  2
)</f>
        <v>0.8</v>
      </c>
    </row>
    <row r="2843" spans="1:37" x14ac:dyDescent="0.25">
      <c r="A2843" t="s">
        <v>729</v>
      </c>
      <c r="B2843" t="s">
        <v>730</v>
      </c>
      <c r="C2843">
        <v>26</v>
      </c>
      <c r="D2843" t="s">
        <v>56</v>
      </c>
      <c r="E2843">
        <v>71</v>
      </c>
      <c r="F2843">
        <v>193</v>
      </c>
      <c r="G2843" t="s">
        <v>286</v>
      </c>
      <c r="H2843">
        <v>2020</v>
      </c>
      <c r="I2843" t="s">
        <v>33</v>
      </c>
      <c r="J2843">
        <v>10</v>
      </c>
      <c r="K2843">
        <v>3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55</v>
      </c>
      <c r="T2843">
        <v>55</v>
      </c>
      <c r="U2843" s="5">
        <f>IF(Merge1[[#This Row],[team_defense_snaps]]=0, "", Merge1[[#This Row],[defense_snaps]] / Merge1[[#This Row],[team_defense_snaps]])</f>
        <v>0.93220338983050843</v>
      </c>
      <c r="V2843">
        <v>59</v>
      </c>
      <c r="W2843">
        <v>0</v>
      </c>
      <c r="X2843" s="5" t="s">
        <v>29</v>
      </c>
      <c r="Y2843">
        <v>5</v>
      </c>
      <c r="Z2843">
        <v>0</v>
      </c>
      <c r="AA2843" t="s">
        <v>25</v>
      </c>
      <c r="AB2843" t="s">
        <v>26</v>
      </c>
      <c r="AC2843" t="s">
        <v>27</v>
      </c>
      <c r="AD2843" t="s">
        <v>42</v>
      </c>
      <c r="AE2843" t="s">
        <v>25</v>
      </c>
      <c r="AF28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5.4545454545454543E-2</v>
      </c>
      <c r="AG2843" t="s">
        <v>941</v>
      </c>
      <c r="AH2843">
        <v>56</v>
      </c>
      <c r="AI2843" t="s">
        <v>939</v>
      </c>
      <c r="AJ2843">
        <v>1</v>
      </c>
      <c r="AK28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MIN(AJ2843/8, 1) +
  Merge1[[#This Row],[index_defensive_effort]],
  2
)</f>
        <v>0.68</v>
      </c>
    </row>
    <row r="2844" spans="1:37" x14ac:dyDescent="0.25">
      <c r="A2844" t="s">
        <v>729</v>
      </c>
      <c r="B2844" t="s">
        <v>730</v>
      </c>
      <c r="C2844">
        <v>26</v>
      </c>
      <c r="D2844" t="s">
        <v>56</v>
      </c>
      <c r="E2844">
        <v>71</v>
      </c>
      <c r="F2844">
        <v>193</v>
      </c>
      <c r="G2844" t="s">
        <v>286</v>
      </c>
      <c r="H2844">
        <v>2020</v>
      </c>
      <c r="I2844" t="s">
        <v>33</v>
      </c>
      <c r="J2844">
        <v>11</v>
      </c>
      <c r="K2844">
        <v>5</v>
      </c>
      <c r="L2844">
        <v>1</v>
      </c>
      <c r="M2844">
        <v>0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63</v>
      </c>
      <c r="T2844">
        <v>63</v>
      </c>
      <c r="U2844" s="5">
        <f>IF(Merge1[[#This Row],[team_defense_snaps]]=0, "", Merge1[[#This Row],[defense_snaps]] / Merge1[[#This Row],[team_defense_snaps]])</f>
        <v>0.91304347826086951</v>
      </c>
      <c r="V2844">
        <v>69</v>
      </c>
      <c r="W2844">
        <v>0</v>
      </c>
      <c r="X2844" s="5" t="s">
        <v>29</v>
      </c>
      <c r="Y2844">
        <v>5</v>
      </c>
      <c r="Z2844">
        <v>0</v>
      </c>
      <c r="AA2844" t="s">
        <v>25</v>
      </c>
      <c r="AB2844" t="s">
        <v>26</v>
      </c>
      <c r="AC2844" t="s">
        <v>27</v>
      </c>
      <c r="AD2844" t="s">
        <v>42</v>
      </c>
      <c r="AE2844" t="s">
        <v>25</v>
      </c>
      <c r="AF28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8.7301587301587297E-2</v>
      </c>
      <c r="AG2844" t="s">
        <v>941</v>
      </c>
      <c r="AH2844">
        <v>54</v>
      </c>
      <c r="AI2844" t="s">
        <v>939</v>
      </c>
      <c r="AJ2844">
        <v>2</v>
      </c>
      <c r="AK28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MIN(AJ2844/8, 1) +
  Merge1[[#This Row],[index_defensive_effort]],
  2
)</f>
        <v>0.84</v>
      </c>
    </row>
    <row r="2845" spans="1:37" x14ac:dyDescent="0.25">
      <c r="A2845" t="s">
        <v>729</v>
      </c>
      <c r="B2845" t="s">
        <v>730</v>
      </c>
      <c r="C2845">
        <v>26</v>
      </c>
      <c r="D2845" t="s">
        <v>56</v>
      </c>
      <c r="E2845">
        <v>71</v>
      </c>
      <c r="F2845">
        <v>193</v>
      </c>
      <c r="G2845" t="s">
        <v>286</v>
      </c>
      <c r="H2845">
        <v>2020</v>
      </c>
      <c r="I2845" t="s">
        <v>33</v>
      </c>
      <c r="J2845">
        <v>11</v>
      </c>
      <c r="K2845">
        <v>5</v>
      </c>
      <c r="L2845">
        <v>1</v>
      </c>
      <c r="M2845">
        <v>0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63</v>
      </c>
      <c r="T2845">
        <v>63</v>
      </c>
      <c r="U2845" s="5">
        <f>IF(Merge1[[#This Row],[team_defense_snaps]]=0, "", Merge1[[#This Row],[defense_snaps]] / Merge1[[#This Row],[team_defense_snaps]])</f>
        <v>0.91304347826086951</v>
      </c>
      <c r="V2845">
        <v>69</v>
      </c>
      <c r="W2845">
        <v>0</v>
      </c>
      <c r="X2845" s="5" t="s">
        <v>29</v>
      </c>
      <c r="Y2845">
        <v>5</v>
      </c>
      <c r="Z2845">
        <v>0</v>
      </c>
      <c r="AA2845" t="s">
        <v>25</v>
      </c>
      <c r="AB2845" t="s">
        <v>26</v>
      </c>
      <c r="AC2845" t="s">
        <v>27</v>
      </c>
      <c r="AD2845" t="s">
        <v>42</v>
      </c>
      <c r="AE2845" t="s">
        <v>25</v>
      </c>
      <c r="AF28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8.7301587301587297E-2</v>
      </c>
      <c r="AG2845" t="s">
        <v>941</v>
      </c>
      <c r="AH2845">
        <v>60.5</v>
      </c>
      <c r="AI2845" t="s">
        <v>939</v>
      </c>
      <c r="AJ2845">
        <v>1</v>
      </c>
      <c r="AK28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MIN(AJ2845/8, 1) +
  Merge1[[#This Row],[index_defensive_effort]],
  2
)</f>
        <v>0.71</v>
      </c>
    </row>
    <row r="2846" spans="1:37" x14ac:dyDescent="0.25">
      <c r="A2846" t="s">
        <v>729</v>
      </c>
      <c r="B2846" t="s">
        <v>730</v>
      </c>
      <c r="C2846">
        <v>26</v>
      </c>
      <c r="D2846" t="s">
        <v>56</v>
      </c>
      <c r="E2846">
        <v>71</v>
      </c>
      <c r="F2846">
        <v>193</v>
      </c>
      <c r="G2846" t="s">
        <v>286</v>
      </c>
      <c r="H2846">
        <v>2020</v>
      </c>
      <c r="I2846" t="s">
        <v>33</v>
      </c>
      <c r="J2846">
        <v>12</v>
      </c>
      <c r="K2846">
        <v>2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59</v>
      </c>
      <c r="T2846">
        <v>59</v>
      </c>
      <c r="U2846" s="5">
        <f>IF(Merge1[[#This Row],[team_defense_snaps]]=0, "", Merge1[[#This Row],[defense_snaps]] / Merge1[[#This Row],[team_defense_snaps]])</f>
        <v>1</v>
      </c>
      <c r="V2846">
        <v>59</v>
      </c>
      <c r="W2846">
        <v>0</v>
      </c>
      <c r="X2846" s="5" t="s">
        <v>29</v>
      </c>
      <c r="Y2846">
        <v>5</v>
      </c>
      <c r="Z2846">
        <v>0</v>
      </c>
      <c r="AA2846" t="s">
        <v>25</v>
      </c>
      <c r="AB2846" t="s">
        <v>26</v>
      </c>
      <c r="AC2846" t="s">
        <v>27</v>
      </c>
      <c r="AD2846" t="s">
        <v>42</v>
      </c>
      <c r="AE2846" t="s">
        <v>25</v>
      </c>
      <c r="AF28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3.3898305084745763E-2</v>
      </c>
      <c r="AG2846" t="s">
        <v>941</v>
      </c>
      <c r="AH2846">
        <v>68</v>
      </c>
      <c r="AI2846" t="s">
        <v>939</v>
      </c>
      <c r="AJ2846">
        <v>2</v>
      </c>
      <c r="AK28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MIN(AJ2846/8, 1) +
  Merge1[[#This Row],[index_defensive_effort]],
  2
)</f>
        <v>0.78</v>
      </c>
    </row>
    <row r="2847" spans="1:37" x14ac:dyDescent="0.25">
      <c r="A2847" t="s">
        <v>729</v>
      </c>
      <c r="B2847" t="s">
        <v>730</v>
      </c>
      <c r="C2847">
        <v>26</v>
      </c>
      <c r="D2847" t="s">
        <v>56</v>
      </c>
      <c r="E2847">
        <v>71</v>
      </c>
      <c r="F2847">
        <v>193</v>
      </c>
      <c r="G2847" t="s">
        <v>286</v>
      </c>
      <c r="H2847">
        <v>2020</v>
      </c>
      <c r="I2847" t="s">
        <v>33</v>
      </c>
      <c r="J2847">
        <v>12</v>
      </c>
      <c r="K2847">
        <v>2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59</v>
      </c>
      <c r="T2847">
        <v>59</v>
      </c>
      <c r="U2847" s="5">
        <f>IF(Merge1[[#This Row],[team_defense_snaps]]=0, "", Merge1[[#This Row],[defense_snaps]] / Merge1[[#This Row],[team_defense_snaps]])</f>
        <v>1</v>
      </c>
      <c r="V2847">
        <v>59</v>
      </c>
      <c r="W2847">
        <v>0</v>
      </c>
      <c r="X2847" s="5" t="s">
        <v>29</v>
      </c>
      <c r="Y2847">
        <v>5</v>
      </c>
      <c r="Z2847">
        <v>0</v>
      </c>
      <c r="AA2847" t="s">
        <v>25</v>
      </c>
      <c r="AB2847" t="s">
        <v>26</v>
      </c>
      <c r="AC2847" t="s">
        <v>27</v>
      </c>
      <c r="AD2847" t="s">
        <v>42</v>
      </c>
      <c r="AE2847" t="s">
        <v>25</v>
      </c>
      <c r="AF28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3.3898305084745763E-2</v>
      </c>
      <c r="AG2847" t="s">
        <v>941</v>
      </c>
      <c r="AH2847">
        <v>54.5</v>
      </c>
      <c r="AI2847" t="s">
        <v>939</v>
      </c>
      <c r="AJ2847">
        <v>1</v>
      </c>
      <c r="AK28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MIN(AJ2847/8, 1) +
  Merge1[[#This Row],[index_defensive_effort]],
  2
)</f>
        <v>0.66</v>
      </c>
    </row>
    <row r="2848" spans="1:37" x14ac:dyDescent="0.25">
      <c r="A2848" t="s">
        <v>729</v>
      </c>
      <c r="B2848" t="s">
        <v>730</v>
      </c>
      <c r="C2848">
        <v>26</v>
      </c>
      <c r="D2848" t="s">
        <v>56</v>
      </c>
      <c r="E2848">
        <v>71</v>
      </c>
      <c r="F2848">
        <v>193</v>
      </c>
      <c r="G2848" t="s">
        <v>286</v>
      </c>
      <c r="H2848">
        <v>2020</v>
      </c>
      <c r="I2848" t="s">
        <v>33</v>
      </c>
      <c r="J2848">
        <v>13</v>
      </c>
      <c r="K2848">
        <v>3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66</v>
      </c>
      <c r="T2848">
        <v>66</v>
      </c>
      <c r="U2848" s="5">
        <f>IF(Merge1[[#This Row],[team_defense_snaps]]=0, "", Merge1[[#This Row],[defense_snaps]] / Merge1[[#This Row],[team_defense_snaps]])</f>
        <v>0.92957746478873238</v>
      </c>
      <c r="V2848">
        <v>71</v>
      </c>
      <c r="W2848">
        <v>0</v>
      </c>
      <c r="X2848" s="5" t="s">
        <v>29</v>
      </c>
      <c r="Y2848">
        <v>5</v>
      </c>
      <c r="Z2848">
        <v>0</v>
      </c>
      <c r="AA2848" t="s">
        <v>25</v>
      </c>
      <c r="AB2848" t="s">
        <v>26</v>
      </c>
      <c r="AC2848" t="s">
        <v>27</v>
      </c>
      <c r="AD2848" t="s">
        <v>42</v>
      </c>
      <c r="AE2848" t="s">
        <v>25</v>
      </c>
      <c r="AF28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G2848" t="s">
        <v>941</v>
      </c>
      <c r="AH2848">
        <v>71</v>
      </c>
      <c r="AI2848" t="s">
        <v>939</v>
      </c>
      <c r="AJ2848">
        <v>2</v>
      </c>
      <c r="AK28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MIN(AJ2848/8, 1) +
  Merge1[[#This Row],[index_defensive_effort]],
  2
)</f>
        <v>0.8</v>
      </c>
    </row>
    <row r="2849" spans="1:37" x14ac:dyDescent="0.25">
      <c r="A2849" t="s">
        <v>729</v>
      </c>
      <c r="B2849" t="s">
        <v>730</v>
      </c>
      <c r="C2849">
        <v>26</v>
      </c>
      <c r="D2849" t="s">
        <v>56</v>
      </c>
      <c r="E2849">
        <v>71</v>
      </c>
      <c r="F2849">
        <v>193</v>
      </c>
      <c r="G2849" t="s">
        <v>286</v>
      </c>
      <c r="H2849">
        <v>2020</v>
      </c>
      <c r="I2849" t="s">
        <v>33</v>
      </c>
      <c r="J2849">
        <v>13</v>
      </c>
      <c r="K2849">
        <v>3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66</v>
      </c>
      <c r="T2849">
        <v>66</v>
      </c>
      <c r="U2849" s="5">
        <f>IF(Merge1[[#This Row],[team_defense_snaps]]=0, "", Merge1[[#This Row],[defense_snaps]] / Merge1[[#This Row],[team_defense_snaps]])</f>
        <v>0.92957746478873238</v>
      </c>
      <c r="V2849">
        <v>71</v>
      </c>
      <c r="W2849">
        <v>0</v>
      </c>
      <c r="X2849" s="5" t="s">
        <v>29</v>
      </c>
      <c r="Y2849">
        <v>5</v>
      </c>
      <c r="Z2849">
        <v>0</v>
      </c>
      <c r="AA2849" t="s">
        <v>25</v>
      </c>
      <c r="AB2849" t="s">
        <v>26</v>
      </c>
      <c r="AC2849" t="s">
        <v>27</v>
      </c>
      <c r="AD2849" t="s">
        <v>42</v>
      </c>
      <c r="AE2849" t="s">
        <v>25</v>
      </c>
      <c r="AF28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G2849" t="s">
        <v>941</v>
      </c>
      <c r="AH2849">
        <v>74</v>
      </c>
      <c r="AI2849" t="s">
        <v>939</v>
      </c>
      <c r="AJ2849">
        <v>1</v>
      </c>
      <c r="AK28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MIN(AJ2849/8, 1) +
  Merge1[[#This Row],[index_defensive_effort]],
  2
)</f>
        <v>0.67</v>
      </c>
    </row>
    <row r="2850" spans="1:37" x14ac:dyDescent="0.25">
      <c r="A2850" t="s">
        <v>729</v>
      </c>
      <c r="B2850" t="s">
        <v>730</v>
      </c>
      <c r="C2850">
        <v>26</v>
      </c>
      <c r="D2850" t="s">
        <v>56</v>
      </c>
      <c r="E2850">
        <v>71</v>
      </c>
      <c r="F2850">
        <v>193</v>
      </c>
      <c r="G2850" t="s">
        <v>286</v>
      </c>
      <c r="H2850">
        <v>2020</v>
      </c>
      <c r="I2850" t="s">
        <v>33</v>
      </c>
      <c r="J2850">
        <v>14</v>
      </c>
      <c r="K2850">
        <v>0</v>
      </c>
      <c r="L2850">
        <v>2</v>
      </c>
      <c r="M2850">
        <v>1</v>
      </c>
      <c r="N2850">
        <v>3</v>
      </c>
      <c r="O2850">
        <v>0</v>
      </c>
      <c r="P2850">
        <v>0</v>
      </c>
      <c r="Q2850">
        <v>0</v>
      </c>
      <c r="R2850">
        <v>0</v>
      </c>
      <c r="S2850">
        <v>80</v>
      </c>
      <c r="T2850">
        <v>80</v>
      </c>
      <c r="U2850" s="5">
        <f>IF(Merge1[[#This Row],[team_defense_snaps]]=0, "", Merge1[[#This Row],[defense_snaps]] / Merge1[[#This Row],[team_defense_snaps]])</f>
        <v>0.98765432098765427</v>
      </c>
      <c r="V2850">
        <v>81</v>
      </c>
      <c r="W2850">
        <v>0</v>
      </c>
      <c r="X2850" s="5" t="s">
        <v>29</v>
      </c>
      <c r="Y2850">
        <v>5</v>
      </c>
      <c r="Z2850">
        <v>0</v>
      </c>
      <c r="AA2850" t="s">
        <v>25</v>
      </c>
      <c r="AB2850" t="s">
        <v>26</v>
      </c>
      <c r="AC2850" t="s">
        <v>27</v>
      </c>
      <c r="AD2850" t="s">
        <v>42</v>
      </c>
      <c r="AE2850" t="s">
        <v>25</v>
      </c>
      <c r="AF28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1.8749999999999999E-2</v>
      </c>
      <c r="AG2850" t="s">
        <v>941</v>
      </c>
      <c r="AH2850">
        <v>65</v>
      </c>
      <c r="AI2850" t="s">
        <v>939</v>
      </c>
      <c r="AJ2850">
        <v>2</v>
      </c>
      <c r="AK28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MIN(AJ2850/8, 1) +
  Merge1[[#This Row],[index_defensive_effort]],
  2
)</f>
        <v>0.77</v>
      </c>
    </row>
    <row r="2851" spans="1:37" x14ac:dyDescent="0.25">
      <c r="A2851" t="s">
        <v>729</v>
      </c>
      <c r="B2851" t="s">
        <v>730</v>
      </c>
      <c r="C2851">
        <v>26</v>
      </c>
      <c r="D2851" t="s">
        <v>56</v>
      </c>
      <c r="E2851">
        <v>71</v>
      </c>
      <c r="F2851">
        <v>193</v>
      </c>
      <c r="G2851" t="s">
        <v>286</v>
      </c>
      <c r="H2851">
        <v>2020</v>
      </c>
      <c r="I2851" t="s">
        <v>33</v>
      </c>
      <c r="J2851">
        <v>14</v>
      </c>
      <c r="K2851">
        <v>0</v>
      </c>
      <c r="L2851">
        <v>2</v>
      </c>
      <c r="M2851">
        <v>1</v>
      </c>
      <c r="N2851">
        <v>3</v>
      </c>
      <c r="O2851">
        <v>0</v>
      </c>
      <c r="P2851">
        <v>0</v>
      </c>
      <c r="Q2851">
        <v>0</v>
      </c>
      <c r="R2851">
        <v>0</v>
      </c>
      <c r="S2851">
        <v>80</v>
      </c>
      <c r="T2851">
        <v>80</v>
      </c>
      <c r="U2851" s="5">
        <f>IF(Merge1[[#This Row],[team_defense_snaps]]=0, "", Merge1[[#This Row],[defense_snaps]] / Merge1[[#This Row],[team_defense_snaps]])</f>
        <v>0.98765432098765427</v>
      </c>
      <c r="V2851">
        <v>81</v>
      </c>
      <c r="W2851">
        <v>0</v>
      </c>
      <c r="X2851" s="5" t="s">
        <v>29</v>
      </c>
      <c r="Y2851">
        <v>5</v>
      </c>
      <c r="Z2851">
        <v>0</v>
      </c>
      <c r="AA2851" t="s">
        <v>25</v>
      </c>
      <c r="AB2851" t="s">
        <v>26</v>
      </c>
      <c r="AC2851" t="s">
        <v>27</v>
      </c>
      <c r="AD2851" t="s">
        <v>42</v>
      </c>
      <c r="AE2851" t="s">
        <v>25</v>
      </c>
      <c r="AF28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1.8749999999999999E-2</v>
      </c>
      <c r="AG2851" t="s">
        <v>941</v>
      </c>
      <c r="AH2851">
        <v>62</v>
      </c>
      <c r="AI2851" t="s">
        <v>939</v>
      </c>
      <c r="AJ2851">
        <v>1</v>
      </c>
      <c r="AK28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MIN(AJ2851/8, 1) +
  Merge1[[#This Row],[index_defensive_effort]],
  2
)</f>
        <v>0.64</v>
      </c>
    </row>
    <row r="2852" spans="1:37" x14ac:dyDescent="0.25">
      <c r="A2852" t="s">
        <v>729</v>
      </c>
      <c r="B2852" t="s">
        <v>730</v>
      </c>
      <c r="C2852">
        <v>26</v>
      </c>
      <c r="D2852" t="s">
        <v>56</v>
      </c>
      <c r="E2852">
        <v>71</v>
      </c>
      <c r="F2852">
        <v>193</v>
      </c>
      <c r="G2852" t="s">
        <v>286</v>
      </c>
      <c r="H2852">
        <v>2020</v>
      </c>
      <c r="I2852" t="s">
        <v>33</v>
      </c>
      <c r="J2852">
        <v>15</v>
      </c>
      <c r="K2852">
        <v>3</v>
      </c>
      <c r="L2852">
        <v>1</v>
      </c>
      <c r="M2852">
        <v>0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57</v>
      </c>
      <c r="T2852">
        <v>57</v>
      </c>
      <c r="U2852" s="5">
        <f>IF(Merge1[[#This Row],[team_defense_snaps]]=0, "", Merge1[[#This Row],[defense_snaps]] / Merge1[[#This Row],[team_defense_snaps]])</f>
        <v>1</v>
      </c>
      <c r="V2852">
        <v>57</v>
      </c>
      <c r="W2852">
        <v>0</v>
      </c>
      <c r="X2852" s="5" t="s">
        <v>29</v>
      </c>
      <c r="Y2852">
        <v>5</v>
      </c>
      <c r="Z2852">
        <v>0</v>
      </c>
      <c r="AA2852" t="s">
        <v>25</v>
      </c>
      <c r="AB2852" t="s">
        <v>26</v>
      </c>
      <c r="AC2852" t="s">
        <v>27</v>
      </c>
      <c r="AD2852" t="s">
        <v>42</v>
      </c>
      <c r="AE2852" t="s">
        <v>25</v>
      </c>
      <c r="AF28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6.1403508771929821E-2</v>
      </c>
      <c r="AG2852" t="s">
        <v>941</v>
      </c>
      <c r="AH2852">
        <v>51.5</v>
      </c>
      <c r="AI2852" t="s">
        <v>939</v>
      </c>
      <c r="AJ2852">
        <v>2</v>
      </c>
      <c r="AK28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MIN(AJ2852/8, 1) +
  Merge1[[#This Row],[index_defensive_effort]],
  2
)</f>
        <v>0.81</v>
      </c>
    </row>
    <row r="2853" spans="1:37" x14ac:dyDescent="0.25">
      <c r="A2853" t="s">
        <v>729</v>
      </c>
      <c r="B2853" t="s">
        <v>730</v>
      </c>
      <c r="C2853">
        <v>26</v>
      </c>
      <c r="D2853" t="s">
        <v>56</v>
      </c>
      <c r="E2853">
        <v>71</v>
      </c>
      <c r="F2853">
        <v>193</v>
      </c>
      <c r="G2853" t="s">
        <v>286</v>
      </c>
      <c r="H2853">
        <v>2020</v>
      </c>
      <c r="I2853" t="s">
        <v>33</v>
      </c>
      <c r="J2853">
        <v>15</v>
      </c>
      <c r="K2853">
        <v>3</v>
      </c>
      <c r="L2853">
        <v>1</v>
      </c>
      <c r="M2853">
        <v>0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57</v>
      </c>
      <c r="T2853">
        <v>57</v>
      </c>
      <c r="U2853" s="5">
        <f>IF(Merge1[[#This Row],[team_defense_snaps]]=0, "", Merge1[[#This Row],[defense_snaps]] / Merge1[[#This Row],[team_defense_snaps]])</f>
        <v>1</v>
      </c>
      <c r="V2853">
        <v>57</v>
      </c>
      <c r="W2853">
        <v>0</v>
      </c>
      <c r="X2853" s="5" t="s">
        <v>29</v>
      </c>
      <c r="Y2853">
        <v>5</v>
      </c>
      <c r="Z2853">
        <v>0</v>
      </c>
      <c r="AA2853" t="s">
        <v>25</v>
      </c>
      <c r="AB2853" t="s">
        <v>26</v>
      </c>
      <c r="AC2853" t="s">
        <v>27</v>
      </c>
      <c r="AD2853" t="s">
        <v>42</v>
      </c>
      <c r="AE2853" t="s">
        <v>25</v>
      </c>
      <c r="AF28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6.1403508771929821E-2</v>
      </c>
      <c r="AG2853" t="s">
        <v>941</v>
      </c>
      <c r="AH2853">
        <v>72.5</v>
      </c>
      <c r="AI2853" t="s">
        <v>939</v>
      </c>
      <c r="AJ2853">
        <v>1</v>
      </c>
      <c r="AK28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MIN(AJ2853/8, 1) +
  Merge1[[#This Row],[index_defensive_effort]],
  2
)</f>
        <v>0.69</v>
      </c>
    </row>
    <row r="2854" spans="1:37" x14ac:dyDescent="0.25">
      <c r="A2854" t="s">
        <v>729</v>
      </c>
      <c r="B2854" t="s">
        <v>730</v>
      </c>
      <c r="C2854">
        <v>26</v>
      </c>
      <c r="D2854" t="s">
        <v>56</v>
      </c>
      <c r="E2854">
        <v>71</v>
      </c>
      <c r="F2854">
        <v>193</v>
      </c>
      <c r="G2854" t="s">
        <v>286</v>
      </c>
      <c r="H2854">
        <v>2020</v>
      </c>
      <c r="I2854" t="s">
        <v>33</v>
      </c>
      <c r="J2854">
        <v>16</v>
      </c>
      <c r="K2854">
        <v>3</v>
      </c>
      <c r="L2854">
        <v>1</v>
      </c>
      <c r="M2854">
        <v>0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61</v>
      </c>
      <c r="T2854">
        <v>61</v>
      </c>
      <c r="U2854" s="5">
        <f>IF(Merge1[[#This Row],[team_defense_snaps]]=0, "", Merge1[[#This Row],[defense_snaps]] / Merge1[[#This Row],[team_defense_snaps]])</f>
        <v>0.91044776119402981</v>
      </c>
      <c r="V2854">
        <v>67</v>
      </c>
      <c r="W2854">
        <v>0</v>
      </c>
      <c r="X2854" s="5" t="s">
        <v>29</v>
      </c>
      <c r="Y2854">
        <v>5</v>
      </c>
      <c r="Z2854">
        <v>0</v>
      </c>
      <c r="AA2854" t="s">
        <v>25</v>
      </c>
      <c r="AB2854" t="s">
        <v>26</v>
      </c>
      <c r="AC2854" t="s">
        <v>27</v>
      </c>
      <c r="AD2854" t="s">
        <v>42</v>
      </c>
      <c r="AE2854" t="s">
        <v>25</v>
      </c>
      <c r="AF28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5.737704918032787E-2</v>
      </c>
      <c r="AG2854" t="s">
        <v>941</v>
      </c>
      <c r="AH2854">
        <v>59</v>
      </c>
      <c r="AI2854" t="s">
        <v>939</v>
      </c>
      <c r="AJ2854">
        <v>2</v>
      </c>
      <c r="AK28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MIN(AJ2854/8, 1) +
  Merge1[[#This Row],[index_defensive_effort]],
  2
)</f>
        <v>0.81</v>
      </c>
    </row>
    <row r="2855" spans="1:37" x14ac:dyDescent="0.25">
      <c r="A2855" t="s">
        <v>729</v>
      </c>
      <c r="B2855" t="s">
        <v>730</v>
      </c>
      <c r="C2855">
        <v>26</v>
      </c>
      <c r="D2855" t="s">
        <v>56</v>
      </c>
      <c r="E2855">
        <v>71</v>
      </c>
      <c r="F2855">
        <v>193</v>
      </c>
      <c r="G2855" t="s">
        <v>286</v>
      </c>
      <c r="H2855">
        <v>2020</v>
      </c>
      <c r="I2855" t="s">
        <v>33</v>
      </c>
      <c r="J2855">
        <v>16</v>
      </c>
      <c r="K2855">
        <v>3</v>
      </c>
      <c r="L2855">
        <v>1</v>
      </c>
      <c r="M2855">
        <v>0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61</v>
      </c>
      <c r="T2855">
        <v>61</v>
      </c>
      <c r="U2855" s="5">
        <f>IF(Merge1[[#This Row],[team_defense_snaps]]=0, "", Merge1[[#This Row],[defense_snaps]] / Merge1[[#This Row],[team_defense_snaps]])</f>
        <v>0.91044776119402981</v>
      </c>
      <c r="V2855">
        <v>67</v>
      </c>
      <c r="W2855">
        <v>0</v>
      </c>
      <c r="X2855" s="5" t="s">
        <v>29</v>
      </c>
      <c r="Y2855">
        <v>5</v>
      </c>
      <c r="Z2855">
        <v>0</v>
      </c>
      <c r="AA2855" t="s">
        <v>25</v>
      </c>
      <c r="AB2855" t="s">
        <v>26</v>
      </c>
      <c r="AC2855" t="s">
        <v>27</v>
      </c>
      <c r="AD2855" t="s">
        <v>42</v>
      </c>
      <c r="AE2855" t="s">
        <v>25</v>
      </c>
      <c r="AF28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5.737704918032787E-2</v>
      </c>
      <c r="AG2855" t="s">
        <v>941</v>
      </c>
      <c r="AH2855">
        <v>50</v>
      </c>
      <c r="AI2855" t="s">
        <v>939</v>
      </c>
      <c r="AJ2855">
        <v>1</v>
      </c>
      <c r="AK28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MIN(AJ2855/8, 1) +
  Merge1[[#This Row],[index_defensive_effort]],
  2
)</f>
        <v>0.68</v>
      </c>
    </row>
    <row r="2856" spans="1:37" x14ac:dyDescent="0.25">
      <c r="A2856" t="s">
        <v>729</v>
      </c>
      <c r="B2856" t="s">
        <v>730</v>
      </c>
      <c r="C2856">
        <v>26</v>
      </c>
      <c r="D2856" t="s">
        <v>56</v>
      </c>
      <c r="E2856">
        <v>71</v>
      </c>
      <c r="F2856">
        <v>193</v>
      </c>
      <c r="G2856" t="s">
        <v>286</v>
      </c>
      <c r="H2856">
        <v>2020</v>
      </c>
      <c r="I2856" t="s">
        <v>33</v>
      </c>
      <c r="J2856">
        <v>17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67</v>
      </c>
      <c r="T2856">
        <v>67</v>
      </c>
      <c r="U2856" s="5">
        <f>IF(Merge1[[#This Row],[team_defense_snaps]]=0, "", Merge1[[#This Row],[defense_snaps]] / Merge1[[#This Row],[team_defense_snaps]])</f>
        <v>0.97101449275362317</v>
      </c>
      <c r="V2856">
        <v>69</v>
      </c>
      <c r="W2856">
        <v>0</v>
      </c>
      <c r="X2856" s="5" t="s">
        <v>29</v>
      </c>
      <c r="Y2856">
        <v>5</v>
      </c>
      <c r="Z2856">
        <v>0</v>
      </c>
      <c r="AA2856" t="s">
        <v>25</v>
      </c>
      <c r="AB2856" t="s">
        <v>26</v>
      </c>
      <c r="AC2856" t="s">
        <v>27</v>
      </c>
      <c r="AD2856" t="s">
        <v>42</v>
      </c>
      <c r="AE2856" t="s">
        <v>25</v>
      </c>
      <c r="AF28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2.9850746268656716E-2</v>
      </c>
      <c r="AG2856" t="s">
        <v>941</v>
      </c>
      <c r="AH2856">
        <v>57.5</v>
      </c>
      <c r="AI2856" t="s">
        <v>939</v>
      </c>
      <c r="AJ2856">
        <v>2</v>
      </c>
      <c r="AK28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MIN(AJ2856/8, 1) +
  Merge1[[#This Row],[index_defensive_effort]],
  2
)</f>
        <v>0.78</v>
      </c>
    </row>
    <row r="2857" spans="1:37" x14ac:dyDescent="0.25">
      <c r="A2857" t="s">
        <v>729</v>
      </c>
      <c r="B2857" t="s">
        <v>730</v>
      </c>
      <c r="C2857">
        <v>26</v>
      </c>
      <c r="D2857" t="s">
        <v>56</v>
      </c>
      <c r="E2857">
        <v>71</v>
      </c>
      <c r="F2857">
        <v>193</v>
      </c>
      <c r="G2857" t="s">
        <v>286</v>
      </c>
      <c r="H2857">
        <v>2020</v>
      </c>
      <c r="I2857" t="s">
        <v>33</v>
      </c>
      <c r="J2857">
        <v>17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67</v>
      </c>
      <c r="T2857">
        <v>67</v>
      </c>
      <c r="U2857" s="5">
        <f>IF(Merge1[[#This Row],[team_defense_snaps]]=0, "", Merge1[[#This Row],[defense_snaps]] / Merge1[[#This Row],[team_defense_snaps]])</f>
        <v>0.97101449275362317</v>
      </c>
      <c r="V2857">
        <v>69</v>
      </c>
      <c r="W2857">
        <v>0</v>
      </c>
      <c r="X2857" s="5" t="s">
        <v>29</v>
      </c>
      <c r="Y2857">
        <v>5</v>
      </c>
      <c r="Z2857">
        <v>0</v>
      </c>
      <c r="AA2857" t="s">
        <v>25</v>
      </c>
      <c r="AB2857" t="s">
        <v>26</v>
      </c>
      <c r="AC2857" t="s">
        <v>27</v>
      </c>
      <c r="AD2857" t="s">
        <v>42</v>
      </c>
      <c r="AE2857" t="s">
        <v>25</v>
      </c>
      <c r="AF28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2.9850746268656716E-2</v>
      </c>
      <c r="AG2857" t="s">
        <v>941</v>
      </c>
      <c r="AH2857">
        <v>53</v>
      </c>
      <c r="AI2857" t="s">
        <v>939</v>
      </c>
      <c r="AJ2857">
        <v>1</v>
      </c>
      <c r="AK28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MIN(AJ2857/8, 1) +
  Merge1[[#This Row],[index_defensive_effort]],
  2
)</f>
        <v>0.65</v>
      </c>
    </row>
    <row r="2858" spans="1:37" x14ac:dyDescent="0.25">
      <c r="A2858" t="s">
        <v>729</v>
      </c>
      <c r="B2858" t="s">
        <v>730</v>
      </c>
      <c r="C2858">
        <v>26</v>
      </c>
      <c r="D2858" t="s">
        <v>56</v>
      </c>
      <c r="E2858">
        <v>71</v>
      </c>
      <c r="F2858">
        <v>193</v>
      </c>
      <c r="G2858" t="s">
        <v>286</v>
      </c>
      <c r="H2858">
        <v>2020</v>
      </c>
      <c r="I2858" t="s">
        <v>24</v>
      </c>
      <c r="J2858">
        <v>18</v>
      </c>
      <c r="K2858">
        <v>2</v>
      </c>
      <c r="L2858">
        <v>3</v>
      </c>
      <c r="M2858">
        <v>0</v>
      </c>
      <c r="N2858">
        <v>3</v>
      </c>
      <c r="O2858">
        <v>0</v>
      </c>
      <c r="P2858">
        <v>0</v>
      </c>
      <c r="Q2858">
        <v>0</v>
      </c>
      <c r="R2858">
        <v>0</v>
      </c>
      <c r="S2858">
        <v>71</v>
      </c>
      <c r="T2858">
        <v>71</v>
      </c>
      <c r="U2858" s="5">
        <f>IF(Merge1[[#This Row],[team_defense_snaps]]=0, "", Merge1[[#This Row],[defense_snaps]] / Merge1[[#This Row],[team_defense_snaps]])</f>
        <v>0.9726027397260274</v>
      </c>
      <c r="V2858">
        <v>73</v>
      </c>
      <c r="W2858">
        <v>0</v>
      </c>
      <c r="X2858" s="5" t="s">
        <v>29</v>
      </c>
      <c r="Y2858">
        <v>5</v>
      </c>
      <c r="Z2858">
        <v>0</v>
      </c>
      <c r="AA2858" t="s">
        <v>25</v>
      </c>
      <c r="AB2858" t="s">
        <v>26</v>
      </c>
      <c r="AC2858" t="s">
        <v>27</v>
      </c>
      <c r="AD2858" t="s">
        <v>42</v>
      </c>
      <c r="AE2858" t="s">
        <v>25</v>
      </c>
      <c r="AF28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4.9295774647887321E-2</v>
      </c>
      <c r="AG2858" t="s">
        <v>941</v>
      </c>
      <c r="AH2858">
        <v>69.5</v>
      </c>
      <c r="AI2858" t="s">
        <v>939</v>
      </c>
      <c r="AJ2858">
        <v>2</v>
      </c>
      <c r="AK28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MIN(AJ2858/8, 1) +
  Merge1[[#This Row],[index_defensive_effort]],
  2
)</f>
        <v>1</v>
      </c>
    </row>
    <row r="2859" spans="1:37" x14ac:dyDescent="0.25">
      <c r="A2859" t="s">
        <v>729</v>
      </c>
      <c r="B2859" t="s">
        <v>730</v>
      </c>
      <c r="C2859">
        <v>26</v>
      </c>
      <c r="D2859" t="s">
        <v>56</v>
      </c>
      <c r="E2859">
        <v>71</v>
      </c>
      <c r="F2859">
        <v>193</v>
      </c>
      <c r="G2859" t="s">
        <v>286</v>
      </c>
      <c r="H2859">
        <v>2020</v>
      </c>
      <c r="I2859" t="s">
        <v>24</v>
      </c>
      <c r="J2859">
        <v>18</v>
      </c>
      <c r="K2859">
        <v>2</v>
      </c>
      <c r="L2859">
        <v>3</v>
      </c>
      <c r="M2859">
        <v>0</v>
      </c>
      <c r="N2859">
        <v>3</v>
      </c>
      <c r="O2859">
        <v>0</v>
      </c>
      <c r="P2859">
        <v>0</v>
      </c>
      <c r="Q2859">
        <v>0</v>
      </c>
      <c r="R2859">
        <v>0</v>
      </c>
      <c r="S2859">
        <v>71</v>
      </c>
      <c r="T2859">
        <v>71</v>
      </c>
      <c r="U2859" s="5">
        <f>IF(Merge1[[#This Row],[team_defense_snaps]]=0, "", Merge1[[#This Row],[defense_snaps]] / Merge1[[#This Row],[team_defense_snaps]])</f>
        <v>0.9726027397260274</v>
      </c>
      <c r="V2859">
        <v>73</v>
      </c>
      <c r="W2859">
        <v>0</v>
      </c>
      <c r="X2859" s="5" t="s">
        <v>29</v>
      </c>
      <c r="Y2859">
        <v>5</v>
      </c>
      <c r="Z2859">
        <v>0</v>
      </c>
      <c r="AA2859" t="s">
        <v>25</v>
      </c>
      <c r="AB2859" t="s">
        <v>26</v>
      </c>
      <c r="AC2859" t="s">
        <v>27</v>
      </c>
      <c r="AD2859" t="s">
        <v>42</v>
      </c>
      <c r="AE2859" t="s">
        <v>25</v>
      </c>
      <c r="AF28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4.9295774647887321E-2</v>
      </c>
      <c r="AG2859" t="s">
        <v>941</v>
      </c>
      <c r="AH2859">
        <v>66.5</v>
      </c>
      <c r="AI2859" t="s">
        <v>939</v>
      </c>
      <c r="AJ2859">
        <v>1</v>
      </c>
      <c r="AK28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MIN(AJ2859/8, 1) +
  Merge1[[#This Row],[index_defensive_effort]],
  2
)</f>
        <v>0.87</v>
      </c>
    </row>
    <row r="2860" spans="1:37" x14ac:dyDescent="0.25">
      <c r="A2860" t="s">
        <v>740</v>
      </c>
      <c r="B2860" t="s">
        <v>741</v>
      </c>
      <c r="C2860">
        <v>23</v>
      </c>
      <c r="D2860" t="s">
        <v>22</v>
      </c>
      <c r="E2860">
        <v>74</v>
      </c>
      <c r="F2860">
        <v>207</v>
      </c>
      <c r="G2860" t="s">
        <v>47</v>
      </c>
      <c r="H2860">
        <v>2020</v>
      </c>
      <c r="I2860" t="s">
        <v>33</v>
      </c>
      <c r="J2860">
        <v>2</v>
      </c>
      <c r="K2860">
        <v>1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21</v>
      </c>
      <c r="T2860">
        <v>6</v>
      </c>
      <c r="U2860" s="5">
        <f>IF(Merge1[[#This Row],[team_defense_snaps]]=0, "", Merge1[[#This Row],[defense_snaps]] / Merge1[[#This Row],[team_defense_snaps]])</f>
        <v>6.5217391304347824E-2</v>
      </c>
      <c r="V2860">
        <v>92</v>
      </c>
      <c r="W2860">
        <v>15</v>
      </c>
      <c r="X2860" s="5" t="s">
        <v>111</v>
      </c>
      <c r="Y2860">
        <v>2</v>
      </c>
      <c r="Z2860">
        <v>0</v>
      </c>
      <c r="AA2860" t="s">
        <v>25</v>
      </c>
      <c r="AB2860" t="s">
        <v>26</v>
      </c>
      <c r="AC2860" t="s">
        <v>27</v>
      </c>
      <c r="AD2860" t="s">
        <v>28</v>
      </c>
      <c r="AE2860" t="s">
        <v>25</v>
      </c>
      <c r="AF28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4.7619047619047616E-2</v>
      </c>
      <c r="AG2860" t="s">
        <v>941</v>
      </c>
      <c r="AH2860">
        <v>50</v>
      </c>
      <c r="AI2860" t="s">
        <v>939</v>
      </c>
      <c r="AJ2860">
        <v>1</v>
      </c>
      <c r="AK28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MIN(AJ2860/8, 1) +
  Merge1[[#This Row],[index_defensive_effort]],
  2
)</f>
        <v>0.56999999999999995</v>
      </c>
    </row>
    <row r="2861" spans="1:37" x14ac:dyDescent="0.25">
      <c r="A2861" t="s">
        <v>740</v>
      </c>
      <c r="B2861" t="s">
        <v>741</v>
      </c>
      <c r="C2861">
        <v>23</v>
      </c>
      <c r="D2861" t="s">
        <v>22</v>
      </c>
      <c r="E2861">
        <v>74</v>
      </c>
      <c r="F2861">
        <v>207</v>
      </c>
      <c r="G2861" t="s">
        <v>47</v>
      </c>
      <c r="H2861">
        <v>2020</v>
      </c>
      <c r="I2861" t="s">
        <v>33</v>
      </c>
      <c r="J2861">
        <v>3</v>
      </c>
      <c r="K2861">
        <v>1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21</v>
      </c>
      <c r="T2861">
        <v>6</v>
      </c>
      <c r="U2861" s="5">
        <f>IF(Merge1[[#This Row],[team_defense_snaps]]=0, "", Merge1[[#This Row],[defense_snaps]] / Merge1[[#This Row],[team_defense_snaps]])</f>
        <v>8.9552238805970144E-2</v>
      </c>
      <c r="V2861">
        <v>67</v>
      </c>
      <c r="W2861">
        <v>15</v>
      </c>
      <c r="X2861" s="5" t="s">
        <v>112</v>
      </c>
      <c r="Y2861">
        <v>2</v>
      </c>
      <c r="Z2861">
        <v>0</v>
      </c>
      <c r="AA2861" t="s">
        <v>25</v>
      </c>
      <c r="AB2861" t="s">
        <v>26</v>
      </c>
      <c r="AC2861" t="s">
        <v>27</v>
      </c>
      <c r="AD2861" t="s">
        <v>28</v>
      </c>
      <c r="AE2861" t="s">
        <v>25</v>
      </c>
      <c r="AF28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4.7619047619047616E-2</v>
      </c>
      <c r="AG2861" t="s">
        <v>941</v>
      </c>
      <c r="AH2861">
        <v>50</v>
      </c>
      <c r="AI2861" t="s">
        <v>939</v>
      </c>
      <c r="AJ2861">
        <v>2</v>
      </c>
      <c r="AK28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MIN(AJ2861/8, 1) +
  Merge1[[#This Row],[index_defensive_effort]],
  2
)</f>
        <v>0.7</v>
      </c>
    </row>
    <row r="2862" spans="1:37" x14ac:dyDescent="0.25">
      <c r="A2862" t="s">
        <v>740</v>
      </c>
      <c r="B2862" t="s">
        <v>741</v>
      </c>
      <c r="C2862">
        <v>23</v>
      </c>
      <c r="D2862" t="s">
        <v>22</v>
      </c>
      <c r="E2862">
        <v>74</v>
      </c>
      <c r="F2862">
        <v>207</v>
      </c>
      <c r="G2862" t="s">
        <v>47</v>
      </c>
      <c r="H2862">
        <v>2020</v>
      </c>
      <c r="I2862" t="s">
        <v>33</v>
      </c>
      <c r="J2862">
        <v>4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28</v>
      </c>
      <c r="T2862">
        <v>11</v>
      </c>
      <c r="U2862" s="5">
        <f>IF(Merge1[[#This Row],[team_defense_snaps]]=0, "", Merge1[[#This Row],[defense_snaps]] / Merge1[[#This Row],[team_defense_snaps]])</f>
        <v>0.12941176470588237</v>
      </c>
      <c r="V2862">
        <v>85</v>
      </c>
      <c r="W2862">
        <v>17</v>
      </c>
      <c r="X2862" s="5" t="s">
        <v>182</v>
      </c>
      <c r="Y2862">
        <v>2</v>
      </c>
      <c r="Z2862">
        <v>0</v>
      </c>
      <c r="AA2862" t="s">
        <v>25</v>
      </c>
      <c r="AB2862" t="s">
        <v>26</v>
      </c>
      <c r="AC2862" t="s">
        <v>27</v>
      </c>
      <c r="AD2862" t="s">
        <v>28</v>
      </c>
      <c r="AE2862" t="s">
        <v>25</v>
      </c>
      <c r="AF28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862" t="s">
        <v>941</v>
      </c>
      <c r="AH2862">
        <v>68.5</v>
      </c>
      <c r="AI2862" t="s">
        <v>939</v>
      </c>
      <c r="AJ2862">
        <v>3</v>
      </c>
      <c r="AK28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MIN(AJ2862/8, 1) +
  Merge1[[#This Row],[index_defensive_effort]],
  2
)</f>
        <v>0.78</v>
      </c>
    </row>
    <row r="2863" spans="1:37" x14ac:dyDescent="0.25">
      <c r="A2863" t="s">
        <v>740</v>
      </c>
      <c r="B2863" t="s">
        <v>741</v>
      </c>
      <c r="C2863">
        <v>23</v>
      </c>
      <c r="D2863" t="s">
        <v>22</v>
      </c>
      <c r="E2863">
        <v>74</v>
      </c>
      <c r="F2863">
        <v>207</v>
      </c>
      <c r="G2863" t="s">
        <v>47</v>
      </c>
      <c r="H2863">
        <v>2020</v>
      </c>
      <c r="I2863" t="s">
        <v>33</v>
      </c>
      <c r="J2863">
        <v>5</v>
      </c>
      <c r="K2863">
        <v>1</v>
      </c>
      <c r="L2863">
        <v>1</v>
      </c>
      <c r="M2863">
        <v>0</v>
      </c>
      <c r="N2863">
        <v>1</v>
      </c>
      <c r="O2863">
        <v>0</v>
      </c>
      <c r="P2863">
        <v>0</v>
      </c>
      <c r="Q2863">
        <v>2</v>
      </c>
      <c r="R2863">
        <v>0</v>
      </c>
      <c r="S2863">
        <v>42</v>
      </c>
      <c r="T2863">
        <v>37</v>
      </c>
      <c r="U2863" s="5">
        <f>IF(Merge1[[#This Row],[team_defense_snaps]]=0, "", Merge1[[#This Row],[defense_snaps]] / Merge1[[#This Row],[team_defense_snaps]])</f>
        <v>0.6607142857142857</v>
      </c>
      <c r="V2863">
        <v>56</v>
      </c>
      <c r="W2863">
        <v>5</v>
      </c>
      <c r="X2863" s="5" t="s">
        <v>181</v>
      </c>
      <c r="Y2863">
        <v>2</v>
      </c>
      <c r="Z2863">
        <v>0</v>
      </c>
      <c r="AA2863" t="s">
        <v>25</v>
      </c>
      <c r="AB2863" t="s">
        <v>26</v>
      </c>
      <c r="AC2863" t="s">
        <v>27</v>
      </c>
      <c r="AD2863" t="s">
        <v>42</v>
      </c>
      <c r="AE2863" t="s">
        <v>25</v>
      </c>
      <c r="AF28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0.22619047619047619</v>
      </c>
      <c r="AG2863" t="s">
        <v>941</v>
      </c>
      <c r="AH2863">
        <v>61</v>
      </c>
      <c r="AI2863" t="s">
        <v>939</v>
      </c>
      <c r="AJ2863">
        <v>4</v>
      </c>
      <c r="AK28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MIN(AJ2863/8, 1) +
  Merge1[[#This Row],[index_defensive_effort]],
  2
)</f>
        <v>1.1299999999999999</v>
      </c>
    </row>
    <row r="2864" spans="1:37" x14ac:dyDescent="0.25">
      <c r="A2864" t="s">
        <v>740</v>
      </c>
      <c r="B2864" t="s">
        <v>741</v>
      </c>
      <c r="C2864">
        <v>23</v>
      </c>
      <c r="D2864" t="s">
        <v>22</v>
      </c>
      <c r="E2864">
        <v>74</v>
      </c>
      <c r="F2864">
        <v>207</v>
      </c>
      <c r="G2864" t="s">
        <v>47</v>
      </c>
      <c r="H2864">
        <v>2020</v>
      </c>
      <c r="I2864" t="s">
        <v>33</v>
      </c>
      <c r="J2864">
        <v>7</v>
      </c>
      <c r="K2864">
        <v>7</v>
      </c>
      <c r="L2864">
        <v>3</v>
      </c>
      <c r="M2864">
        <v>0</v>
      </c>
      <c r="N2864">
        <v>3</v>
      </c>
      <c r="O2864">
        <v>2</v>
      </c>
      <c r="P2864">
        <v>0</v>
      </c>
      <c r="Q2864">
        <v>0</v>
      </c>
      <c r="R2864">
        <v>0</v>
      </c>
      <c r="S2864">
        <v>67</v>
      </c>
      <c r="T2864">
        <v>63</v>
      </c>
      <c r="U2864" s="5">
        <f>IF(Merge1[[#This Row],[team_defense_snaps]]=0, "", Merge1[[#This Row],[defense_snaps]] / Merge1[[#This Row],[team_defense_snaps]])</f>
        <v>0.82894736842105265</v>
      </c>
      <c r="V2864">
        <v>76</v>
      </c>
      <c r="W2864">
        <v>4</v>
      </c>
      <c r="X2864" s="5" t="s">
        <v>212</v>
      </c>
      <c r="Y2864">
        <v>2</v>
      </c>
      <c r="Z2864">
        <v>0</v>
      </c>
      <c r="AA2864" t="s">
        <v>25</v>
      </c>
      <c r="AB2864" t="s">
        <v>26</v>
      </c>
      <c r="AC2864" t="s">
        <v>27</v>
      </c>
      <c r="AD2864" t="s">
        <v>42</v>
      </c>
      <c r="AE2864" t="s">
        <v>25</v>
      </c>
      <c r="AF28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0.21641791044776118</v>
      </c>
      <c r="AG2864" t="s">
        <v>941</v>
      </c>
      <c r="AH2864">
        <v>46</v>
      </c>
      <c r="AI2864" t="s">
        <v>939</v>
      </c>
      <c r="AJ2864">
        <v>1</v>
      </c>
      <c r="AK28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MIN(AJ2864/8, 1) +
  Merge1[[#This Row],[index_defensive_effort]],
  2
)</f>
        <v>0.74</v>
      </c>
    </row>
    <row r="2865" spans="1:37" x14ac:dyDescent="0.25">
      <c r="A2865" t="s">
        <v>740</v>
      </c>
      <c r="B2865" t="s">
        <v>741</v>
      </c>
      <c r="C2865">
        <v>23</v>
      </c>
      <c r="D2865" t="s">
        <v>22</v>
      </c>
      <c r="E2865">
        <v>74</v>
      </c>
      <c r="F2865">
        <v>207</v>
      </c>
      <c r="G2865" t="s">
        <v>47</v>
      </c>
      <c r="H2865">
        <v>2020</v>
      </c>
      <c r="I2865" t="s">
        <v>33</v>
      </c>
      <c r="J2865">
        <v>8</v>
      </c>
      <c r="K2865">
        <v>2</v>
      </c>
      <c r="L2865">
        <v>8</v>
      </c>
      <c r="M2865">
        <v>1</v>
      </c>
      <c r="N2865">
        <v>9</v>
      </c>
      <c r="O2865">
        <v>0</v>
      </c>
      <c r="P2865">
        <v>0</v>
      </c>
      <c r="Q2865">
        <v>0</v>
      </c>
      <c r="R2865">
        <v>0</v>
      </c>
      <c r="S2865">
        <v>69</v>
      </c>
      <c r="T2865">
        <v>69</v>
      </c>
      <c r="U2865" s="5">
        <f>IF(Merge1[[#This Row],[team_defense_snaps]]=0, "", Merge1[[#This Row],[defense_snaps]] / Merge1[[#This Row],[team_defense_snaps]])</f>
        <v>0.92</v>
      </c>
      <c r="V2865">
        <v>75</v>
      </c>
      <c r="W2865">
        <v>0</v>
      </c>
      <c r="X2865" s="5" t="s">
        <v>29</v>
      </c>
      <c r="Y2865">
        <v>2</v>
      </c>
      <c r="Z2865">
        <v>0</v>
      </c>
      <c r="AA2865" t="s">
        <v>25</v>
      </c>
      <c r="AB2865" t="s">
        <v>26</v>
      </c>
      <c r="AC2865" t="s">
        <v>27</v>
      </c>
      <c r="AD2865" t="s">
        <v>42</v>
      </c>
      <c r="AE2865" t="s">
        <v>25</v>
      </c>
      <c r="AF28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9.420289855072464E-2</v>
      </c>
      <c r="AG2865" t="s">
        <v>941</v>
      </c>
      <c r="AH2865">
        <v>59.5</v>
      </c>
      <c r="AI2865" t="s">
        <v>939</v>
      </c>
      <c r="AJ2865">
        <v>2</v>
      </c>
      <c r="AK28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MIN(AJ2865/8, 1) +
  Merge1[[#This Row],[index_defensive_effort]],
  2
)</f>
        <v>0.74</v>
      </c>
    </row>
    <row r="2866" spans="1:37" x14ac:dyDescent="0.25">
      <c r="A2866" t="s">
        <v>740</v>
      </c>
      <c r="B2866" t="s">
        <v>741</v>
      </c>
      <c r="C2866">
        <v>23</v>
      </c>
      <c r="D2866" t="s">
        <v>22</v>
      </c>
      <c r="E2866">
        <v>74</v>
      </c>
      <c r="F2866">
        <v>207</v>
      </c>
      <c r="G2866" t="s">
        <v>47</v>
      </c>
      <c r="H2866">
        <v>2020</v>
      </c>
      <c r="I2866" t="s">
        <v>33</v>
      </c>
      <c r="J2866">
        <v>10</v>
      </c>
      <c r="K2866">
        <v>7</v>
      </c>
      <c r="L2866">
        <v>0</v>
      </c>
      <c r="M2866">
        <v>0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57</v>
      </c>
      <c r="T2866">
        <v>57</v>
      </c>
      <c r="U2866" s="5">
        <f>IF(Merge1[[#This Row],[team_defense_snaps]]=0, "", Merge1[[#This Row],[defense_snaps]] / Merge1[[#This Row],[team_defense_snaps]])</f>
        <v>1</v>
      </c>
      <c r="V2866">
        <v>57</v>
      </c>
      <c r="W2866">
        <v>0</v>
      </c>
      <c r="X2866" s="5" t="s">
        <v>29</v>
      </c>
      <c r="Y2866">
        <v>2</v>
      </c>
      <c r="Z2866">
        <v>0</v>
      </c>
      <c r="AA2866" t="s">
        <v>25</v>
      </c>
      <c r="AB2866" t="s">
        <v>26</v>
      </c>
      <c r="AC2866" t="s">
        <v>27</v>
      </c>
      <c r="AD2866" t="s">
        <v>42</v>
      </c>
      <c r="AE2866" t="s">
        <v>25</v>
      </c>
      <c r="AF28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0.15789473684210525</v>
      </c>
      <c r="AG2866" t="s">
        <v>941</v>
      </c>
      <c r="AH2866">
        <v>56.5</v>
      </c>
      <c r="AI2866" t="s">
        <v>939</v>
      </c>
      <c r="AJ2866">
        <v>1</v>
      </c>
      <c r="AK28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MIN(AJ2866/8, 1) +
  Merge1[[#This Row],[index_defensive_effort]],
  2
)</f>
        <v>0.68</v>
      </c>
    </row>
    <row r="2867" spans="1:37" x14ac:dyDescent="0.25">
      <c r="A2867" t="s">
        <v>740</v>
      </c>
      <c r="B2867" t="s">
        <v>741</v>
      </c>
      <c r="C2867">
        <v>23</v>
      </c>
      <c r="D2867" t="s">
        <v>22</v>
      </c>
      <c r="E2867">
        <v>74</v>
      </c>
      <c r="F2867">
        <v>207</v>
      </c>
      <c r="G2867" t="s">
        <v>47</v>
      </c>
      <c r="H2867">
        <v>2020</v>
      </c>
      <c r="I2867" t="s">
        <v>33</v>
      </c>
      <c r="J2867">
        <v>11</v>
      </c>
      <c r="K2867">
        <v>0</v>
      </c>
      <c r="L2867">
        <v>1</v>
      </c>
      <c r="M2867">
        <v>0</v>
      </c>
      <c r="N2867">
        <v>1</v>
      </c>
      <c r="O2867">
        <v>0</v>
      </c>
      <c r="P2867">
        <v>1</v>
      </c>
      <c r="Q2867">
        <v>0</v>
      </c>
      <c r="R2867">
        <v>0</v>
      </c>
      <c r="S2867">
        <v>6</v>
      </c>
      <c r="T2867">
        <v>6</v>
      </c>
      <c r="U2867" s="5">
        <f>IF(Merge1[[#This Row],[team_defense_snaps]]=0, "", Merge1[[#This Row],[defense_snaps]] / Merge1[[#This Row],[team_defense_snaps]])</f>
        <v>8.6956521739130432E-2</v>
      </c>
      <c r="V2867">
        <v>69</v>
      </c>
      <c r="W2867">
        <v>0</v>
      </c>
      <c r="X2867" s="5" t="s">
        <v>29</v>
      </c>
      <c r="Y2867">
        <v>2</v>
      </c>
      <c r="Z2867">
        <v>0</v>
      </c>
      <c r="AA2867" t="s">
        <v>25</v>
      </c>
      <c r="AB2867" t="s">
        <v>26</v>
      </c>
      <c r="AC2867" t="s">
        <v>27</v>
      </c>
      <c r="AD2867" t="s">
        <v>42</v>
      </c>
      <c r="AE2867" t="s">
        <v>25</v>
      </c>
      <c r="AF28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0.41666666666666669</v>
      </c>
      <c r="AG2867" t="s">
        <v>941</v>
      </c>
      <c r="AH2867">
        <v>65.5</v>
      </c>
      <c r="AI2867" t="s">
        <v>939</v>
      </c>
      <c r="AJ2867">
        <v>2</v>
      </c>
      <c r="AK28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MIN(AJ2867/8, 1) +
  Merge1[[#This Row],[index_defensive_effort]],
  2
)</f>
        <v>1.07</v>
      </c>
    </row>
    <row r="2868" spans="1:37" x14ac:dyDescent="0.25">
      <c r="A2868" t="s">
        <v>740</v>
      </c>
      <c r="B2868" t="s">
        <v>741</v>
      </c>
      <c r="C2868">
        <v>23</v>
      </c>
      <c r="D2868" t="s">
        <v>22</v>
      </c>
      <c r="E2868">
        <v>74</v>
      </c>
      <c r="F2868">
        <v>207</v>
      </c>
      <c r="G2868" t="s">
        <v>47</v>
      </c>
      <c r="H2868">
        <v>2020</v>
      </c>
      <c r="I2868" t="s">
        <v>33</v>
      </c>
      <c r="J2868">
        <v>12</v>
      </c>
      <c r="K2868">
        <v>1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1</v>
      </c>
      <c r="T2868">
        <v>1</v>
      </c>
      <c r="U2868" s="5">
        <f>IF(Merge1[[#This Row],[team_defense_snaps]]=0, "", Merge1[[#This Row],[defense_snaps]] / Merge1[[#This Row],[team_defense_snaps]])</f>
        <v>1.5151515151515152E-2</v>
      </c>
      <c r="V2868">
        <v>66</v>
      </c>
      <c r="W2868">
        <v>0</v>
      </c>
      <c r="X2868" s="5" t="s">
        <v>29</v>
      </c>
      <c r="Y2868">
        <v>2</v>
      </c>
      <c r="Z2868">
        <v>0</v>
      </c>
      <c r="AA2868" t="s">
        <v>25</v>
      </c>
      <c r="AB2868" t="s">
        <v>62</v>
      </c>
      <c r="AC2868" t="s">
        <v>27</v>
      </c>
      <c r="AD2868" t="s">
        <v>42</v>
      </c>
      <c r="AE2868" t="s">
        <v>25</v>
      </c>
      <c r="AF28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2868" t="s">
        <v>941</v>
      </c>
      <c r="AH2868">
        <v>55</v>
      </c>
      <c r="AI2868" t="s">
        <v>938</v>
      </c>
      <c r="AJ2868">
        <v>3</v>
      </c>
      <c r="AK28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MIN(AJ2868/8, 1) +
  Merge1[[#This Row],[index_defensive_effort]],
  2
)</f>
        <v>1.78</v>
      </c>
    </row>
    <row r="2869" spans="1:37" x14ac:dyDescent="0.25">
      <c r="A2869" t="s">
        <v>740</v>
      </c>
      <c r="B2869" t="s">
        <v>741</v>
      </c>
      <c r="C2869">
        <v>23</v>
      </c>
      <c r="D2869" t="s">
        <v>22</v>
      </c>
      <c r="E2869">
        <v>74</v>
      </c>
      <c r="F2869">
        <v>207</v>
      </c>
      <c r="G2869" t="s">
        <v>47</v>
      </c>
      <c r="H2869">
        <v>2020</v>
      </c>
      <c r="I2869" t="s">
        <v>33</v>
      </c>
      <c r="J2869">
        <v>17</v>
      </c>
      <c r="K2869">
        <v>5</v>
      </c>
      <c r="L2869">
        <v>1</v>
      </c>
      <c r="M2869">
        <v>0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67</v>
      </c>
      <c r="T2869">
        <v>67</v>
      </c>
      <c r="U2869" s="5">
        <f>IF(Merge1[[#This Row],[team_defense_snaps]]=0, "", Merge1[[#This Row],[defense_snaps]] / Merge1[[#This Row],[team_defense_snaps]])</f>
        <v>1</v>
      </c>
      <c r="V2869">
        <v>67</v>
      </c>
      <c r="W2869">
        <v>0</v>
      </c>
      <c r="X2869" s="5" t="s">
        <v>29</v>
      </c>
      <c r="Y2869">
        <v>2</v>
      </c>
      <c r="Z2869">
        <v>0</v>
      </c>
      <c r="AA2869" t="s">
        <v>25</v>
      </c>
      <c r="AB2869" t="s">
        <v>62</v>
      </c>
      <c r="AC2869" t="s">
        <v>27</v>
      </c>
      <c r="AD2869" t="s">
        <v>42</v>
      </c>
      <c r="AE2869" t="s">
        <v>25</v>
      </c>
      <c r="AF28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8.2089552238805971E-2</v>
      </c>
      <c r="AG2869" t="s">
        <v>941</v>
      </c>
      <c r="AH2869">
        <v>67</v>
      </c>
      <c r="AI2869" t="s">
        <v>938</v>
      </c>
      <c r="AJ2869">
        <v>1</v>
      </c>
      <c r="AK28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MIN(AJ2869/8, 1) +
  Merge1[[#This Row],[index_defensive_effort]],
  2
)</f>
        <v>0.61</v>
      </c>
    </row>
    <row r="2870" spans="1:37" x14ac:dyDescent="0.25">
      <c r="A2870" t="s">
        <v>740</v>
      </c>
      <c r="B2870" t="s">
        <v>741</v>
      </c>
      <c r="C2870">
        <v>23</v>
      </c>
      <c r="D2870" t="s">
        <v>22</v>
      </c>
      <c r="E2870">
        <v>74</v>
      </c>
      <c r="F2870">
        <v>207</v>
      </c>
      <c r="G2870" t="s">
        <v>47</v>
      </c>
      <c r="H2870">
        <v>2020</v>
      </c>
      <c r="I2870" t="s">
        <v>24</v>
      </c>
      <c r="J2870">
        <v>18</v>
      </c>
      <c r="K2870">
        <v>2</v>
      </c>
      <c r="L2870">
        <v>2</v>
      </c>
      <c r="M2870">
        <v>0</v>
      </c>
      <c r="N2870">
        <v>2</v>
      </c>
      <c r="O2870">
        <v>0</v>
      </c>
      <c r="P2870">
        <v>0</v>
      </c>
      <c r="Q2870">
        <v>0</v>
      </c>
      <c r="R2870">
        <v>0</v>
      </c>
      <c r="S2870">
        <v>11</v>
      </c>
      <c r="T2870">
        <v>11</v>
      </c>
      <c r="U2870" s="5">
        <f>IF(Merge1[[#This Row],[team_defense_snaps]]=0, "", Merge1[[#This Row],[defense_snaps]] / Merge1[[#This Row],[team_defense_snaps]])</f>
        <v>0.11956521739130435</v>
      </c>
      <c r="V2870">
        <v>92</v>
      </c>
      <c r="W2870">
        <v>0</v>
      </c>
      <c r="X2870" s="5" t="s">
        <v>29</v>
      </c>
      <c r="Y2870">
        <v>2</v>
      </c>
      <c r="Z2870">
        <v>0</v>
      </c>
      <c r="AA2870" t="s">
        <v>25</v>
      </c>
      <c r="AB2870" t="s">
        <v>36</v>
      </c>
      <c r="AC2870" t="s">
        <v>188</v>
      </c>
      <c r="AD2870" t="s">
        <v>42</v>
      </c>
      <c r="AE2870" t="s">
        <v>25</v>
      </c>
      <c r="AF28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0.27272727272727271</v>
      </c>
      <c r="AG2870" t="s">
        <v>941</v>
      </c>
      <c r="AH2870">
        <v>64</v>
      </c>
      <c r="AI2870" t="s">
        <v>939</v>
      </c>
      <c r="AJ2870">
        <v>2</v>
      </c>
      <c r="AK28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MIN(AJ2870/8, 1) +
  Merge1[[#This Row],[index_defensive_effort]],
  2
)</f>
        <v>1.1200000000000001</v>
      </c>
    </row>
    <row r="2871" spans="1:37" x14ac:dyDescent="0.25">
      <c r="A2871" t="s">
        <v>740</v>
      </c>
      <c r="B2871" t="s">
        <v>741</v>
      </c>
      <c r="C2871">
        <v>23</v>
      </c>
      <c r="D2871" t="s">
        <v>22</v>
      </c>
      <c r="E2871">
        <v>74</v>
      </c>
      <c r="F2871">
        <v>207</v>
      </c>
      <c r="G2871" t="s">
        <v>47</v>
      </c>
      <c r="H2871">
        <v>2020</v>
      </c>
      <c r="I2871" t="s">
        <v>24</v>
      </c>
      <c r="J2871">
        <v>19</v>
      </c>
      <c r="K2871">
        <v>4</v>
      </c>
      <c r="L2871">
        <v>0</v>
      </c>
      <c r="M2871">
        <v>0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53</v>
      </c>
      <c r="T2871">
        <v>53</v>
      </c>
      <c r="U2871" s="5">
        <f>IF(Merge1[[#This Row],[team_defense_snaps]]=0, "", Merge1[[#This Row],[defense_snaps]] / Merge1[[#This Row],[team_defense_snaps]])</f>
        <v>0.79104477611940294</v>
      </c>
      <c r="V2871">
        <v>67</v>
      </c>
      <c r="W2871">
        <v>0</v>
      </c>
      <c r="X2871" s="5" t="s">
        <v>29</v>
      </c>
      <c r="Y2871">
        <v>2</v>
      </c>
      <c r="Z2871">
        <v>0</v>
      </c>
      <c r="AA2871" t="s">
        <v>25</v>
      </c>
      <c r="AB2871" t="s">
        <v>26</v>
      </c>
      <c r="AC2871" t="s">
        <v>27</v>
      </c>
      <c r="AD2871" t="s">
        <v>42</v>
      </c>
      <c r="AE2871" t="s">
        <v>25</v>
      </c>
      <c r="AF28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0.11320754716981132</v>
      </c>
      <c r="AG2871" t="s">
        <v>941</v>
      </c>
      <c r="AH2871">
        <v>53.5</v>
      </c>
      <c r="AI2871" t="s">
        <v>939</v>
      </c>
      <c r="AJ2871">
        <v>3</v>
      </c>
      <c r="AK28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MIN(AJ2871/8, 1) +
  Merge1[[#This Row],[index_defensive_effort]],
  2
)</f>
        <v>1.0900000000000001</v>
      </c>
    </row>
    <row r="2872" spans="1:37" x14ac:dyDescent="0.25">
      <c r="A2872" t="s">
        <v>727</v>
      </c>
      <c r="B2872" t="s">
        <v>728</v>
      </c>
      <c r="C2872">
        <v>29</v>
      </c>
      <c r="D2872" t="s">
        <v>56</v>
      </c>
      <c r="E2872">
        <v>72</v>
      </c>
      <c r="F2872">
        <v>190</v>
      </c>
      <c r="G2872" t="s">
        <v>23</v>
      </c>
      <c r="H2872">
        <v>2020</v>
      </c>
      <c r="I2872" t="s">
        <v>33</v>
      </c>
      <c r="J2872">
        <v>11</v>
      </c>
      <c r="K2872">
        <v>2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39</v>
      </c>
      <c r="T2872">
        <v>24</v>
      </c>
      <c r="U2872" s="5">
        <f>IF(Merge1[[#This Row],[team_defense_snaps]]=0, "", Merge1[[#This Row],[defense_snaps]] / Merge1[[#This Row],[team_defense_snaps]])</f>
        <v>0.32876712328767121</v>
      </c>
      <c r="V2872">
        <v>73</v>
      </c>
      <c r="W2872">
        <v>15</v>
      </c>
      <c r="X2872" s="5" t="s">
        <v>275</v>
      </c>
      <c r="Y2872">
        <v>6</v>
      </c>
      <c r="Z2872">
        <v>0</v>
      </c>
      <c r="AA2872" t="s">
        <v>25</v>
      </c>
      <c r="AB2872" t="s">
        <v>26</v>
      </c>
      <c r="AC2872" t="s">
        <v>27</v>
      </c>
      <c r="AD2872" t="s">
        <v>28</v>
      </c>
      <c r="AE2872" t="s">
        <v>25</v>
      </c>
      <c r="AF28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5.128205128205128E-2</v>
      </c>
      <c r="AG2872" t="s">
        <v>941</v>
      </c>
      <c r="AH2872">
        <v>63.5</v>
      </c>
      <c r="AI2872" t="s">
        <v>939</v>
      </c>
      <c r="AJ2872">
        <v>1</v>
      </c>
      <c r="AK28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MIN(AJ2872/8, 1) +
  Merge1[[#This Row],[index_defensive_effort]],
  2
)</f>
        <v>0.68</v>
      </c>
    </row>
    <row r="2873" spans="1:37" x14ac:dyDescent="0.25">
      <c r="A2873" t="s">
        <v>727</v>
      </c>
      <c r="B2873" t="s">
        <v>728</v>
      </c>
      <c r="C2873">
        <v>29</v>
      </c>
      <c r="D2873" t="s">
        <v>56</v>
      </c>
      <c r="E2873">
        <v>72</v>
      </c>
      <c r="F2873">
        <v>190</v>
      </c>
      <c r="G2873" t="s">
        <v>23</v>
      </c>
      <c r="H2873">
        <v>2020</v>
      </c>
      <c r="I2873" t="s">
        <v>33</v>
      </c>
      <c r="J2873">
        <v>12</v>
      </c>
      <c r="K2873">
        <v>3</v>
      </c>
      <c r="L2873">
        <v>1</v>
      </c>
      <c r="M2873">
        <v>0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78</v>
      </c>
      <c r="T2873">
        <v>63</v>
      </c>
      <c r="U2873" s="5">
        <f>IF(Merge1[[#This Row],[team_defense_snaps]]=0, "", Merge1[[#This Row],[defense_snaps]] / Merge1[[#This Row],[team_defense_snaps]])</f>
        <v>0.79746835443037978</v>
      </c>
      <c r="V2873">
        <v>79</v>
      </c>
      <c r="W2873">
        <v>15</v>
      </c>
      <c r="X2873" s="5" t="s">
        <v>52</v>
      </c>
      <c r="Y2873">
        <v>6</v>
      </c>
      <c r="Z2873">
        <v>0</v>
      </c>
      <c r="AA2873" t="s">
        <v>25</v>
      </c>
      <c r="AB2873" t="s">
        <v>26</v>
      </c>
      <c r="AC2873" t="s">
        <v>27</v>
      </c>
      <c r="AD2873" t="s">
        <v>42</v>
      </c>
      <c r="AE2873" t="s">
        <v>25</v>
      </c>
      <c r="AF28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4.4871794871794872E-2</v>
      </c>
      <c r="AG2873" t="s">
        <v>941</v>
      </c>
      <c r="AH2873">
        <v>66</v>
      </c>
      <c r="AI2873" t="s">
        <v>939</v>
      </c>
      <c r="AJ2873">
        <v>2</v>
      </c>
      <c r="AK28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MIN(AJ2873/8, 1) +
  Merge1[[#This Row],[index_defensive_effort]],
  2
)</f>
        <v>0.79</v>
      </c>
    </row>
    <row r="2874" spans="1:37" x14ac:dyDescent="0.25">
      <c r="A2874" t="s">
        <v>727</v>
      </c>
      <c r="B2874" t="s">
        <v>728</v>
      </c>
      <c r="C2874">
        <v>29</v>
      </c>
      <c r="D2874" t="s">
        <v>56</v>
      </c>
      <c r="E2874">
        <v>72</v>
      </c>
      <c r="F2874">
        <v>190</v>
      </c>
      <c r="G2874" t="s">
        <v>23</v>
      </c>
      <c r="H2874">
        <v>2020</v>
      </c>
      <c r="I2874" t="s">
        <v>33</v>
      </c>
      <c r="J2874">
        <v>15</v>
      </c>
      <c r="K2874">
        <v>2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28</v>
      </c>
      <c r="T2874">
        <v>16</v>
      </c>
      <c r="U2874" s="5">
        <f>IF(Merge1[[#This Row],[team_defense_snaps]]=0, "", Merge1[[#This Row],[defense_snaps]] / Merge1[[#This Row],[team_defense_snaps]])</f>
        <v>0.24615384615384617</v>
      </c>
      <c r="V2874">
        <v>65</v>
      </c>
      <c r="W2874">
        <v>12</v>
      </c>
      <c r="X2874" s="5" t="s">
        <v>134</v>
      </c>
      <c r="Y2874">
        <v>6</v>
      </c>
      <c r="Z2874">
        <v>0</v>
      </c>
      <c r="AA2874" t="s">
        <v>25</v>
      </c>
      <c r="AB2874" t="s">
        <v>26</v>
      </c>
      <c r="AC2874" t="s">
        <v>27</v>
      </c>
      <c r="AD2874" t="s">
        <v>28</v>
      </c>
      <c r="AE2874" t="s">
        <v>25</v>
      </c>
      <c r="AF28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2874" t="s">
        <v>941</v>
      </c>
      <c r="AH2874">
        <v>71</v>
      </c>
      <c r="AI2874" t="s">
        <v>939</v>
      </c>
      <c r="AJ2874">
        <v>1</v>
      </c>
      <c r="AK28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MIN(AJ2874/8, 1) +
  Merge1[[#This Row],[index_defensive_effort]],
  2
)</f>
        <v>0.7</v>
      </c>
    </row>
    <row r="2875" spans="1:37" x14ac:dyDescent="0.25">
      <c r="A2875" t="s">
        <v>727</v>
      </c>
      <c r="B2875" t="s">
        <v>728</v>
      </c>
      <c r="C2875">
        <v>29</v>
      </c>
      <c r="D2875" t="s">
        <v>56</v>
      </c>
      <c r="E2875">
        <v>72</v>
      </c>
      <c r="F2875">
        <v>190</v>
      </c>
      <c r="G2875" t="s">
        <v>23</v>
      </c>
      <c r="H2875">
        <v>2020</v>
      </c>
      <c r="I2875" t="s">
        <v>33</v>
      </c>
      <c r="J2875">
        <v>16</v>
      </c>
      <c r="K2875">
        <v>2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58</v>
      </c>
      <c r="T2875">
        <v>45</v>
      </c>
      <c r="U2875" s="5">
        <f>IF(Merge1[[#This Row],[team_defense_snaps]]=0, "", Merge1[[#This Row],[defense_snaps]] / Merge1[[#This Row],[team_defense_snaps]])</f>
        <v>0.83333333333333337</v>
      </c>
      <c r="V2875">
        <v>54</v>
      </c>
      <c r="W2875">
        <v>13</v>
      </c>
      <c r="X2875" s="5" t="s">
        <v>75</v>
      </c>
      <c r="Y2875">
        <v>6</v>
      </c>
      <c r="Z2875">
        <v>0</v>
      </c>
      <c r="AA2875" t="s">
        <v>25</v>
      </c>
      <c r="AB2875" t="s">
        <v>26</v>
      </c>
      <c r="AC2875" t="s">
        <v>27</v>
      </c>
      <c r="AD2875" t="s">
        <v>42</v>
      </c>
      <c r="AE2875" t="s">
        <v>25</v>
      </c>
      <c r="AF28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3.4482758620689655E-2</v>
      </c>
      <c r="AG2875" t="s">
        <v>941</v>
      </c>
      <c r="AH2875">
        <v>69.5</v>
      </c>
      <c r="AI2875" t="s">
        <v>939</v>
      </c>
      <c r="AJ2875">
        <v>2</v>
      </c>
      <c r="AK28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MIN(AJ2875/8, 1) +
  Merge1[[#This Row],[index_defensive_effort]],
  2
)</f>
        <v>0.78</v>
      </c>
    </row>
    <row r="2876" spans="1:37" x14ac:dyDescent="0.25">
      <c r="A2876" t="s">
        <v>727</v>
      </c>
      <c r="B2876" t="s">
        <v>728</v>
      </c>
      <c r="C2876">
        <v>29</v>
      </c>
      <c r="D2876" t="s">
        <v>56</v>
      </c>
      <c r="E2876">
        <v>72</v>
      </c>
      <c r="F2876">
        <v>190</v>
      </c>
      <c r="G2876" t="s">
        <v>23</v>
      </c>
      <c r="H2876">
        <v>2020</v>
      </c>
      <c r="I2876" t="s">
        <v>33</v>
      </c>
      <c r="J2876">
        <v>17</v>
      </c>
      <c r="K2876">
        <v>2</v>
      </c>
      <c r="L2876">
        <v>1</v>
      </c>
      <c r="M2876">
        <v>1</v>
      </c>
      <c r="N2876">
        <v>2</v>
      </c>
      <c r="O2876">
        <v>0</v>
      </c>
      <c r="P2876">
        <v>1</v>
      </c>
      <c r="Q2876">
        <v>0</v>
      </c>
      <c r="R2876">
        <v>0</v>
      </c>
      <c r="S2876">
        <v>51</v>
      </c>
      <c r="T2876">
        <v>50</v>
      </c>
      <c r="U2876" s="5">
        <f>IF(Merge1[[#This Row],[team_defense_snaps]]=0, "", Merge1[[#This Row],[defense_snaps]] / Merge1[[#This Row],[team_defense_snaps]])</f>
        <v>0.69444444444444442</v>
      </c>
      <c r="V2876">
        <v>72</v>
      </c>
      <c r="W2876">
        <v>1</v>
      </c>
      <c r="X2876" s="5" t="s">
        <v>193</v>
      </c>
      <c r="Y2876">
        <v>6</v>
      </c>
      <c r="Z2876">
        <v>0</v>
      </c>
      <c r="AA2876" t="s">
        <v>25</v>
      </c>
      <c r="AB2876" t="s">
        <v>26</v>
      </c>
      <c r="AC2876" t="s">
        <v>27</v>
      </c>
      <c r="AD2876" t="s">
        <v>28</v>
      </c>
      <c r="AE2876" t="s">
        <v>25</v>
      </c>
      <c r="AF28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9.8039215686274508E-2</v>
      </c>
      <c r="AG2876" t="s">
        <v>941</v>
      </c>
      <c r="AH2876">
        <v>62</v>
      </c>
      <c r="AI2876" t="s">
        <v>939</v>
      </c>
      <c r="AJ2876">
        <v>3</v>
      </c>
      <c r="AK28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MIN(AJ2876/8, 1) +
  Merge1[[#This Row],[index_defensive_effort]],
  2
)</f>
        <v>0.97</v>
      </c>
    </row>
    <row r="2877" spans="1:37" x14ac:dyDescent="0.25">
      <c r="A2877" t="s">
        <v>727</v>
      </c>
      <c r="B2877" t="s">
        <v>728</v>
      </c>
      <c r="C2877">
        <v>29</v>
      </c>
      <c r="D2877" t="s">
        <v>56</v>
      </c>
      <c r="E2877">
        <v>72</v>
      </c>
      <c r="F2877">
        <v>190</v>
      </c>
      <c r="G2877" t="s">
        <v>23</v>
      </c>
      <c r="H2877">
        <v>2020</v>
      </c>
      <c r="I2877" t="s">
        <v>24</v>
      </c>
      <c r="J2877">
        <v>19</v>
      </c>
      <c r="K2877">
        <v>1</v>
      </c>
      <c r="L2877">
        <v>0</v>
      </c>
      <c r="M2877">
        <v>0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32</v>
      </c>
      <c r="T2877">
        <v>20</v>
      </c>
      <c r="U2877" s="5">
        <f>IF(Merge1[[#This Row],[team_defense_snaps]]=0, "", Merge1[[#This Row],[defense_snaps]] / Merge1[[#This Row],[team_defense_snaps]])</f>
        <v>0.31746031746031744</v>
      </c>
      <c r="V2877">
        <v>63</v>
      </c>
      <c r="W2877">
        <v>12</v>
      </c>
      <c r="X2877" s="5" t="s">
        <v>243</v>
      </c>
      <c r="Y2877">
        <v>6</v>
      </c>
      <c r="Z2877">
        <v>0</v>
      </c>
      <c r="AA2877" t="s">
        <v>25</v>
      </c>
      <c r="AB2877" t="s">
        <v>26</v>
      </c>
      <c r="AC2877" t="s">
        <v>27</v>
      </c>
      <c r="AD2877" t="s">
        <v>28</v>
      </c>
      <c r="AE2877" t="s">
        <v>25</v>
      </c>
      <c r="AF28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9.375E-2</v>
      </c>
      <c r="AG2877" t="s">
        <v>941</v>
      </c>
      <c r="AH2877">
        <v>65</v>
      </c>
      <c r="AI2877" t="s">
        <v>939</v>
      </c>
      <c r="AJ2877">
        <v>1</v>
      </c>
      <c r="AK28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MIN(AJ2877/8, 1) +
  Merge1[[#This Row],[index_defensive_effort]],
  2
)</f>
        <v>0.92</v>
      </c>
    </row>
    <row r="2878" spans="1:37" x14ac:dyDescent="0.25">
      <c r="A2878" t="s">
        <v>735</v>
      </c>
      <c r="B2878" t="s">
        <v>736</v>
      </c>
      <c r="C2878">
        <v>26</v>
      </c>
      <c r="D2878" t="s">
        <v>22</v>
      </c>
      <c r="E2878">
        <v>72</v>
      </c>
      <c r="F2878">
        <v>200</v>
      </c>
      <c r="G2878" t="s">
        <v>150</v>
      </c>
      <c r="H2878">
        <v>2020</v>
      </c>
      <c r="I2878" t="s">
        <v>33</v>
      </c>
      <c r="J2878">
        <v>16</v>
      </c>
      <c r="K2878">
        <v>2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23</v>
      </c>
      <c r="T2878">
        <v>5</v>
      </c>
      <c r="U2878" s="5">
        <f>IF(Merge1[[#This Row],[team_defense_snaps]]=0, "", Merge1[[#This Row],[defense_snaps]] / Merge1[[#This Row],[team_defense_snaps]])</f>
        <v>7.0422535211267609E-2</v>
      </c>
      <c r="V2878">
        <v>71</v>
      </c>
      <c r="W2878">
        <v>18</v>
      </c>
      <c r="X2878" s="5" t="s">
        <v>189</v>
      </c>
      <c r="Y2878">
        <v>3</v>
      </c>
      <c r="Z2878">
        <v>0</v>
      </c>
      <c r="AA2878" t="s">
        <v>25</v>
      </c>
      <c r="AB2878" t="s">
        <v>26</v>
      </c>
      <c r="AC2878" t="s">
        <v>27</v>
      </c>
      <c r="AD2878" t="s">
        <v>28</v>
      </c>
      <c r="AE2878" t="s">
        <v>25</v>
      </c>
      <c r="AF28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8.6956521739130432E-2</v>
      </c>
      <c r="AG2878" t="s">
        <v>943</v>
      </c>
      <c r="AH2878">
        <v>49</v>
      </c>
      <c r="AI2878" t="s">
        <v>939</v>
      </c>
      <c r="AJ2878">
        <v>1</v>
      </c>
      <c r="AK28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MIN(AJ2878/8, 1) +
  Merge1[[#This Row],[index_defensive_effort]],
  2
)</f>
        <v>0.81</v>
      </c>
    </row>
    <row r="2879" spans="1:37" x14ac:dyDescent="0.25">
      <c r="A2879" t="s">
        <v>735</v>
      </c>
      <c r="B2879" t="s">
        <v>736</v>
      </c>
      <c r="C2879">
        <v>26</v>
      </c>
      <c r="D2879" t="s">
        <v>22</v>
      </c>
      <c r="E2879">
        <v>72</v>
      </c>
      <c r="F2879">
        <v>200</v>
      </c>
      <c r="G2879" t="s">
        <v>150</v>
      </c>
      <c r="H2879">
        <v>2020</v>
      </c>
      <c r="I2879" t="s">
        <v>33</v>
      </c>
      <c r="J2879">
        <v>17</v>
      </c>
      <c r="K2879">
        <v>2</v>
      </c>
      <c r="L2879">
        <v>1</v>
      </c>
      <c r="M2879">
        <v>0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60</v>
      </c>
      <c r="T2879">
        <v>41</v>
      </c>
      <c r="U2879" s="5">
        <f>IF(Merge1[[#This Row],[team_defense_snaps]]=0, "", Merge1[[#This Row],[defense_snaps]] / Merge1[[#This Row],[team_defense_snaps]])</f>
        <v>0.65079365079365081</v>
      </c>
      <c r="V2879">
        <v>63</v>
      </c>
      <c r="W2879">
        <v>19</v>
      </c>
      <c r="X2879" s="5" t="s">
        <v>95</v>
      </c>
      <c r="Y2879">
        <v>3</v>
      </c>
      <c r="Z2879">
        <v>0</v>
      </c>
      <c r="AA2879" t="s">
        <v>25</v>
      </c>
      <c r="AB2879" t="s">
        <v>26</v>
      </c>
      <c r="AC2879" t="s">
        <v>27</v>
      </c>
      <c r="AD2879" t="s">
        <v>42</v>
      </c>
      <c r="AE2879" t="s">
        <v>25</v>
      </c>
      <c r="AF28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2879" t="s">
        <v>943</v>
      </c>
      <c r="AH2879">
        <v>50.5</v>
      </c>
      <c r="AI2879" t="s">
        <v>939</v>
      </c>
      <c r="AJ2879">
        <v>2</v>
      </c>
      <c r="AK28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MIN(AJ2879/8, 1) +
  Merge1[[#This Row],[index_defensive_effort]],
  2
)</f>
        <v>0.89</v>
      </c>
    </row>
    <row r="2880" spans="1:37" x14ac:dyDescent="0.25">
      <c r="A2880" t="s">
        <v>746</v>
      </c>
      <c r="B2880" t="s">
        <v>747</v>
      </c>
      <c r="C2880">
        <v>26</v>
      </c>
      <c r="D2880" t="s">
        <v>56</v>
      </c>
      <c r="E2880">
        <v>72</v>
      </c>
      <c r="F2880">
        <v>195</v>
      </c>
      <c r="G2880" t="s">
        <v>94</v>
      </c>
      <c r="H2880">
        <v>2020</v>
      </c>
      <c r="I2880" t="s">
        <v>33</v>
      </c>
      <c r="J2880">
        <v>3</v>
      </c>
      <c r="K2880">
        <v>1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18</v>
      </c>
      <c r="T2880">
        <v>18</v>
      </c>
      <c r="U2880" s="5">
        <f>IF(Merge1[[#This Row],[team_defense_snaps]]=0, "", Merge1[[#This Row],[defense_snaps]] / Merge1[[#This Row],[team_defense_snaps]])</f>
        <v>0.21951219512195122</v>
      </c>
      <c r="V2880">
        <v>82</v>
      </c>
      <c r="W2880">
        <v>0</v>
      </c>
      <c r="X2880" s="5" t="s">
        <v>29</v>
      </c>
      <c r="Y2880">
        <v>3</v>
      </c>
      <c r="Z2880">
        <v>0</v>
      </c>
      <c r="AA2880" t="s">
        <v>25</v>
      </c>
      <c r="AB2880" t="s">
        <v>26</v>
      </c>
      <c r="AC2880" t="s">
        <v>27</v>
      </c>
      <c r="AD2880" t="s">
        <v>28</v>
      </c>
      <c r="AE2880" t="s">
        <v>25</v>
      </c>
      <c r="AF28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2880" t="s">
        <v>942</v>
      </c>
      <c r="AH2880">
        <v>67.5</v>
      </c>
      <c r="AI2880" t="s">
        <v>939</v>
      </c>
      <c r="AJ2880">
        <v>1</v>
      </c>
      <c r="AK28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MIN(AJ2880/8, 1) +
  Merge1[[#This Row],[index_defensive_effort]],
  2
)</f>
        <v>0.68</v>
      </c>
    </row>
    <row r="2881" spans="1:37" x14ac:dyDescent="0.25">
      <c r="A2881" t="s">
        <v>746</v>
      </c>
      <c r="B2881" t="s">
        <v>747</v>
      </c>
      <c r="C2881">
        <v>26</v>
      </c>
      <c r="D2881" t="s">
        <v>56</v>
      </c>
      <c r="E2881">
        <v>72</v>
      </c>
      <c r="F2881">
        <v>195</v>
      </c>
      <c r="G2881" t="s">
        <v>94</v>
      </c>
      <c r="H2881">
        <v>2020</v>
      </c>
      <c r="I2881" t="s">
        <v>33</v>
      </c>
      <c r="J2881">
        <v>4</v>
      </c>
      <c r="K2881">
        <v>1</v>
      </c>
      <c r="L2881">
        <v>1</v>
      </c>
      <c r="M2881">
        <v>0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45</v>
      </c>
      <c r="T2881">
        <v>42</v>
      </c>
      <c r="U2881" s="5">
        <f>IF(Merge1[[#This Row],[team_defense_snaps]]=0, "", Merge1[[#This Row],[defense_snaps]] / Merge1[[#This Row],[team_defense_snaps]])</f>
        <v>0.72413793103448276</v>
      </c>
      <c r="V2881">
        <v>58</v>
      </c>
      <c r="W2881">
        <v>3</v>
      </c>
      <c r="X2881" s="5" t="s">
        <v>209</v>
      </c>
      <c r="Y2881">
        <v>3</v>
      </c>
      <c r="Z2881">
        <v>0</v>
      </c>
      <c r="AA2881" t="s">
        <v>25</v>
      </c>
      <c r="AB2881" t="s">
        <v>26</v>
      </c>
      <c r="AC2881" t="s">
        <v>27</v>
      </c>
      <c r="AD2881" t="s">
        <v>28</v>
      </c>
      <c r="AE2881" t="s">
        <v>25</v>
      </c>
      <c r="AF28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3.3333333333333333E-2</v>
      </c>
      <c r="AG2881" t="s">
        <v>942</v>
      </c>
      <c r="AH2881">
        <v>64.5</v>
      </c>
      <c r="AI2881" t="s">
        <v>939</v>
      </c>
      <c r="AJ2881">
        <v>2</v>
      </c>
      <c r="AK28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MIN(AJ2881/8, 1) +
  Merge1[[#This Row],[index_defensive_effort]],
  2
)</f>
        <v>0.78</v>
      </c>
    </row>
    <row r="2882" spans="1:37" x14ac:dyDescent="0.25">
      <c r="A2882" t="s">
        <v>746</v>
      </c>
      <c r="B2882" t="s">
        <v>747</v>
      </c>
      <c r="C2882">
        <v>26</v>
      </c>
      <c r="D2882" t="s">
        <v>56</v>
      </c>
      <c r="E2882">
        <v>72</v>
      </c>
      <c r="F2882">
        <v>195</v>
      </c>
      <c r="G2882" t="s">
        <v>94</v>
      </c>
      <c r="H2882">
        <v>2020</v>
      </c>
      <c r="I2882" t="s">
        <v>33</v>
      </c>
      <c r="J2882">
        <v>5</v>
      </c>
      <c r="K2882">
        <v>5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64</v>
      </c>
      <c r="T2882">
        <v>64</v>
      </c>
      <c r="U2882" s="5">
        <f>IF(Merge1[[#This Row],[team_defense_snaps]]=0, "", Merge1[[#This Row],[defense_snaps]] / Merge1[[#This Row],[team_defense_snaps]])</f>
        <v>0.96969696969696972</v>
      </c>
      <c r="V2882">
        <v>66</v>
      </c>
      <c r="W2882">
        <v>0</v>
      </c>
      <c r="X2882" s="5" t="s">
        <v>29</v>
      </c>
      <c r="Y2882">
        <v>3</v>
      </c>
      <c r="Z2882">
        <v>0</v>
      </c>
      <c r="AA2882" t="s">
        <v>25</v>
      </c>
      <c r="AB2882" t="s">
        <v>26</v>
      </c>
      <c r="AC2882" t="s">
        <v>27</v>
      </c>
      <c r="AD2882" t="s">
        <v>42</v>
      </c>
      <c r="AE2882" t="s">
        <v>25</v>
      </c>
      <c r="AF28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7.8125E-2</v>
      </c>
      <c r="AG2882" t="s">
        <v>942</v>
      </c>
      <c r="AH2882">
        <v>63</v>
      </c>
      <c r="AI2882" t="s">
        <v>939</v>
      </c>
      <c r="AJ2882">
        <v>3</v>
      </c>
      <c r="AK28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MIN(AJ2882/8, 1) +
  Merge1[[#This Row],[index_defensive_effort]],
  2
)</f>
        <v>0.95</v>
      </c>
    </row>
    <row r="2883" spans="1:37" x14ac:dyDescent="0.25">
      <c r="A2883" t="s">
        <v>746</v>
      </c>
      <c r="B2883" t="s">
        <v>747</v>
      </c>
      <c r="C2883">
        <v>26</v>
      </c>
      <c r="D2883" t="s">
        <v>56</v>
      </c>
      <c r="E2883">
        <v>72</v>
      </c>
      <c r="F2883">
        <v>195</v>
      </c>
      <c r="G2883" t="s">
        <v>94</v>
      </c>
      <c r="H2883">
        <v>2020</v>
      </c>
      <c r="I2883" t="s">
        <v>33</v>
      </c>
      <c r="J2883">
        <v>6</v>
      </c>
      <c r="K2883">
        <v>2</v>
      </c>
      <c r="L2883">
        <v>1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73</v>
      </c>
      <c r="T2883">
        <v>73</v>
      </c>
      <c r="U2883" s="5">
        <f>IF(Merge1[[#This Row],[team_defense_snaps]]=0, "", Merge1[[#This Row],[defense_snaps]] / Merge1[[#This Row],[team_defense_snaps]])</f>
        <v>1</v>
      </c>
      <c r="V2883">
        <v>73</v>
      </c>
      <c r="W2883">
        <v>0</v>
      </c>
      <c r="X2883" s="5" t="s">
        <v>29</v>
      </c>
      <c r="Y2883">
        <v>3</v>
      </c>
      <c r="Z2883">
        <v>0</v>
      </c>
      <c r="AA2883" t="s">
        <v>25</v>
      </c>
      <c r="AB2883" t="s">
        <v>26</v>
      </c>
      <c r="AC2883" t="s">
        <v>27</v>
      </c>
      <c r="AD2883" t="s">
        <v>42</v>
      </c>
      <c r="AE2883" t="s">
        <v>25</v>
      </c>
      <c r="AF28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3.4246575342465752E-2</v>
      </c>
      <c r="AG2883" t="s">
        <v>942</v>
      </c>
      <c r="AH2883">
        <v>66</v>
      </c>
      <c r="AI2883" t="s">
        <v>939</v>
      </c>
      <c r="AJ2883">
        <v>4</v>
      </c>
      <c r="AK28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MIN(AJ2883/8, 1) +
  Merge1[[#This Row],[index_defensive_effort]],
  2
)</f>
        <v>1.03</v>
      </c>
    </row>
    <row r="2884" spans="1:37" x14ac:dyDescent="0.25">
      <c r="A2884" t="s">
        <v>746</v>
      </c>
      <c r="B2884" t="s">
        <v>747</v>
      </c>
      <c r="C2884">
        <v>26</v>
      </c>
      <c r="D2884" t="s">
        <v>56</v>
      </c>
      <c r="E2884">
        <v>72</v>
      </c>
      <c r="F2884">
        <v>195</v>
      </c>
      <c r="G2884" t="s">
        <v>94</v>
      </c>
      <c r="H2884">
        <v>2020</v>
      </c>
      <c r="I2884" t="s">
        <v>33</v>
      </c>
      <c r="J2884">
        <v>7</v>
      </c>
      <c r="K2884">
        <v>1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74</v>
      </c>
      <c r="T2884">
        <v>74</v>
      </c>
      <c r="U2884" s="5">
        <f>IF(Merge1[[#This Row],[team_defense_snaps]]=0, "", Merge1[[#This Row],[defense_snaps]] / Merge1[[#This Row],[team_defense_snaps]])</f>
        <v>0.90243902439024393</v>
      </c>
      <c r="V2884">
        <v>82</v>
      </c>
      <c r="W2884">
        <v>0</v>
      </c>
      <c r="X2884" s="5" t="s">
        <v>29</v>
      </c>
      <c r="Y2884">
        <v>3</v>
      </c>
      <c r="Z2884">
        <v>0</v>
      </c>
      <c r="AA2884" t="s">
        <v>25</v>
      </c>
      <c r="AB2884" t="s">
        <v>26</v>
      </c>
      <c r="AC2884" t="s">
        <v>27</v>
      </c>
      <c r="AD2884" t="s">
        <v>42</v>
      </c>
      <c r="AE2884" t="s">
        <v>25</v>
      </c>
      <c r="AF28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1.3513513513513514E-2</v>
      </c>
      <c r="AG2884" t="s">
        <v>942</v>
      </c>
      <c r="AH2884">
        <v>69</v>
      </c>
      <c r="AI2884" t="s">
        <v>939</v>
      </c>
      <c r="AJ2884">
        <v>5</v>
      </c>
      <c r="AK28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MIN(AJ2884/8, 1) +
  Merge1[[#This Row],[index_defensive_effort]],
  2
)</f>
        <v>1.1399999999999999</v>
      </c>
    </row>
    <row r="2885" spans="1:37" x14ac:dyDescent="0.25">
      <c r="A2885" t="s">
        <v>750</v>
      </c>
      <c r="B2885" t="s">
        <v>751</v>
      </c>
      <c r="C2885">
        <v>25</v>
      </c>
      <c r="D2885" t="s">
        <v>22</v>
      </c>
      <c r="E2885">
        <v>75</v>
      </c>
      <c r="F2885">
        <v>200</v>
      </c>
      <c r="G2885" t="s">
        <v>330</v>
      </c>
      <c r="H2885">
        <v>2020</v>
      </c>
      <c r="I2885" t="s">
        <v>33</v>
      </c>
      <c r="J2885">
        <v>3</v>
      </c>
      <c r="K2885">
        <v>2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2</v>
      </c>
      <c r="R2885">
        <v>0</v>
      </c>
      <c r="S2885">
        <v>48</v>
      </c>
      <c r="T2885">
        <v>29</v>
      </c>
      <c r="U2885" s="5">
        <f>IF(Merge1[[#This Row],[team_defense_snaps]]=0, "", Merge1[[#This Row],[defense_snaps]] / Merge1[[#This Row],[team_defense_snaps]])</f>
        <v>0.3493975903614458</v>
      </c>
      <c r="V2885">
        <v>83</v>
      </c>
      <c r="W2885">
        <v>19</v>
      </c>
      <c r="X2885" s="5" t="s">
        <v>189</v>
      </c>
      <c r="Y2885">
        <v>2</v>
      </c>
      <c r="Z2885">
        <v>0</v>
      </c>
      <c r="AA2885" t="s">
        <v>25</v>
      </c>
      <c r="AB2885" t="s">
        <v>26</v>
      </c>
      <c r="AC2885" t="s">
        <v>27</v>
      </c>
      <c r="AD2885" t="s">
        <v>28</v>
      </c>
      <c r="AE2885" t="s">
        <v>25</v>
      </c>
      <c r="AF28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0.20833333333333334</v>
      </c>
      <c r="AG2885" t="s">
        <v>942</v>
      </c>
      <c r="AH2885">
        <v>65.5</v>
      </c>
      <c r="AI2885" t="s">
        <v>939</v>
      </c>
      <c r="AJ2885">
        <v>1</v>
      </c>
      <c r="AK28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MIN(AJ2885/8, 1) +
  Merge1[[#This Row],[index_defensive_effort]],
  2
)</f>
        <v>0.73</v>
      </c>
    </row>
    <row r="2886" spans="1:37" x14ac:dyDescent="0.25">
      <c r="A2886" t="s">
        <v>750</v>
      </c>
      <c r="B2886" t="s">
        <v>751</v>
      </c>
      <c r="C2886">
        <v>25</v>
      </c>
      <c r="D2886" t="s">
        <v>22</v>
      </c>
      <c r="E2886">
        <v>75</v>
      </c>
      <c r="F2886">
        <v>200</v>
      </c>
      <c r="G2886" t="s">
        <v>330</v>
      </c>
      <c r="H2886">
        <v>2020</v>
      </c>
      <c r="I2886" t="s">
        <v>33</v>
      </c>
      <c r="J2886">
        <v>4</v>
      </c>
      <c r="K2886">
        <v>7</v>
      </c>
      <c r="L2886">
        <v>1</v>
      </c>
      <c r="M2886">
        <v>0</v>
      </c>
      <c r="N2886">
        <v>1</v>
      </c>
      <c r="O2886">
        <v>0</v>
      </c>
      <c r="P2886">
        <v>0</v>
      </c>
      <c r="Q2886">
        <v>2</v>
      </c>
      <c r="R2886">
        <v>0</v>
      </c>
      <c r="S2886">
        <v>77</v>
      </c>
      <c r="T2886">
        <v>71</v>
      </c>
      <c r="U2886" s="5">
        <f>IF(Merge1[[#This Row],[team_defense_snaps]]=0, "", Merge1[[#This Row],[defense_snaps]] / Merge1[[#This Row],[team_defense_snaps]])</f>
        <v>1</v>
      </c>
      <c r="V2886">
        <v>71</v>
      </c>
      <c r="W2886">
        <v>6</v>
      </c>
      <c r="X2886" s="5" t="s">
        <v>132</v>
      </c>
      <c r="Y2886">
        <v>2</v>
      </c>
      <c r="Z2886">
        <v>0</v>
      </c>
      <c r="AA2886" t="s">
        <v>25</v>
      </c>
      <c r="AB2886" t="s">
        <v>26</v>
      </c>
      <c r="AC2886" t="s">
        <v>27</v>
      </c>
      <c r="AD2886" t="s">
        <v>42</v>
      </c>
      <c r="AE2886" t="s">
        <v>25</v>
      </c>
      <c r="AF28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0.20129870129870131</v>
      </c>
      <c r="AG2886" t="s">
        <v>942</v>
      </c>
      <c r="AH2886">
        <v>49</v>
      </c>
      <c r="AI2886" t="s">
        <v>939</v>
      </c>
      <c r="AJ2886">
        <v>2</v>
      </c>
      <c r="AK28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MIN(AJ2886/8, 1) +
  Merge1[[#This Row],[index_defensive_effort]],
  2
)</f>
        <v>0.85</v>
      </c>
    </row>
    <row r="2887" spans="1:37" x14ac:dyDescent="0.25">
      <c r="A2887" t="s">
        <v>750</v>
      </c>
      <c r="B2887" t="s">
        <v>751</v>
      </c>
      <c r="C2887">
        <v>25</v>
      </c>
      <c r="D2887" t="s">
        <v>22</v>
      </c>
      <c r="E2887">
        <v>75</v>
      </c>
      <c r="F2887">
        <v>200</v>
      </c>
      <c r="G2887" t="s">
        <v>330</v>
      </c>
      <c r="H2887">
        <v>2020</v>
      </c>
      <c r="I2887" t="s">
        <v>33</v>
      </c>
      <c r="J2887">
        <v>5</v>
      </c>
      <c r="K2887">
        <v>8</v>
      </c>
      <c r="L2887">
        <v>2</v>
      </c>
      <c r="M2887">
        <v>0</v>
      </c>
      <c r="N2887">
        <v>2</v>
      </c>
      <c r="O2887">
        <v>0</v>
      </c>
      <c r="P2887">
        <v>0</v>
      </c>
      <c r="Q2887">
        <v>0</v>
      </c>
      <c r="R2887">
        <v>0</v>
      </c>
      <c r="S2887">
        <v>91</v>
      </c>
      <c r="T2887">
        <v>87</v>
      </c>
      <c r="U2887" s="5">
        <f>IF(Merge1[[#This Row],[team_defense_snaps]]=0, "", Merge1[[#This Row],[defense_snaps]] / Merge1[[#This Row],[team_defense_snaps]])</f>
        <v>0.98863636363636365</v>
      </c>
      <c r="V2887">
        <v>88</v>
      </c>
      <c r="W2887">
        <v>4</v>
      </c>
      <c r="X2887" s="5" t="s">
        <v>159</v>
      </c>
      <c r="Y2887">
        <v>2</v>
      </c>
      <c r="Z2887">
        <v>0</v>
      </c>
      <c r="AA2887" t="s">
        <v>25</v>
      </c>
      <c r="AB2887" t="s">
        <v>26</v>
      </c>
      <c r="AC2887" t="s">
        <v>27</v>
      </c>
      <c r="AD2887" t="s">
        <v>42</v>
      </c>
      <c r="AE2887" t="s">
        <v>25</v>
      </c>
      <c r="AF28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9.8901098901098897E-2</v>
      </c>
      <c r="AG2887" t="s">
        <v>942</v>
      </c>
      <c r="AH2887">
        <v>46</v>
      </c>
      <c r="AI2887" t="s">
        <v>939</v>
      </c>
      <c r="AJ2887">
        <v>3</v>
      </c>
      <c r="AK28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MIN(AJ2887/8, 1) +
  Merge1[[#This Row],[index_defensive_effort]],
  2
)</f>
        <v>0.87</v>
      </c>
    </row>
    <row r="2888" spans="1:37" x14ac:dyDescent="0.25">
      <c r="A2888" t="s">
        <v>750</v>
      </c>
      <c r="B2888" t="s">
        <v>751</v>
      </c>
      <c r="C2888">
        <v>25</v>
      </c>
      <c r="D2888" t="s">
        <v>22</v>
      </c>
      <c r="E2888">
        <v>75</v>
      </c>
      <c r="F2888">
        <v>200</v>
      </c>
      <c r="G2888" t="s">
        <v>330</v>
      </c>
      <c r="H2888">
        <v>2020</v>
      </c>
      <c r="I2888" t="s">
        <v>33</v>
      </c>
      <c r="J2888">
        <v>7</v>
      </c>
      <c r="K2888">
        <v>9</v>
      </c>
      <c r="L2888">
        <v>1</v>
      </c>
      <c r="M2888">
        <v>0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88</v>
      </c>
      <c r="T2888">
        <v>78</v>
      </c>
      <c r="U2888" s="5">
        <f>IF(Merge1[[#This Row],[team_defense_snaps]]=0, "", Merge1[[#This Row],[defense_snaps]] / Merge1[[#This Row],[team_defense_snaps]])</f>
        <v>0.9285714285714286</v>
      </c>
      <c r="V2888">
        <v>84</v>
      </c>
      <c r="W2888">
        <v>10</v>
      </c>
      <c r="X2888" s="5" t="s">
        <v>138</v>
      </c>
      <c r="Y2888">
        <v>2</v>
      </c>
      <c r="Z2888">
        <v>0</v>
      </c>
      <c r="AA2888" t="s">
        <v>25</v>
      </c>
      <c r="AB2888" t="s">
        <v>26</v>
      </c>
      <c r="AC2888" t="s">
        <v>27</v>
      </c>
      <c r="AD2888" t="s">
        <v>42</v>
      </c>
      <c r="AE2888" t="s">
        <v>25</v>
      </c>
      <c r="AF28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0.10795454545454546</v>
      </c>
      <c r="AG2888" t="s">
        <v>942</v>
      </c>
      <c r="AH2888">
        <v>52</v>
      </c>
      <c r="AI2888" t="s">
        <v>939</v>
      </c>
      <c r="AJ2888">
        <v>1</v>
      </c>
      <c r="AK28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MIN(AJ2888/8, 1) +
  Merge1[[#This Row],[index_defensive_effort]],
  2
)</f>
        <v>0.63</v>
      </c>
    </row>
    <row r="2889" spans="1:37" x14ac:dyDescent="0.25">
      <c r="A2889" t="s">
        <v>750</v>
      </c>
      <c r="B2889" t="s">
        <v>751</v>
      </c>
      <c r="C2889">
        <v>25</v>
      </c>
      <c r="D2889" t="s">
        <v>22</v>
      </c>
      <c r="E2889">
        <v>75</v>
      </c>
      <c r="F2889">
        <v>200</v>
      </c>
      <c r="G2889" t="s">
        <v>330</v>
      </c>
      <c r="H2889">
        <v>2020</v>
      </c>
      <c r="I2889" t="s">
        <v>33</v>
      </c>
      <c r="J2889">
        <v>8</v>
      </c>
      <c r="K2889">
        <v>2</v>
      </c>
      <c r="L2889">
        <v>3</v>
      </c>
      <c r="M2889">
        <v>1</v>
      </c>
      <c r="N2889">
        <v>4</v>
      </c>
      <c r="O2889">
        <v>0</v>
      </c>
      <c r="P2889">
        <v>1</v>
      </c>
      <c r="Q2889">
        <v>0</v>
      </c>
      <c r="R2889">
        <v>0</v>
      </c>
      <c r="S2889">
        <v>76</v>
      </c>
      <c r="T2889">
        <v>70</v>
      </c>
      <c r="U2889" s="5">
        <f>IF(Merge1[[#This Row],[team_defense_snaps]]=0, "", Merge1[[#This Row],[defense_snaps]] / Merge1[[#This Row],[team_defense_snaps]])</f>
        <v>0.9859154929577465</v>
      </c>
      <c r="V2889">
        <v>71</v>
      </c>
      <c r="W2889">
        <v>6</v>
      </c>
      <c r="X2889" s="5" t="s">
        <v>293</v>
      </c>
      <c r="Y2889">
        <v>2</v>
      </c>
      <c r="Z2889">
        <v>0</v>
      </c>
      <c r="AA2889" t="s">
        <v>25</v>
      </c>
      <c r="AB2889" t="s">
        <v>36</v>
      </c>
      <c r="AC2889" t="s">
        <v>147</v>
      </c>
      <c r="AD2889" t="s">
        <v>42</v>
      </c>
      <c r="AE2889" t="s">
        <v>25</v>
      </c>
      <c r="AF28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7.8947368421052627E-2</v>
      </c>
      <c r="AG2889" t="s">
        <v>942</v>
      </c>
      <c r="AH2889">
        <v>61</v>
      </c>
      <c r="AI2889" t="s">
        <v>939</v>
      </c>
      <c r="AJ2889">
        <v>2</v>
      </c>
      <c r="AK28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MIN(AJ2889/8, 1) +
  Merge1[[#This Row],[index_defensive_effort]],
  2
)</f>
        <v>0.73</v>
      </c>
    </row>
    <row r="2890" spans="1:37" x14ac:dyDescent="0.25">
      <c r="A2890" t="s">
        <v>750</v>
      </c>
      <c r="B2890" t="s">
        <v>751</v>
      </c>
      <c r="C2890">
        <v>25</v>
      </c>
      <c r="D2890" t="s">
        <v>22</v>
      </c>
      <c r="E2890">
        <v>75</v>
      </c>
      <c r="F2890">
        <v>200</v>
      </c>
      <c r="G2890" t="s">
        <v>330</v>
      </c>
      <c r="H2890">
        <v>2020</v>
      </c>
      <c r="I2890" t="s">
        <v>33</v>
      </c>
      <c r="J2890">
        <v>9</v>
      </c>
      <c r="K2890">
        <v>1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27</v>
      </c>
      <c r="T2890">
        <v>3</v>
      </c>
      <c r="U2890" s="5">
        <f>IF(Merge1[[#This Row],[team_defense_snaps]]=0, "", Merge1[[#This Row],[defense_snaps]] / Merge1[[#This Row],[team_defense_snaps]])</f>
        <v>0.04</v>
      </c>
      <c r="V2890">
        <v>75</v>
      </c>
      <c r="W2890">
        <v>24</v>
      </c>
      <c r="X2890" s="5" t="s">
        <v>230</v>
      </c>
      <c r="Y2890">
        <v>2</v>
      </c>
      <c r="Z2890">
        <v>0</v>
      </c>
      <c r="AA2890" t="s">
        <v>25</v>
      </c>
      <c r="AB2890" t="s">
        <v>26</v>
      </c>
      <c r="AC2890" t="s">
        <v>27</v>
      </c>
      <c r="AD2890" t="s">
        <v>28</v>
      </c>
      <c r="AE2890" t="s">
        <v>25</v>
      </c>
      <c r="AF28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3.7037037037037035E-2</v>
      </c>
      <c r="AG2890" t="s">
        <v>942</v>
      </c>
      <c r="AH2890">
        <v>67</v>
      </c>
      <c r="AI2890" t="s">
        <v>939</v>
      </c>
      <c r="AJ2890">
        <v>3</v>
      </c>
      <c r="AK28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MIN(AJ2890/8, 1) +
  Merge1[[#This Row],[index_defensive_effort]],
  2
)</f>
        <v>0.81</v>
      </c>
    </row>
    <row r="2891" spans="1:37" x14ac:dyDescent="0.25">
      <c r="A2891" t="s">
        <v>750</v>
      </c>
      <c r="B2891" t="s">
        <v>751</v>
      </c>
      <c r="C2891">
        <v>25</v>
      </c>
      <c r="D2891" t="s">
        <v>22</v>
      </c>
      <c r="E2891">
        <v>75</v>
      </c>
      <c r="F2891">
        <v>200</v>
      </c>
      <c r="G2891" t="s">
        <v>330</v>
      </c>
      <c r="H2891">
        <v>2020</v>
      </c>
      <c r="I2891" t="s">
        <v>33</v>
      </c>
      <c r="J2891">
        <v>13</v>
      </c>
      <c r="K2891">
        <v>1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1</v>
      </c>
      <c r="R2891">
        <v>0</v>
      </c>
      <c r="S2891">
        <v>16</v>
      </c>
      <c r="T2891">
        <v>2</v>
      </c>
      <c r="U2891" s="5">
        <f>IF(Merge1[[#This Row],[team_defense_snaps]]=0, "", Merge1[[#This Row],[defense_snaps]] / Merge1[[#This Row],[team_defense_snaps]])</f>
        <v>3.5087719298245612E-2</v>
      </c>
      <c r="V2891">
        <v>57</v>
      </c>
      <c r="W2891">
        <v>14</v>
      </c>
      <c r="X2891" s="5" t="s">
        <v>189</v>
      </c>
      <c r="Y2891">
        <v>2</v>
      </c>
      <c r="Z2891">
        <v>0</v>
      </c>
      <c r="AA2891" t="s">
        <v>25</v>
      </c>
      <c r="AB2891" t="s">
        <v>26</v>
      </c>
      <c r="AC2891" t="s">
        <v>27</v>
      </c>
      <c r="AD2891" t="s">
        <v>28</v>
      </c>
      <c r="AE2891" t="s">
        <v>25</v>
      </c>
      <c r="AF28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0.3125</v>
      </c>
      <c r="AG2891" t="s">
        <v>942</v>
      </c>
      <c r="AH2891">
        <v>64</v>
      </c>
      <c r="AI2891" t="s">
        <v>939</v>
      </c>
      <c r="AJ2891">
        <v>1</v>
      </c>
      <c r="AK28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MIN(AJ2891/8, 1) +
  Merge1[[#This Row],[index_defensive_effort]],
  2
)</f>
        <v>0.84</v>
      </c>
    </row>
    <row r="2892" spans="1:37" x14ac:dyDescent="0.25">
      <c r="A2892" t="s">
        <v>750</v>
      </c>
      <c r="B2892" t="s">
        <v>751</v>
      </c>
      <c r="C2892">
        <v>25</v>
      </c>
      <c r="D2892" t="s">
        <v>22</v>
      </c>
      <c r="E2892">
        <v>75</v>
      </c>
      <c r="F2892">
        <v>200</v>
      </c>
      <c r="G2892" t="s">
        <v>330</v>
      </c>
      <c r="H2892">
        <v>2020</v>
      </c>
      <c r="I2892" t="s">
        <v>33</v>
      </c>
      <c r="J2892">
        <v>15</v>
      </c>
      <c r="K2892">
        <v>1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28</v>
      </c>
      <c r="T2892">
        <v>10</v>
      </c>
      <c r="U2892" s="5">
        <f>IF(Merge1[[#This Row],[team_defense_snaps]]=0, "", Merge1[[#This Row],[defense_snaps]] / Merge1[[#This Row],[team_defense_snaps]])</f>
        <v>0.125</v>
      </c>
      <c r="V2892">
        <v>80</v>
      </c>
      <c r="W2892">
        <v>18</v>
      </c>
      <c r="X2892" s="5" t="s">
        <v>101</v>
      </c>
      <c r="Y2892">
        <v>2</v>
      </c>
      <c r="Z2892">
        <v>0</v>
      </c>
      <c r="AA2892" t="s">
        <v>25</v>
      </c>
      <c r="AB2892" t="s">
        <v>26</v>
      </c>
      <c r="AC2892" t="s">
        <v>27</v>
      </c>
      <c r="AD2892" t="s">
        <v>28</v>
      </c>
      <c r="AE2892" t="s">
        <v>25</v>
      </c>
      <c r="AF28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3.5714285714285712E-2</v>
      </c>
      <c r="AG2892" t="s">
        <v>942</v>
      </c>
      <c r="AH2892">
        <v>59.5</v>
      </c>
      <c r="AI2892" t="s">
        <v>939</v>
      </c>
      <c r="AJ2892">
        <v>1</v>
      </c>
      <c r="AK28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MIN(AJ2892/8, 1) +
  Merge1[[#This Row],[index_defensive_effort]],
  2
)</f>
        <v>0.56000000000000005</v>
      </c>
    </row>
    <row r="2893" spans="1:37" x14ac:dyDescent="0.25">
      <c r="A2893" t="s">
        <v>750</v>
      </c>
      <c r="B2893" t="s">
        <v>751</v>
      </c>
      <c r="C2893">
        <v>25</v>
      </c>
      <c r="D2893" t="s">
        <v>22</v>
      </c>
      <c r="E2893">
        <v>75</v>
      </c>
      <c r="F2893">
        <v>200</v>
      </c>
      <c r="G2893" t="s">
        <v>330</v>
      </c>
      <c r="H2893">
        <v>2020</v>
      </c>
      <c r="I2893" t="s">
        <v>33</v>
      </c>
      <c r="J2893">
        <v>17</v>
      </c>
      <c r="K2893">
        <v>3</v>
      </c>
      <c r="L2893">
        <v>1</v>
      </c>
      <c r="M2893">
        <v>0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40</v>
      </c>
      <c r="T2893">
        <v>18</v>
      </c>
      <c r="U2893" s="5">
        <f>IF(Merge1[[#This Row],[team_defense_snaps]]=0, "", Merge1[[#This Row],[defense_snaps]] / Merge1[[#This Row],[team_defense_snaps]])</f>
        <v>0.26865671641791045</v>
      </c>
      <c r="V2893">
        <v>67</v>
      </c>
      <c r="W2893">
        <v>22</v>
      </c>
      <c r="X2893" s="5" t="s">
        <v>100</v>
      </c>
      <c r="Y2893">
        <v>2</v>
      </c>
      <c r="Z2893">
        <v>0</v>
      </c>
      <c r="AA2893" t="s">
        <v>25</v>
      </c>
      <c r="AB2893" t="s">
        <v>26</v>
      </c>
      <c r="AC2893" t="s">
        <v>27</v>
      </c>
      <c r="AD2893" t="s">
        <v>28</v>
      </c>
      <c r="AE2893" t="s">
        <v>25</v>
      </c>
      <c r="AF28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8.7499999999999994E-2</v>
      </c>
      <c r="AG2893" t="s">
        <v>942</v>
      </c>
      <c r="AH2893">
        <v>58</v>
      </c>
      <c r="AI2893" t="s">
        <v>939</v>
      </c>
      <c r="AJ2893">
        <v>1</v>
      </c>
      <c r="AK28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MIN(AJ2893/8, 1) +
  Merge1[[#This Row],[index_defensive_effort]],
  2
)</f>
        <v>0.61</v>
      </c>
    </row>
    <row r="2894" spans="1:37" x14ac:dyDescent="0.25">
      <c r="A2894" t="s">
        <v>782</v>
      </c>
      <c r="B2894" t="s">
        <v>783</v>
      </c>
      <c r="C2894">
        <v>23</v>
      </c>
      <c r="D2894" t="s">
        <v>56</v>
      </c>
      <c r="E2894">
        <v>73</v>
      </c>
      <c r="F2894">
        <v>199</v>
      </c>
      <c r="G2894" t="s">
        <v>78</v>
      </c>
      <c r="H2894">
        <v>2020</v>
      </c>
      <c r="I2894" t="s">
        <v>33</v>
      </c>
      <c r="J2894">
        <v>14</v>
      </c>
      <c r="K2894">
        <v>2</v>
      </c>
      <c r="L2894">
        <v>1</v>
      </c>
      <c r="M2894">
        <v>0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62</v>
      </c>
      <c r="T2894">
        <v>61</v>
      </c>
      <c r="U2894" s="5">
        <f>IF(Merge1[[#This Row],[team_defense_snaps]]=0, "", Merge1[[#This Row],[defense_snaps]] / Merge1[[#This Row],[team_defense_snaps]])</f>
        <v>0.82432432432432434</v>
      </c>
      <c r="V2894">
        <v>74</v>
      </c>
      <c r="W2894">
        <v>1</v>
      </c>
      <c r="X2894" s="5" t="s">
        <v>34</v>
      </c>
      <c r="Y2894">
        <v>1</v>
      </c>
      <c r="Z2894">
        <v>0</v>
      </c>
      <c r="AA2894" t="s">
        <v>25</v>
      </c>
      <c r="AB2894" t="s">
        <v>26</v>
      </c>
      <c r="AC2894" t="s">
        <v>27</v>
      </c>
      <c r="AD2894" t="s">
        <v>42</v>
      </c>
      <c r="AE2894" t="s">
        <v>25</v>
      </c>
      <c r="AF28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4.0322580645161289E-2</v>
      </c>
      <c r="AG2894" t="s">
        <v>942</v>
      </c>
      <c r="AH2894">
        <v>65.5</v>
      </c>
      <c r="AI2894" t="s">
        <v>939</v>
      </c>
      <c r="AJ2894">
        <v>1</v>
      </c>
      <c r="AK28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MIN(AJ2894/8, 1) +
  Merge1[[#This Row],[index_defensive_effort]],
  2
)</f>
        <v>0.56999999999999995</v>
      </c>
    </row>
    <row r="2895" spans="1:37" x14ac:dyDescent="0.25">
      <c r="A2895" t="s">
        <v>760</v>
      </c>
      <c r="B2895" t="s">
        <v>761</v>
      </c>
      <c r="C2895">
        <v>24</v>
      </c>
      <c r="D2895" t="s">
        <v>22</v>
      </c>
      <c r="E2895">
        <v>75</v>
      </c>
      <c r="F2895">
        <v>210</v>
      </c>
      <c r="G2895" t="s">
        <v>259</v>
      </c>
      <c r="H2895">
        <v>2020</v>
      </c>
      <c r="I2895" t="s">
        <v>33</v>
      </c>
      <c r="J2895">
        <v>6</v>
      </c>
      <c r="K2895">
        <v>2</v>
      </c>
      <c r="L2895">
        <v>0</v>
      </c>
      <c r="M2895">
        <v>0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30</v>
      </c>
      <c r="T2895">
        <v>23</v>
      </c>
      <c r="U2895" s="5">
        <f>IF(Merge1[[#This Row],[team_defense_snaps]]=0, "", Merge1[[#This Row],[defense_snaps]] / Merge1[[#This Row],[team_defense_snaps]])</f>
        <v>0.34328358208955223</v>
      </c>
      <c r="V2895">
        <v>67</v>
      </c>
      <c r="W2895">
        <v>7</v>
      </c>
      <c r="X2895" s="5" t="s">
        <v>136</v>
      </c>
      <c r="Y2895">
        <v>0</v>
      </c>
      <c r="Z2895">
        <v>0</v>
      </c>
      <c r="AA2895" t="s">
        <v>25</v>
      </c>
      <c r="AB2895" t="s">
        <v>26</v>
      </c>
      <c r="AC2895" t="s">
        <v>27</v>
      </c>
      <c r="AD2895" t="s">
        <v>28</v>
      </c>
      <c r="AE2895" t="s">
        <v>25</v>
      </c>
      <c r="AF28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0.13333333333333333</v>
      </c>
      <c r="AG2895" t="s">
        <v>942</v>
      </c>
      <c r="AH2895">
        <v>67.5</v>
      </c>
      <c r="AI2895" t="s">
        <v>939</v>
      </c>
      <c r="AJ2895">
        <v>1</v>
      </c>
      <c r="AK28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MIN(AJ2895/8, 1) +
  Merge1[[#This Row],[index_defensive_effort]],
  2
)</f>
        <v>0.66</v>
      </c>
    </row>
    <row r="2896" spans="1:37" x14ac:dyDescent="0.25">
      <c r="A2896" t="s">
        <v>760</v>
      </c>
      <c r="B2896" t="s">
        <v>761</v>
      </c>
      <c r="C2896">
        <v>24</v>
      </c>
      <c r="D2896" t="s">
        <v>22</v>
      </c>
      <c r="E2896">
        <v>75</v>
      </c>
      <c r="F2896">
        <v>210</v>
      </c>
      <c r="G2896" t="s">
        <v>259</v>
      </c>
      <c r="H2896">
        <v>2020</v>
      </c>
      <c r="I2896" t="s">
        <v>33</v>
      </c>
      <c r="J2896">
        <v>7</v>
      </c>
      <c r="K2896">
        <v>1</v>
      </c>
      <c r="L2896">
        <v>2</v>
      </c>
      <c r="M2896">
        <v>1</v>
      </c>
      <c r="N2896">
        <v>3</v>
      </c>
      <c r="O2896">
        <v>0</v>
      </c>
      <c r="P2896">
        <v>0</v>
      </c>
      <c r="Q2896">
        <v>0</v>
      </c>
      <c r="R2896">
        <v>0</v>
      </c>
      <c r="S2896">
        <v>75</v>
      </c>
      <c r="T2896">
        <v>70</v>
      </c>
      <c r="U2896" s="5">
        <f>IF(Merge1[[#This Row],[team_defense_snaps]]=0, "", Merge1[[#This Row],[defense_snaps]] / Merge1[[#This Row],[team_defense_snaps]])</f>
        <v>1</v>
      </c>
      <c r="V2896">
        <v>70</v>
      </c>
      <c r="W2896">
        <v>5</v>
      </c>
      <c r="X2896" s="5" t="s">
        <v>132</v>
      </c>
      <c r="Y2896">
        <v>0</v>
      </c>
      <c r="Z2896">
        <v>0</v>
      </c>
      <c r="AA2896" t="s">
        <v>25</v>
      </c>
      <c r="AB2896" t="s">
        <v>26</v>
      </c>
      <c r="AC2896" t="s">
        <v>27</v>
      </c>
      <c r="AD2896" t="s">
        <v>42</v>
      </c>
      <c r="AE2896" t="s">
        <v>25</v>
      </c>
      <c r="AF28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3.3333333333333333E-2</v>
      </c>
      <c r="AG2896" t="s">
        <v>942</v>
      </c>
      <c r="AH2896">
        <v>66</v>
      </c>
      <c r="AI2896" t="s">
        <v>939</v>
      </c>
      <c r="AJ2896">
        <v>2</v>
      </c>
      <c r="AK28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MIN(AJ2896/8, 1) +
  Merge1[[#This Row],[index_defensive_effort]],
  2
)</f>
        <v>0.68</v>
      </c>
    </row>
    <row r="2897" spans="1:37" x14ac:dyDescent="0.25">
      <c r="A2897" t="s">
        <v>760</v>
      </c>
      <c r="B2897" t="s">
        <v>761</v>
      </c>
      <c r="C2897">
        <v>24</v>
      </c>
      <c r="D2897" t="s">
        <v>22</v>
      </c>
      <c r="E2897">
        <v>75</v>
      </c>
      <c r="F2897">
        <v>210</v>
      </c>
      <c r="G2897" t="s">
        <v>259</v>
      </c>
      <c r="H2897">
        <v>2020</v>
      </c>
      <c r="I2897" t="s">
        <v>33</v>
      </c>
      <c r="J2897">
        <v>8</v>
      </c>
      <c r="K2897">
        <v>3</v>
      </c>
      <c r="L2897">
        <v>1</v>
      </c>
      <c r="M2897">
        <v>0</v>
      </c>
      <c r="N2897">
        <v>1</v>
      </c>
      <c r="O2897">
        <v>0</v>
      </c>
      <c r="P2897">
        <v>1</v>
      </c>
      <c r="Q2897">
        <v>0</v>
      </c>
      <c r="R2897">
        <v>0</v>
      </c>
      <c r="S2897">
        <v>54</v>
      </c>
      <c r="T2897">
        <v>48</v>
      </c>
      <c r="U2897" s="5">
        <f>IF(Merge1[[#This Row],[team_defense_snaps]]=0, "", Merge1[[#This Row],[defense_snaps]] / Merge1[[#This Row],[team_defense_snaps]])</f>
        <v>0.676056338028169</v>
      </c>
      <c r="V2897">
        <v>71</v>
      </c>
      <c r="W2897">
        <v>6</v>
      </c>
      <c r="X2897" s="5" t="s">
        <v>137</v>
      </c>
      <c r="Y2897">
        <v>0</v>
      </c>
      <c r="Z2897">
        <v>0</v>
      </c>
      <c r="AA2897" t="s">
        <v>25</v>
      </c>
      <c r="AB2897" t="s">
        <v>26</v>
      </c>
      <c r="AC2897" t="s">
        <v>27</v>
      </c>
      <c r="AD2897" t="s">
        <v>42</v>
      </c>
      <c r="AE2897" t="s">
        <v>25</v>
      </c>
      <c r="AF28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0.10185185185185185</v>
      </c>
      <c r="AG2897" t="s">
        <v>942</v>
      </c>
      <c r="AH2897">
        <v>63</v>
      </c>
      <c r="AI2897" t="s">
        <v>939</v>
      </c>
      <c r="AJ2897">
        <v>3</v>
      </c>
      <c r="AK28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MIN(AJ2897/8, 1) +
  Merge1[[#This Row],[index_defensive_effort]],
  2
)</f>
        <v>0.88</v>
      </c>
    </row>
    <row r="2898" spans="1:37" x14ac:dyDescent="0.25">
      <c r="A2898" t="s">
        <v>760</v>
      </c>
      <c r="B2898" t="s">
        <v>761</v>
      </c>
      <c r="C2898">
        <v>24</v>
      </c>
      <c r="D2898" t="s">
        <v>22</v>
      </c>
      <c r="E2898">
        <v>75</v>
      </c>
      <c r="F2898">
        <v>210</v>
      </c>
      <c r="G2898" t="s">
        <v>259</v>
      </c>
      <c r="H2898">
        <v>2020</v>
      </c>
      <c r="I2898" t="s">
        <v>33</v>
      </c>
      <c r="J2898">
        <v>9</v>
      </c>
      <c r="K2898">
        <v>7</v>
      </c>
      <c r="L2898">
        <v>3</v>
      </c>
      <c r="M2898">
        <v>0</v>
      </c>
      <c r="N2898">
        <v>3</v>
      </c>
      <c r="O2898">
        <v>4</v>
      </c>
      <c r="P2898">
        <v>5</v>
      </c>
      <c r="Q2898">
        <v>0</v>
      </c>
      <c r="R2898">
        <v>0</v>
      </c>
      <c r="S2898">
        <v>68</v>
      </c>
      <c r="T2898">
        <v>61</v>
      </c>
      <c r="U2898" s="5">
        <f>IF(Merge1[[#This Row],[team_defense_snaps]]=0, "", Merge1[[#This Row],[defense_snaps]] / Merge1[[#This Row],[team_defense_snaps]])</f>
        <v>0.9838709677419355</v>
      </c>
      <c r="V2898">
        <v>62</v>
      </c>
      <c r="W2898">
        <v>7</v>
      </c>
      <c r="X2898" s="5" t="s">
        <v>132</v>
      </c>
      <c r="Y2898">
        <v>0</v>
      </c>
      <c r="Z2898">
        <v>0</v>
      </c>
      <c r="AA2898" t="s">
        <v>25</v>
      </c>
      <c r="AB2898" t="s">
        <v>26</v>
      </c>
      <c r="AC2898" t="s">
        <v>27</v>
      </c>
      <c r="AD2898" t="s">
        <v>42</v>
      </c>
      <c r="AE2898" t="s">
        <v>25</v>
      </c>
      <c r="AF28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0.4485294117647059</v>
      </c>
      <c r="AG2898" t="s">
        <v>942</v>
      </c>
      <c r="AH2898">
        <v>64.5</v>
      </c>
      <c r="AI2898" t="s">
        <v>939</v>
      </c>
      <c r="AJ2898">
        <v>4</v>
      </c>
      <c r="AK28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MIN(AJ2898/8, 1) +
  Merge1[[#This Row],[index_defensive_effort]],
  2
)</f>
        <v>1.35</v>
      </c>
    </row>
    <row r="2899" spans="1:37" x14ac:dyDescent="0.25">
      <c r="A2899" t="s">
        <v>760</v>
      </c>
      <c r="B2899" t="s">
        <v>761</v>
      </c>
      <c r="C2899">
        <v>24</v>
      </c>
      <c r="D2899" t="s">
        <v>22</v>
      </c>
      <c r="E2899">
        <v>75</v>
      </c>
      <c r="F2899">
        <v>210</v>
      </c>
      <c r="G2899" t="s">
        <v>259</v>
      </c>
      <c r="H2899">
        <v>2020</v>
      </c>
      <c r="I2899" t="s">
        <v>33</v>
      </c>
      <c r="J2899">
        <v>10</v>
      </c>
      <c r="K2899">
        <v>2</v>
      </c>
      <c r="L2899">
        <v>2</v>
      </c>
      <c r="M2899">
        <v>1</v>
      </c>
      <c r="N2899">
        <v>3</v>
      </c>
      <c r="O2899">
        <v>0</v>
      </c>
      <c r="P2899">
        <v>0</v>
      </c>
      <c r="Q2899">
        <v>0</v>
      </c>
      <c r="R2899">
        <v>0</v>
      </c>
      <c r="S2899">
        <v>50</v>
      </c>
      <c r="T2899">
        <v>32</v>
      </c>
      <c r="U2899" s="5">
        <f>IF(Merge1[[#This Row],[team_defense_snaps]]=0, "", Merge1[[#This Row],[defense_snaps]] / Merge1[[#This Row],[team_defense_snaps]])</f>
        <v>0.4</v>
      </c>
      <c r="V2899">
        <v>80</v>
      </c>
      <c r="W2899">
        <v>18</v>
      </c>
      <c r="X2899" s="5" t="s">
        <v>111</v>
      </c>
      <c r="Y2899">
        <v>0</v>
      </c>
      <c r="Z2899">
        <v>0</v>
      </c>
      <c r="AA2899" t="s">
        <v>25</v>
      </c>
      <c r="AB2899" t="s">
        <v>26</v>
      </c>
      <c r="AC2899" t="s">
        <v>27</v>
      </c>
      <c r="AD2899" t="s">
        <v>42</v>
      </c>
      <c r="AE2899" t="s">
        <v>25</v>
      </c>
      <c r="AF28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7.0000000000000007E-2</v>
      </c>
      <c r="AG2899" t="s">
        <v>942</v>
      </c>
      <c r="AH2899">
        <v>51</v>
      </c>
      <c r="AI2899" t="s">
        <v>939</v>
      </c>
      <c r="AJ2899">
        <v>5</v>
      </c>
      <c r="AK28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MIN(AJ2899/8, 1) +
  Merge1[[#This Row],[index_defensive_effort]],
  2
)</f>
        <v>1.1000000000000001</v>
      </c>
    </row>
    <row r="2900" spans="1:37" x14ac:dyDescent="0.25">
      <c r="A2900" t="s">
        <v>760</v>
      </c>
      <c r="B2900" t="s">
        <v>761</v>
      </c>
      <c r="C2900">
        <v>24</v>
      </c>
      <c r="D2900" t="s">
        <v>22</v>
      </c>
      <c r="E2900">
        <v>75</v>
      </c>
      <c r="F2900">
        <v>210</v>
      </c>
      <c r="G2900" t="s">
        <v>259</v>
      </c>
      <c r="H2900">
        <v>2020</v>
      </c>
      <c r="I2900" t="s">
        <v>33</v>
      </c>
      <c r="J2900">
        <v>17</v>
      </c>
      <c r="K2900">
        <v>2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15</v>
      </c>
      <c r="T2900">
        <v>9</v>
      </c>
      <c r="U2900" s="5">
        <f>IF(Merge1[[#This Row],[team_defense_snaps]]=0, "", Merge1[[#This Row],[defense_snaps]] / Merge1[[#This Row],[team_defense_snaps]])</f>
        <v>0.140625</v>
      </c>
      <c r="V2900">
        <v>64</v>
      </c>
      <c r="W2900">
        <v>6</v>
      </c>
      <c r="X2900" s="5" t="s">
        <v>137</v>
      </c>
      <c r="Y2900">
        <v>0</v>
      </c>
      <c r="Z2900">
        <v>0</v>
      </c>
      <c r="AA2900" t="s">
        <v>25</v>
      </c>
      <c r="AB2900" t="s">
        <v>26</v>
      </c>
      <c r="AC2900" t="s">
        <v>27</v>
      </c>
      <c r="AD2900" t="s">
        <v>28</v>
      </c>
      <c r="AE2900" t="s">
        <v>25</v>
      </c>
      <c r="AF29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0.13333333333333333</v>
      </c>
      <c r="AG2900" t="s">
        <v>942</v>
      </c>
      <c r="AH2900">
        <v>61.5</v>
      </c>
      <c r="AI2900" t="s">
        <v>939</v>
      </c>
      <c r="AJ2900">
        <v>1</v>
      </c>
      <c r="AK29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MIN(AJ2900/8, 1) +
  Merge1[[#This Row],[index_defensive_effort]],
  2
)</f>
        <v>0.66</v>
      </c>
    </row>
    <row r="2901" spans="1:37" x14ac:dyDescent="0.25">
      <c r="A2901" t="s">
        <v>898</v>
      </c>
      <c r="B2901" t="s">
        <v>899</v>
      </c>
      <c r="C2901">
        <v>24</v>
      </c>
      <c r="D2901" t="s">
        <v>22</v>
      </c>
      <c r="E2901">
        <v>70</v>
      </c>
      <c r="F2901">
        <v>200</v>
      </c>
      <c r="G2901" t="s">
        <v>94</v>
      </c>
      <c r="H2901">
        <v>2020</v>
      </c>
      <c r="I2901" t="s">
        <v>33</v>
      </c>
      <c r="J2901">
        <v>2</v>
      </c>
      <c r="K2901">
        <v>1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3</v>
      </c>
      <c r="T2901">
        <v>3</v>
      </c>
      <c r="U2901" s="5">
        <f>IF(Merge1[[#This Row],[team_defense_snaps]]=0, "", Merge1[[#This Row],[defense_snaps]] / Merge1[[#This Row],[team_defense_snaps]])</f>
        <v>4.5454545454545456E-2</v>
      </c>
      <c r="V2901">
        <v>66</v>
      </c>
      <c r="W2901">
        <v>0</v>
      </c>
      <c r="X2901" s="5">
        <v>0</v>
      </c>
      <c r="Y2901">
        <v>2</v>
      </c>
      <c r="Z2901">
        <v>0</v>
      </c>
      <c r="AA2901" t="s">
        <v>25</v>
      </c>
      <c r="AB2901" t="s">
        <v>26</v>
      </c>
      <c r="AC2901" t="s">
        <v>27</v>
      </c>
      <c r="AD2901" t="s">
        <v>42</v>
      </c>
      <c r="AE2901" t="s">
        <v>25</v>
      </c>
      <c r="AF29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0.33333333333333331</v>
      </c>
      <c r="AG2901" t="s">
        <v>942</v>
      </c>
      <c r="AH2901">
        <v>70.5</v>
      </c>
      <c r="AI2901" t="s">
        <v>939</v>
      </c>
      <c r="AJ2901">
        <v>1</v>
      </c>
      <c r="AK29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MIN(AJ2901/8, 1) +
  Merge1[[#This Row],[index_defensive_effort]],
  2
)</f>
        <v>0.96</v>
      </c>
    </row>
    <row r="2902" spans="1:37" x14ac:dyDescent="0.25">
      <c r="A2902" t="s">
        <v>758</v>
      </c>
      <c r="B2902" t="s">
        <v>759</v>
      </c>
      <c r="C2902">
        <v>27</v>
      </c>
      <c r="D2902" t="s">
        <v>22</v>
      </c>
      <c r="E2902">
        <v>73</v>
      </c>
      <c r="F2902">
        <v>202</v>
      </c>
      <c r="G2902" t="s">
        <v>74</v>
      </c>
      <c r="H2902">
        <v>2020</v>
      </c>
      <c r="I2902" t="s">
        <v>33</v>
      </c>
      <c r="J2902">
        <v>10</v>
      </c>
      <c r="K2902">
        <v>2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14</v>
      </c>
      <c r="T2902">
        <v>5</v>
      </c>
      <c r="U2902" s="5">
        <f>IF(Merge1[[#This Row],[team_defense_snaps]]=0, "", Merge1[[#This Row],[defense_snaps]] / Merge1[[#This Row],[team_defense_snaps]])</f>
        <v>7.6923076923076927E-2</v>
      </c>
      <c r="V2902">
        <v>65</v>
      </c>
      <c r="W2902">
        <v>9</v>
      </c>
      <c r="X2902" s="5" t="s">
        <v>135</v>
      </c>
      <c r="Y2902">
        <v>4</v>
      </c>
      <c r="Z2902">
        <v>0</v>
      </c>
      <c r="AA2902" t="s">
        <v>25</v>
      </c>
      <c r="AB2902" t="s">
        <v>26</v>
      </c>
      <c r="AC2902" t="s">
        <v>27</v>
      </c>
      <c r="AD2902" t="s">
        <v>28</v>
      </c>
      <c r="AE2902" t="s">
        <v>25</v>
      </c>
      <c r="AF29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0.14285714285714285</v>
      </c>
      <c r="AG2902" t="s">
        <v>941</v>
      </c>
      <c r="AH2902">
        <v>54.5</v>
      </c>
      <c r="AI2902" t="s">
        <v>939</v>
      </c>
      <c r="AJ2902">
        <v>1</v>
      </c>
      <c r="AK29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MIN(AJ2902/8, 1) +
  Merge1[[#This Row],[index_defensive_effort]],
  2
)</f>
        <v>0.77</v>
      </c>
    </row>
    <row r="2903" spans="1:37" x14ac:dyDescent="0.25">
      <c r="A2903" t="s">
        <v>758</v>
      </c>
      <c r="B2903" t="s">
        <v>759</v>
      </c>
      <c r="C2903">
        <v>27</v>
      </c>
      <c r="D2903" t="s">
        <v>22</v>
      </c>
      <c r="E2903">
        <v>73</v>
      </c>
      <c r="F2903">
        <v>202</v>
      </c>
      <c r="G2903" t="s">
        <v>74</v>
      </c>
      <c r="H2903">
        <v>2020</v>
      </c>
      <c r="I2903" t="s">
        <v>33</v>
      </c>
      <c r="J2903">
        <v>11</v>
      </c>
      <c r="K2903">
        <v>1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12</v>
      </c>
      <c r="T2903">
        <v>5</v>
      </c>
      <c r="U2903" s="5">
        <f>IF(Merge1[[#This Row],[team_defense_snaps]]=0, "", Merge1[[#This Row],[defense_snaps]] / Merge1[[#This Row],[team_defense_snaps]])</f>
        <v>8.6206896551724144E-2</v>
      </c>
      <c r="V2903">
        <v>58</v>
      </c>
      <c r="W2903">
        <v>7</v>
      </c>
      <c r="X2903" s="5" t="s">
        <v>136</v>
      </c>
      <c r="Y2903">
        <v>4</v>
      </c>
      <c r="Z2903">
        <v>0</v>
      </c>
      <c r="AA2903" t="s">
        <v>25</v>
      </c>
      <c r="AB2903" t="s">
        <v>26</v>
      </c>
      <c r="AC2903" t="s">
        <v>27</v>
      </c>
      <c r="AD2903" t="s">
        <v>28</v>
      </c>
      <c r="AE2903" t="s">
        <v>25</v>
      </c>
      <c r="AF29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2903" t="s">
        <v>941</v>
      </c>
      <c r="AH2903">
        <v>47</v>
      </c>
      <c r="AI2903" t="s">
        <v>939</v>
      </c>
      <c r="AJ2903">
        <v>2</v>
      </c>
      <c r="AK29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MIN(AJ2903/8, 1) +
  Merge1[[#This Row],[index_defensive_effort]],
  2
)</f>
        <v>0.83</v>
      </c>
    </row>
    <row r="2904" spans="1:37" x14ac:dyDescent="0.25">
      <c r="A2904" t="s">
        <v>758</v>
      </c>
      <c r="B2904" t="s">
        <v>759</v>
      </c>
      <c r="C2904">
        <v>27</v>
      </c>
      <c r="D2904" t="s">
        <v>22</v>
      </c>
      <c r="E2904">
        <v>73</v>
      </c>
      <c r="F2904">
        <v>202</v>
      </c>
      <c r="G2904" t="s">
        <v>74</v>
      </c>
      <c r="H2904">
        <v>2020</v>
      </c>
      <c r="I2904" t="s">
        <v>33</v>
      </c>
      <c r="J2904">
        <v>12</v>
      </c>
      <c r="K2904">
        <v>0</v>
      </c>
      <c r="L2904">
        <v>1</v>
      </c>
      <c r="M2904">
        <v>1</v>
      </c>
      <c r="N2904">
        <v>2</v>
      </c>
      <c r="O2904">
        <v>0</v>
      </c>
      <c r="P2904">
        <v>0</v>
      </c>
      <c r="Q2904">
        <v>0</v>
      </c>
      <c r="R2904">
        <v>0</v>
      </c>
      <c r="S2904">
        <v>18</v>
      </c>
      <c r="T2904">
        <v>1</v>
      </c>
      <c r="U2904" s="5">
        <f>IF(Merge1[[#This Row],[team_defense_snaps]]=0, "", Merge1[[#This Row],[defense_snaps]] / Merge1[[#This Row],[team_defense_snaps]])</f>
        <v>1.8867924528301886E-2</v>
      </c>
      <c r="V2904">
        <v>53</v>
      </c>
      <c r="W2904">
        <v>17</v>
      </c>
      <c r="X2904" s="5" t="s">
        <v>176</v>
      </c>
      <c r="Y2904">
        <v>4</v>
      </c>
      <c r="Z2904">
        <v>0</v>
      </c>
      <c r="AA2904" t="s">
        <v>25</v>
      </c>
      <c r="AB2904" t="s">
        <v>26</v>
      </c>
      <c r="AC2904" t="s">
        <v>27</v>
      </c>
      <c r="AD2904" t="s">
        <v>28</v>
      </c>
      <c r="AE2904" t="s">
        <v>25</v>
      </c>
      <c r="AF29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2904" t="s">
        <v>941</v>
      </c>
      <c r="AH2904">
        <v>56</v>
      </c>
      <c r="AI2904" t="s">
        <v>939</v>
      </c>
      <c r="AJ2904">
        <v>3</v>
      </c>
      <c r="AK29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MIN(AJ2904/8, 1) +
  Merge1[[#This Row],[index_defensive_effort]],
  2
)</f>
        <v>0.93</v>
      </c>
    </row>
    <row r="2905" spans="1:37" x14ac:dyDescent="0.25">
      <c r="A2905" t="s">
        <v>758</v>
      </c>
      <c r="B2905" t="s">
        <v>759</v>
      </c>
      <c r="C2905">
        <v>27</v>
      </c>
      <c r="D2905" t="s">
        <v>22</v>
      </c>
      <c r="E2905">
        <v>73</v>
      </c>
      <c r="F2905">
        <v>202</v>
      </c>
      <c r="G2905" t="s">
        <v>74</v>
      </c>
      <c r="H2905">
        <v>2020</v>
      </c>
      <c r="I2905" t="s">
        <v>33</v>
      </c>
      <c r="J2905">
        <v>17</v>
      </c>
      <c r="K2905">
        <v>6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55</v>
      </c>
      <c r="T2905">
        <v>43</v>
      </c>
      <c r="U2905" s="5">
        <f>IF(Merge1[[#This Row],[team_defense_snaps]]=0, "", Merge1[[#This Row],[defense_snaps]] / Merge1[[#This Row],[team_defense_snaps]])</f>
        <v>0.69354838709677424</v>
      </c>
      <c r="V2905">
        <v>62</v>
      </c>
      <c r="W2905">
        <v>12</v>
      </c>
      <c r="X2905" s="5" t="s">
        <v>200</v>
      </c>
      <c r="Y2905">
        <v>4</v>
      </c>
      <c r="Z2905">
        <v>0</v>
      </c>
      <c r="AA2905" t="s">
        <v>25</v>
      </c>
      <c r="AB2905" t="s">
        <v>26</v>
      </c>
      <c r="AC2905" t="s">
        <v>27</v>
      </c>
      <c r="AD2905" t="s">
        <v>42</v>
      </c>
      <c r="AE2905" t="s">
        <v>25</v>
      </c>
      <c r="AF29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0.10909090909090909</v>
      </c>
      <c r="AG2905" t="s">
        <v>941</v>
      </c>
      <c r="AH2905">
        <v>57.5</v>
      </c>
      <c r="AI2905" t="s">
        <v>939</v>
      </c>
      <c r="AJ2905">
        <v>1</v>
      </c>
      <c r="AK29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MIN(AJ2905/8, 1) +
  Merge1[[#This Row],[index_defensive_effort]],
  2
)</f>
        <v>0.73</v>
      </c>
    </row>
    <row r="2906" spans="1:37" x14ac:dyDescent="0.25">
      <c r="A2906" t="s">
        <v>768</v>
      </c>
      <c r="B2906" t="s">
        <v>769</v>
      </c>
      <c r="C2906">
        <v>23</v>
      </c>
      <c r="D2906" t="s">
        <v>56</v>
      </c>
      <c r="E2906">
        <v>72</v>
      </c>
      <c r="F2906">
        <v>195</v>
      </c>
      <c r="G2906" t="s">
        <v>23</v>
      </c>
      <c r="H2906">
        <v>2020</v>
      </c>
      <c r="I2906" t="s">
        <v>33</v>
      </c>
      <c r="J2906">
        <v>1</v>
      </c>
      <c r="K2906">
        <v>5</v>
      </c>
      <c r="L2906">
        <v>1</v>
      </c>
      <c r="M2906">
        <v>0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75</v>
      </c>
      <c r="T2906">
        <v>68</v>
      </c>
      <c r="U2906" s="5">
        <f>IF(Merge1[[#This Row],[team_defense_snaps]]=0, "", Merge1[[#This Row],[defense_snaps]] / Merge1[[#This Row],[team_defense_snaps]])</f>
        <v>0.98550724637681164</v>
      </c>
      <c r="V2906">
        <v>69</v>
      </c>
      <c r="W2906">
        <v>7</v>
      </c>
      <c r="X2906" s="5" t="s">
        <v>293</v>
      </c>
      <c r="Y2906">
        <v>1</v>
      </c>
      <c r="Z2906">
        <v>0</v>
      </c>
      <c r="AA2906" t="s">
        <v>25</v>
      </c>
      <c r="AB2906" t="s">
        <v>26</v>
      </c>
      <c r="AC2906" t="s">
        <v>27</v>
      </c>
      <c r="AD2906" t="s">
        <v>42</v>
      </c>
      <c r="AE2906" t="s">
        <v>25</v>
      </c>
      <c r="AF29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7.3333333333333334E-2</v>
      </c>
      <c r="AG2906" t="s">
        <v>941</v>
      </c>
      <c r="AH2906">
        <v>65</v>
      </c>
      <c r="AI2906" t="s">
        <v>939</v>
      </c>
      <c r="AJ2906">
        <v>1</v>
      </c>
      <c r="AK29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MIN(AJ2906/8, 1) +
  Merge1[[#This Row],[index_defensive_effort]],
  2
)</f>
        <v>0.6</v>
      </c>
    </row>
    <row r="2907" spans="1:37" x14ac:dyDescent="0.25">
      <c r="A2907" t="s">
        <v>768</v>
      </c>
      <c r="B2907" t="s">
        <v>769</v>
      </c>
      <c r="C2907">
        <v>23</v>
      </c>
      <c r="D2907" t="s">
        <v>56</v>
      </c>
      <c r="E2907">
        <v>72</v>
      </c>
      <c r="F2907">
        <v>195</v>
      </c>
      <c r="G2907" t="s">
        <v>23</v>
      </c>
      <c r="H2907">
        <v>2020</v>
      </c>
      <c r="I2907" t="s">
        <v>33</v>
      </c>
      <c r="J2907">
        <v>2</v>
      </c>
      <c r="K2907">
        <v>3</v>
      </c>
      <c r="L2907">
        <v>1</v>
      </c>
      <c r="M2907">
        <v>0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80</v>
      </c>
      <c r="T2907">
        <v>72</v>
      </c>
      <c r="U2907" s="5">
        <f>IF(Merge1[[#This Row],[team_defense_snaps]]=0, "", Merge1[[#This Row],[defense_snaps]] / Merge1[[#This Row],[team_defense_snaps]])</f>
        <v>0.98630136986301364</v>
      </c>
      <c r="V2907">
        <v>73</v>
      </c>
      <c r="W2907">
        <v>8</v>
      </c>
      <c r="X2907" s="5" t="s">
        <v>108</v>
      </c>
      <c r="Y2907">
        <v>1</v>
      </c>
      <c r="Z2907">
        <v>0</v>
      </c>
      <c r="AA2907" t="s">
        <v>25</v>
      </c>
      <c r="AB2907" t="s">
        <v>26</v>
      </c>
      <c r="AC2907" t="s">
        <v>27</v>
      </c>
      <c r="AD2907" t="s">
        <v>42</v>
      </c>
      <c r="AE2907" t="s">
        <v>25</v>
      </c>
      <c r="AF29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4.3749999999999997E-2</v>
      </c>
      <c r="AG2907" t="s">
        <v>941</v>
      </c>
      <c r="AH2907">
        <v>80</v>
      </c>
      <c r="AI2907" t="s">
        <v>939</v>
      </c>
      <c r="AJ2907">
        <v>2</v>
      </c>
      <c r="AK29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MIN(AJ2907/8, 1) +
  Merge1[[#This Row],[index_defensive_effort]],
  2
)</f>
        <v>0.69</v>
      </c>
    </row>
    <row r="2908" spans="1:37" x14ac:dyDescent="0.25">
      <c r="A2908" t="s">
        <v>768</v>
      </c>
      <c r="B2908" t="s">
        <v>769</v>
      </c>
      <c r="C2908">
        <v>23</v>
      </c>
      <c r="D2908" t="s">
        <v>56</v>
      </c>
      <c r="E2908">
        <v>72</v>
      </c>
      <c r="F2908">
        <v>195</v>
      </c>
      <c r="G2908" t="s">
        <v>23</v>
      </c>
      <c r="H2908">
        <v>2020</v>
      </c>
      <c r="I2908" t="s">
        <v>33</v>
      </c>
      <c r="J2908">
        <v>3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22</v>
      </c>
      <c r="T2908">
        <v>19</v>
      </c>
      <c r="U2908" s="5">
        <f>IF(Merge1[[#This Row],[team_defense_snaps]]=0, "", Merge1[[#This Row],[defense_snaps]] / Merge1[[#This Row],[team_defense_snaps]])</f>
        <v>0.30158730158730157</v>
      </c>
      <c r="V2908">
        <v>63</v>
      </c>
      <c r="W2908">
        <v>3</v>
      </c>
      <c r="X2908" s="5" t="s">
        <v>35</v>
      </c>
      <c r="Y2908">
        <v>1</v>
      </c>
      <c r="Z2908">
        <v>0</v>
      </c>
      <c r="AA2908" t="s">
        <v>25</v>
      </c>
      <c r="AB2908" t="s">
        <v>26</v>
      </c>
      <c r="AC2908" t="s">
        <v>27</v>
      </c>
      <c r="AD2908" t="s">
        <v>42</v>
      </c>
      <c r="AE2908" t="s">
        <v>25</v>
      </c>
      <c r="AF29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9.0909090909090912E-2</v>
      </c>
      <c r="AG2908" t="s">
        <v>941</v>
      </c>
      <c r="AH2908">
        <v>78.5</v>
      </c>
      <c r="AI2908" t="s">
        <v>939</v>
      </c>
      <c r="AJ2908">
        <v>3</v>
      </c>
      <c r="AK29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MIN(AJ2908/8, 1) +
  Merge1[[#This Row],[index_defensive_effort]],
  2
)</f>
        <v>0.87</v>
      </c>
    </row>
    <row r="2909" spans="1:37" x14ac:dyDescent="0.25">
      <c r="A2909" t="s">
        <v>768</v>
      </c>
      <c r="B2909" t="s">
        <v>769</v>
      </c>
      <c r="C2909">
        <v>23</v>
      </c>
      <c r="D2909" t="s">
        <v>56</v>
      </c>
      <c r="E2909">
        <v>72</v>
      </c>
      <c r="F2909">
        <v>195</v>
      </c>
      <c r="G2909" t="s">
        <v>23</v>
      </c>
      <c r="H2909">
        <v>2020</v>
      </c>
      <c r="I2909" t="s">
        <v>33</v>
      </c>
      <c r="J2909">
        <v>4</v>
      </c>
      <c r="K2909">
        <v>0</v>
      </c>
      <c r="L2909">
        <v>2</v>
      </c>
      <c r="M2909">
        <v>2</v>
      </c>
      <c r="N2909">
        <v>4</v>
      </c>
      <c r="O2909">
        <v>0</v>
      </c>
      <c r="P2909">
        <v>0</v>
      </c>
      <c r="Q2909">
        <v>0</v>
      </c>
      <c r="R2909">
        <v>0</v>
      </c>
      <c r="S2909">
        <v>60</v>
      </c>
      <c r="T2909">
        <v>53</v>
      </c>
      <c r="U2909" s="5">
        <f>IF(Merge1[[#This Row],[team_defense_snaps]]=0, "", Merge1[[#This Row],[defense_snaps]] / Merge1[[#This Row],[team_defense_snaps]])</f>
        <v>1</v>
      </c>
      <c r="V2909">
        <v>53</v>
      </c>
      <c r="W2909">
        <v>7</v>
      </c>
      <c r="X2909" s="5" t="s">
        <v>139</v>
      </c>
      <c r="Y2909">
        <v>1</v>
      </c>
      <c r="Z2909">
        <v>0</v>
      </c>
      <c r="AA2909" t="s">
        <v>25</v>
      </c>
      <c r="AB2909" t="s">
        <v>26</v>
      </c>
      <c r="AC2909" t="s">
        <v>27</v>
      </c>
      <c r="AD2909" t="s">
        <v>42</v>
      </c>
      <c r="AE2909" t="s">
        <v>25</v>
      </c>
      <c r="AF29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3.3333333333333333E-2</v>
      </c>
      <c r="AG2909" t="s">
        <v>941</v>
      </c>
      <c r="AH2909">
        <v>77</v>
      </c>
      <c r="AI2909" t="s">
        <v>939</v>
      </c>
      <c r="AJ2909">
        <v>4</v>
      </c>
      <c r="AK29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MIN(AJ2909/8, 1) +
  Merge1[[#This Row],[index_defensive_effort]],
  2
)</f>
        <v>0.93</v>
      </c>
    </row>
    <row r="2910" spans="1:37" x14ac:dyDescent="0.25">
      <c r="A2910" t="s">
        <v>768</v>
      </c>
      <c r="B2910" t="s">
        <v>769</v>
      </c>
      <c r="C2910">
        <v>23</v>
      </c>
      <c r="D2910" t="s">
        <v>56</v>
      </c>
      <c r="E2910">
        <v>72</v>
      </c>
      <c r="F2910">
        <v>195</v>
      </c>
      <c r="G2910" t="s">
        <v>23</v>
      </c>
      <c r="H2910">
        <v>2020</v>
      </c>
      <c r="I2910" t="s">
        <v>33</v>
      </c>
      <c r="J2910">
        <v>5</v>
      </c>
      <c r="K2910">
        <v>5</v>
      </c>
      <c r="L2910">
        <v>1</v>
      </c>
      <c r="M2910">
        <v>0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68</v>
      </c>
      <c r="T2910">
        <v>62</v>
      </c>
      <c r="U2910" s="5">
        <f>IF(Merge1[[#This Row],[team_defense_snaps]]=0, "", Merge1[[#This Row],[defense_snaps]] / Merge1[[#This Row],[team_defense_snaps]])</f>
        <v>0.98412698412698407</v>
      </c>
      <c r="V2910">
        <v>63</v>
      </c>
      <c r="W2910">
        <v>6</v>
      </c>
      <c r="X2910" s="5" t="s">
        <v>293</v>
      </c>
      <c r="Y2910">
        <v>1</v>
      </c>
      <c r="Z2910">
        <v>0</v>
      </c>
      <c r="AA2910" t="s">
        <v>25</v>
      </c>
      <c r="AB2910" t="s">
        <v>26</v>
      </c>
      <c r="AC2910" t="s">
        <v>27</v>
      </c>
      <c r="AD2910" t="s">
        <v>42</v>
      </c>
      <c r="AE2910" t="s">
        <v>25</v>
      </c>
      <c r="AF29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8.0882352941176475E-2</v>
      </c>
      <c r="AG2910" t="s">
        <v>941</v>
      </c>
      <c r="AH2910">
        <v>72.5</v>
      </c>
      <c r="AI2910" t="s">
        <v>939</v>
      </c>
      <c r="AJ2910">
        <v>5</v>
      </c>
      <c r="AK29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MIN(AJ2910/8, 1) +
  Merge1[[#This Row],[index_defensive_effort]],
  2
)</f>
        <v>1.1100000000000001</v>
      </c>
    </row>
    <row r="2911" spans="1:37" x14ac:dyDescent="0.25">
      <c r="A2911" t="s">
        <v>768</v>
      </c>
      <c r="B2911" t="s">
        <v>769</v>
      </c>
      <c r="C2911">
        <v>23</v>
      </c>
      <c r="D2911" t="s">
        <v>56</v>
      </c>
      <c r="E2911">
        <v>72</v>
      </c>
      <c r="F2911">
        <v>195</v>
      </c>
      <c r="G2911" t="s">
        <v>23</v>
      </c>
      <c r="H2911">
        <v>2020</v>
      </c>
      <c r="I2911" t="s">
        <v>33</v>
      </c>
      <c r="J2911">
        <v>6</v>
      </c>
      <c r="K2911">
        <v>3</v>
      </c>
      <c r="L2911">
        <v>1</v>
      </c>
      <c r="M2911">
        <v>0</v>
      </c>
      <c r="N2911">
        <v>1</v>
      </c>
      <c r="O2911">
        <v>0</v>
      </c>
      <c r="P2911">
        <v>2</v>
      </c>
      <c r="Q2911">
        <v>0</v>
      </c>
      <c r="R2911">
        <v>0</v>
      </c>
      <c r="S2911">
        <v>70</v>
      </c>
      <c r="T2911">
        <v>63</v>
      </c>
      <c r="U2911" s="5">
        <f>IF(Merge1[[#This Row],[team_defense_snaps]]=0, "", Merge1[[#This Row],[defense_snaps]] / Merge1[[#This Row],[team_defense_snaps]])</f>
        <v>1</v>
      </c>
      <c r="V2911">
        <v>63</v>
      </c>
      <c r="W2911">
        <v>7</v>
      </c>
      <c r="X2911" s="5" t="s">
        <v>132</v>
      </c>
      <c r="Y2911">
        <v>1</v>
      </c>
      <c r="Z2911">
        <v>0</v>
      </c>
      <c r="AA2911" t="s">
        <v>25</v>
      </c>
      <c r="AB2911" t="s">
        <v>26</v>
      </c>
      <c r="AC2911" t="s">
        <v>27</v>
      </c>
      <c r="AD2911" t="s">
        <v>42</v>
      </c>
      <c r="AE2911" t="s">
        <v>25</v>
      </c>
      <c r="AF29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0.10714285714285714</v>
      </c>
      <c r="AG2911" t="s">
        <v>941</v>
      </c>
      <c r="AH2911">
        <v>62</v>
      </c>
      <c r="AI2911" t="s">
        <v>939</v>
      </c>
      <c r="AJ2911">
        <v>6</v>
      </c>
      <c r="AK29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MIN(AJ2911/8, 1) +
  Merge1[[#This Row],[index_defensive_effort]],
  2
)</f>
        <v>1.26</v>
      </c>
    </row>
    <row r="2912" spans="1:37" x14ac:dyDescent="0.25">
      <c r="A2912" t="s">
        <v>768</v>
      </c>
      <c r="B2912" t="s">
        <v>769</v>
      </c>
      <c r="C2912">
        <v>23</v>
      </c>
      <c r="D2912" t="s">
        <v>56</v>
      </c>
      <c r="E2912">
        <v>72</v>
      </c>
      <c r="F2912">
        <v>195</v>
      </c>
      <c r="G2912" t="s">
        <v>23</v>
      </c>
      <c r="H2912">
        <v>2020</v>
      </c>
      <c r="I2912" t="s">
        <v>33</v>
      </c>
      <c r="J2912">
        <v>7</v>
      </c>
      <c r="K2912">
        <v>2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74</v>
      </c>
      <c r="T2912">
        <v>64</v>
      </c>
      <c r="U2912" s="5">
        <f>IF(Merge1[[#This Row],[team_defense_snaps]]=0, "", Merge1[[#This Row],[defense_snaps]] / Merge1[[#This Row],[team_defense_snaps]])</f>
        <v>0.98461538461538467</v>
      </c>
      <c r="V2912">
        <v>65</v>
      </c>
      <c r="W2912">
        <v>10</v>
      </c>
      <c r="X2912" s="5" t="s">
        <v>108</v>
      </c>
      <c r="Y2912">
        <v>1</v>
      </c>
      <c r="Z2912">
        <v>0</v>
      </c>
      <c r="AA2912" t="s">
        <v>25</v>
      </c>
      <c r="AB2912" t="s">
        <v>26</v>
      </c>
      <c r="AC2912" t="s">
        <v>27</v>
      </c>
      <c r="AD2912" t="s">
        <v>42</v>
      </c>
      <c r="AE2912" t="s">
        <v>25</v>
      </c>
      <c r="AF29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2.7027027027027029E-2</v>
      </c>
      <c r="AG2912" t="s">
        <v>941</v>
      </c>
      <c r="AH2912">
        <v>66</v>
      </c>
      <c r="AI2912" t="s">
        <v>939</v>
      </c>
      <c r="AJ2912">
        <v>7</v>
      </c>
      <c r="AK29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MIN(AJ2912/8, 1) +
  Merge1[[#This Row],[index_defensive_effort]],
  2
)</f>
        <v>1.3</v>
      </c>
    </row>
    <row r="2913" spans="1:37" x14ac:dyDescent="0.25">
      <c r="A2913" t="s">
        <v>768</v>
      </c>
      <c r="B2913" t="s">
        <v>769</v>
      </c>
      <c r="C2913">
        <v>23</v>
      </c>
      <c r="D2913" t="s">
        <v>56</v>
      </c>
      <c r="E2913">
        <v>72</v>
      </c>
      <c r="F2913">
        <v>195</v>
      </c>
      <c r="G2913" t="s">
        <v>23</v>
      </c>
      <c r="H2913">
        <v>2020</v>
      </c>
      <c r="I2913" t="s">
        <v>33</v>
      </c>
      <c r="J2913">
        <v>8</v>
      </c>
      <c r="K2913">
        <v>5</v>
      </c>
      <c r="L2913">
        <v>1</v>
      </c>
      <c r="M2913">
        <v>0</v>
      </c>
      <c r="N2913">
        <v>1</v>
      </c>
      <c r="O2913">
        <v>0</v>
      </c>
      <c r="P2913">
        <v>3</v>
      </c>
      <c r="Q2913">
        <v>2</v>
      </c>
      <c r="R2913">
        <v>0</v>
      </c>
      <c r="S2913">
        <v>47</v>
      </c>
      <c r="T2913">
        <v>38</v>
      </c>
      <c r="U2913" s="5">
        <f>IF(Merge1[[#This Row],[team_defense_snaps]]=0, "", Merge1[[#This Row],[defense_snaps]] / Merge1[[#This Row],[team_defense_snaps]])</f>
        <v>0.50666666666666671</v>
      </c>
      <c r="V2913">
        <v>75</v>
      </c>
      <c r="W2913">
        <v>9</v>
      </c>
      <c r="X2913" s="5" t="s">
        <v>123</v>
      </c>
      <c r="Y2913">
        <v>1</v>
      </c>
      <c r="Z2913">
        <v>0</v>
      </c>
      <c r="AA2913" t="s">
        <v>25</v>
      </c>
      <c r="AB2913" t="s">
        <v>26</v>
      </c>
      <c r="AC2913" t="s">
        <v>27</v>
      </c>
      <c r="AD2913" t="s">
        <v>28</v>
      </c>
      <c r="AE2913" t="s">
        <v>25</v>
      </c>
      <c r="AF29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0.41489361702127658</v>
      </c>
      <c r="AG2913" t="s">
        <v>941</v>
      </c>
      <c r="AH2913">
        <v>63.5</v>
      </c>
      <c r="AI2913" t="s">
        <v>939</v>
      </c>
      <c r="AJ2913">
        <v>8</v>
      </c>
      <c r="AK29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MIN(AJ2913/8, 1) +
  Merge1[[#This Row],[index_defensive_effort]],
  2
)</f>
        <v>1.81</v>
      </c>
    </row>
    <row r="2914" spans="1:37" x14ac:dyDescent="0.25">
      <c r="A2914" t="s">
        <v>768</v>
      </c>
      <c r="B2914" t="s">
        <v>769</v>
      </c>
      <c r="C2914">
        <v>23</v>
      </c>
      <c r="D2914" t="s">
        <v>56</v>
      </c>
      <c r="E2914">
        <v>72</v>
      </c>
      <c r="F2914">
        <v>195</v>
      </c>
      <c r="G2914" t="s">
        <v>23</v>
      </c>
      <c r="H2914">
        <v>2020</v>
      </c>
      <c r="I2914" t="s">
        <v>33</v>
      </c>
      <c r="J2914">
        <v>9</v>
      </c>
      <c r="K2914">
        <v>2</v>
      </c>
      <c r="L2914">
        <v>2</v>
      </c>
      <c r="M2914">
        <v>0</v>
      </c>
      <c r="N2914">
        <v>2</v>
      </c>
      <c r="O2914">
        <v>0</v>
      </c>
      <c r="P2914">
        <v>0</v>
      </c>
      <c r="Q2914">
        <v>0</v>
      </c>
      <c r="R2914">
        <v>0</v>
      </c>
      <c r="S2914">
        <v>28</v>
      </c>
      <c r="T2914">
        <v>26</v>
      </c>
      <c r="U2914" s="5">
        <f>IF(Merge1[[#This Row],[team_defense_snaps]]=0, "", Merge1[[#This Row],[defense_snaps]] / Merge1[[#This Row],[team_defense_snaps]])</f>
        <v>0.35616438356164382</v>
      </c>
      <c r="V2914">
        <v>73</v>
      </c>
      <c r="W2914">
        <v>2</v>
      </c>
      <c r="X2914" s="5" t="s">
        <v>38</v>
      </c>
      <c r="Y2914">
        <v>1</v>
      </c>
      <c r="Z2914">
        <v>0</v>
      </c>
      <c r="AA2914" t="s">
        <v>25</v>
      </c>
      <c r="AB2914" t="s">
        <v>26</v>
      </c>
      <c r="AC2914" t="s">
        <v>27</v>
      </c>
      <c r="AD2914" t="s">
        <v>28</v>
      </c>
      <c r="AE2914" t="s">
        <v>25</v>
      </c>
      <c r="AF29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0.10714285714285714</v>
      </c>
      <c r="AG2914" t="s">
        <v>941</v>
      </c>
      <c r="AH2914">
        <v>83</v>
      </c>
      <c r="AI2914" t="s">
        <v>939</v>
      </c>
      <c r="AJ2914">
        <v>9</v>
      </c>
      <c r="AK29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MIN(AJ2914/8, 1) +
  Merge1[[#This Row],[index_defensive_effort]],
  2
)</f>
        <v>1.51</v>
      </c>
    </row>
    <row r="2915" spans="1:37" x14ac:dyDescent="0.25">
      <c r="A2915" t="s">
        <v>768</v>
      </c>
      <c r="B2915" t="s">
        <v>769</v>
      </c>
      <c r="C2915">
        <v>23</v>
      </c>
      <c r="D2915" t="s">
        <v>56</v>
      </c>
      <c r="E2915">
        <v>72</v>
      </c>
      <c r="F2915">
        <v>195</v>
      </c>
      <c r="G2915" t="s">
        <v>23</v>
      </c>
      <c r="H2915">
        <v>2020</v>
      </c>
      <c r="I2915" t="s">
        <v>33</v>
      </c>
      <c r="J2915">
        <v>10</v>
      </c>
      <c r="K2915">
        <v>1</v>
      </c>
      <c r="L2915">
        <v>1</v>
      </c>
      <c r="M2915">
        <v>1</v>
      </c>
      <c r="N2915">
        <v>2</v>
      </c>
      <c r="O2915">
        <v>0</v>
      </c>
      <c r="P2915">
        <v>0</v>
      </c>
      <c r="Q2915">
        <v>0</v>
      </c>
      <c r="R2915">
        <v>0</v>
      </c>
      <c r="S2915">
        <v>42</v>
      </c>
      <c r="T2915">
        <v>32</v>
      </c>
      <c r="U2915" s="5">
        <f>IF(Merge1[[#This Row],[team_defense_snaps]]=0, "", Merge1[[#This Row],[defense_snaps]] / Merge1[[#This Row],[team_defense_snaps]])</f>
        <v>0.66666666666666663</v>
      </c>
      <c r="V2915">
        <v>48</v>
      </c>
      <c r="W2915">
        <v>10</v>
      </c>
      <c r="X2915" s="5" t="s">
        <v>314</v>
      </c>
      <c r="Y2915">
        <v>1</v>
      </c>
      <c r="Z2915">
        <v>0</v>
      </c>
      <c r="AA2915" t="s">
        <v>25</v>
      </c>
      <c r="AB2915" t="s">
        <v>26</v>
      </c>
      <c r="AC2915" t="s">
        <v>27</v>
      </c>
      <c r="AD2915" t="s">
        <v>42</v>
      </c>
      <c r="AE2915" t="s">
        <v>25</v>
      </c>
      <c r="AF29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4.7619047619047616E-2</v>
      </c>
      <c r="AG2915" t="s">
        <v>941</v>
      </c>
      <c r="AH2915">
        <v>86</v>
      </c>
      <c r="AI2915" t="s">
        <v>939</v>
      </c>
      <c r="AJ2915">
        <v>10</v>
      </c>
      <c r="AK29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MIN(AJ2915/8, 1) +
  Merge1[[#This Row],[index_defensive_effort]],
  2
)</f>
        <v>1.45</v>
      </c>
    </row>
    <row r="2916" spans="1:37" x14ac:dyDescent="0.25">
      <c r="A2916" t="s">
        <v>768</v>
      </c>
      <c r="B2916" t="s">
        <v>769</v>
      </c>
      <c r="C2916">
        <v>23</v>
      </c>
      <c r="D2916" t="s">
        <v>56</v>
      </c>
      <c r="E2916">
        <v>72</v>
      </c>
      <c r="F2916">
        <v>195</v>
      </c>
      <c r="G2916" t="s">
        <v>23</v>
      </c>
      <c r="H2916">
        <v>2020</v>
      </c>
      <c r="I2916" t="s">
        <v>33</v>
      </c>
      <c r="J2916">
        <v>11</v>
      </c>
      <c r="K2916">
        <v>7</v>
      </c>
      <c r="L2916">
        <v>5</v>
      </c>
      <c r="M2916">
        <v>0</v>
      </c>
      <c r="N2916">
        <v>5</v>
      </c>
      <c r="O2916">
        <v>0</v>
      </c>
      <c r="P2916">
        <v>0</v>
      </c>
      <c r="Q2916">
        <v>0</v>
      </c>
      <c r="R2916">
        <v>0</v>
      </c>
      <c r="S2916">
        <v>63</v>
      </c>
      <c r="T2916">
        <v>58</v>
      </c>
      <c r="U2916" s="5">
        <f>IF(Merge1[[#This Row],[team_defense_snaps]]=0, "", Merge1[[#This Row],[defense_snaps]] / Merge1[[#This Row],[team_defense_snaps]])</f>
        <v>0.79452054794520544</v>
      </c>
      <c r="V2916">
        <v>73</v>
      </c>
      <c r="W2916">
        <v>5</v>
      </c>
      <c r="X2916" s="5" t="s">
        <v>124</v>
      </c>
      <c r="Y2916">
        <v>1</v>
      </c>
      <c r="Z2916">
        <v>0</v>
      </c>
      <c r="AA2916" t="s">
        <v>25</v>
      </c>
      <c r="AB2916" t="s">
        <v>26</v>
      </c>
      <c r="AC2916" t="s">
        <v>27</v>
      </c>
      <c r="AD2916" t="s">
        <v>28</v>
      </c>
      <c r="AE2916" t="s">
        <v>25</v>
      </c>
      <c r="AF29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0.15079365079365079</v>
      </c>
      <c r="AG2916" t="s">
        <v>941</v>
      </c>
      <c r="AH2916">
        <v>75.5</v>
      </c>
      <c r="AI2916" t="s">
        <v>939</v>
      </c>
      <c r="AJ2916">
        <v>11</v>
      </c>
      <c r="AK29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MIN(AJ2916/8, 1) +
  Merge1[[#This Row],[index_defensive_effort]],
  2
)</f>
        <v>1.55</v>
      </c>
    </row>
    <row r="2917" spans="1:37" x14ac:dyDescent="0.25">
      <c r="A2917" t="s">
        <v>768</v>
      </c>
      <c r="B2917" t="s">
        <v>769</v>
      </c>
      <c r="C2917">
        <v>23</v>
      </c>
      <c r="D2917" t="s">
        <v>56</v>
      </c>
      <c r="E2917">
        <v>72</v>
      </c>
      <c r="F2917">
        <v>195</v>
      </c>
      <c r="G2917" t="s">
        <v>23</v>
      </c>
      <c r="H2917">
        <v>2020</v>
      </c>
      <c r="I2917" t="s">
        <v>33</v>
      </c>
      <c r="J2917">
        <v>12</v>
      </c>
      <c r="K2917">
        <v>5</v>
      </c>
      <c r="L2917">
        <v>0</v>
      </c>
      <c r="M2917">
        <v>0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83</v>
      </c>
      <c r="T2917">
        <v>77</v>
      </c>
      <c r="U2917" s="5">
        <f>IF(Merge1[[#This Row],[team_defense_snaps]]=0, "", Merge1[[#This Row],[defense_snaps]] / Merge1[[#This Row],[team_defense_snaps]])</f>
        <v>0.97468354430379744</v>
      </c>
      <c r="V2917">
        <v>79</v>
      </c>
      <c r="W2917">
        <v>6</v>
      </c>
      <c r="X2917" s="5" t="s">
        <v>293</v>
      </c>
      <c r="Y2917">
        <v>1</v>
      </c>
      <c r="Z2917">
        <v>0</v>
      </c>
      <c r="AA2917" t="s">
        <v>25</v>
      </c>
      <c r="AB2917" t="s">
        <v>26</v>
      </c>
      <c r="AC2917" t="s">
        <v>27</v>
      </c>
      <c r="AD2917" t="s">
        <v>42</v>
      </c>
      <c r="AE2917" t="s">
        <v>25</v>
      </c>
      <c r="AF29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8.4337349397590355E-2</v>
      </c>
      <c r="AG2917" t="s">
        <v>941</v>
      </c>
      <c r="AH2917">
        <v>66.5</v>
      </c>
      <c r="AI2917" t="s">
        <v>939</v>
      </c>
      <c r="AJ2917">
        <v>12</v>
      </c>
      <c r="AK29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MIN(AJ2917/8, 1) +
  Merge1[[#This Row],[index_defensive_effort]],
  2
)</f>
        <v>1.48</v>
      </c>
    </row>
    <row r="2918" spans="1:37" x14ac:dyDescent="0.25">
      <c r="A2918" t="s">
        <v>768</v>
      </c>
      <c r="B2918" t="s">
        <v>769</v>
      </c>
      <c r="C2918">
        <v>23</v>
      </c>
      <c r="D2918" t="s">
        <v>56</v>
      </c>
      <c r="E2918">
        <v>72</v>
      </c>
      <c r="F2918">
        <v>195</v>
      </c>
      <c r="G2918" t="s">
        <v>23</v>
      </c>
      <c r="H2918">
        <v>2020</v>
      </c>
      <c r="I2918" t="s">
        <v>33</v>
      </c>
      <c r="J2918">
        <v>14</v>
      </c>
      <c r="K2918">
        <v>4</v>
      </c>
      <c r="L2918">
        <v>1</v>
      </c>
      <c r="M2918">
        <v>0</v>
      </c>
      <c r="N2918">
        <v>1</v>
      </c>
      <c r="O2918">
        <v>0</v>
      </c>
      <c r="P2918">
        <v>1</v>
      </c>
      <c r="Q2918">
        <v>0</v>
      </c>
      <c r="R2918">
        <v>0</v>
      </c>
      <c r="S2918">
        <v>84</v>
      </c>
      <c r="T2918">
        <v>78</v>
      </c>
      <c r="U2918" s="5">
        <f>IF(Merge1[[#This Row],[team_defense_snaps]]=0, "", Merge1[[#This Row],[defense_snaps]] / Merge1[[#This Row],[team_defense_snaps]])</f>
        <v>0.98734177215189878</v>
      </c>
      <c r="V2918">
        <v>79</v>
      </c>
      <c r="W2918">
        <v>6</v>
      </c>
      <c r="X2918" s="5" t="s">
        <v>136</v>
      </c>
      <c r="Y2918">
        <v>1</v>
      </c>
      <c r="Z2918">
        <v>0</v>
      </c>
      <c r="AA2918" t="s">
        <v>25</v>
      </c>
      <c r="AB2918" t="s">
        <v>26</v>
      </c>
      <c r="AC2918" t="s">
        <v>27</v>
      </c>
      <c r="AD2918" t="s">
        <v>42</v>
      </c>
      <c r="AE2918" t="s">
        <v>25</v>
      </c>
      <c r="AF29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7.7380952380952384E-2</v>
      </c>
      <c r="AG2918" t="s">
        <v>941</v>
      </c>
      <c r="AH2918">
        <v>84.5</v>
      </c>
      <c r="AI2918" t="s">
        <v>939</v>
      </c>
      <c r="AJ2918">
        <v>1</v>
      </c>
      <c r="AK29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MIN(AJ2918/8, 1) +
  Merge1[[#This Row],[index_defensive_effort]],
  2
)</f>
        <v>0.6</v>
      </c>
    </row>
    <row r="2919" spans="1:37" x14ac:dyDescent="0.25">
      <c r="A2919" t="s">
        <v>768</v>
      </c>
      <c r="B2919" t="s">
        <v>769</v>
      </c>
      <c r="C2919">
        <v>23</v>
      </c>
      <c r="D2919" t="s">
        <v>56</v>
      </c>
      <c r="E2919">
        <v>72</v>
      </c>
      <c r="F2919">
        <v>195</v>
      </c>
      <c r="G2919" t="s">
        <v>23</v>
      </c>
      <c r="H2919">
        <v>2020</v>
      </c>
      <c r="I2919" t="s">
        <v>33</v>
      </c>
      <c r="J2919">
        <v>15</v>
      </c>
      <c r="K2919">
        <v>4</v>
      </c>
      <c r="L2919">
        <v>1</v>
      </c>
      <c r="M2919">
        <v>0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70</v>
      </c>
      <c r="T2919">
        <v>65</v>
      </c>
      <c r="U2919" s="5">
        <f>IF(Merge1[[#This Row],[team_defense_snaps]]=0, "", Merge1[[#This Row],[defense_snaps]] / Merge1[[#This Row],[team_defense_snaps]])</f>
        <v>1</v>
      </c>
      <c r="V2919">
        <v>65</v>
      </c>
      <c r="W2919">
        <v>5</v>
      </c>
      <c r="X2919" s="5" t="s">
        <v>168</v>
      </c>
      <c r="Y2919">
        <v>1</v>
      </c>
      <c r="Z2919">
        <v>0</v>
      </c>
      <c r="AA2919" t="s">
        <v>25</v>
      </c>
      <c r="AB2919" t="s">
        <v>26</v>
      </c>
      <c r="AC2919" t="s">
        <v>27</v>
      </c>
      <c r="AD2919" t="s">
        <v>42</v>
      </c>
      <c r="AE2919" t="s">
        <v>25</v>
      </c>
      <c r="AF29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6.4285714285714279E-2</v>
      </c>
      <c r="AG2919" t="s">
        <v>941</v>
      </c>
      <c r="AH2919">
        <v>81.5</v>
      </c>
      <c r="AI2919" t="s">
        <v>939</v>
      </c>
      <c r="AJ2919">
        <v>2</v>
      </c>
      <c r="AK29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MIN(AJ2919/8, 1) +
  Merge1[[#This Row],[index_defensive_effort]],
  2
)</f>
        <v>0.71</v>
      </c>
    </row>
    <row r="2920" spans="1:37" x14ac:dyDescent="0.25">
      <c r="A2920" t="s">
        <v>768</v>
      </c>
      <c r="B2920" t="s">
        <v>769</v>
      </c>
      <c r="C2920">
        <v>23</v>
      </c>
      <c r="D2920" t="s">
        <v>56</v>
      </c>
      <c r="E2920">
        <v>72</v>
      </c>
      <c r="F2920">
        <v>195</v>
      </c>
      <c r="G2920" t="s">
        <v>23</v>
      </c>
      <c r="H2920">
        <v>2020</v>
      </c>
      <c r="I2920" t="s">
        <v>33</v>
      </c>
      <c r="J2920">
        <v>16</v>
      </c>
      <c r="K2920">
        <v>2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47</v>
      </c>
      <c r="T2920">
        <v>38</v>
      </c>
      <c r="U2920" s="5">
        <f>IF(Merge1[[#This Row],[team_defense_snaps]]=0, "", Merge1[[#This Row],[defense_snaps]] / Merge1[[#This Row],[team_defense_snaps]])</f>
        <v>0.70370370370370372</v>
      </c>
      <c r="V2920">
        <v>54</v>
      </c>
      <c r="W2920">
        <v>9</v>
      </c>
      <c r="X2920" s="5" t="s">
        <v>138</v>
      </c>
      <c r="Y2920">
        <v>1</v>
      </c>
      <c r="Z2920">
        <v>0</v>
      </c>
      <c r="AA2920" t="s">
        <v>25</v>
      </c>
      <c r="AB2920" t="s">
        <v>26</v>
      </c>
      <c r="AC2920" t="s">
        <v>27</v>
      </c>
      <c r="AD2920" t="s">
        <v>42</v>
      </c>
      <c r="AE2920" t="s">
        <v>25</v>
      </c>
      <c r="AF29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4.2553191489361701E-2</v>
      </c>
      <c r="AG2920" t="s">
        <v>941</v>
      </c>
      <c r="AH2920">
        <v>66</v>
      </c>
      <c r="AI2920" t="s">
        <v>939</v>
      </c>
      <c r="AJ2920">
        <v>3</v>
      </c>
      <c r="AK29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MIN(AJ2920/8, 1) +
  Merge1[[#This Row],[index_defensive_effort]],
  2
)</f>
        <v>0.82</v>
      </c>
    </row>
    <row r="2921" spans="1:37" x14ac:dyDescent="0.25">
      <c r="A2921" t="s">
        <v>768</v>
      </c>
      <c r="B2921" t="s">
        <v>769</v>
      </c>
      <c r="C2921">
        <v>23</v>
      </c>
      <c r="D2921" t="s">
        <v>56</v>
      </c>
      <c r="E2921">
        <v>72</v>
      </c>
      <c r="F2921">
        <v>195</v>
      </c>
      <c r="G2921" t="s">
        <v>23</v>
      </c>
      <c r="H2921">
        <v>2020</v>
      </c>
      <c r="I2921" t="s">
        <v>33</v>
      </c>
      <c r="J2921">
        <v>17</v>
      </c>
      <c r="K2921">
        <v>5</v>
      </c>
      <c r="L2921">
        <v>1</v>
      </c>
      <c r="M2921">
        <v>0</v>
      </c>
      <c r="N2921">
        <v>1</v>
      </c>
      <c r="O2921">
        <v>0</v>
      </c>
      <c r="P2921">
        <v>0</v>
      </c>
      <c r="Q2921">
        <v>0</v>
      </c>
      <c r="R2921">
        <v>2</v>
      </c>
      <c r="S2921">
        <v>77</v>
      </c>
      <c r="T2921">
        <v>69</v>
      </c>
      <c r="U2921" s="5">
        <f>IF(Merge1[[#This Row],[team_defense_snaps]]=0, "", Merge1[[#This Row],[defense_snaps]] / Merge1[[#This Row],[team_defense_snaps]])</f>
        <v>0.95833333333333337</v>
      </c>
      <c r="V2921">
        <v>72</v>
      </c>
      <c r="W2921">
        <v>8</v>
      </c>
      <c r="X2921" s="5" t="s">
        <v>113</v>
      </c>
      <c r="Y2921">
        <v>1</v>
      </c>
      <c r="Z2921">
        <v>0</v>
      </c>
      <c r="AA2921" t="s">
        <v>25</v>
      </c>
      <c r="AB2921" t="s">
        <v>26</v>
      </c>
      <c r="AC2921" t="s">
        <v>27</v>
      </c>
      <c r="AD2921" t="s">
        <v>42</v>
      </c>
      <c r="AE2921" t="s">
        <v>25</v>
      </c>
      <c r="AF29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0.12337662337662338</v>
      </c>
      <c r="AG2921" t="s">
        <v>941</v>
      </c>
      <c r="AH2921">
        <v>71</v>
      </c>
      <c r="AI2921" t="s">
        <v>939</v>
      </c>
      <c r="AJ2921">
        <v>4</v>
      </c>
      <c r="AK29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MIN(AJ2921/8, 1) +
  Merge1[[#This Row],[index_defensive_effort]],
  2
)</f>
        <v>1.02</v>
      </c>
    </row>
    <row r="2922" spans="1:37" x14ac:dyDescent="0.25">
      <c r="A2922" t="s">
        <v>768</v>
      </c>
      <c r="B2922" t="s">
        <v>769</v>
      </c>
      <c r="C2922">
        <v>23</v>
      </c>
      <c r="D2922" t="s">
        <v>56</v>
      </c>
      <c r="E2922">
        <v>72</v>
      </c>
      <c r="F2922">
        <v>195</v>
      </c>
      <c r="G2922" t="s">
        <v>23</v>
      </c>
      <c r="H2922">
        <v>2020</v>
      </c>
      <c r="I2922" t="s">
        <v>24</v>
      </c>
      <c r="J2922">
        <v>18</v>
      </c>
      <c r="K2922">
        <v>3</v>
      </c>
      <c r="L2922">
        <v>1</v>
      </c>
      <c r="M2922">
        <v>1</v>
      </c>
      <c r="N2922">
        <v>2</v>
      </c>
      <c r="O2922">
        <v>0</v>
      </c>
      <c r="P2922">
        <v>0</v>
      </c>
      <c r="Q2922">
        <v>2</v>
      </c>
      <c r="R2922">
        <v>0</v>
      </c>
      <c r="S2922">
        <v>74</v>
      </c>
      <c r="T2922">
        <v>72</v>
      </c>
      <c r="U2922" s="5">
        <f>IF(Merge1[[#This Row],[team_defense_snaps]]=0, "", Merge1[[#This Row],[defense_snaps]] / Merge1[[#This Row],[team_defense_snaps]])</f>
        <v>1</v>
      </c>
      <c r="V2922">
        <v>72</v>
      </c>
      <c r="W2922">
        <v>2</v>
      </c>
      <c r="X2922" s="5" t="s">
        <v>208</v>
      </c>
      <c r="Y2922">
        <v>1</v>
      </c>
      <c r="Z2922">
        <v>0</v>
      </c>
      <c r="AA2922" t="s">
        <v>25</v>
      </c>
      <c r="AB2922" t="s">
        <v>26</v>
      </c>
      <c r="AC2922" t="s">
        <v>27</v>
      </c>
      <c r="AD2922" t="s">
        <v>42</v>
      </c>
      <c r="AE2922" t="s">
        <v>25</v>
      </c>
      <c r="AF29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0.16216216216216217</v>
      </c>
      <c r="AG2922" t="s">
        <v>941</v>
      </c>
      <c r="AH2922">
        <v>74</v>
      </c>
      <c r="AI2922" t="s">
        <v>939</v>
      </c>
      <c r="AJ2922">
        <v>5</v>
      </c>
      <c r="AK29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MIN(AJ2922/8, 1) +
  Merge1[[#This Row],[index_defensive_effort]],
  2
)</f>
        <v>1.39</v>
      </c>
    </row>
    <row r="2923" spans="1:37" x14ac:dyDescent="0.25">
      <c r="A2923" t="s">
        <v>768</v>
      </c>
      <c r="B2923" t="s">
        <v>769</v>
      </c>
      <c r="C2923">
        <v>23</v>
      </c>
      <c r="D2923" t="s">
        <v>56</v>
      </c>
      <c r="E2923">
        <v>72</v>
      </c>
      <c r="F2923">
        <v>195</v>
      </c>
      <c r="G2923" t="s">
        <v>23</v>
      </c>
      <c r="H2923">
        <v>2020</v>
      </c>
      <c r="I2923" t="s">
        <v>24</v>
      </c>
      <c r="J2923">
        <v>19</v>
      </c>
      <c r="K2923">
        <v>8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2</v>
      </c>
      <c r="R2923">
        <v>0</v>
      </c>
      <c r="S2923">
        <v>43</v>
      </c>
      <c r="T2923">
        <v>42</v>
      </c>
      <c r="U2923" s="5">
        <f>IF(Merge1[[#This Row],[team_defense_snaps]]=0, "", Merge1[[#This Row],[defense_snaps]] / Merge1[[#This Row],[team_defense_snaps]])</f>
        <v>0.66666666666666663</v>
      </c>
      <c r="V2923">
        <v>63</v>
      </c>
      <c r="W2923">
        <v>1</v>
      </c>
      <c r="X2923" s="5" t="s">
        <v>193</v>
      </c>
      <c r="Y2923">
        <v>1</v>
      </c>
      <c r="Z2923">
        <v>0</v>
      </c>
      <c r="AA2923" t="s">
        <v>25</v>
      </c>
      <c r="AB2923" t="s">
        <v>26</v>
      </c>
      <c r="AC2923" t="s">
        <v>27</v>
      </c>
      <c r="AD2923" t="s">
        <v>42</v>
      </c>
      <c r="AE2923" t="s">
        <v>25</v>
      </c>
      <c r="AF29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0.37209302325581395</v>
      </c>
      <c r="AG2923" t="s">
        <v>941</v>
      </c>
      <c r="AH2923">
        <v>69.5</v>
      </c>
      <c r="AI2923" t="s">
        <v>939</v>
      </c>
      <c r="AJ2923">
        <v>6</v>
      </c>
      <c r="AK29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MIN(AJ2923/8, 1) +
  Merge1[[#This Row],[index_defensive_effort]],
  2
)</f>
        <v>1.72</v>
      </c>
    </row>
    <row r="2924" spans="1:37" x14ac:dyDescent="0.25">
      <c r="A2924" t="s">
        <v>768</v>
      </c>
      <c r="B2924" t="s">
        <v>769</v>
      </c>
      <c r="C2924">
        <v>23</v>
      </c>
      <c r="D2924" t="s">
        <v>56</v>
      </c>
      <c r="E2924">
        <v>72</v>
      </c>
      <c r="F2924">
        <v>195</v>
      </c>
      <c r="G2924" t="s">
        <v>23</v>
      </c>
      <c r="H2924">
        <v>2020</v>
      </c>
      <c r="I2924" t="s">
        <v>24</v>
      </c>
      <c r="J2924">
        <v>20</v>
      </c>
      <c r="K2924">
        <v>7</v>
      </c>
      <c r="L2924">
        <v>1</v>
      </c>
      <c r="M2924">
        <v>1</v>
      </c>
      <c r="N2924">
        <v>2</v>
      </c>
      <c r="O2924">
        <v>0</v>
      </c>
      <c r="P2924">
        <v>0</v>
      </c>
      <c r="Q2924">
        <v>2</v>
      </c>
      <c r="R2924">
        <v>0</v>
      </c>
      <c r="S2924">
        <v>72</v>
      </c>
      <c r="T2924">
        <v>71</v>
      </c>
      <c r="U2924" s="5">
        <f>IF(Merge1[[#This Row],[team_defense_snaps]]=0, "", Merge1[[#This Row],[defense_snaps]] / Merge1[[#This Row],[team_defense_snaps]])</f>
        <v>1</v>
      </c>
      <c r="V2924">
        <v>71</v>
      </c>
      <c r="W2924">
        <v>1</v>
      </c>
      <c r="X2924" s="5" t="s">
        <v>193</v>
      </c>
      <c r="Y2924">
        <v>1</v>
      </c>
      <c r="Z2924">
        <v>0</v>
      </c>
      <c r="AA2924" t="s">
        <v>25</v>
      </c>
      <c r="AB2924" t="s">
        <v>26</v>
      </c>
      <c r="AC2924" t="s">
        <v>27</v>
      </c>
      <c r="AD2924" t="s">
        <v>42</v>
      </c>
      <c r="AE2924" t="s">
        <v>25</v>
      </c>
      <c r="AF29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0.22222222222222221</v>
      </c>
      <c r="AG2924" t="s">
        <v>941</v>
      </c>
      <c r="AH2924">
        <v>66</v>
      </c>
      <c r="AI2924" t="s">
        <v>939</v>
      </c>
      <c r="AJ2924">
        <v>7</v>
      </c>
      <c r="AK29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MIN(AJ2924/8, 1) +
  Merge1[[#This Row],[index_defensive_effort]],
  2
)</f>
        <v>1.7</v>
      </c>
    </row>
    <row r="2925" spans="1:37" x14ac:dyDescent="0.25">
      <c r="A2925" t="s">
        <v>768</v>
      </c>
      <c r="B2925" t="s">
        <v>769</v>
      </c>
      <c r="C2925">
        <v>23</v>
      </c>
      <c r="D2925" t="s">
        <v>56</v>
      </c>
      <c r="E2925">
        <v>72</v>
      </c>
      <c r="F2925">
        <v>195</v>
      </c>
      <c r="G2925" t="s">
        <v>23</v>
      </c>
      <c r="H2925">
        <v>2020</v>
      </c>
      <c r="I2925" t="s">
        <v>24</v>
      </c>
      <c r="J2925">
        <v>21</v>
      </c>
      <c r="K2925">
        <v>3</v>
      </c>
      <c r="L2925">
        <v>3</v>
      </c>
      <c r="M2925">
        <v>0</v>
      </c>
      <c r="N2925">
        <v>3</v>
      </c>
      <c r="O2925">
        <v>0</v>
      </c>
      <c r="P2925">
        <v>1</v>
      </c>
      <c r="Q2925">
        <v>0</v>
      </c>
      <c r="R2925">
        <v>0</v>
      </c>
      <c r="S2925">
        <v>6</v>
      </c>
      <c r="T2925">
        <v>0</v>
      </c>
      <c r="U2925" s="5" t="str">
        <f>IF(Merge1[[#This Row],[team_defense_snaps]]=0, "", Merge1[[#This Row],[defense_snaps]] / Merge1[[#This Row],[team_defense_snaps]])</f>
        <v/>
      </c>
      <c r="V2925">
        <v>0</v>
      </c>
      <c r="W2925">
        <v>6</v>
      </c>
      <c r="X2925" s="5" t="s">
        <v>139</v>
      </c>
      <c r="Y2925">
        <v>1</v>
      </c>
      <c r="Z2925">
        <v>0</v>
      </c>
      <c r="AA2925" t="s">
        <v>25</v>
      </c>
      <c r="AB2925" t="s">
        <v>26</v>
      </c>
      <c r="AC2925" t="s">
        <v>27</v>
      </c>
      <c r="AD2925" t="s">
        <v>42</v>
      </c>
      <c r="AE2925" t="s">
        <v>25</v>
      </c>
      <c r="AF29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2925" t="s">
        <v>941</v>
      </c>
      <c r="AH2925">
        <v>66</v>
      </c>
      <c r="AI2925" t="s">
        <v>939</v>
      </c>
      <c r="AJ2925">
        <v>8</v>
      </c>
      <c r="AK29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MIN(AJ2925/8, 1) +
  Merge1[[#This Row],[index_defensive_effort]],
  2
)</f>
        <v>2.6</v>
      </c>
    </row>
    <row r="2926" spans="1:37" x14ac:dyDescent="0.25">
      <c r="A2926" t="s">
        <v>896</v>
      </c>
      <c r="B2926" t="s">
        <v>897</v>
      </c>
      <c r="C2926">
        <v>25</v>
      </c>
      <c r="D2926" t="s">
        <v>56</v>
      </c>
      <c r="E2926">
        <v>72</v>
      </c>
      <c r="F2926">
        <v>202</v>
      </c>
      <c r="G2926" t="s">
        <v>330</v>
      </c>
      <c r="H2926">
        <v>2020</v>
      </c>
      <c r="I2926" t="s">
        <v>33</v>
      </c>
      <c r="J2926">
        <v>1</v>
      </c>
      <c r="K2926">
        <v>4</v>
      </c>
      <c r="L2926">
        <v>3</v>
      </c>
      <c r="M2926">
        <v>0</v>
      </c>
      <c r="N2926">
        <v>3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 s="5">
        <f>IF(Merge1[[#This Row],[team_defense_snaps]]=0, "", Merge1[[#This Row],[defense_snaps]] / Merge1[[#This Row],[team_defense_snaps]])</f>
        <v>0</v>
      </c>
      <c r="V2926">
        <v>80</v>
      </c>
      <c r="W2926">
        <v>0</v>
      </c>
      <c r="X2926" s="5">
        <v>0</v>
      </c>
      <c r="Y2926">
        <v>3</v>
      </c>
      <c r="Z2926">
        <v>0</v>
      </c>
      <c r="AA2926" t="s">
        <v>25</v>
      </c>
      <c r="AB2926" t="s">
        <v>26</v>
      </c>
      <c r="AC2926" t="s">
        <v>27</v>
      </c>
      <c r="AD2926" t="s">
        <v>42</v>
      </c>
      <c r="AE2926" t="s">
        <v>25</v>
      </c>
      <c r="AF29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926" t="s">
        <v>942</v>
      </c>
      <c r="AH2926">
        <v>70</v>
      </c>
      <c r="AI2926" t="s">
        <v>27</v>
      </c>
      <c r="AJ2926">
        <v>1</v>
      </c>
      <c r="AK29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MIN(AJ2926/8, 1) +
  Merge1[[#This Row],[index_defensive_effort]],
  2
)</f>
        <v>0.63</v>
      </c>
    </row>
    <row r="2927" spans="1:37" x14ac:dyDescent="0.25">
      <c r="A2927" t="s">
        <v>896</v>
      </c>
      <c r="B2927" t="s">
        <v>897</v>
      </c>
      <c r="C2927">
        <v>25</v>
      </c>
      <c r="D2927" t="s">
        <v>56</v>
      </c>
      <c r="E2927">
        <v>72</v>
      </c>
      <c r="F2927">
        <v>202</v>
      </c>
      <c r="G2927" t="s">
        <v>330</v>
      </c>
      <c r="H2927">
        <v>2020</v>
      </c>
      <c r="I2927" t="s">
        <v>33</v>
      </c>
      <c r="J2927">
        <v>2</v>
      </c>
      <c r="K2927">
        <v>3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 s="5">
        <f>IF(Merge1[[#This Row],[team_defense_snaps]]=0, "", Merge1[[#This Row],[defense_snaps]] / Merge1[[#This Row],[team_defense_snaps]])</f>
        <v>0</v>
      </c>
      <c r="V2927">
        <v>72</v>
      </c>
      <c r="W2927">
        <v>0</v>
      </c>
      <c r="X2927" s="5">
        <v>0</v>
      </c>
      <c r="Y2927">
        <v>3</v>
      </c>
      <c r="Z2927">
        <v>0</v>
      </c>
      <c r="AA2927" t="s">
        <v>25</v>
      </c>
      <c r="AB2927" t="s">
        <v>26</v>
      </c>
      <c r="AC2927" t="s">
        <v>27</v>
      </c>
      <c r="AD2927" t="s">
        <v>42</v>
      </c>
      <c r="AE2927" t="s">
        <v>25</v>
      </c>
      <c r="AF29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927" t="s">
        <v>942</v>
      </c>
      <c r="AH2927">
        <v>68.5</v>
      </c>
      <c r="AI2927" t="s">
        <v>27</v>
      </c>
      <c r="AJ2927">
        <v>2</v>
      </c>
      <c r="AK29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MIN(AJ2927/8, 1) +
  Merge1[[#This Row],[index_defensive_effort]],
  2
)</f>
        <v>0.75</v>
      </c>
    </row>
    <row r="2928" spans="1:37" x14ac:dyDescent="0.25">
      <c r="A2928" t="s">
        <v>896</v>
      </c>
      <c r="B2928" t="s">
        <v>897</v>
      </c>
      <c r="C2928">
        <v>25</v>
      </c>
      <c r="D2928" t="s">
        <v>56</v>
      </c>
      <c r="E2928">
        <v>72</v>
      </c>
      <c r="F2928">
        <v>202</v>
      </c>
      <c r="G2928" t="s">
        <v>330</v>
      </c>
      <c r="H2928">
        <v>2020</v>
      </c>
      <c r="I2928" t="s">
        <v>33</v>
      </c>
      <c r="J2928">
        <v>3</v>
      </c>
      <c r="K2928">
        <v>13</v>
      </c>
      <c r="L2928">
        <v>0</v>
      </c>
      <c r="M2928">
        <v>0</v>
      </c>
      <c r="N2928">
        <v>0</v>
      </c>
      <c r="O2928">
        <v>0</v>
      </c>
      <c r="P2928">
        <v>4</v>
      </c>
      <c r="Q2928">
        <v>2</v>
      </c>
      <c r="R2928">
        <v>0</v>
      </c>
      <c r="S2928">
        <v>0</v>
      </c>
      <c r="T2928">
        <v>0</v>
      </c>
      <c r="U2928" s="5">
        <f>IF(Merge1[[#This Row],[team_defense_snaps]]=0, "", Merge1[[#This Row],[defense_snaps]] / Merge1[[#This Row],[team_defense_snaps]])</f>
        <v>0</v>
      </c>
      <c r="V2928">
        <v>83</v>
      </c>
      <c r="W2928">
        <v>0</v>
      </c>
      <c r="X2928" s="5">
        <v>0</v>
      </c>
      <c r="Y2928">
        <v>3</v>
      </c>
      <c r="Z2928">
        <v>0</v>
      </c>
      <c r="AA2928" t="s">
        <v>25</v>
      </c>
      <c r="AB2928" t="s">
        <v>26</v>
      </c>
      <c r="AC2928" t="s">
        <v>27</v>
      </c>
      <c r="AD2928" t="s">
        <v>42</v>
      </c>
      <c r="AE2928" t="s">
        <v>25</v>
      </c>
      <c r="AF29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928" t="s">
        <v>942</v>
      </c>
      <c r="AH2928">
        <v>67</v>
      </c>
      <c r="AI2928" t="s">
        <v>27</v>
      </c>
      <c r="AJ2928">
        <v>3</v>
      </c>
      <c r="AK29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MIN(AJ2928/8, 1) +
  Merge1[[#This Row],[index_defensive_effort]],
  2
)</f>
        <v>0.88</v>
      </c>
    </row>
    <row r="2929" spans="1:37" x14ac:dyDescent="0.25">
      <c r="A2929" t="s">
        <v>896</v>
      </c>
      <c r="B2929" t="s">
        <v>897</v>
      </c>
      <c r="C2929">
        <v>25</v>
      </c>
      <c r="D2929" t="s">
        <v>56</v>
      </c>
      <c r="E2929">
        <v>72</v>
      </c>
      <c r="F2929">
        <v>202</v>
      </c>
      <c r="G2929" t="s">
        <v>330</v>
      </c>
      <c r="H2929">
        <v>2020</v>
      </c>
      <c r="I2929" t="s">
        <v>33</v>
      </c>
      <c r="J2929">
        <v>4</v>
      </c>
      <c r="K2929">
        <v>2</v>
      </c>
      <c r="L2929">
        <v>1</v>
      </c>
      <c r="M2929">
        <v>0</v>
      </c>
      <c r="N2929">
        <v>1</v>
      </c>
      <c r="O2929">
        <v>0</v>
      </c>
      <c r="P2929">
        <v>0</v>
      </c>
      <c r="Q2929">
        <v>2</v>
      </c>
      <c r="R2929">
        <v>0</v>
      </c>
      <c r="S2929">
        <v>0</v>
      </c>
      <c r="T2929">
        <v>0</v>
      </c>
      <c r="U2929" s="5">
        <f>IF(Merge1[[#This Row],[team_defense_snaps]]=0, "", Merge1[[#This Row],[defense_snaps]] / Merge1[[#This Row],[team_defense_snaps]])</f>
        <v>0</v>
      </c>
      <c r="V2929">
        <v>71</v>
      </c>
      <c r="W2929">
        <v>0</v>
      </c>
      <c r="X2929" s="5">
        <v>0</v>
      </c>
      <c r="Y2929">
        <v>3</v>
      </c>
      <c r="Z2929">
        <v>0</v>
      </c>
      <c r="AA2929" t="s">
        <v>25</v>
      </c>
      <c r="AB2929" t="s">
        <v>36</v>
      </c>
      <c r="AC2929" t="s">
        <v>188</v>
      </c>
      <c r="AD2929" t="s">
        <v>42</v>
      </c>
      <c r="AE2929" t="s">
        <v>25</v>
      </c>
      <c r="AF29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929" t="s">
        <v>942</v>
      </c>
      <c r="AH2929">
        <v>65.5</v>
      </c>
      <c r="AI2929" t="s">
        <v>939</v>
      </c>
      <c r="AJ2929">
        <v>4</v>
      </c>
      <c r="AK29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MIN(AJ2929/8, 1) +
  Merge1[[#This Row],[index_defensive_effort]],
  2
)</f>
        <v>1</v>
      </c>
    </row>
    <row r="2930" spans="1:37" x14ac:dyDescent="0.25">
      <c r="A2930" t="s">
        <v>896</v>
      </c>
      <c r="B2930" t="s">
        <v>897</v>
      </c>
      <c r="C2930">
        <v>25</v>
      </c>
      <c r="D2930" t="s">
        <v>56</v>
      </c>
      <c r="E2930">
        <v>72</v>
      </c>
      <c r="F2930">
        <v>202</v>
      </c>
      <c r="G2930" t="s">
        <v>330</v>
      </c>
      <c r="H2930">
        <v>2020</v>
      </c>
      <c r="I2930" t="s">
        <v>33</v>
      </c>
      <c r="J2930">
        <v>5</v>
      </c>
      <c r="K2930">
        <v>7</v>
      </c>
      <c r="L2930">
        <v>1</v>
      </c>
      <c r="M2930">
        <v>1</v>
      </c>
      <c r="N2930">
        <v>2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 s="5">
        <f>IF(Merge1[[#This Row],[team_defense_snaps]]=0, "", Merge1[[#This Row],[defense_snaps]] / Merge1[[#This Row],[team_defense_snaps]])</f>
        <v>0</v>
      </c>
      <c r="V2930">
        <v>88</v>
      </c>
      <c r="W2930">
        <v>0</v>
      </c>
      <c r="X2930" s="5">
        <v>0</v>
      </c>
      <c r="Y2930">
        <v>3</v>
      </c>
      <c r="Z2930">
        <v>0</v>
      </c>
      <c r="AA2930" t="s">
        <v>25</v>
      </c>
      <c r="AB2930" t="s">
        <v>26</v>
      </c>
      <c r="AC2930" t="s">
        <v>27</v>
      </c>
      <c r="AD2930" t="s">
        <v>42</v>
      </c>
      <c r="AE2930" t="s">
        <v>25</v>
      </c>
      <c r="AF29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930" t="s">
        <v>942</v>
      </c>
      <c r="AH2930">
        <v>64</v>
      </c>
      <c r="AI2930" t="s">
        <v>27</v>
      </c>
      <c r="AJ2930">
        <v>5</v>
      </c>
      <c r="AK29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MIN(AJ2930/8, 1) +
  Merge1[[#This Row],[index_defensive_effort]],
  2
)</f>
        <v>1.1299999999999999</v>
      </c>
    </row>
    <row r="2931" spans="1:37" x14ac:dyDescent="0.25">
      <c r="A2931" t="s">
        <v>896</v>
      </c>
      <c r="B2931" t="s">
        <v>897</v>
      </c>
      <c r="C2931">
        <v>25</v>
      </c>
      <c r="D2931" t="s">
        <v>56</v>
      </c>
      <c r="E2931">
        <v>72</v>
      </c>
      <c r="F2931">
        <v>202</v>
      </c>
      <c r="G2931" t="s">
        <v>330</v>
      </c>
      <c r="H2931">
        <v>2020</v>
      </c>
      <c r="I2931" t="s">
        <v>33</v>
      </c>
      <c r="J2931">
        <v>7</v>
      </c>
      <c r="K2931">
        <v>3</v>
      </c>
      <c r="L2931">
        <v>1</v>
      </c>
      <c r="M2931">
        <v>0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 s="5">
        <f>IF(Merge1[[#This Row],[team_defense_snaps]]=0, "", Merge1[[#This Row],[defense_snaps]] / Merge1[[#This Row],[team_defense_snaps]])</f>
        <v>0</v>
      </c>
      <c r="V2931">
        <v>84</v>
      </c>
      <c r="W2931">
        <v>0</v>
      </c>
      <c r="X2931" s="5">
        <v>0</v>
      </c>
      <c r="Y2931">
        <v>3</v>
      </c>
      <c r="Z2931">
        <v>0</v>
      </c>
      <c r="AA2931" t="s">
        <v>25</v>
      </c>
      <c r="AB2931" t="s">
        <v>26</v>
      </c>
      <c r="AC2931" t="s">
        <v>27</v>
      </c>
      <c r="AD2931" t="s">
        <v>42</v>
      </c>
      <c r="AE2931" t="s">
        <v>25</v>
      </c>
      <c r="AF29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931" t="s">
        <v>942</v>
      </c>
      <c r="AH2931">
        <v>61</v>
      </c>
      <c r="AI2931" t="s">
        <v>27</v>
      </c>
      <c r="AJ2931">
        <v>1</v>
      </c>
      <c r="AK29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MIN(AJ2931/8, 1) +
  Merge1[[#This Row],[index_defensive_effort]],
  2
)</f>
        <v>0.63</v>
      </c>
    </row>
    <row r="2932" spans="1:37" x14ac:dyDescent="0.25">
      <c r="A2932" t="s">
        <v>896</v>
      </c>
      <c r="B2932" t="s">
        <v>897</v>
      </c>
      <c r="C2932">
        <v>25</v>
      </c>
      <c r="D2932" t="s">
        <v>56</v>
      </c>
      <c r="E2932">
        <v>72</v>
      </c>
      <c r="F2932">
        <v>202</v>
      </c>
      <c r="G2932" t="s">
        <v>330</v>
      </c>
      <c r="H2932">
        <v>2020</v>
      </c>
      <c r="I2932" t="s">
        <v>33</v>
      </c>
      <c r="J2932">
        <v>12</v>
      </c>
      <c r="K2932">
        <v>3</v>
      </c>
      <c r="L2932">
        <v>1</v>
      </c>
      <c r="M2932">
        <v>0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 s="5">
        <f>IF(Merge1[[#This Row],[team_defense_snaps]]=0, "", Merge1[[#This Row],[defense_snaps]] / Merge1[[#This Row],[team_defense_snaps]])</f>
        <v>0</v>
      </c>
      <c r="V2932">
        <v>71</v>
      </c>
      <c r="W2932">
        <v>0</v>
      </c>
      <c r="X2932" s="5">
        <v>0</v>
      </c>
      <c r="Y2932">
        <v>3</v>
      </c>
      <c r="Z2932">
        <v>0</v>
      </c>
      <c r="AA2932" t="s">
        <v>25</v>
      </c>
      <c r="AB2932" t="s">
        <v>26</v>
      </c>
      <c r="AC2932" t="s">
        <v>27</v>
      </c>
      <c r="AD2932" t="s">
        <v>42</v>
      </c>
      <c r="AE2932" t="s">
        <v>25</v>
      </c>
      <c r="AF29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932" t="s">
        <v>942</v>
      </c>
      <c r="AH2932">
        <v>53.5</v>
      </c>
      <c r="AI2932" t="s">
        <v>27</v>
      </c>
      <c r="AJ2932">
        <v>1</v>
      </c>
      <c r="AK29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MIN(AJ2932/8, 1) +
  Merge1[[#This Row],[index_defensive_effort]],
  2
)</f>
        <v>0.63</v>
      </c>
    </row>
    <row r="2933" spans="1:37" x14ac:dyDescent="0.25">
      <c r="A2933" t="s">
        <v>896</v>
      </c>
      <c r="B2933" t="s">
        <v>897</v>
      </c>
      <c r="C2933">
        <v>25</v>
      </c>
      <c r="D2933" t="s">
        <v>56</v>
      </c>
      <c r="E2933">
        <v>72</v>
      </c>
      <c r="F2933">
        <v>202</v>
      </c>
      <c r="G2933" t="s">
        <v>330</v>
      </c>
      <c r="H2933">
        <v>2020</v>
      </c>
      <c r="I2933" t="s">
        <v>33</v>
      </c>
      <c r="J2933">
        <v>13</v>
      </c>
      <c r="K2933">
        <v>5</v>
      </c>
      <c r="L2933">
        <v>1</v>
      </c>
      <c r="M2933">
        <v>1</v>
      </c>
      <c r="N2933">
        <v>2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 s="5">
        <f>IF(Merge1[[#This Row],[team_defense_snaps]]=0, "", Merge1[[#This Row],[defense_snaps]] / Merge1[[#This Row],[team_defense_snaps]])</f>
        <v>0</v>
      </c>
      <c r="V2933">
        <v>57</v>
      </c>
      <c r="W2933">
        <v>0</v>
      </c>
      <c r="X2933" s="5">
        <v>0</v>
      </c>
      <c r="Y2933">
        <v>3</v>
      </c>
      <c r="Z2933">
        <v>0</v>
      </c>
      <c r="AA2933" t="s">
        <v>25</v>
      </c>
      <c r="AB2933" t="s">
        <v>26</v>
      </c>
      <c r="AC2933" t="s">
        <v>27</v>
      </c>
      <c r="AD2933" t="s">
        <v>42</v>
      </c>
      <c r="AE2933" t="s">
        <v>25</v>
      </c>
      <c r="AF29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933" t="s">
        <v>942</v>
      </c>
      <c r="AH2933">
        <v>52</v>
      </c>
      <c r="AI2933" t="s">
        <v>27</v>
      </c>
      <c r="AJ2933">
        <v>2</v>
      </c>
      <c r="AK29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MIN(AJ2933/8, 1) +
  Merge1[[#This Row],[index_defensive_effort]],
  2
)</f>
        <v>0.75</v>
      </c>
    </row>
    <row r="2934" spans="1:37" x14ac:dyDescent="0.25">
      <c r="A2934" t="s">
        <v>896</v>
      </c>
      <c r="B2934" t="s">
        <v>897</v>
      </c>
      <c r="C2934">
        <v>25</v>
      </c>
      <c r="D2934" t="s">
        <v>56</v>
      </c>
      <c r="E2934">
        <v>72</v>
      </c>
      <c r="F2934">
        <v>202</v>
      </c>
      <c r="G2934" t="s">
        <v>330</v>
      </c>
      <c r="H2934">
        <v>2020</v>
      </c>
      <c r="I2934" t="s">
        <v>33</v>
      </c>
      <c r="J2934">
        <v>14</v>
      </c>
      <c r="K2934">
        <v>3</v>
      </c>
      <c r="L2934">
        <v>0</v>
      </c>
      <c r="M2934">
        <v>0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 s="5">
        <f>IF(Merge1[[#This Row],[team_defense_snaps]]=0, "", Merge1[[#This Row],[defense_snaps]] / Merge1[[#This Row],[team_defense_snaps]])</f>
        <v>0</v>
      </c>
      <c r="V2934">
        <v>53</v>
      </c>
      <c r="W2934">
        <v>0</v>
      </c>
      <c r="X2934" s="5">
        <v>0</v>
      </c>
      <c r="Y2934">
        <v>3</v>
      </c>
      <c r="Z2934">
        <v>0</v>
      </c>
      <c r="AA2934" t="s">
        <v>25</v>
      </c>
      <c r="AB2934" t="s">
        <v>26</v>
      </c>
      <c r="AC2934" t="s">
        <v>27</v>
      </c>
      <c r="AD2934" t="s">
        <v>42</v>
      </c>
      <c r="AE2934" t="s">
        <v>25</v>
      </c>
      <c r="AF29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934" t="s">
        <v>942</v>
      </c>
      <c r="AH2934">
        <v>50.5</v>
      </c>
      <c r="AI2934" t="s">
        <v>27</v>
      </c>
      <c r="AJ2934">
        <v>3</v>
      </c>
      <c r="AK29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MIN(AJ2934/8, 1) +
  Merge1[[#This Row],[index_defensive_effort]],
  2
)</f>
        <v>0.88</v>
      </c>
    </row>
    <row r="2935" spans="1:37" x14ac:dyDescent="0.25">
      <c r="A2935" t="s">
        <v>896</v>
      </c>
      <c r="B2935" t="s">
        <v>897</v>
      </c>
      <c r="C2935">
        <v>25</v>
      </c>
      <c r="D2935" t="s">
        <v>56</v>
      </c>
      <c r="E2935">
        <v>72</v>
      </c>
      <c r="F2935">
        <v>202</v>
      </c>
      <c r="G2935" t="s">
        <v>330</v>
      </c>
      <c r="H2935">
        <v>2020</v>
      </c>
      <c r="I2935" t="s">
        <v>33</v>
      </c>
      <c r="J2935">
        <v>15</v>
      </c>
      <c r="K2935">
        <v>6</v>
      </c>
      <c r="L2935">
        <v>0</v>
      </c>
      <c r="M2935">
        <v>0</v>
      </c>
      <c r="N2935">
        <v>0</v>
      </c>
      <c r="O2935">
        <v>0</v>
      </c>
      <c r="P2935">
        <v>1</v>
      </c>
      <c r="Q2935">
        <v>2</v>
      </c>
      <c r="R2935">
        <v>0</v>
      </c>
      <c r="S2935">
        <v>0</v>
      </c>
      <c r="T2935">
        <v>0</v>
      </c>
      <c r="U2935" s="5">
        <f>IF(Merge1[[#This Row],[team_defense_snaps]]=0, "", Merge1[[#This Row],[defense_snaps]] / Merge1[[#This Row],[team_defense_snaps]])</f>
        <v>0</v>
      </c>
      <c r="V2935">
        <v>80</v>
      </c>
      <c r="W2935">
        <v>0</v>
      </c>
      <c r="X2935" s="5">
        <v>0</v>
      </c>
      <c r="Y2935">
        <v>3</v>
      </c>
      <c r="Z2935">
        <v>0</v>
      </c>
      <c r="AA2935" t="s">
        <v>25</v>
      </c>
      <c r="AB2935" t="s">
        <v>26</v>
      </c>
      <c r="AC2935" t="s">
        <v>27</v>
      </c>
      <c r="AD2935" t="s">
        <v>42</v>
      </c>
      <c r="AE2935" t="s">
        <v>25</v>
      </c>
      <c r="AF29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935" t="s">
        <v>942</v>
      </c>
      <c r="AH2935">
        <v>49</v>
      </c>
      <c r="AI2935" t="s">
        <v>27</v>
      </c>
      <c r="AJ2935">
        <v>4</v>
      </c>
      <c r="AK29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MIN(AJ2935/8, 1) +
  Merge1[[#This Row],[index_defensive_effort]],
  2
)</f>
        <v>1</v>
      </c>
    </row>
    <row r="2936" spans="1:37" x14ac:dyDescent="0.25">
      <c r="A2936" t="s">
        <v>896</v>
      </c>
      <c r="B2936" t="s">
        <v>897</v>
      </c>
      <c r="C2936">
        <v>25</v>
      </c>
      <c r="D2936" t="s">
        <v>56</v>
      </c>
      <c r="E2936">
        <v>72</v>
      </c>
      <c r="F2936">
        <v>202</v>
      </c>
      <c r="G2936" t="s">
        <v>330</v>
      </c>
      <c r="H2936">
        <v>2020</v>
      </c>
      <c r="I2936" t="s">
        <v>33</v>
      </c>
      <c r="J2936">
        <v>16</v>
      </c>
      <c r="K2936">
        <v>4</v>
      </c>
      <c r="L2936">
        <v>4</v>
      </c>
      <c r="M2936">
        <v>2</v>
      </c>
      <c r="N2936">
        <v>6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 s="5">
        <f>IF(Merge1[[#This Row],[team_defense_snaps]]=0, "", Merge1[[#This Row],[defense_snaps]] / Merge1[[#This Row],[team_defense_snaps]])</f>
        <v>0</v>
      </c>
      <c r="V2936">
        <v>75</v>
      </c>
      <c r="W2936">
        <v>0</v>
      </c>
      <c r="X2936" s="5">
        <v>0</v>
      </c>
      <c r="Y2936">
        <v>3</v>
      </c>
      <c r="Z2936">
        <v>0</v>
      </c>
      <c r="AA2936" t="s">
        <v>25</v>
      </c>
      <c r="AB2936" t="s">
        <v>36</v>
      </c>
      <c r="AC2936" t="s">
        <v>147</v>
      </c>
      <c r="AD2936" t="s">
        <v>42</v>
      </c>
      <c r="AE2936" t="s">
        <v>25</v>
      </c>
      <c r="AF29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936" t="s">
        <v>942</v>
      </c>
      <c r="AH2936">
        <v>47.5</v>
      </c>
      <c r="AI2936" t="s">
        <v>939</v>
      </c>
      <c r="AJ2936">
        <v>5</v>
      </c>
      <c r="AK29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MIN(AJ2936/8, 1) +
  Merge1[[#This Row],[index_defensive_effort]],
  2
)</f>
        <v>1.1299999999999999</v>
      </c>
    </row>
    <row r="2937" spans="1:37" x14ac:dyDescent="0.25">
      <c r="A2937" t="s">
        <v>896</v>
      </c>
      <c r="B2937" t="s">
        <v>897</v>
      </c>
      <c r="C2937">
        <v>25</v>
      </c>
      <c r="D2937" t="s">
        <v>56</v>
      </c>
      <c r="E2937">
        <v>72</v>
      </c>
      <c r="F2937">
        <v>202</v>
      </c>
      <c r="G2937" t="s">
        <v>330</v>
      </c>
      <c r="H2937">
        <v>2020</v>
      </c>
      <c r="I2937" t="s">
        <v>33</v>
      </c>
      <c r="J2937">
        <v>17</v>
      </c>
      <c r="K2937">
        <v>6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 s="5">
        <f>IF(Merge1[[#This Row],[team_defense_snaps]]=0, "", Merge1[[#This Row],[defense_snaps]] / Merge1[[#This Row],[team_defense_snaps]])</f>
        <v>0</v>
      </c>
      <c r="V2937">
        <v>67</v>
      </c>
      <c r="W2937">
        <v>0</v>
      </c>
      <c r="X2937" s="5">
        <v>0</v>
      </c>
      <c r="Y2937">
        <v>3</v>
      </c>
      <c r="Z2937">
        <v>0</v>
      </c>
      <c r="AA2937" t="s">
        <v>25</v>
      </c>
      <c r="AB2937" t="s">
        <v>26</v>
      </c>
      <c r="AC2937" t="s">
        <v>27</v>
      </c>
      <c r="AD2937" t="s">
        <v>42</v>
      </c>
      <c r="AE2937" t="s">
        <v>25</v>
      </c>
      <c r="AF29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937" t="s">
        <v>942</v>
      </c>
      <c r="AH2937">
        <v>46</v>
      </c>
      <c r="AI2937" t="s">
        <v>27</v>
      </c>
      <c r="AJ2937">
        <v>6</v>
      </c>
      <c r="AK29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MIN(AJ2937/8, 1) +
  Merge1[[#This Row],[index_defensive_effort]],
  2
)</f>
        <v>1.25</v>
      </c>
    </row>
    <row r="2938" spans="1:37" x14ac:dyDescent="0.25">
      <c r="A2938" t="s">
        <v>896</v>
      </c>
      <c r="B2938" t="s">
        <v>897</v>
      </c>
      <c r="C2938">
        <v>25</v>
      </c>
      <c r="D2938" t="s">
        <v>56</v>
      </c>
      <c r="E2938">
        <v>72</v>
      </c>
      <c r="F2938">
        <v>202</v>
      </c>
      <c r="G2938" t="s">
        <v>330</v>
      </c>
      <c r="H2938">
        <v>2020</v>
      </c>
      <c r="I2938" t="s">
        <v>24</v>
      </c>
      <c r="J2938">
        <v>18</v>
      </c>
      <c r="K2938">
        <v>1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 s="5">
        <f>IF(Merge1[[#This Row],[team_defense_snaps]]=0, "", Merge1[[#This Row],[defense_snaps]] / Merge1[[#This Row],[team_defense_snaps]])</f>
        <v>0</v>
      </c>
      <c r="V2938">
        <v>71</v>
      </c>
      <c r="W2938">
        <v>0</v>
      </c>
      <c r="X2938" s="5">
        <v>0</v>
      </c>
      <c r="Y2938">
        <v>3</v>
      </c>
      <c r="Z2938">
        <v>0</v>
      </c>
      <c r="AA2938" t="s">
        <v>25</v>
      </c>
      <c r="AB2938" t="s">
        <v>36</v>
      </c>
      <c r="AC2938" t="s">
        <v>188</v>
      </c>
      <c r="AD2938" t="s">
        <v>42</v>
      </c>
      <c r="AE2938" t="s">
        <v>25</v>
      </c>
      <c r="AF29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938" t="s">
        <v>942</v>
      </c>
      <c r="AH2938">
        <v>50</v>
      </c>
      <c r="AI2938" t="s">
        <v>939</v>
      </c>
      <c r="AJ2938">
        <v>7</v>
      </c>
      <c r="AK29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MIN(AJ2938/8, 1) +
  Merge1[[#This Row],[index_defensive_effort]],
  2
)</f>
        <v>1.58</v>
      </c>
    </row>
    <row r="2939" spans="1:37" x14ac:dyDescent="0.25">
      <c r="A2939" t="s">
        <v>772</v>
      </c>
      <c r="B2939" t="s">
        <v>773</v>
      </c>
      <c r="C2939">
        <v>29</v>
      </c>
      <c r="D2939" t="s">
        <v>22</v>
      </c>
      <c r="E2939">
        <v>72</v>
      </c>
      <c r="F2939">
        <v>198</v>
      </c>
      <c r="G2939" t="s">
        <v>173</v>
      </c>
      <c r="H2939">
        <v>2020</v>
      </c>
      <c r="I2939" t="s">
        <v>33</v>
      </c>
      <c r="J2939">
        <v>4</v>
      </c>
      <c r="K2939">
        <v>1</v>
      </c>
      <c r="L2939">
        <v>2</v>
      </c>
      <c r="M2939">
        <v>2</v>
      </c>
      <c r="N2939">
        <v>4</v>
      </c>
      <c r="O2939">
        <v>0</v>
      </c>
      <c r="P2939">
        <v>0</v>
      </c>
      <c r="Q2939">
        <v>0</v>
      </c>
      <c r="R2939">
        <v>0</v>
      </c>
      <c r="S2939">
        <v>53</v>
      </c>
      <c r="T2939">
        <v>42</v>
      </c>
      <c r="U2939" s="5">
        <f>IF(Merge1[[#This Row],[team_defense_snaps]]=0, "", Merge1[[#This Row],[defense_snaps]] / Merge1[[#This Row],[team_defense_snaps]])</f>
        <v>0.65625</v>
      </c>
      <c r="V2939">
        <v>64</v>
      </c>
      <c r="W2939">
        <v>11</v>
      </c>
      <c r="X2939" s="5" t="s">
        <v>200</v>
      </c>
      <c r="Y2939">
        <v>4</v>
      </c>
      <c r="Z2939">
        <v>0</v>
      </c>
      <c r="AA2939" t="s">
        <v>25</v>
      </c>
      <c r="AB2939" t="s">
        <v>26</v>
      </c>
      <c r="AC2939" t="s">
        <v>27</v>
      </c>
      <c r="AD2939" t="s">
        <v>28</v>
      </c>
      <c r="AE2939" t="s">
        <v>25</v>
      </c>
      <c r="AF29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5.6603773584905662E-2</v>
      </c>
      <c r="AG2939" t="s">
        <v>942</v>
      </c>
      <c r="AH2939">
        <v>55.5</v>
      </c>
      <c r="AI2939" t="s">
        <v>939</v>
      </c>
      <c r="AJ2939">
        <v>1</v>
      </c>
      <c r="AK29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MIN(AJ2939/8, 1) +
  Merge1[[#This Row],[index_defensive_effort]],
  2
)</f>
        <v>0.68</v>
      </c>
    </row>
    <row r="2940" spans="1:37" x14ac:dyDescent="0.25">
      <c r="A2940" t="s">
        <v>772</v>
      </c>
      <c r="B2940" t="s">
        <v>773</v>
      </c>
      <c r="C2940">
        <v>29</v>
      </c>
      <c r="D2940" t="s">
        <v>22</v>
      </c>
      <c r="E2940">
        <v>72</v>
      </c>
      <c r="F2940">
        <v>198</v>
      </c>
      <c r="G2940" t="s">
        <v>173</v>
      </c>
      <c r="H2940">
        <v>2020</v>
      </c>
      <c r="I2940" t="s">
        <v>33</v>
      </c>
      <c r="J2940">
        <v>7</v>
      </c>
      <c r="K2940">
        <v>2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25</v>
      </c>
      <c r="T2940">
        <v>6</v>
      </c>
      <c r="U2940" s="5">
        <f>IF(Merge1[[#This Row],[team_defense_snaps]]=0, "", Merge1[[#This Row],[defense_snaps]] / Merge1[[#This Row],[team_defense_snaps]])</f>
        <v>9.8360655737704916E-2</v>
      </c>
      <c r="V2940">
        <v>61</v>
      </c>
      <c r="W2940">
        <v>19</v>
      </c>
      <c r="X2940" s="5" t="s">
        <v>103</v>
      </c>
      <c r="Y2940">
        <v>4</v>
      </c>
      <c r="Z2940">
        <v>0</v>
      </c>
      <c r="AA2940" t="s">
        <v>25</v>
      </c>
      <c r="AB2940" t="s">
        <v>26</v>
      </c>
      <c r="AC2940" t="s">
        <v>27</v>
      </c>
      <c r="AD2940" t="s">
        <v>28</v>
      </c>
      <c r="AE2940" t="s">
        <v>25</v>
      </c>
      <c r="AF29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0.08</v>
      </c>
      <c r="AG2940" t="s">
        <v>942</v>
      </c>
      <c r="AH2940">
        <v>73.5</v>
      </c>
      <c r="AI2940" t="s">
        <v>939</v>
      </c>
      <c r="AJ2940">
        <v>1</v>
      </c>
      <c r="AK29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MIN(AJ2940/8, 1) +
  Merge1[[#This Row],[index_defensive_effort]],
  2
)</f>
        <v>0.71</v>
      </c>
    </row>
    <row r="2941" spans="1:37" x14ac:dyDescent="0.25">
      <c r="A2941" t="s">
        <v>772</v>
      </c>
      <c r="B2941" t="s">
        <v>773</v>
      </c>
      <c r="C2941">
        <v>29</v>
      </c>
      <c r="D2941" t="s">
        <v>22</v>
      </c>
      <c r="E2941">
        <v>72</v>
      </c>
      <c r="F2941">
        <v>198</v>
      </c>
      <c r="G2941" t="s">
        <v>173</v>
      </c>
      <c r="H2941">
        <v>2020</v>
      </c>
      <c r="I2941" t="s">
        <v>33</v>
      </c>
      <c r="J2941">
        <v>9</v>
      </c>
      <c r="K2941">
        <v>1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22</v>
      </c>
      <c r="T2941">
        <v>1</v>
      </c>
      <c r="U2941" s="5">
        <f>IF(Merge1[[#This Row],[team_defense_snaps]]=0, "", Merge1[[#This Row],[defense_snaps]] / Merge1[[#This Row],[team_defense_snaps]])</f>
        <v>0.01</v>
      </c>
      <c r="V2941">
        <v>100</v>
      </c>
      <c r="W2941">
        <v>21</v>
      </c>
      <c r="X2941" s="5" t="s">
        <v>80</v>
      </c>
      <c r="Y2941">
        <v>4</v>
      </c>
      <c r="Z2941">
        <v>0</v>
      </c>
      <c r="AA2941" t="s">
        <v>25</v>
      </c>
      <c r="AB2941" t="s">
        <v>26</v>
      </c>
      <c r="AC2941" t="s">
        <v>27</v>
      </c>
      <c r="AD2941" t="s">
        <v>28</v>
      </c>
      <c r="AE2941" t="s">
        <v>25</v>
      </c>
      <c r="AF29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G2941" t="s">
        <v>942</v>
      </c>
      <c r="AH2941">
        <v>66</v>
      </c>
      <c r="AI2941" t="s">
        <v>939</v>
      </c>
      <c r="AJ2941">
        <v>1</v>
      </c>
      <c r="AK29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MIN(AJ2941/8, 1) +
  Merge1[[#This Row],[index_defensive_effort]],
  2
)</f>
        <v>0.67</v>
      </c>
    </row>
    <row r="2942" spans="1:37" x14ac:dyDescent="0.25">
      <c r="A2942" t="s">
        <v>772</v>
      </c>
      <c r="B2942" t="s">
        <v>773</v>
      </c>
      <c r="C2942">
        <v>29</v>
      </c>
      <c r="D2942" t="s">
        <v>22</v>
      </c>
      <c r="E2942">
        <v>72</v>
      </c>
      <c r="F2942">
        <v>198</v>
      </c>
      <c r="G2942" t="s">
        <v>173</v>
      </c>
      <c r="H2942">
        <v>2020</v>
      </c>
      <c r="I2942" t="s">
        <v>33</v>
      </c>
      <c r="J2942">
        <v>12</v>
      </c>
      <c r="K2942">
        <v>1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40</v>
      </c>
      <c r="T2942">
        <v>18</v>
      </c>
      <c r="U2942" s="5">
        <f>IF(Merge1[[#This Row],[team_defense_snaps]]=0, "", Merge1[[#This Row],[defense_snaps]] / Merge1[[#This Row],[team_defense_snaps]])</f>
        <v>0.2857142857142857</v>
      </c>
      <c r="V2942">
        <v>63</v>
      </c>
      <c r="W2942">
        <v>22</v>
      </c>
      <c r="X2942" s="5" t="s">
        <v>83</v>
      </c>
      <c r="Y2942">
        <v>4</v>
      </c>
      <c r="Z2942">
        <v>0</v>
      </c>
      <c r="AA2942" t="s">
        <v>25</v>
      </c>
      <c r="AB2942" t="s">
        <v>26</v>
      </c>
      <c r="AC2942" t="s">
        <v>27</v>
      </c>
      <c r="AD2942" t="s">
        <v>28</v>
      </c>
      <c r="AE2942" t="s">
        <v>25</v>
      </c>
      <c r="AF29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2.5000000000000001E-2</v>
      </c>
      <c r="AG2942" t="s">
        <v>942</v>
      </c>
      <c r="AH2942">
        <v>60</v>
      </c>
      <c r="AI2942" t="s">
        <v>939</v>
      </c>
      <c r="AJ2942">
        <v>1</v>
      </c>
      <c r="AK29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MIN(AJ2942/8, 1) +
  Merge1[[#This Row],[index_defensive_effort]],
  2
)</f>
        <v>0.65</v>
      </c>
    </row>
    <row r="2943" spans="1:37" x14ac:dyDescent="0.25">
      <c r="A2943" t="s">
        <v>772</v>
      </c>
      <c r="B2943" t="s">
        <v>773</v>
      </c>
      <c r="C2943">
        <v>29</v>
      </c>
      <c r="D2943" t="s">
        <v>22</v>
      </c>
      <c r="E2943">
        <v>72</v>
      </c>
      <c r="F2943">
        <v>198</v>
      </c>
      <c r="G2943" t="s">
        <v>173</v>
      </c>
      <c r="H2943">
        <v>2020</v>
      </c>
      <c r="I2943" t="s">
        <v>33</v>
      </c>
      <c r="J2943">
        <v>13</v>
      </c>
      <c r="K2943">
        <v>1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48</v>
      </c>
      <c r="T2943">
        <v>31</v>
      </c>
      <c r="U2943" s="5">
        <f>IF(Merge1[[#This Row],[team_defense_snaps]]=0, "", Merge1[[#This Row],[defense_snaps]] / Merge1[[#This Row],[team_defense_snaps]])</f>
        <v>0.39743589743589741</v>
      </c>
      <c r="V2943">
        <v>78</v>
      </c>
      <c r="W2943">
        <v>17</v>
      </c>
      <c r="X2943" s="5" t="s">
        <v>281</v>
      </c>
      <c r="Y2943">
        <v>4</v>
      </c>
      <c r="Z2943">
        <v>0</v>
      </c>
      <c r="AA2943" t="s">
        <v>25</v>
      </c>
      <c r="AB2943" t="s">
        <v>26</v>
      </c>
      <c r="AC2943" t="s">
        <v>27</v>
      </c>
      <c r="AD2943" t="s">
        <v>28</v>
      </c>
      <c r="AE2943" t="s">
        <v>25</v>
      </c>
      <c r="AF29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2.0833333333333332E-2</v>
      </c>
      <c r="AG2943" t="s">
        <v>942</v>
      </c>
      <c r="AH2943">
        <v>54</v>
      </c>
      <c r="AI2943" t="s">
        <v>939</v>
      </c>
      <c r="AJ2943">
        <v>2</v>
      </c>
      <c r="AK29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MIN(AJ2943/8, 1) +
  Merge1[[#This Row],[index_defensive_effort]],
  2
)</f>
        <v>0.77</v>
      </c>
    </row>
    <row r="2944" spans="1:37" x14ac:dyDescent="0.25">
      <c r="A2944" t="s">
        <v>772</v>
      </c>
      <c r="B2944" t="s">
        <v>773</v>
      </c>
      <c r="C2944">
        <v>29</v>
      </c>
      <c r="D2944" t="s">
        <v>22</v>
      </c>
      <c r="E2944">
        <v>72</v>
      </c>
      <c r="F2944">
        <v>198</v>
      </c>
      <c r="G2944" t="s">
        <v>173</v>
      </c>
      <c r="H2944">
        <v>2020</v>
      </c>
      <c r="I2944" t="s">
        <v>33</v>
      </c>
      <c r="J2944">
        <v>14</v>
      </c>
      <c r="K2944">
        <v>3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80</v>
      </c>
      <c r="T2944">
        <v>73</v>
      </c>
      <c r="U2944" s="5">
        <f>IF(Merge1[[#This Row],[team_defense_snaps]]=0, "", Merge1[[#This Row],[defense_snaps]] / Merge1[[#This Row],[team_defense_snaps]])</f>
        <v>1</v>
      </c>
      <c r="V2944">
        <v>73</v>
      </c>
      <c r="W2944">
        <v>7</v>
      </c>
      <c r="X2944" s="5" t="s">
        <v>123</v>
      </c>
      <c r="Y2944">
        <v>4</v>
      </c>
      <c r="Z2944">
        <v>0</v>
      </c>
      <c r="AA2944" t="s">
        <v>25</v>
      </c>
      <c r="AB2944" t="s">
        <v>26</v>
      </c>
      <c r="AC2944" t="s">
        <v>27</v>
      </c>
      <c r="AD2944" t="s">
        <v>42</v>
      </c>
      <c r="AE2944" t="s">
        <v>25</v>
      </c>
      <c r="AF29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3.7499999999999999E-2</v>
      </c>
      <c r="AG2944" t="s">
        <v>942</v>
      </c>
      <c r="AH2944">
        <v>58.5</v>
      </c>
      <c r="AI2944" t="s">
        <v>939</v>
      </c>
      <c r="AJ2944">
        <v>3</v>
      </c>
      <c r="AK29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MIN(AJ2944/8, 1) +
  Merge1[[#This Row],[index_defensive_effort]],
  2
)</f>
        <v>0.91</v>
      </c>
    </row>
    <row r="2945" spans="1:37" x14ac:dyDescent="0.25">
      <c r="A2945" t="s">
        <v>772</v>
      </c>
      <c r="B2945" t="s">
        <v>773</v>
      </c>
      <c r="C2945">
        <v>29</v>
      </c>
      <c r="D2945" t="s">
        <v>22</v>
      </c>
      <c r="E2945">
        <v>72</v>
      </c>
      <c r="F2945">
        <v>198</v>
      </c>
      <c r="G2945" t="s">
        <v>173</v>
      </c>
      <c r="H2945">
        <v>2020</v>
      </c>
      <c r="I2945" t="s">
        <v>33</v>
      </c>
      <c r="J2945">
        <v>15</v>
      </c>
      <c r="K2945">
        <v>5</v>
      </c>
      <c r="L2945">
        <v>4</v>
      </c>
      <c r="M2945">
        <v>0</v>
      </c>
      <c r="N2945">
        <v>4</v>
      </c>
      <c r="O2945">
        <v>4</v>
      </c>
      <c r="P2945">
        <v>4</v>
      </c>
      <c r="Q2945">
        <v>0</v>
      </c>
      <c r="R2945">
        <v>0</v>
      </c>
      <c r="S2945">
        <v>83</v>
      </c>
      <c r="T2945">
        <v>66</v>
      </c>
      <c r="U2945" s="5">
        <f>IF(Merge1[[#This Row],[team_defense_snaps]]=0, "", Merge1[[#This Row],[defense_snaps]] / Merge1[[#This Row],[team_defense_snaps]])</f>
        <v>0.92957746478873238</v>
      </c>
      <c r="V2945">
        <v>71</v>
      </c>
      <c r="W2945">
        <v>17</v>
      </c>
      <c r="X2945" s="5" t="s">
        <v>52</v>
      </c>
      <c r="Y2945">
        <v>4</v>
      </c>
      <c r="Z2945">
        <v>0</v>
      </c>
      <c r="AA2945" t="s">
        <v>25</v>
      </c>
      <c r="AB2945" t="s">
        <v>26</v>
      </c>
      <c r="AC2945" t="s">
        <v>27</v>
      </c>
      <c r="AD2945" t="s">
        <v>42</v>
      </c>
      <c r="AE2945" t="s">
        <v>25</v>
      </c>
      <c r="AF29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0.3253012048192771</v>
      </c>
      <c r="AG2945" t="s">
        <v>942</v>
      </c>
      <c r="AH2945">
        <v>69</v>
      </c>
      <c r="AI2945" t="s">
        <v>939</v>
      </c>
      <c r="AJ2945">
        <v>4</v>
      </c>
      <c r="AK29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MIN(AJ2945/8, 1) +
  Merge1[[#This Row],[index_defensive_effort]],
  2
)</f>
        <v>1.33</v>
      </c>
    </row>
    <row r="2946" spans="1:37" x14ac:dyDescent="0.25">
      <c r="A2946" t="s">
        <v>772</v>
      </c>
      <c r="B2946" t="s">
        <v>773</v>
      </c>
      <c r="C2946">
        <v>29</v>
      </c>
      <c r="D2946" t="s">
        <v>22</v>
      </c>
      <c r="E2946">
        <v>72</v>
      </c>
      <c r="F2946">
        <v>198</v>
      </c>
      <c r="G2946" t="s">
        <v>173</v>
      </c>
      <c r="H2946">
        <v>2020</v>
      </c>
      <c r="I2946" t="s">
        <v>33</v>
      </c>
      <c r="J2946">
        <v>16</v>
      </c>
      <c r="K2946">
        <v>1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28</v>
      </c>
      <c r="T2946">
        <v>16</v>
      </c>
      <c r="U2946" s="5">
        <f>IF(Merge1[[#This Row],[team_defense_snaps]]=0, "", Merge1[[#This Row],[defense_snaps]] / Merge1[[#This Row],[team_defense_snaps]])</f>
        <v>0.23880597014925373</v>
      </c>
      <c r="V2946">
        <v>67</v>
      </c>
      <c r="W2946">
        <v>12</v>
      </c>
      <c r="X2946" s="5" t="s">
        <v>182</v>
      </c>
      <c r="Y2946">
        <v>4</v>
      </c>
      <c r="Z2946">
        <v>0</v>
      </c>
      <c r="AA2946" t="s">
        <v>25</v>
      </c>
      <c r="AB2946" t="s">
        <v>26</v>
      </c>
      <c r="AC2946" t="s">
        <v>27</v>
      </c>
      <c r="AD2946" t="s">
        <v>28</v>
      </c>
      <c r="AE2946" t="s">
        <v>25</v>
      </c>
      <c r="AF29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3.5714285714285712E-2</v>
      </c>
      <c r="AG2946" t="s">
        <v>942</v>
      </c>
      <c r="AH2946">
        <v>61.5</v>
      </c>
      <c r="AI2946" t="s">
        <v>939</v>
      </c>
      <c r="AJ2946">
        <v>5</v>
      </c>
      <c r="AK29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MIN(AJ2946/8, 1) +
  Merge1[[#This Row],[index_defensive_effort]],
  2
)</f>
        <v>1.1599999999999999</v>
      </c>
    </row>
    <row r="2947" spans="1:37" x14ac:dyDescent="0.25">
      <c r="A2947" t="s">
        <v>772</v>
      </c>
      <c r="B2947" t="s">
        <v>773</v>
      </c>
      <c r="C2947">
        <v>29</v>
      </c>
      <c r="D2947" t="s">
        <v>22</v>
      </c>
      <c r="E2947">
        <v>72</v>
      </c>
      <c r="F2947">
        <v>198</v>
      </c>
      <c r="G2947" t="s">
        <v>173</v>
      </c>
      <c r="H2947">
        <v>2020</v>
      </c>
      <c r="I2947" t="s">
        <v>33</v>
      </c>
      <c r="J2947">
        <v>17</v>
      </c>
      <c r="K2947">
        <v>2</v>
      </c>
      <c r="L2947">
        <v>1</v>
      </c>
      <c r="M2947">
        <v>1</v>
      </c>
      <c r="N2947">
        <v>2</v>
      </c>
      <c r="O2947">
        <v>0</v>
      </c>
      <c r="P2947">
        <v>0</v>
      </c>
      <c r="Q2947">
        <v>0</v>
      </c>
      <c r="R2947">
        <v>0</v>
      </c>
      <c r="S2947">
        <v>53</v>
      </c>
      <c r="T2947">
        <v>30</v>
      </c>
      <c r="U2947" s="5">
        <f>IF(Merge1[[#This Row],[team_defense_snaps]]=0, "", Merge1[[#This Row],[defense_snaps]] / Merge1[[#This Row],[team_defense_snaps]])</f>
        <v>0.43478260869565216</v>
      </c>
      <c r="V2947">
        <v>69</v>
      </c>
      <c r="W2947">
        <v>23</v>
      </c>
      <c r="X2947" s="5" t="s">
        <v>244</v>
      </c>
      <c r="Y2947">
        <v>4</v>
      </c>
      <c r="Z2947">
        <v>0</v>
      </c>
      <c r="AA2947" t="s">
        <v>25</v>
      </c>
      <c r="AB2947" t="s">
        <v>26</v>
      </c>
      <c r="AC2947" t="s">
        <v>27</v>
      </c>
      <c r="AD2947" t="s">
        <v>28</v>
      </c>
      <c r="AE2947" t="s">
        <v>25</v>
      </c>
      <c r="AF29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5.6603773584905662E-2</v>
      </c>
      <c r="AG2947" t="s">
        <v>942</v>
      </c>
      <c r="AH2947">
        <v>57</v>
      </c>
      <c r="AI2947" t="s">
        <v>939</v>
      </c>
      <c r="AJ2947">
        <v>6</v>
      </c>
      <c r="AK29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MIN(AJ2947/8, 1) +
  Merge1[[#This Row],[index_defensive_effort]],
  2
)</f>
        <v>1.31</v>
      </c>
    </row>
    <row r="2948" spans="1:37" x14ac:dyDescent="0.25">
      <c r="A2948" t="s">
        <v>786</v>
      </c>
      <c r="B2948" t="s">
        <v>787</v>
      </c>
      <c r="C2948">
        <v>29</v>
      </c>
      <c r="D2948" t="s">
        <v>22</v>
      </c>
      <c r="E2948">
        <v>72</v>
      </c>
      <c r="F2948">
        <v>212</v>
      </c>
      <c r="G2948" t="s">
        <v>235</v>
      </c>
      <c r="H2948">
        <v>2020</v>
      </c>
      <c r="I2948" t="s">
        <v>33</v>
      </c>
      <c r="J2948">
        <v>4</v>
      </c>
      <c r="K2948">
        <v>1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40</v>
      </c>
      <c r="T2948">
        <v>17</v>
      </c>
      <c r="U2948" s="5">
        <f>IF(Merge1[[#This Row],[team_defense_snaps]]=0, "", Merge1[[#This Row],[defense_snaps]] / Merge1[[#This Row],[team_defense_snaps]])</f>
        <v>0.25</v>
      </c>
      <c r="V2948">
        <v>68</v>
      </c>
      <c r="W2948">
        <v>23</v>
      </c>
      <c r="X2948" s="5" t="s">
        <v>110</v>
      </c>
      <c r="Y2948">
        <v>7</v>
      </c>
      <c r="Z2948">
        <v>0</v>
      </c>
      <c r="AA2948" t="s">
        <v>25</v>
      </c>
      <c r="AB2948" t="s">
        <v>26</v>
      </c>
      <c r="AC2948" t="s">
        <v>27</v>
      </c>
      <c r="AD2948" t="s">
        <v>28</v>
      </c>
      <c r="AE2948" t="s">
        <v>25</v>
      </c>
      <c r="AF29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2.5000000000000001E-2</v>
      </c>
      <c r="AG2948" t="s">
        <v>942</v>
      </c>
      <c r="AH2948">
        <v>67.5</v>
      </c>
      <c r="AI2948" t="s">
        <v>939</v>
      </c>
      <c r="AJ2948">
        <v>1</v>
      </c>
      <c r="AK29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MIN(AJ2948/8, 1) +
  Merge1[[#This Row],[index_defensive_effort]],
  2
)</f>
        <v>0.75</v>
      </c>
    </row>
    <row r="2949" spans="1:37" x14ac:dyDescent="0.25">
      <c r="A2949" t="s">
        <v>786</v>
      </c>
      <c r="B2949" t="s">
        <v>787</v>
      </c>
      <c r="C2949">
        <v>29</v>
      </c>
      <c r="D2949" t="s">
        <v>22</v>
      </c>
      <c r="E2949">
        <v>72</v>
      </c>
      <c r="F2949">
        <v>212</v>
      </c>
      <c r="G2949" t="s">
        <v>235</v>
      </c>
      <c r="H2949">
        <v>2020</v>
      </c>
      <c r="I2949" t="s">
        <v>33</v>
      </c>
      <c r="J2949">
        <v>5</v>
      </c>
      <c r="K2949">
        <v>1</v>
      </c>
      <c r="L2949">
        <v>1</v>
      </c>
      <c r="M2949">
        <v>0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31</v>
      </c>
      <c r="T2949">
        <v>13</v>
      </c>
      <c r="U2949" s="5">
        <f>IF(Merge1[[#This Row],[team_defense_snaps]]=0, "", Merge1[[#This Row],[defense_snaps]] / Merge1[[#This Row],[team_defense_snaps]])</f>
        <v>0.20634920634920634</v>
      </c>
      <c r="V2949">
        <v>63</v>
      </c>
      <c r="W2949">
        <v>18</v>
      </c>
      <c r="X2949" s="5" t="s">
        <v>100</v>
      </c>
      <c r="Y2949">
        <v>7</v>
      </c>
      <c r="Z2949">
        <v>0</v>
      </c>
      <c r="AA2949" t="s">
        <v>25</v>
      </c>
      <c r="AB2949" t="s">
        <v>26</v>
      </c>
      <c r="AC2949" t="s">
        <v>27</v>
      </c>
      <c r="AD2949" t="s">
        <v>28</v>
      </c>
      <c r="AE2949" t="s">
        <v>25</v>
      </c>
      <c r="AF29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4.8387096774193547E-2</v>
      </c>
      <c r="AG2949" t="s">
        <v>942</v>
      </c>
      <c r="AH2949">
        <v>48</v>
      </c>
      <c r="AI2949" t="s">
        <v>939</v>
      </c>
      <c r="AJ2949">
        <v>2</v>
      </c>
      <c r="AK29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MIN(AJ2949/8, 1) +
  Merge1[[#This Row],[index_defensive_effort]],
  2
)</f>
        <v>0.9</v>
      </c>
    </row>
    <row r="2950" spans="1:37" x14ac:dyDescent="0.25">
      <c r="A2950" t="s">
        <v>786</v>
      </c>
      <c r="B2950" t="s">
        <v>787</v>
      </c>
      <c r="C2950">
        <v>29</v>
      </c>
      <c r="D2950" t="s">
        <v>22</v>
      </c>
      <c r="E2950">
        <v>72</v>
      </c>
      <c r="F2950">
        <v>212</v>
      </c>
      <c r="G2950" t="s">
        <v>235</v>
      </c>
      <c r="H2950">
        <v>2020</v>
      </c>
      <c r="I2950" t="s">
        <v>33</v>
      </c>
      <c r="J2950">
        <v>6</v>
      </c>
      <c r="K2950">
        <v>1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31</v>
      </c>
      <c r="T2950">
        <v>10</v>
      </c>
      <c r="U2950" s="5">
        <f>IF(Merge1[[#This Row],[team_defense_snaps]]=0, "", Merge1[[#This Row],[defense_snaps]] / Merge1[[#This Row],[team_defense_snaps]])</f>
        <v>0.15873015873015872</v>
      </c>
      <c r="V2950">
        <v>63</v>
      </c>
      <c r="W2950">
        <v>21</v>
      </c>
      <c r="X2950" s="5" t="s">
        <v>183</v>
      </c>
      <c r="Y2950">
        <v>7</v>
      </c>
      <c r="Z2950">
        <v>0</v>
      </c>
      <c r="AA2950" t="s">
        <v>25</v>
      </c>
      <c r="AB2950" t="s">
        <v>26</v>
      </c>
      <c r="AC2950" t="s">
        <v>27</v>
      </c>
      <c r="AD2950" t="s">
        <v>28</v>
      </c>
      <c r="AE2950" t="s">
        <v>25</v>
      </c>
      <c r="AF29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3.2258064516129031E-2</v>
      </c>
      <c r="AG2950" t="s">
        <v>942</v>
      </c>
      <c r="AH2950">
        <v>64.5</v>
      </c>
      <c r="AI2950" t="s">
        <v>939</v>
      </c>
      <c r="AJ2950">
        <v>3</v>
      </c>
      <c r="AK29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MIN(AJ2950/8, 1) +
  Merge1[[#This Row],[index_defensive_effort]],
  2
)</f>
        <v>1.01</v>
      </c>
    </row>
    <row r="2951" spans="1:37" x14ac:dyDescent="0.25">
      <c r="A2951" t="s">
        <v>786</v>
      </c>
      <c r="B2951" t="s">
        <v>787</v>
      </c>
      <c r="C2951">
        <v>29</v>
      </c>
      <c r="D2951" t="s">
        <v>22</v>
      </c>
      <c r="E2951">
        <v>72</v>
      </c>
      <c r="F2951">
        <v>212</v>
      </c>
      <c r="G2951" t="s">
        <v>235</v>
      </c>
      <c r="H2951">
        <v>2020</v>
      </c>
      <c r="I2951" t="s">
        <v>33</v>
      </c>
      <c r="J2951">
        <v>7</v>
      </c>
      <c r="K2951">
        <v>2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29</v>
      </c>
      <c r="T2951">
        <v>7</v>
      </c>
      <c r="U2951" s="5">
        <f>IF(Merge1[[#This Row],[team_defense_snaps]]=0, "", Merge1[[#This Row],[defense_snaps]] / Merge1[[#This Row],[team_defense_snaps]])</f>
        <v>0.12962962962962962</v>
      </c>
      <c r="V2951">
        <v>54</v>
      </c>
      <c r="W2951">
        <v>22</v>
      </c>
      <c r="X2951" s="5" t="s">
        <v>49</v>
      </c>
      <c r="Y2951">
        <v>7</v>
      </c>
      <c r="Z2951">
        <v>0</v>
      </c>
      <c r="AA2951" t="s">
        <v>25</v>
      </c>
      <c r="AB2951" t="s">
        <v>36</v>
      </c>
      <c r="AC2951" t="s">
        <v>147</v>
      </c>
      <c r="AD2951" t="s">
        <v>28</v>
      </c>
      <c r="AE2951" t="s">
        <v>25</v>
      </c>
      <c r="AF29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6.8965517241379309E-2</v>
      </c>
      <c r="AG2951" t="s">
        <v>942</v>
      </c>
      <c r="AH2951">
        <v>49.5</v>
      </c>
      <c r="AI2951" t="s">
        <v>938</v>
      </c>
      <c r="AJ2951">
        <v>4</v>
      </c>
      <c r="AK29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MIN(AJ2951/8, 1) +
  Merge1[[#This Row],[index_defensive_effort]],
  2
)</f>
        <v>1.17</v>
      </c>
    </row>
    <row r="2952" spans="1:37" x14ac:dyDescent="0.25">
      <c r="A2952" t="s">
        <v>786</v>
      </c>
      <c r="B2952" t="s">
        <v>787</v>
      </c>
      <c r="C2952">
        <v>29</v>
      </c>
      <c r="D2952" t="s">
        <v>22</v>
      </c>
      <c r="E2952">
        <v>72</v>
      </c>
      <c r="F2952">
        <v>212</v>
      </c>
      <c r="G2952" t="s">
        <v>235</v>
      </c>
      <c r="H2952">
        <v>2020</v>
      </c>
      <c r="I2952" t="s">
        <v>33</v>
      </c>
      <c r="J2952">
        <v>8</v>
      </c>
      <c r="K2952">
        <v>1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28</v>
      </c>
      <c r="T2952">
        <v>10</v>
      </c>
      <c r="U2952" s="5">
        <f>IF(Merge1[[#This Row],[team_defense_snaps]]=0, "", Merge1[[#This Row],[defense_snaps]] / Merge1[[#This Row],[team_defense_snaps]])</f>
        <v>0.15873015873015872</v>
      </c>
      <c r="V2952">
        <v>63</v>
      </c>
      <c r="W2952">
        <v>18</v>
      </c>
      <c r="X2952" s="5" t="s">
        <v>81</v>
      </c>
      <c r="Y2952">
        <v>7</v>
      </c>
      <c r="Z2952">
        <v>0</v>
      </c>
      <c r="AA2952" t="s">
        <v>25</v>
      </c>
      <c r="AB2952" t="s">
        <v>26</v>
      </c>
      <c r="AC2952" t="s">
        <v>27</v>
      </c>
      <c r="AD2952" t="s">
        <v>28</v>
      </c>
      <c r="AE2952" t="s">
        <v>25</v>
      </c>
      <c r="AF29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3.5714285714285712E-2</v>
      </c>
      <c r="AG2952" t="s">
        <v>942</v>
      </c>
      <c r="AH2952">
        <v>63</v>
      </c>
      <c r="AI2952" t="s">
        <v>939</v>
      </c>
      <c r="AJ2952">
        <v>5</v>
      </c>
      <c r="AK29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MIN(AJ2952/8, 1) +
  Merge1[[#This Row],[index_defensive_effort]],
  2
)</f>
        <v>1.26</v>
      </c>
    </row>
    <row r="2953" spans="1:37" x14ac:dyDescent="0.25">
      <c r="A2953" t="s">
        <v>786</v>
      </c>
      <c r="B2953" t="s">
        <v>787</v>
      </c>
      <c r="C2953">
        <v>29</v>
      </c>
      <c r="D2953" t="s">
        <v>22</v>
      </c>
      <c r="E2953">
        <v>72</v>
      </c>
      <c r="F2953">
        <v>212</v>
      </c>
      <c r="G2953" t="s">
        <v>235</v>
      </c>
      <c r="H2953">
        <v>2020</v>
      </c>
      <c r="I2953" t="s">
        <v>33</v>
      </c>
      <c r="J2953">
        <v>16</v>
      </c>
      <c r="K2953">
        <v>0</v>
      </c>
      <c r="L2953">
        <v>1</v>
      </c>
      <c r="M2953">
        <v>0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28</v>
      </c>
      <c r="T2953">
        <v>5</v>
      </c>
      <c r="U2953" s="5">
        <f>IF(Merge1[[#This Row],[team_defense_snaps]]=0, "", Merge1[[#This Row],[defense_snaps]] / Merge1[[#This Row],[team_defense_snaps]])</f>
        <v>9.6153846153846159E-2</v>
      </c>
      <c r="V2953">
        <v>52</v>
      </c>
      <c r="W2953">
        <v>23</v>
      </c>
      <c r="X2953" s="5" t="s">
        <v>183</v>
      </c>
      <c r="Y2953">
        <v>7</v>
      </c>
      <c r="Z2953">
        <v>0</v>
      </c>
      <c r="AA2953" t="s">
        <v>25</v>
      </c>
      <c r="AB2953" t="s">
        <v>26</v>
      </c>
      <c r="AC2953" t="s">
        <v>27</v>
      </c>
      <c r="AD2953" t="s">
        <v>28</v>
      </c>
      <c r="AE2953" t="s">
        <v>25</v>
      </c>
      <c r="AF29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1.7857142857142856E-2</v>
      </c>
      <c r="AG2953" t="s">
        <v>942</v>
      </c>
      <c r="AH2953">
        <v>66</v>
      </c>
      <c r="AI2953" t="s">
        <v>939</v>
      </c>
      <c r="AJ2953">
        <v>1</v>
      </c>
      <c r="AK29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MIN(AJ2953/8, 1) +
  Merge1[[#This Row],[index_defensive_effort]],
  2
)</f>
        <v>0.74</v>
      </c>
    </row>
    <row r="2954" spans="1:37" x14ac:dyDescent="0.25">
      <c r="A2954" t="s">
        <v>786</v>
      </c>
      <c r="B2954" t="s">
        <v>787</v>
      </c>
      <c r="C2954">
        <v>29</v>
      </c>
      <c r="D2954" t="s">
        <v>22</v>
      </c>
      <c r="E2954">
        <v>72</v>
      </c>
      <c r="F2954">
        <v>212</v>
      </c>
      <c r="G2954" t="s">
        <v>235</v>
      </c>
      <c r="H2954">
        <v>2020</v>
      </c>
      <c r="I2954" t="s">
        <v>33</v>
      </c>
      <c r="J2954">
        <v>17</v>
      </c>
      <c r="K2954">
        <v>1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29</v>
      </c>
      <c r="T2954">
        <v>5</v>
      </c>
      <c r="U2954" s="5">
        <f>IF(Merge1[[#This Row],[team_defense_snaps]]=0, "", Merge1[[#This Row],[defense_snaps]] / Merge1[[#This Row],[team_defense_snaps]])</f>
        <v>6.7567567567567571E-2</v>
      </c>
      <c r="V2954">
        <v>74</v>
      </c>
      <c r="W2954">
        <v>24</v>
      </c>
      <c r="X2954" s="5" t="s">
        <v>89</v>
      </c>
      <c r="Y2954">
        <v>7</v>
      </c>
      <c r="Z2954">
        <v>0</v>
      </c>
      <c r="AA2954" t="s">
        <v>25</v>
      </c>
      <c r="AB2954" t="s">
        <v>26</v>
      </c>
      <c r="AC2954" t="s">
        <v>27</v>
      </c>
      <c r="AD2954" t="s">
        <v>28</v>
      </c>
      <c r="AE2954" t="s">
        <v>25</v>
      </c>
      <c r="AF29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3.4482758620689655E-2</v>
      </c>
      <c r="AG2954" t="s">
        <v>942</v>
      </c>
      <c r="AH2954">
        <v>61.5</v>
      </c>
      <c r="AI2954" t="s">
        <v>939</v>
      </c>
      <c r="AJ2954">
        <v>2</v>
      </c>
      <c r="AK29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MIN(AJ2954/8, 1) +
  Merge1[[#This Row],[index_defensive_effort]],
  2
)</f>
        <v>0.88</v>
      </c>
    </row>
    <row r="2955" spans="1:37" x14ac:dyDescent="0.25">
      <c r="A2955" t="s">
        <v>778</v>
      </c>
      <c r="B2955" t="s">
        <v>779</v>
      </c>
      <c r="C2955">
        <v>24</v>
      </c>
      <c r="D2955" t="s">
        <v>22</v>
      </c>
      <c r="E2955">
        <v>72</v>
      </c>
      <c r="F2955">
        <v>196</v>
      </c>
      <c r="G2955" t="s">
        <v>47</v>
      </c>
      <c r="H2955">
        <v>2020</v>
      </c>
      <c r="I2955" t="s">
        <v>33</v>
      </c>
      <c r="J2955">
        <v>5</v>
      </c>
      <c r="K2955">
        <v>2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2</v>
      </c>
      <c r="R2955">
        <v>0</v>
      </c>
      <c r="S2955">
        <v>35</v>
      </c>
      <c r="T2955">
        <v>19</v>
      </c>
      <c r="U2955" s="5">
        <f>IF(Merge1[[#This Row],[team_defense_snaps]]=0, "", Merge1[[#This Row],[defense_snaps]] / Merge1[[#This Row],[team_defense_snaps]])</f>
        <v>0.3392857142857143</v>
      </c>
      <c r="V2955">
        <v>56</v>
      </c>
      <c r="W2955">
        <v>16</v>
      </c>
      <c r="X2955" s="5" t="s">
        <v>232</v>
      </c>
      <c r="Y2955">
        <v>1</v>
      </c>
      <c r="Z2955">
        <v>0</v>
      </c>
      <c r="AA2955" t="s">
        <v>25</v>
      </c>
      <c r="AB2955" t="s">
        <v>26</v>
      </c>
      <c r="AC2955" t="s">
        <v>27</v>
      </c>
      <c r="AD2955" t="s">
        <v>28</v>
      </c>
      <c r="AE2955" t="s">
        <v>25</v>
      </c>
      <c r="AF29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0.2857142857142857</v>
      </c>
      <c r="AG2955" t="s">
        <v>941</v>
      </c>
      <c r="AH2955">
        <v>55</v>
      </c>
      <c r="AI2955" t="s">
        <v>939</v>
      </c>
      <c r="AJ2955">
        <v>1</v>
      </c>
      <c r="AK29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MIN(AJ2955/8, 1) +
  Merge1[[#This Row],[index_defensive_effort]],
  2
)</f>
        <v>0.81</v>
      </c>
    </row>
    <row r="2956" spans="1:37" x14ac:dyDescent="0.25">
      <c r="A2956" t="s">
        <v>778</v>
      </c>
      <c r="B2956" t="s">
        <v>779</v>
      </c>
      <c r="C2956">
        <v>24</v>
      </c>
      <c r="D2956" t="s">
        <v>22</v>
      </c>
      <c r="E2956">
        <v>72</v>
      </c>
      <c r="F2956">
        <v>196</v>
      </c>
      <c r="G2956" t="s">
        <v>47</v>
      </c>
      <c r="H2956">
        <v>2020</v>
      </c>
      <c r="I2956" t="s">
        <v>33</v>
      </c>
      <c r="J2956">
        <v>6</v>
      </c>
      <c r="K2956">
        <v>2</v>
      </c>
      <c r="L2956">
        <v>6</v>
      </c>
      <c r="M2956">
        <v>2</v>
      </c>
      <c r="N2956">
        <v>8</v>
      </c>
      <c r="O2956">
        <v>3</v>
      </c>
      <c r="P2956">
        <v>3</v>
      </c>
      <c r="Q2956">
        <v>0</v>
      </c>
      <c r="R2956">
        <v>0</v>
      </c>
      <c r="S2956">
        <v>69</v>
      </c>
      <c r="T2956">
        <v>64</v>
      </c>
      <c r="U2956" s="5">
        <f>IF(Merge1[[#This Row],[team_defense_snaps]]=0, "", Merge1[[#This Row],[defense_snaps]] / Merge1[[#This Row],[team_defense_snaps]])</f>
        <v>0.98461538461538467</v>
      </c>
      <c r="V2956">
        <v>65</v>
      </c>
      <c r="W2956">
        <v>5</v>
      </c>
      <c r="X2956" s="5" t="s">
        <v>59</v>
      </c>
      <c r="Y2956">
        <v>1</v>
      </c>
      <c r="Z2956">
        <v>0</v>
      </c>
      <c r="AA2956" t="s">
        <v>25</v>
      </c>
      <c r="AB2956" t="s">
        <v>26</v>
      </c>
      <c r="AC2956" t="s">
        <v>27</v>
      </c>
      <c r="AD2956" t="s">
        <v>42</v>
      </c>
      <c r="AE2956" t="s">
        <v>25</v>
      </c>
      <c r="AF29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0.30434782608695654</v>
      </c>
      <c r="AG2956" t="s">
        <v>941</v>
      </c>
      <c r="AH2956">
        <v>61</v>
      </c>
      <c r="AI2956" t="s">
        <v>939</v>
      </c>
      <c r="AJ2956">
        <v>2</v>
      </c>
      <c r="AK29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MIN(AJ2956/8, 1) +
  Merge1[[#This Row],[index_defensive_effort]],
  2
)</f>
        <v>0.95</v>
      </c>
    </row>
    <row r="2957" spans="1:37" x14ac:dyDescent="0.25">
      <c r="A2957" t="s">
        <v>778</v>
      </c>
      <c r="B2957" t="s">
        <v>779</v>
      </c>
      <c r="C2957">
        <v>24</v>
      </c>
      <c r="D2957" t="s">
        <v>22</v>
      </c>
      <c r="E2957">
        <v>72</v>
      </c>
      <c r="F2957">
        <v>196</v>
      </c>
      <c r="G2957" t="s">
        <v>47</v>
      </c>
      <c r="H2957">
        <v>2020</v>
      </c>
      <c r="I2957" t="s">
        <v>33</v>
      </c>
      <c r="J2957">
        <v>7</v>
      </c>
      <c r="K2957">
        <v>1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28</v>
      </c>
      <c r="T2957">
        <v>13</v>
      </c>
      <c r="U2957" s="5">
        <f>IF(Merge1[[#This Row],[team_defense_snaps]]=0, "", Merge1[[#This Row],[defense_snaps]] / Merge1[[#This Row],[team_defense_snaps]])</f>
        <v>0.17105263157894737</v>
      </c>
      <c r="V2957">
        <v>76</v>
      </c>
      <c r="W2957">
        <v>15</v>
      </c>
      <c r="X2957" s="5" t="s">
        <v>112</v>
      </c>
      <c r="Y2957">
        <v>1</v>
      </c>
      <c r="Z2957">
        <v>0</v>
      </c>
      <c r="AA2957" t="s">
        <v>25</v>
      </c>
      <c r="AB2957" t="s">
        <v>26</v>
      </c>
      <c r="AC2957" t="s">
        <v>27</v>
      </c>
      <c r="AD2957" t="s">
        <v>28</v>
      </c>
      <c r="AE2957" t="s">
        <v>25</v>
      </c>
      <c r="AF29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3.5714285714285712E-2</v>
      </c>
      <c r="AG2957" t="s">
        <v>941</v>
      </c>
      <c r="AH2957">
        <v>49</v>
      </c>
      <c r="AI2957" t="s">
        <v>939</v>
      </c>
      <c r="AJ2957">
        <v>3</v>
      </c>
      <c r="AK29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MIN(AJ2957/8, 1) +
  Merge1[[#This Row],[index_defensive_effort]],
  2
)</f>
        <v>0.81</v>
      </c>
    </row>
    <row r="2958" spans="1:37" x14ac:dyDescent="0.25">
      <c r="A2958" t="s">
        <v>778</v>
      </c>
      <c r="B2958" t="s">
        <v>779</v>
      </c>
      <c r="C2958">
        <v>24</v>
      </c>
      <c r="D2958" t="s">
        <v>22</v>
      </c>
      <c r="E2958">
        <v>72</v>
      </c>
      <c r="F2958">
        <v>196</v>
      </c>
      <c r="G2958" t="s">
        <v>47</v>
      </c>
      <c r="H2958">
        <v>2020</v>
      </c>
      <c r="I2958" t="s">
        <v>33</v>
      </c>
      <c r="J2958">
        <v>10</v>
      </c>
      <c r="K2958">
        <v>1</v>
      </c>
      <c r="L2958">
        <v>0</v>
      </c>
      <c r="M2958">
        <v>0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25</v>
      </c>
      <c r="T2958">
        <v>17</v>
      </c>
      <c r="U2958" s="5">
        <f>IF(Merge1[[#This Row],[team_defense_snaps]]=0, "", Merge1[[#This Row],[defense_snaps]] / Merge1[[#This Row],[team_defense_snaps]])</f>
        <v>0.2982456140350877</v>
      </c>
      <c r="V2958">
        <v>57</v>
      </c>
      <c r="W2958">
        <v>8</v>
      </c>
      <c r="X2958" s="5" t="s">
        <v>231</v>
      </c>
      <c r="Y2958">
        <v>1</v>
      </c>
      <c r="Z2958">
        <v>0</v>
      </c>
      <c r="AA2958" t="s">
        <v>25</v>
      </c>
      <c r="AB2958" t="s">
        <v>26</v>
      </c>
      <c r="AC2958" t="s">
        <v>27</v>
      </c>
      <c r="AD2958" t="s">
        <v>28</v>
      </c>
      <c r="AE2958" t="s">
        <v>25</v>
      </c>
      <c r="AF29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</v>
      </c>
      <c r="AG2958" t="s">
        <v>941</v>
      </c>
      <c r="AH2958">
        <v>64</v>
      </c>
      <c r="AI2958" t="s">
        <v>939</v>
      </c>
      <c r="AJ2958">
        <v>1</v>
      </c>
      <c r="AK29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MIN(AJ2958/8, 1) +
  Merge1[[#This Row],[index_defensive_effort]],
  2
)</f>
        <v>0.65</v>
      </c>
    </row>
    <row r="2959" spans="1:37" x14ac:dyDescent="0.25">
      <c r="A2959" t="s">
        <v>778</v>
      </c>
      <c r="B2959" t="s">
        <v>779</v>
      </c>
      <c r="C2959">
        <v>24</v>
      </c>
      <c r="D2959" t="s">
        <v>22</v>
      </c>
      <c r="E2959">
        <v>72</v>
      </c>
      <c r="F2959">
        <v>196</v>
      </c>
      <c r="G2959" t="s">
        <v>47</v>
      </c>
      <c r="H2959">
        <v>2020</v>
      </c>
      <c r="I2959" t="s">
        <v>33</v>
      </c>
      <c r="J2959">
        <v>11</v>
      </c>
      <c r="K2959">
        <v>1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61</v>
      </c>
      <c r="T2959">
        <v>47</v>
      </c>
      <c r="U2959" s="5">
        <f>IF(Merge1[[#This Row],[team_defense_snaps]]=0, "", Merge1[[#This Row],[defense_snaps]] / Merge1[[#This Row],[team_defense_snaps]])</f>
        <v>0.6811594202898551</v>
      </c>
      <c r="V2959">
        <v>69</v>
      </c>
      <c r="W2959">
        <v>14</v>
      </c>
      <c r="X2959" s="5" t="s">
        <v>200</v>
      </c>
      <c r="Y2959">
        <v>1</v>
      </c>
      <c r="Z2959">
        <v>0</v>
      </c>
      <c r="AA2959" t="s">
        <v>25</v>
      </c>
      <c r="AB2959" t="s">
        <v>26</v>
      </c>
      <c r="AC2959" t="s">
        <v>27</v>
      </c>
      <c r="AD2959" t="s">
        <v>28</v>
      </c>
      <c r="AE2959" t="s">
        <v>25</v>
      </c>
      <c r="AF29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1.6393442622950821E-2</v>
      </c>
      <c r="AG2959" t="s">
        <v>941</v>
      </c>
      <c r="AH2959">
        <v>56.5</v>
      </c>
      <c r="AI2959" t="s">
        <v>939</v>
      </c>
      <c r="AJ2959">
        <v>2</v>
      </c>
      <c r="AK29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MIN(AJ2959/8, 1) +
  Merge1[[#This Row],[index_defensive_effort]],
  2
)</f>
        <v>0.67</v>
      </c>
    </row>
    <row r="2960" spans="1:37" x14ac:dyDescent="0.25">
      <c r="A2960" t="s">
        <v>778</v>
      </c>
      <c r="B2960" t="s">
        <v>779</v>
      </c>
      <c r="C2960">
        <v>24</v>
      </c>
      <c r="D2960" t="s">
        <v>22</v>
      </c>
      <c r="E2960">
        <v>72</v>
      </c>
      <c r="F2960">
        <v>196</v>
      </c>
      <c r="G2960" t="s">
        <v>47</v>
      </c>
      <c r="H2960">
        <v>2020</v>
      </c>
      <c r="I2960" t="s">
        <v>33</v>
      </c>
      <c r="J2960">
        <v>13</v>
      </c>
      <c r="K2960">
        <v>1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29</v>
      </c>
      <c r="T2960">
        <v>29</v>
      </c>
      <c r="U2960" s="5">
        <f>IF(Merge1[[#This Row],[team_defense_snaps]]=0, "", Merge1[[#This Row],[defense_snaps]] / Merge1[[#This Row],[team_defense_snaps]])</f>
        <v>0.39726027397260272</v>
      </c>
      <c r="V2960">
        <v>73</v>
      </c>
      <c r="W2960">
        <v>0</v>
      </c>
      <c r="X2960" s="5" t="s">
        <v>29</v>
      </c>
      <c r="Y2960">
        <v>1</v>
      </c>
      <c r="Z2960">
        <v>0</v>
      </c>
      <c r="AA2960" t="s">
        <v>25</v>
      </c>
      <c r="AB2960" t="s">
        <v>26</v>
      </c>
      <c r="AC2960" t="s">
        <v>27</v>
      </c>
      <c r="AD2960" t="s">
        <v>28</v>
      </c>
      <c r="AE2960" t="s">
        <v>25</v>
      </c>
      <c r="AF29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3.4482758620689655E-2</v>
      </c>
      <c r="AG2960" t="s">
        <v>941</v>
      </c>
      <c r="AH2960">
        <v>47.5</v>
      </c>
      <c r="AI2960" t="s">
        <v>939</v>
      </c>
      <c r="AJ2960">
        <v>1</v>
      </c>
      <c r="AK29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MIN(AJ2960/8, 1) +
  Merge1[[#This Row],[index_defensive_effort]],
  2
)</f>
        <v>0.56000000000000005</v>
      </c>
    </row>
    <row r="2961" spans="1:37" x14ac:dyDescent="0.25">
      <c r="A2961" t="s">
        <v>778</v>
      </c>
      <c r="B2961" t="s">
        <v>779</v>
      </c>
      <c r="C2961">
        <v>24</v>
      </c>
      <c r="D2961" t="s">
        <v>22</v>
      </c>
      <c r="E2961">
        <v>72</v>
      </c>
      <c r="F2961">
        <v>196</v>
      </c>
      <c r="G2961" t="s">
        <v>47</v>
      </c>
      <c r="H2961">
        <v>2020</v>
      </c>
      <c r="I2961" t="s">
        <v>33</v>
      </c>
      <c r="J2961">
        <v>14</v>
      </c>
      <c r="K2961">
        <v>2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25</v>
      </c>
      <c r="T2961">
        <v>14</v>
      </c>
      <c r="U2961" s="5">
        <f>IF(Merge1[[#This Row],[team_defense_snaps]]=0, "", Merge1[[#This Row],[defense_snaps]] / Merge1[[#This Row],[team_defense_snaps]])</f>
        <v>0.22950819672131148</v>
      </c>
      <c r="V2961">
        <v>61</v>
      </c>
      <c r="W2961">
        <v>11</v>
      </c>
      <c r="X2961" s="5" t="s">
        <v>123</v>
      </c>
      <c r="Y2961">
        <v>1</v>
      </c>
      <c r="Z2961">
        <v>0</v>
      </c>
      <c r="AA2961" t="s">
        <v>25</v>
      </c>
      <c r="AB2961" t="s">
        <v>26</v>
      </c>
      <c r="AC2961" t="s">
        <v>27</v>
      </c>
      <c r="AD2961" t="s">
        <v>28</v>
      </c>
      <c r="AE2961" t="s">
        <v>25</v>
      </c>
      <c r="AF29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0.08</v>
      </c>
      <c r="AG2961" t="s">
        <v>941</v>
      </c>
      <c r="AH2961">
        <v>62.5</v>
      </c>
      <c r="AI2961" t="s">
        <v>939</v>
      </c>
      <c r="AJ2961">
        <v>2</v>
      </c>
      <c r="AK29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MIN(AJ2961/8, 1) +
  Merge1[[#This Row],[index_defensive_effort]],
  2
)</f>
        <v>0.73</v>
      </c>
    </row>
    <row r="2962" spans="1:37" x14ac:dyDescent="0.25">
      <c r="A2962" t="s">
        <v>778</v>
      </c>
      <c r="B2962" t="s">
        <v>779</v>
      </c>
      <c r="C2962">
        <v>24</v>
      </c>
      <c r="D2962" t="s">
        <v>22</v>
      </c>
      <c r="E2962">
        <v>72</v>
      </c>
      <c r="F2962">
        <v>196</v>
      </c>
      <c r="G2962" t="s">
        <v>47</v>
      </c>
      <c r="H2962">
        <v>2020</v>
      </c>
      <c r="I2962" t="s">
        <v>33</v>
      </c>
      <c r="J2962">
        <v>15</v>
      </c>
      <c r="K2962">
        <v>4</v>
      </c>
      <c r="L2962">
        <v>4</v>
      </c>
      <c r="M2962">
        <v>0</v>
      </c>
      <c r="N2962">
        <v>4</v>
      </c>
      <c r="O2962">
        <v>0</v>
      </c>
      <c r="P2962">
        <v>1</v>
      </c>
      <c r="Q2962">
        <v>0</v>
      </c>
      <c r="R2962">
        <v>0</v>
      </c>
      <c r="S2962">
        <v>62</v>
      </c>
      <c r="T2962">
        <v>54</v>
      </c>
      <c r="U2962" s="5">
        <f>IF(Merge1[[#This Row],[team_defense_snaps]]=0, "", Merge1[[#This Row],[defense_snaps]] / Merge1[[#This Row],[team_defense_snaps]])</f>
        <v>1</v>
      </c>
      <c r="V2962">
        <v>54</v>
      </c>
      <c r="W2962">
        <v>8</v>
      </c>
      <c r="X2962" s="5" t="s">
        <v>243</v>
      </c>
      <c r="Y2962">
        <v>1</v>
      </c>
      <c r="Z2962">
        <v>0</v>
      </c>
      <c r="AA2962" t="s">
        <v>25</v>
      </c>
      <c r="AB2962" t="s">
        <v>26</v>
      </c>
      <c r="AC2962" t="s">
        <v>27</v>
      </c>
      <c r="AD2962" t="s">
        <v>42</v>
      </c>
      <c r="AE2962" t="s">
        <v>25</v>
      </c>
      <c r="AF29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0.12903225806451613</v>
      </c>
      <c r="AG2962" t="s">
        <v>941</v>
      </c>
      <c r="AH2962">
        <v>52</v>
      </c>
      <c r="AI2962" t="s">
        <v>939</v>
      </c>
      <c r="AJ2962">
        <v>3</v>
      </c>
      <c r="AK29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MIN(AJ2962/8, 1) +
  Merge1[[#This Row],[index_defensive_effort]],
  2
)</f>
        <v>0.9</v>
      </c>
    </row>
    <row r="2963" spans="1:37" x14ac:dyDescent="0.25">
      <c r="A2963" t="s">
        <v>778</v>
      </c>
      <c r="B2963" t="s">
        <v>779</v>
      </c>
      <c r="C2963">
        <v>24</v>
      </c>
      <c r="D2963" t="s">
        <v>22</v>
      </c>
      <c r="E2963">
        <v>72</v>
      </c>
      <c r="F2963">
        <v>196</v>
      </c>
      <c r="G2963" t="s">
        <v>47</v>
      </c>
      <c r="H2963">
        <v>2020</v>
      </c>
      <c r="I2963" t="s">
        <v>33</v>
      </c>
      <c r="J2963">
        <v>16</v>
      </c>
      <c r="K2963">
        <v>1</v>
      </c>
      <c r="L2963">
        <v>1</v>
      </c>
      <c r="M2963">
        <v>1</v>
      </c>
      <c r="N2963">
        <v>2</v>
      </c>
      <c r="O2963">
        <v>0</v>
      </c>
      <c r="P2963">
        <v>0</v>
      </c>
      <c r="Q2963">
        <v>0</v>
      </c>
      <c r="R2963">
        <v>0</v>
      </c>
      <c r="S2963">
        <v>28</v>
      </c>
      <c r="T2963">
        <v>12</v>
      </c>
      <c r="U2963" s="5">
        <f>IF(Merge1[[#This Row],[team_defense_snaps]]=0, "", Merge1[[#This Row],[defense_snaps]] / Merge1[[#This Row],[team_defense_snaps]])</f>
        <v>0.16901408450704225</v>
      </c>
      <c r="V2963">
        <v>71</v>
      </c>
      <c r="W2963">
        <v>16</v>
      </c>
      <c r="X2963" s="5" t="s">
        <v>275</v>
      </c>
      <c r="Y2963">
        <v>1</v>
      </c>
      <c r="Z2963">
        <v>0</v>
      </c>
      <c r="AA2963" t="s">
        <v>25</v>
      </c>
      <c r="AB2963" t="s">
        <v>26</v>
      </c>
      <c r="AC2963" t="s">
        <v>27</v>
      </c>
      <c r="AD2963" t="s">
        <v>28</v>
      </c>
      <c r="AE2963" t="s">
        <v>25</v>
      </c>
      <c r="AF29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2963" t="s">
        <v>941</v>
      </c>
      <c r="AH2963">
        <v>50</v>
      </c>
      <c r="AI2963" t="s">
        <v>939</v>
      </c>
      <c r="AJ2963">
        <v>4</v>
      </c>
      <c r="AK29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MIN(AJ2963/8, 1) +
  Merge1[[#This Row],[index_defensive_effort]],
  2
)</f>
        <v>0.97</v>
      </c>
    </row>
    <row r="2964" spans="1:37" x14ac:dyDescent="0.25">
      <c r="A2964" t="s">
        <v>778</v>
      </c>
      <c r="B2964" t="s">
        <v>779</v>
      </c>
      <c r="C2964">
        <v>24</v>
      </c>
      <c r="D2964" t="s">
        <v>22</v>
      </c>
      <c r="E2964">
        <v>72</v>
      </c>
      <c r="F2964">
        <v>196</v>
      </c>
      <c r="G2964" t="s">
        <v>47</v>
      </c>
      <c r="H2964">
        <v>2020</v>
      </c>
      <c r="I2964" t="s">
        <v>24</v>
      </c>
      <c r="J2964">
        <v>18</v>
      </c>
      <c r="K2964">
        <v>2</v>
      </c>
      <c r="L2964">
        <v>2</v>
      </c>
      <c r="M2964">
        <v>0</v>
      </c>
      <c r="N2964">
        <v>2</v>
      </c>
      <c r="O2964">
        <v>0</v>
      </c>
      <c r="P2964">
        <v>0</v>
      </c>
      <c r="Q2964">
        <v>2</v>
      </c>
      <c r="R2964">
        <v>0</v>
      </c>
      <c r="S2964">
        <v>70</v>
      </c>
      <c r="T2964">
        <v>55</v>
      </c>
      <c r="U2964" s="5">
        <f>IF(Merge1[[#This Row],[team_defense_snaps]]=0, "", Merge1[[#This Row],[defense_snaps]] / Merge1[[#This Row],[team_defense_snaps]])</f>
        <v>0.59782608695652173</v>
      </c>
      <c r="V2964">
        <v>92</v>
      </c>
      <c r="W2964">
        <v>15</v>
      </c>
      <c r="X2964" s="5" t="s">
        <v>75</v>
      </c>
      <c r="Y2964">
        <v>1</v>
      </c>
      <c r="Z2964">
        <v>0</v>
      </c>
      <c r="AA2964" t="s">
        <v>25</v>
      </c>
      <c r="AB2964" t="s">
        <v>26</v>
      </c>
      <c r="AC2964" t="s">
        <v>27</v>
      </c>
      <c r="AD2964" t="s">
        <v>42</v>
      </c>
      <c r="AE2964" t="s">
        <v>25</v>
      </c>
      <c r="AF29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0.15714285714285714</v>
      </c>
      <c r="AG2964" t="s">
        <v>941</v>
      </c>
      <c r="AH2964">
        <v>50.5</v>
      </c>
      <c r="AI2964" t="s">
        <v>939</v>
      </c>
      <c r="AJ2964">
        <v>1</v>
      </c>
      <c r="AK29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MIN(AJ2964/8, 1) +
  Merge1[[#This Row],[index_defensive_effort]],
  2
)</f>
        <v>0.88</v>
      </c>
    </row>
    <row r="2965" spans="1:37" x14ac:dyDescent="0.25">
      <c r="A2965" t="s">
        <v>766</v>
      </c>
      <c r="B2965" t="s">
        <v>767</v>
      </c>
      <c r="C2965">
        <v>33</v>
      </c>
      <c r="D2965" t="s">
        <v>56</v>
      </c>
      <c r="E2965">
        <v>73</v>
      </c>
      <c r="F2965">
        <v>193</v>
      </c>
      <c r="G2965" t="s">
        <v>228</v>
      </c>
      <c r="H2965">
        <v>2020</v>
      </c>
      <c r="I2965" t="s">
        <v>33</v>
      </c>
      <c r="J2965">
        <v>15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2</v>
      </c>
      <c r="R2965">
        <v>0</v>
      </c>
      <c r="S2965">
        <v>24</v>
      </c>
      <c r="T2965">
        <v>2</v>
      </c>
      <c r="U2965" s="5">
        <f>IF(Merge1[[#This Row],[team_defense_snaps]]=0, "", Merge1[[#This Row],[defense_snaps]] / Merge1[[#This Row],[team_defense_snaps]])</f>
        <v>2.9411764705882353E-2</v>
      </c>
      <c r="V2965">
        <v>68</v>
      </c>
      <c r="W2965">
        <v>22</v>
      </c>
      <c r="X2965" s="5" t="s">
        <v>95</v>
      </c>
      <c r="Y2965">
        <v>10</v>
      </c>
      <c r="Z2965">
        <v>0</v>
      </c>
      <c r="AA2965" t="s">
        <v>25</v>
      </c>
      <c r="AB2965" t="s">
        <v>26</v>
      </c>
      <c r="AC2965" t="s">
        <v>27</v>
      </c>
      <c r="AD2965" t="s">
        <v>28</v>
      </c>
      <c r="AE2965" t="s">
        <v>25</v>
      </c>
      <c r="AF29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0.33333333333333331</v>
      </c>
      <c r="AG2965" t="s">
        <v>941</v>
      </c>
      <c r="AH2965">
        <v>47.5</v>
      </c>
      <c r="AI2965" t="s">
        <v>939</v>
      </c>
      <c r="AJ2965">
        <v>1</v>
      </c>
      <c r="AK29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MIN(AJ2965/8, 1) +
  Merge1[[#This Row],[index_defensive_effort]],
  2
)</f>
        <v>1.06</v>
      </c>
    </row>
    <row r="2966" spans="1:37" x14ac:dyDescent="0.25">
      <c r="A2966" t="s">
        <v>766</v>
      </c>
      <c r="B2966" t="s">
        <v>767</v>
      </c>
      <c r="C2966">
        <v>33</v>
      </c>
      <c r="D2966" t="s">
        <v>56</v>
      </c>
      <c r="E2966">
        <v>73</v>
      </c>
      <c r="F2966">
        <v>193</v>
      </c>
      <c r="G2966" t="s">
        <v>228</v>
      </c>
      <c r="H2966">
        <v>2020</v>
      </c>
      <c r="I2966" t="s">
        <v>33</v>
      </c>
      <c r="J2966">
        <v>16</v>
      </c>
      <c r="K2966">
        <v>1</v>
      </c>
      <c r="L2966">
        <v>0</v>
      </c>
      <c r="M2966">
        <v>0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27</v>
      </c>
      <c r="T2966">
        <v>9</v>
      </c>
      <c r="U2966" s="5">
        <f>IF(Merge1[[#This Row],[team_defense_snaps]]=0, "", Merge1[[#This Row],[defense_snaps]] / Merge1[[#This Row],[team_defense_snaps]])</f>
        <v>0.16071428571428573</v>
      </c>
      <c r="V2966">
        <v>56</v>
      </c>
      <c r="W2966">
        <v>18</v>
      </c>
      <c r="X2966" s="5" t="s">
        <v>189</v>
      </c>
      <c r="Y2966">
        <v>10</v>
      </c>
      <c r="Z2966">
        <v>0</v>
      </c>
      <c r="AA2966" t="s">
        <v>25</v>
      </c>
      <c r="AB2966" t="s">
        <v>26</v>
      </c>
      <c r="AC2966" t="s">
        <v>27</v>
      </c>
      <c r="AD2966" t="s">
        <v>28</v>
      </c>
      <c r="AE2966" t="s">
        <v>25</v>
      </c>
      <c r="AF29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0.1111111111111111</v>
      </c>
      <c r="AG2966" t="s">
        <v>941</v>
      </c>
      <c r="AH2966">
        <v>49</v>
      </c>
      <c r="AI2966" t="s">
        <v>939</v>
      </c>
      <c r="AJ2966">
        <v>2</v>
      </c>
      <c r="AK29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MIN(AJ2966/8, 1) +
  Merge1[[#This Row],[index_defensive_effort]],
  2
)</f>
        <v>0.96</v>
      </c>
    </row>
    <row r="2967" spans="1:37" x14ac:dyDescent="0.25">
      <c r="A2967" t="s">
        <v>764</v>
      </c>
      <c r="B2967" t="s">
        <v>765</v>
      </c>
      <c r="C2967">
        <v>24</v>
      </c>
      <c r="D2967" t="s">
        <v>56</v>
      </c>
      <c r="E2967">
        <v>72</v>
      </c>
      <c r="F2967">
        <v>181</v>
      </c>
      <c r="G2967" t="s">
        <v>180</v>
      </c>
      <c r="H2967">
        <v>2020</v>
      </c>
      <c r="I2967" t="s">
        <v>33</v>
      </c>
      <c r="J2967">
        <v>4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12</v>
      </c>
      <c r="T2967">
        <v>12</v>
      </c>
      <c r="U2967" s="5">
        <f>IF(Merge1[[#This Row],[team_defense_snaps]]=0, "", Merge1[[#This Row],[defense_snaps]] / Merge1[[#This Row],[team_defense_snaps]])</f>
        <v>0.16</v>
      </c>
      <c r="V2967">
        <v>75</v>
      </c>
      <c r="W2967">
        <v>0</v>
      </c>
      <c r="X2967" s="5" t="s">
        <v>29</v>
      </c>
      <c r="Y2967">
        <v>3</v>
      </c>
      <c r="Z2967">
        <v>0</v>
      </c>
      <c r="AA2967" t="s">
        <v>25</v>
      </c>
      <c r="AB2967" t="s">
        <v>26</v>
      </c>
      <c r="AC2967" t="s">
        <v>27</v>
      </c>
      <c r="AD2967" t="s">
        <v>28</v>
      </c>
      <c r="AE2967" t="s">
        <v>25</v>
      </c>
      <c r="AF29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967" t="s">
        <v>941</v>
      </c>
      <c r="AH2967">
        <v>74</v>
      </c>
      <c r="AI2967" t="s">
        <v>939</v>
      </c>
      <c r="AJ2967">
        <v>1</v>
      </c>
      <c r="AK29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MIN(AJ2967/8, 1) +
  Merge1[[#This Row],[index_defensive_effort]],
  2
)</f>
        <v>0.53</v>
      </c>
    </row>
    <row r="2968" spans="1:37" x14ac:dyDescent="0.25">
      <c r="A2968" t="s">
        <v>764</v>
      </c>
      <c r="B2968" t="s">
        <v>765</v>
      </c>
      <c r="C2968">
        <v>24</v>
      </c>
      <c r="D2968" t="s">
        <v>56</v>
      </c>
      <c r="E2968">
        <v>72</v>
      </c>
      <c r="F2968">
        <v>181</v>
      </c>
      <c r="G2968" t="s">
        <v>180</v>
      </c>
      <c r="H2968">
        <v>2020</v>
      </c>
      <c r="I2968" t="s">
        <v>33</v>
      </c>
      <c r="J2968">
        <v>5</v>
      </c>
      <c r="K2968">
        <v>6</v>
      </c>
      <c r="L2968">
        <v>0</v>
      </c>
      <c r="M2968">
        <v>0</v>
      </c>
      <c r="N2968">
        <v>0</v>
      </c>
      <c r="O2968">
        <v>0</v>
      </c>
      <c r="P2968">
        <v>2</v>
      </c>
      <c r="Q2968">
        <v>3</v>
      </c>
      <c r="R2968">
        <v>0</v>
      </c>
      <c r="S2968">
        <v>38</v>
      </c>
      <c r="T2968">
        <v>38</v>
      </c>
      <c r="U2968" s="5">
        <f>IF(Merge1[[#This Row],[team_defense_snaps]]=0, "", Merge1[[#This Row],[defense_snaps]] / Merge1[[#This Row],[team_defense_snaps]])</f>
        <v>0.65517241379310343</v>
      </c>
      <c r="V2968">
        <v>58</v>
      </c>
      <c r="W2968">
        <v>0</v>
      </c>
      <c r="X2968" s="5" t="s">
        <v>29</v>
      </c>
      <c r="Y2968">
        <v>3</v>
      </c>
      <c r="Z2968">
        <v>0</v>
      </c>
      <c r="AA2968" t="s">
        <v>25</v>
      </c>
      <c r="AB2968" t="s">
        <v>26</v>
      </c>
      <c r="AC2968" t="s">
        <v>27</v>
      </c>
      <c r="AD2968" t="s">
        <v>42</v>
      </c>
      <c r="AE2968" t="s">
        <v>25</v>
      </c>
      <c r="AF29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0.57894736842105265</v>
      </c>
      <c r="AG2968" t="s">
        <v>941</v>
      </c>
      <c r="AH2968">
        <v>66.5</v>
      </c>
      <c r="AI2968" t="s">
        <v>939</v>
      </c>
      <c r="AJ2968">
        <v>2</v>
      </c>
      <c r="AK29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MIN(AJ2968/8, 1) +
  Merge1[[#This Row],[index_defensive_effort]],
  2
)</f>
        <v>1.23</v>
      </c>
    </row>
    <row r="2969" spans="1:37" x14ac:dyDescent="0.25">
      <c r="A2969" t="s">
        <v>764</v>
      </c>
      <c r="B2969" t="s">
        <v>765</v>
      </c>
      <c r="C2969">
        <v>24</v>
      </c>
      <c r="D2969" t="s">
        <v>56</v>
      </c>
      <c r="E2969">
        <v>72</v>
      </c>
      <c r="F2969">
        <v>181</v>
      </c>
      <c r="G2969" t="s">
        <v>180</v>
      </c>
      <c r="H2969">
        <v>2020</v>
      </c>
      <c r="I2969" t="s">
        <v>33</v>
      </c>
      <c r="J2969">
        <v>6</v>
      </c>
      <c r="K2969">
        <v>4</v>
      </c>
      <c r="L2969">
        <v>1</v>
      </c>
      <c r="M2969">
        <v>0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72</v>
      </c>
      <c r="T2969">
        <v>72</v>
      </c>
      <c r="U2969" s="5">
        <f>IF(Merge1[[#This Row],[team_defense_snaps]]=0, "", Merge1[[#This Row],[defense_snaps]] / Merge1[[#This Row],[team_defense_snaps]])</f>
        <v>0.93506493506493504</v>
      </c>
      <c r="V2969">
        <v>77</v>
      </c>
      <c r="W2969">
        <v>0</v>
      </c>
      <c r="X2969" s="5" t="s">
        <v>29</v>
      </c>
      <c r="Y2969">
        <v>3</v>
      </c>
      <c r="Z2969">
        <v>0</v>
      </c>
      <c r="AA2969" t="s">
        <v>25</v>
      </c>
      <c r="AB2969" t="s">
        <v>26</v>
      </c>
      <c r="AC2969" t="s">
        <v>27</v>
      </c>
      <c r="AD2969" t="s">
        <v>42</v>
      </c>
      <c r="AE2969" t="s">
        <v>25</v>
      </c>
      <c r="AF29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2969" t="s">
        <v>941</v>
      </c>
      <c r="AH2969">
        <v>80</v>
      </c>
      <c r="AI2969" t="s">
        <v>939</v>
      </c>
      <c r="AJ2969">
        <v>3</v>
      </c>
      <c r="AK29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MIN(AJ2969/8, 1) +
  Merge1[[#This Row],[index_defensive_effort]],
  2
)</f>
        <v>0.84</v>
      </c>
    </row>
    <row r="2970" spans="1:37" x14ac:dyDescent="0.25">
      <c r="A2970" t="s">
        <v>764</v>
      </c>
      <c r="B2970" t="s">
        <v>765</v>
      </c>
      <c r="C2970">
        <v>24</v>
      </c>
      <c r="D2970" t="s">
        <v>56</v>
      </c>
      <c r="E2970">
        <v>72</v>
      </c>
      <c r="F2970">
        <v>181</v>
      </c>
      <c r="G2970" t="s">
        <v>180</v>
      </c>
      <c r="H2970">
        <v>2020</v>
      </c>
      <c r="I2970" t="s">
        <v>33</v>
      </c>
      <c r="J2970">
        <v>7</v>
      </c>
      <c r="K2970">
        <v>1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14</v>
      </c>
      <c r="T2970">
        <v>14</v>
      </c>
      <c r="U2970" s="5">
        <f>IF(Merge1[[#This Row],[team_defense_snaps]]=0, "", Merge1[[#This Row],[defense_snaps]] / Merge1[[#This Row],[team_defense_snaps]])</f>
        <v>0.14000000000000001</v>
      </c>
      <c r="V2970">
        <v>100</v>
      </c>
      <c r="W2970">
        <v>0</v>
      </c>
      <c r="X2970" s="5" t="s">
        <v>29</v>
      </c>
      <c r="Y2970">
        <v>3</v>
      </c>
      <c r="Z2970">
        <v>0</v>
      </c>
      <c r="AA2970" t="s">
        <v>25</v>
      </c>
      <c r="AB2970" t="s">
        <v>26</v>
      </c>
      <c r="AC2970" t="s">
        <v>27</v>
      </c>
      <c r="AD2970" t="s">
        <v>42</v>
      </c>
      <c r="AE2970" t="s">
        <v>25</v>
      </c>
      <c r="AF29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2970" t="s">
        <v>941</v>
      </c>
      <c r="AH2970">
        <v>72.5</v>
      </c>
      <c r="AI2970" t="s">
        <v>939</v>
      </c>
      <c r="AJ2970">
        <v>4</v>
      </c>
      <c r="AK29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MIN(AJ2970/8, 1) +
  Merge1[[#This Row],[index_defensive_effort]],
  2
)</f>
        <v>0.97</v>
      </c>
    </row>
    <row r="2971" spans="1:37" x14ac:dyDescent="0.25">
      <c r="A2971" t="s">
        <v>764</v>
      </c>
      <c r="B2971" t="s">
        <v>765</v>
      </c>
      <c r="C2971">
        <v>24</v>
      </c>
      <c r="D2971" t="s">
        <v>56</v>
      </c>
      <c r="E2971">
        <v>72</v>
      </c>
      <c r="F2971">
        <v>181</v>
      </c>
      <c r="G2971" t="s">
        <v>180</v>
      </c>
      <c r="H2971">
        <v>2020</v>
      </c>
      <c r="I2971" t="s">
        <v>33</v>
      </c>
      <c r="J2971">
        <v>9</v>
      </c>
      <c r="K2971">
        <v>4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64</v>
      </c>
      <c r="T2971">
        <v>64</v>
      </c>
      <c r="U2971" s="5">
        <f>IF(Merge1[[#This Row],[team_defense_snaps]]=0, "", Merge1[[#This Row],[defense_snaps]] / Merge1[[#This Row],[team_defense_snaps]])</f>
        <v>0.98461538461538467</v>
      </c>
      <c r="V2971">
        <v>65</v>
      </c>
      <c r="W2971">
        <v>0</v>
      </c>
      <c r="X2971" s="5" t="s">
        <v>29</v>
      </c>
      <c r="Y2971">
        <v>3</v>
      </c>
      <c r="Z2971">
        <v>0</v>
      </c>
      <c r="AA2971" t="s">
        <v>25</v>
      </c>
      <c r="AB2971" t="s">
        <v>26</v>
      </c>
      <c r="AC2971" t="s">
        <v>27</v>
      </c>
      <c r="AD2971" t="s">
        <v>42</v>
      </c>
      <c r="AE2971" t="s">
        <v>25</v>
      </c>
      <c r="AF29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2971" t="s">
        <v>941</v>
      </c>
      <c r="AH2971">
        <v>81.5</v>
      </c>
      <c r="AI2971" t="s">
        <v>939</v>
      </c>
      <c r="AJ2971">
        <v>1</v>
      </c>
      <c r="AK29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MIN(AJ2971/8, 1) +
  Merge1[[#This Row],[index_defensive_effort]],
  2
)</f>
        <v>0.59</v>
      </c>
    </row>
    <row r="2972" spans="1:37" x14ac:dyDescent="0.25">
      <c r="A2972" t="s">
        <v>764</v>
      </c>
      <c r="B2972" t="s">
        <v>765</v>
      </c>
      <c r="C2972">
        <v>24</v>
      </c>
      <c r="D2972" t="s">
        <v>56</v>
      </c>
      <c r="E2972">
        <v>72</v>
      </c>
      <c r="F2972">
        <v>181</v>
      </c>
      <c r="G2972" t="s">
        <v>180</v>
      </c>
      <c r="H2972">
        <v>2020</v>
      </c>
      <c r="I2972" t="s">
        <v>33</v>
      </c>
      <c r="J2972">
        <v>10</v>
      </c>
      <c r="K2972">
        <v>7</v>
      </c>
      <c r="L2972">
        <v>4</v>
      </c>
      <c r="M2972">
        <v>2</v>
      </c>
      <c r="N2972">
        <v>6</v>
      </c>
      <c r="O2972">
        <v>0</v>
      </c>
      <c r="P2972">
        <v>0</v>
      </c>
      <c r="Q2972">
        <v>2</v>
      </c>
      <c r="R2972">
        <v>2</v>
      </c>
      <c r="S2972">
        <v>65</v>
      </c>
      <c r="T2972">
        <v>65</v>
      </c>
      <c r="U2972" s="5">
        <f>IF(Merge1[[#This Row],[team_defense_snaps]]=0, "", Merge1[[#This Row],[defense_snaps]] / Merge1[[#This Row],[team_defense_snaps]])</f>
        <v>0.97014925373134331</v>
      </c>
      <c r="V2972">
        <v>67</v>
      </c>
      <c r="W2972">
        <v>0</v>
      </c>
      <c r="X2972" s="5" t="s">
        <v>29</v>
      </c>
      <c r="Y2972">
        <v>3</v>
      </c>
      <c r="Z2972">
        <v>0</v>
      </c>
      <c r="AA2972" t="s">
        <v>25</v>
      </c>
      <c r="AB2972" t="s">
        <v>26</v>
      </c>
      <c r="AC2972" t="s">
        <v>27</v>
      </c>
      <c r="AD2972" t="s">
        <v>42</v>
      </c>
      <c r="AE2972" t="s">
        <v>25</v>
      </c>
      <c r="AF29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0.33846153846153848</v>
      </c>
      <c r="AG2972" t="s">
        <v>941</v>
      </c>
      <c r="AH2972">
        <v>77</v>
      </c>
      <c r="AI2972" t="s">
        <v>939</v>
      </c>
      <c r="AJ2972">
        <v>2</v>
      </c>
      <c r="AK29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MIN(AJ2972/8, 1) +
  Merge1[[#This Row],[index_defensive_effort]],
  2
)</f>
        <v>0.99</v>
      </c>
    </row>
    <row r="2973" spans="1:37" x14ac:dyDescent="0.25">
      <c r="A2973" t="s">
        <v>764</v>
      </c>
      <c r="B2973" t="s">
        <v>765</v>
      </c>
      <c r="C2973">
        <v>24</v>
      </c>
      <c r="D2973" t="s">
        <v>56</v>
      </c>
      <c r="E2973">
        <v>72</v>
      </c>
      <c r="F2973">
        <v>181</v>
      </c>
      <c r="G2973" t="s">
        <v>180</v>
      </c>
      <c r="H2973">
        <v>2020</v>
      </c>
      <c r="I2973" t="s">
        <v>33</v>
      </c>
      <c r="J2973">
        <v>14</v>
      </c>
      <c r="K2973">
        <v>2</v>
      </c>
      <c r="L2973">
        <v>1</v>
      </c>
      <c r="M2973">
        <v>0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37</v>
      </c>
      <c r="T2973">
        <v>37</v>
      </c>
      <c r="U2973" s="5">
        <f>IF(Merge1[[#This Row],[team_defense_snaps]]=0, "", Merge1[[#This Row],[defense_snaps]] / Merge1[[#This Row],[team_defense_snaps]])</f>
        <v>0.55223880597014929</v>
      </c>
      <c r="V2973">
        <v>67</v>
      </c>
      <c r="W2973">
        <v>0</v>
      </c>
      <c r="X2973" s="5" t="s">
        <v>29</v>
      </c>
      <c r="Y2973">
        <v>3</v>
      </c>
      <c r="Z2973">
        <v>0</v>
      </c>
      <c r="AA2973" t="s">
        <v>25</v>
      </c>
      <c r="AB2973" t="s">
        <v>36</v>
      </c>
      <c r="AC2973" t="s">
        <v>539</v>
      </c>
      <c r="AD2973" t="s">
        <v>42</v>
      </c>
      <c r="AE2973" t="s">
        <v>25</v>
      </c>
      <c r="AF29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6.7567567567567571E-2</v>
      </c>
      <c r="AG2973" t="s">
        <v>941</v>
      </c>
      <c r="AH2973">
        <v>78.5</v>
      </c>
      <c r="AI2973" t="s">
        <v>939</v>
      </c>
      <c r="AJ2973">
        <v>1</v>
      </c>
      <c r="AK29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MIN(AJ2973/8, 1) +
  Merge1[[#This Row],[index_defensive_effort]],
  2
)</f>
        <v>0.59</v>
      </c>
    </row>
    <row r="2974" spans="1:37" x14ac:dyDescent="0.25">
      <c r="A2974" t="s">
        <v>770</v>
      </c>
      <c r="B2974" t="s">
        <v>771</v>
      </c>
      <c r="C2974">
        <v>26</v>
      </c>
      <c r="D2974" t="s">
        <v>56</v>
      </c>
      <c r="E2974">
        <v>72</v>
      </c>
      <c r="F2974">
        <v>206</v>
      </c>
      <c r="G2974" t="s">
        <v>339</v>
      </c>
      <c r="H2974">
        <v>2020</v>
      </c>
      <c r="I2974" t="s">
        <v>33</v>
      </c>
      <c r="J2974">
        <v>6</v>
      </c>
      <c r="K2974">
        <v>1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25</v>
      </c>
      <c r="T2974">
        <v>9</v>
      </c>
      <c r="U2974" s="5">
        <f>IF(Merge1[[#This Row],[team_defense_snaps]]=0, "", Merge1[[#This Row],[defense_snaps]] / Merge1[[#This Row],[team_defense_snaps]])</f>
        <v>0.12</v>
      </c>
      <c r="V2974">
        <v>75</v>
      </c>
      <c r="W2974">
        <v>16</v>
      </c>
      <c r="X2974" s="5" t="s">
        <v>80</v>
      </c>
      <c r="Y2974">
        <v>2</v>
      </c>
      <c r="Z2974">
        <v>0</v>
      </c>
      <c r="AA2974" t="s">
        <v>25</v>
      </c>
      <c r="AB2974" t="s">
        <v>26</v>
      </c>
      <c r="AC2974" t="s">
        <v>27</v>
      </c>
      <c r="AD2974" t="s">
        <v>28</v>
      </c>
      <c r="AE2974" t="s">
        <v>25</v>
      </c>
      <c r="AF29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0.04</v>
      </c>
      <c r="AG2974" t="s">
        <v>942</v>
      </c>
      <c r="AH2974">
        <v>44</v>
      </c>
      <c r="AI2974" t="s">
        <v>939</v>
      </c>
      <c r="AJ2974">
        <v>1</v>
      </c>
      <c r="AK29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MIN(AJ2974/8, 1) +
  Merge1[[#This Row],[index_defensive_effort]],
  2
)</f>
        <v>0.77</v>
      </c>
    </row>
    <row r="2975" spans="1:37" x14ac:dyDescent="0.25">
      <c r="A2975" t="s">
        <v>770</v>
      </c>
      <c r="B2975" t="s">
        <v>771</v>
      </c>
      <c r="C2975">
        <v>26</v>
      </c>
      <c r="D2975" t="s">
        <v>56</v>
      </c>
      <c r="E2975">
        <v>72</v>
      </c>
      <c r="F2975">
        <v>206</v>
      </c>
      <c r="G2975" t="s">
        <v>339</v>
      </c>
      <c r="H2975">
        <v>2020</v>
      </c>
      <c r="I2975" t="s">
        <v>33</v>
      </c>
      <c r="J2975">
        <v>10</v>
      </c>
      <c r="K2975">
        <v>1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27</v>
      </c>
      <c r="T2975">
        <v>6</v>
      </c>
      <c r="U2975" s="5">
        <f>IF(Merge1[[#This Row],[team_defense_snaps]]=0, "", Merge1[[#This Row],[defense_snaps]] / Merge1[[#This Row],[team_defense_snaps]])</f>
        <v>0.08</v>
      </c>
      <c r="V2975">
        <v>75</v>
      </c>
      <c r="W2975">
        <v>21</v>
      </c>
      <c r="X2975" s="5" t="s">
        <v>80</v>
      </c>
      <c r="Y2975">
        <v>2</v>
      </c>
      <c r="Z2975">
        <v>0</v>
      </c>
      <c r="AA2975" t="s">
        <v>25</v>
      </c>
      <c r="AB2975" t="s">
        <v>26</v>
      </c>
      <c r="AC2975" t="s">
        <v>27</v>
      </c>
      <c r="AD2975" t="s">
        <v>28</v>
      </c>
      <c r="AE2975" t="s">
        <v>25</v>
      </c>
      <c r="AF29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3.7037037037037035E-2</v>
      </c>
      <c r="AG2975" t="s">
        <v>942</v>
      </c>
      <c r="AH2975">
        <v>45.5</v>
      </c>
      <c r="AI2975" t="s">
        <v>939</v>
      </c>
      <c r="AJ2975">
        <v>1</v>
      </c>
      <c r="AK29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MIN(AJ2975/8, 1) +
  Merge1[[#This Row],[index_defensive_effort]],
  2
)</f>
        <v>0.76</v>
      </c>
    </row>
    <row r="2976" spans="1:37" x14ac:dyDescent="0.25">
      <c r="A2976" t="s">
        <v>770</v>
      </c>
      <c r="B2976" t="s">
        <v>771</v>
      </c>
      <c r="C2976">
        <v>26</v>
      </c>
      <c r="D2976" t="s">
        <v>56</v>
      </c>
      <c r="E2976">
        <v>72</v>
      </c>
      <c r="F2976">
        <v>206</v>
      </c>
      <c r="G2976" t="s">
        <v>339</v>
      </c>
      <c r="H2976">
        <v>2020</v>
      </c>
      <c r="I2976" t="s">
        <v>33</v>
      </c>
      <c r="J2976">
        <v>14</v>
      </c>
      <c r="K2976">
        <v>0</v>
      </c>
      <c r="L2976">
        <v>1</v>
      </c>
      <c r="M2976">
        <v>0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40</v>
      </c>
      <c r="T2976">
        <v>20</v>
      </c>
      <c r="U2976" s="5">
        <f>IF(Merge1[[#This Row],[team_defense_snaps]]=0, "", Merge1[[#This Row],[defense_snaps]] / Merge1[[#This Row],[team_defense_snaps]])</f>
        <v>0.35087719298245612</v>
      </c>
      <c r="V2976">
        <v>57</v>
      </c>
      <c r="W2976">
        <v>20</v>
      </c>
      <c r="X2976" s="5" t="s">
        <v>230</v>
      </c>
      <c r="Y2976">
        <v>2</v>
      </c>
      <c r="Z2976">
        <v>0</v>
      </c>
      <c r="AA2976" t="s">
        <v>25</v>
      </c>
      <c r="AB2976" t="s">
        <v>26</v>
      </c>
      <c r="AC2976" t="s">
        <v>27</v>
      </c>
      <c r="AD2976" t="s">
        <v>28</v>
      </c>
      <c r="AE2976" t="s">
        <v>25</v>
      </c>
      <c r="AF29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1.2500000000000001E-2</v>
      </c>
      <c r="AG2976" t="s">
        <v>942</v>
      </c>
      <c r="AH2976">
        <v>48.5</v>
      </c>
      <c r="AI2976" t="s">
        <v>939</v>
      </c>
      <c r="AJ2976">
        <v>1</v>
      </c>
      <c r="AK29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MIN(AJ2976/8, 1) +
  Merge1[[#This Row],[index_defensive_effort]],
  2
)</f>
        <v>0.74</v>
      </c>
    </row>
    <row r="2977" spans="1:37" x14ac:dyDescent="0.25">
      <c r="A2977" t="s">
        <v>770</v>
      </c>
      <c r="B2977" t="s">
        <v>771</v>
      </c>
      <c r="C2977">
        <v>26</v>
      </c>
      <c r="D2977" t="s">
        <v>56</v>
      </c>
      <c r="E2977">
        <v>72</v>
      </c>
      <c r="F2977">
        <v>206</v>
      </c>
      <c r="G2977" t="s">
        <v>339</v>
      </c>
      <c r="H2977">
        <v>2020</v>
      </c>
      <c r="I2977" t="s">
        <v>33</v>
      </c>
      <c r="J2977">
        <v>15</v>
      </c>
      <c r="K2977">
        <v>0</v>
      </c>
      <c r="L2977">
        <v>1</v>
      </c>
      <c r="M2977">
        <v>0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34</v>
      </c>
      <c r="T2977">
        <v>14</v>
      </c>
      <c r="U2977" s="5">
        <f>IF(Merge1[[#This Row],[team_defense_snaps]]=0, "", Merge1[[#This Row],[defense_snaps]] / Merge1[[#This Row],[team_defense_snaps]])</f>
        <v>0.2153846153846154</v>
      </c>
      <c r="V2977">
        <v>65</v>
      </c>
      <c r="W2977">
        <v>20</v>
      </c>
      <c r="X2977" s="5" t="s">
        <v>256</v>
      </c>
      <c r="Y2977">
        <v>2</v>
      </c>
      <c r="Z2977">
        <v>0</v>
      </c>
      <c r="AA2977" t="s">
        <v>25</v>
      </c>
      <c r="AB2977" t="s">
        <v>26</v>
      </c>
      <c r="AC2977" t="s">
        <v>27</v>
      </c>
      <c r="AD2977" t="s">
        <v>28</v>
      </c>
      <c r="AE2977" t="s">
        <v>25</v>
      </c>
      <c r="AF29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1.4705882352941176E-2</v>
      </c>
      <c r="AG2977" t="s">
        <v>942</v>
      </c>
      <c r="AH2977">
        <v>47</v>
      </c>
      <c r="AI2977" t="s">
        <v>939</v>
      </c>
      <c r="AJ2977">
        <v>2</v>
      </c>
      <c r="AK29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MIN(AJ2977/8, 1) +
  Merge1[[#This Row],[index_defensive_effort]],
  2
)</f>
        <v>0.86</v>
      </c>
    </row>
    <row r="2978" spans="1:37" x14ac:dyDescent="0.25">
      <c r="A2978" t="s">
        <v>770</v>
      </c>
      <c r="B2978" t="s">
        <v>771</v>
      </c>
      <c r="C2978">
        <v>26</v>
      </c>
      <c r="D2978" t="s">
        <v>56</v>
      </c>
      <c r="E2978">
        <v>72</v>
      </c>
      <c r="F2978">
        <v>206</v>
      </c>
      <c r="G2978" t="s">
        <v>339</v>
      </c>
      <c r="H2978">
        <v>2020</v>
      </c>
      <c r="I2978" t="s">
        <v>33</v>
      </c>
      <c r="J2978">
        <v>16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22</v>
      </c>
      <c r="T2978">
        <v>4</v>
      </c>
      <c r="U2978" s="5">
        <f>IF(Merge1[[#This Row],[team_defense_snaps]]=0, "", Merge1[[#This Row],[defense_snaps]] / Merge1[[#This Row],[team_defense_snaps]])</f>
        <v>0.08</v>
      </c>
      <c r="V2978">
        <v>50</v>
      </c>
      <c r="W2978">
        <v>18</v>
      </c>
      <c r="X2978" s="5" t="s">
        <v>80</v>
      </c>
      <c r="Y2978">
        <v>2</v>
      </c>
      <c r="Z2978">
        <v>0</v>
      </c>
      <c r="AA2978" t="s">
        <v>25</v>
      </c>
      <c r="AB2978" t="s">
        <v>26</v>
      </c>
      <c r="AC2978" t="s">
        <v>27</v>
      </c>
      <c r="AD2978" t="s">
        <v>28</v>
      </c>
      <c r="AE2978" t="s">
        <v>25</v>
      </c>
      <c r="AF29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9.0909090909090912E-2</v>
      </c>
      <c r="AG2978" t="s">
        <v>942</v>
      </c>
      <c r="AH2978">
        <v>54.5</v>
      </c>
      <c r="AI2978" t="s">
        <v>939</v>
      </c>
      <c r="AJ2978">
        <v>3</v>
      </c>
      <c r="AK29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MIN(AJ2978/8, 1) +
  Merge1[[#This Row],[index_defensive_effort]],
  2
)</f>
        <v>1.07</v>
      </c>
    </row>
    <row r="2979" spans="1:37" x14ac:dyDescent="0.25">
      <c r="A2979" t="s">
        <v>770</v>
      </c>
      <c r="B2979" t="s">
        <v>771</v>
      </c>
      <c r="C2979">
        <v>26</v>
      </c>
      <c r="D2979" t="s">
        <v>56</v>
      </c>
      <c r="E2979">
        <v>72</v>
      </c>
      <c r="F2979">
        <v>206</v>
      </c>
      <c r="G2979" t="s">
        <v>339</v>
      </c>
      <c r="H2979">
        <v>2020</v>
      </c>
      <c r="I2979" t="s">
        <v>33</v>
      </c>
      <c r="J2979">
        <v>17</v>
      </c>
      <c r="K2979">
        <v>2</v>
      </c>
      <c r="L2979">
        <v>1</v>
      </c>
      <c r="M2979">
        <v>0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60</v>
      </c>
      <c r="T2979">
        <v>38</v>
      </c>
      <c r="U2979" s="5">
        <f>IF(Merge1[[#This Row],[team_defense_snaps]]=0, "", Merge1[[#This Row],[defense_snaps]] / Merge1[[#This Row],[team_defense_snaps]])</f>
        <v>0.45238095238095238</v>
      </c>
      <c r="V2979">
        <v>84</v>
      </c>
      <c r="W2979">
        <v>22</v>
      </c>
      <c r="X2979" s="5" t="s">
        <v>125</v>
      </c>
      <c r="Y2979">
        <v>2</v>
      </c>
      <c r="Z2979">
        <v>0</v>
      </c>
      <c r="AA2979" t="s">
        <v>25</v>
      </c>
      <c r="AB2979" t="s">
        <v>26</v>
      </c>
      <c r="AC2979" t="s">
        <v>27</v>
      </c>
      <c r="AD2979" t="s">
        <v>28</v>
      </c>
      <c r="AE2979" t="s">
        <v>25</v>
      </c>
      <c r="AF29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2979" t="s">
        <v>942</v>
      </c>
      <c r="AH2979">
        <v>60.5</v>
      </c>
      <c r="AI2979" t="s">
        <v>939</v>
      </c>
      <c r="AJ2979">
        <v>4</v>
      </c>
      <c r="AK29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MIN(AJ2979/8, 1) +
  Merge1[[#This Row],[index_defensive_effort]],
  2
)</f>
        <v>1.1399999999999999</v>
      </c>
    </row>
    <row r="2980" spans="1:37" x14ac:dyDescent="0.25">
      <c r="A2980" t="s">
        <v>780</v>
      </c>
      <c r="B2980" t="s">
        <v>781</v>
      </c>
      <c r="C2980">
        <v>21</v>
      </c>
      <c r="D2980" t="s">
        <v>56</v>
      </c>
      <c r="E2980">
        <v>74</v>
      </c>
      <c r="F2980">
        <v>185</v>
      </c>
      <c r="G2980" t="s">
        <v>41</v>
      </c>
      <c r="H2980">
        <v>2020</v>
      </c>
      <c r="I2980" t="s">
        <v>33</v>
      </c>
      <c r="J2980">
        <v>9</v>
      </c>
      <c r="K2980">
        <v>2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23</v>
      </c>
      <c r="T2980">
        <v>13</v>
      </c>
      <c r="U2980" s="5">
        <f>IF(Merge1[[#This Row],[team_defense_snaps]]=0, "", Merge1[[#This Row],[defense_snaps]] / Merge1[[#This Row],[team_defense_snaps]])</f>
        <v>0.22807017543859648</v>
      </c>
      <c r="V2980">
        <v>57</v>
      </c>
      <c r="W2980">
        <v>10</v>
      </c>
      <c r="X2980" s="5" t="s">
        <v>60</v>
      </c>
      <c r="Y2980">
        <v>0</v>
      </c>
      <c r="Z2980">
        <v>0</v>
      </c>
      <c r="AA2980" t="s">
        <v>25</v>
      </c>
      <c r="AB2980" t="s">
        <v>26</v>
      </c>
      <c r="AC2980" t="s">
        <v>27</v>
      </c>
      <c r="AD2980" t="s">
        <v>28</v>
      </c>
      <c r="AE2980" t="s">
        <v>25</v>
      </c>
      <c r="AF29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8.6956521739130432E-2</v>
      </c>
      <c r="AG2980" t="s">
        <v>943</v>
      </c>
      <c r="AH2980">
        <v>53</v>
      </c>
      <c r="AI2980" t="s">
        <v>939</v>
      </c>
      <c r="AJ2980">
        <v>1</v>
      </c>
      <c r="AK29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MIN(AJ2980/8, 1) +
  Merge1[[#This Row],[index_defensive_effort]],
  2
)</f>
        <v>0.61</v>
      </c>
    </row>
    <row r="2981" spans="1:37" x14ac:dyDescent="0.25">
      <c r="A2981" t="s">
        <v>784</v>
      </c>
      <c r="B2981" t="s">
        <v>785</v>
      </c>
      <c r="C2981">
        <v>22</v>
      </c>
      <c r="D2981" t="s">
        <v>56</v>
      </c>
      <c r="E2981">
        <v>72</v>
      </c>
      <c r="F2981">
        <v>190</v>
      </c>
      <c r="G2981" t="s">
        <v>259</v>
      </c>
      <c r="H2981">
        <v>2020</v>
      </c>
      <c r="I2981" t="s">
        <v>33</v>
      </c>
      <c r="J2981">
        <v>8</v>
      </c>
      <c r="K2981">
        <v>1</v>
      </c>
      <c r="L2981">
        <v>0</v>
      </c>
      <c r="M2981">
        <v>0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20</v>
      </c>
      <c r="T2981">
        <v>15</v>
      </c>
      <c r="U2981" s="5">
        <f>IF(Merge1[[#This Row],[team_defense_snaps]]=0, "", Merge1[[#This Row],[defense_snaps]] / Merge1[[#This Row],[team_defense_snaps]])</f>
        <v>0.21126760563380281</v>
      </c>
      <c r="V2981">
        <v>71</v>
      </c>
      <c r="W2981">
        <v>5</v>
      </c>
      <c r="X2981" s="5" t="s">
        <v>139</v>
      </c>
      <c r="Y2981">
        <v>0</v>
      </c>
      <c r="Z2981">
        <v>0</v>
      </c>
      <c r="AA2981" t="s">
        <v>25</v>
      </c>
      <c r="AB2981" t="s">
        <v>26</v>
      </c>
      <c r="AC2981" t="s">
        <v>27</v>
      </c>
      <c r="AD2981" t="s">
        <v>28</v>
      </c>
      <c r="AE2981" t="s">
        <v>25</v>
      </c>
      <c r="AF29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</v>
      </c>
      <c r="AG2981" t="s">
        <v>942</v>
      </c>
      <c r="AH2981">
        <v>64.5</v>
      </c>
      <c r="AI2981" t="s">
        <v>939</v>
      </c>
      <c r="AJ2981">
        <v>1</v>
      </c>
      <c r="AK29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MIN(AJ2981/8, 1) +
  Merge1[[#This Row],[index_defensive_effort]],
  2
)</f>
        <v>0.68</v>
      </c>
    </row>
    <row r="2982" spans="1:37" x14ac:dyDescent="0.25">
      <c r="A2982" t="s">
        <v>784</v>
      </c>
      <c r="B2982" t="s">
        <v>785</v>
      </c>
      <c r="C2982">
        <v>22</v>
      </c>
      <c r="D2982" t="s">
        <v>56</v>
      </c>
      <c r="E2982">
        <v>72</v>
      </c>
      <c r="F2982">
        <v>190</v>
      </c>
      <c r="G2982" t="s">
        <v>259</v>
      </c>
      <c r="H2982">
        <v>2020</v>
      </c>
      <c r="I2982" t="s">
        <v>33</v>
      </c>
      <c r="J2982">
        <v>11</v>
      </c>
      <c r="K2982">
        <v>1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27</v>
      </c>
      <c r="T2982">
        <v>20</v>
      </c>
      <c r="U2982" s="5">
        <f>IF(Merge1[[#This Row],[team_defense_snaps]]=0, "", Merge1[[#This Row],[defense_snaps]] / Merge1[[#This Row],[team_defense_snaps]])</f>
        <v>0.35087719298245612</v>
      </c>
      <c r="V2982">
        <v>57</v>
      </c>
      <c r="W2982">
        <v>7</v>
      </c>
      <c r="X2982" s="5" t="s">
        <v>108</v>
      </c>
      <c r="Y2982">
        <v>0</v>
      </c>
      <c r="Z2982">
        <v>0</v>
      </c>
      <c r="AA2982" t="s">
        <v>25</v>
      </c>
      <c r="AB2982" t="s">
        <v>26</v>
      </c>
      <c r="AC2982" t="s">
        <v>27</v>
      </c>
      <c r="AD2982" t="s">
        <v>28</v>
      </c>
      <c r="AE2982" t="s">
        <v>25</v>
      </c>
      <c r="AF29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3.7037037037037035E-2</v>
      </c>
      <c r="AG2982" t="s">
        <v>942</v>
      </c>
      <c r="AH2982">
        <v>58.5</v>
      </c>
      <c r="AI2982" t="s">
        <v>939</v>
      </c>
      <c r="AJ2982">
        <v>1</v>
      </c>
      <c r="AK29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MIN(AJ2982/8, 1) +
  Merge1[[#This Row],[index_defensive_effort]],
  2
)</f>
        <v>0.56000000000000005</v>
      </c>
    </row>
    <row r="2983" spans="1:37" x14ac:dyDescent="0.25">
      <c r="A2983" t="s">
        <v>784</v>
      </c>
      <c r="B2983" t="s">
        <v>785</v>
      </c>
      <c r="C2983">
        <v>22</v>
      </c>
      <c r="D2983" t="s">
        <v>56</v>
      </c>
      <c r="E2983">
        <v>72</v>
      </c>
      <c r="F2983">
        <v>190</v>
      </c>
      <c r="G2983" t="s">
        <v>259</v>
      </c>
      <c r="H2983">
        <v>2020</v>
      </c>
      <c r="I2983" t="s">
        <v>33</v>
      </c>
      <c r="J2983">
        <v>12</v>
      </c>
      <c r="K2983">
        <v>1</v>
      </c>
      <c r="L2983">
        <v>1</v>
      </c>
      <c r="M2983">
        <v>0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29</v>
      </c>
      <c r="T2983">
        <v>21</v>
      </c>
      <c r="U2983" s="5">
        <f>IF(Merge1[[#This Row],[team_defense_snaps]]=0, "", Merge1[[#This Row],[defense_snaps]] / Merge1[[#This Row],[team_defense_snaps]])</f>
        <v>0.28767123287671231</v>
      </c>
      <c r="V2983">
        <v>73</v>
      </c>
      <c r="W2983">
        <v>8</v>
      </c>
      <c r="X2983" s="5" t="s">
        <v>261</v>
      </c>
      <c r="Y2983">
        <v>0</v>
      </c>
      <c r="Z2983">
        <v>0</v>
      </c>
      <c r="AA2983" t="s">
        <v>25</v>
      </c>
      <c r="AB2983" t="s">
        <v>26</v>
      </c>
      <c r="AC2983" t="s">
        <v>27</v>
      </c>
      <c r="AD2983" t="s">
        <v>28</v>
      </c>
      <c r="AE2983" t="s">
        <v>25</v>
      </c>
      <c r="AF29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5.1724137931034482E-2</v>
      </c>
      <c r="AG2983" t="s">
        <v>942</v>
      </c>
      <c r="AH2983">
        <v>60</v>
      </c>
      <c r="AI2983" t="s">
        <v>939</v>
      </c>
      <c r="AJ2983">
        <v>2</v>
      </c>
      <c r="AK29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MIN(AJ2983/8, 1) +
  Merge1[[#This Row],[index_defensive_effort]],
  2
)</f>
        <v>0.7</v>
      </c>
    </row>
    <row r="2984" spans="1:37" x14ac:dyDescent="0.25">
      <c r="A2984" t="s">
        <v>784</v>
      </c>
      <c r="B2984" t="s">
        <v>785</v>
      </c>
      <c r="C2984">
        <v>22</v>
      </c>
      <c r="D2984" t="s">
        <v>56</v>
      </c>
      <c r="E2984">
        <v>72</v>
      </c>
      <c r="F2984">
        <v>190</v>
      </c>
      <c r="G2984" t="s">
        <v>259</v>
      </c>
      <c r="H2984">
        <v>2020</v>
      </c>
      <c r="I2984" t="s">
        <v>33</v>
      </c>
      <c r="J2984">
        <v>17</v>
      </c>
      <c r="K2984">
        <v>3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26</v>
      </c>
      <c r="T2984">
        <v>14</v>
      </c>
      <c r="U2984" s="5">
        <f>IF(Merge1[[#This Row],[team_defense_snaps]]=0, "", Merge1[[#This Row],[defense_snaps]] / Merge1[[#This Row],[team_defense_snaps]])</f>
        <v>0.21875</v>
      </c>
      <c r="V2984">
        <v>64</v>
      </c>
      <c r="W2984">
        <v>12</v>
      </c>
      <c r="X2984" s="5" t="s">
        <v>52</v>
      </c>
      <c r="Y2984">
        <v>0</v>
      </c>
      <c r="Z2984">
        <v>0</v>
      </c>
      <c r="AA2984" t="s">
        <v>25</v>
      </c>
      <c r="AB2984" t="s">
        <v>26</v>
      </c>
      <c r="AC2984" t="s">
        <v>27</v>
      </c>
      <c r="AD2984" t="s">
        <v>28</v>
      </c>
      <c r="AE2984" t="s">
        <v>25</v>
      </c>
      <c r="AF29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0.11538461538461539</v>
      </c>
      <c r="AG2984" t="s">
        <v>942</v>
      </c>
      <c r="AH2984">
        <v>51</v>
      </c>
      <c r="AI2984" t="s">
        <v>939</v>
      </c>
      <c r="AJ2984">
        <v>1</v>
      </c>
      <c r="AK29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MIN(AJ2984/8, 1) +
  Merge1[[#This Row],[index_defensive_effort]],
  2
)</f>
        <v>0.64</v>
      </c>
    </row>
    <row r="2985" spans="1:37" x14ac:dyDescent="0.25">
      <c r="A2985" t="s">
        <v>762</v>
      </c>
      <c r="B2985" t="s">
        <v>763</v>
      </c>
      <c r="C2985">
        <v>30</v>
      </c>
      <c r="D2985" t="s">
        <v>56</v>
      </c>
      <c r="E2985">
        <v>72</v>
      </c>
      <c r="F2985">
        <v>190</v>
      </c>
      <c r="G2985" t="s">
        <v>99</v>
      </c>
      <c r="H2985">
        <v>2020</v>
      </c>
      <c r="I2985" t="s">
        <v>33</v>
      </c>
      <c r="J2985">
        <v>1</v>
      </c>
      <c r="K2985">
        <v>3</v>
      </c>
      <c r="L2985">
        <v>2</v>
      </c>
      <c r="M2985">
        <v>2</v>
      </c>
      <c r="N2985">
        <v>4</v>
      </c>
      <c r="O2985">
        <v>0</v>
      </c>
      <c r="P2985">
        <v>1</v>
      </c>
      <c r="Q2985">
        <v>2</v>
      </c>
      <c r="R2985">
        <v>0</v>
      </c>
      <c r="S2985">
        <v>59</v>
      </c>
      <c r="T2985">
        <v>59</v>
      </c>
      <c r="U2985" s="5">
        <f>IF(Merge1[[#This Row],[team_defense_snaps]]=0, "", Merge1[[#This Row],[defense_snaps]] / Merge1[[#This Row],[team_defense_snaps]])</f>
        <v>0.95161290322580649</v>
      </c>
      <c r="V2985">
        <v>62</v>
      </c>
      <c r="W2985">
        <v>0</v>
      </c>
      <c r="X2985" s="5" t="s">
        <v>29</v>
      </c>
      <c r="Y2985">
        <v>8</v>
      </c>
      <c r="Z2985">
        <v>0</v>
      </c>
      <c r="AA2985" t="s">
        <v>25</v>
      </c>
      <c r="AB2985" t="s">
        <v>26</v>
      </c>
      <c r="AC2985" t="s">
        <v>27</v>
      </c>
      <c r="AD2985" t="s">
        <v>42</v>
      </c>
      <c r="AE2985" t="s">
        <v>25</v>
      </c>
      <c r="AF29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0.25423728813559321</v>
      </c>
      <c r="AG2985" t="s">
        <v>942</v>
      </c>
      <c r="AH2985">
        <v>65</v>
      </c>
      <c r="AI2985" t="s">
        <v>939</v>
      </c>
      <c r="AJ2985">
        <v>1</v>
      </c>
      <c r="AK29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MIN(AJ2985/8, 1) +
  Merge1[[#This Row],[index_defensive_effort]],
  2
)</f>
        <v>0.88</v>
      </c>
    </row>
    <row r="2986" spans="1:37" x14ac:dyDescent="0.25">
      <c r="A2986" t="s">
        <v>762</v>
      </c>
      <c r="B2986" t="s">
        <v>763</v>
      </c>
      <c r="C2986">
        <v>30</v>
      </c>
      <c r="D2986" t="s">
        <v>56</v>
      </c>
      <c r="E2986">
        <v>72</v>
      </c>
      <c r="F2986">
        <v>190</v>
      </c>
      <c r="G2986" t="s">
        <v>99</v>
      </c>
      <c r="H2986">
        <v>2020</v>
      </c>
      <c r="I2986" t="s">
        <v>33</v>
      </c>
      <c r="J2986">
        <v>2</v>
      </c>
      <c r="K2986">
        <v>2</v>
      </c>
      <c r="L2986">
        <v>1</v>
      </c>
      <c r="M2986">
        <v>1</v>
      </c>
      <c r="N2986">
        <v>2</v>
      </c>
      <c r="O2986">
        <v>0</v>
      </c>
      <c r="P2986">
        <v>0</v>
      </c>
      <c r="Q2986">
        <v>0</v>
      </c>
      <c r="R2986">
        <v>0</v>
      </c>
      <c r="S2986">
        <v>62</v>
      </c>
      <c r="T2986">
        <v>62</v>
      </c>
      <c r="U2986" s="5">
        <f>IF(Merge1[[#This Row],[team_defense_snaps]]=0, "", Merge1[[#This Row],[defense_snaps]] / Merge1[[#This Row],[team_defense_snaps]])</f>
        <v>0.98412698412698407</v>
      </c>
      <c r="V2986">
        <v>63</v>
      </c>
      <c r="W2986">
        <v>0</v>
      </c>
      <c r="X2986" s="5" t="s">
        <v>29</v>
      </c>
      <c r="Y2986">
        <v>8</v>
      </c>
      <c r="Z2986">
        <v>0</v>
      </c>
      <c r="AA2986" t="s">
        <v>25</v>
      </c>
      <c r="AB2986" t="s">
        <v>26</v>
      </c>
      <c r="AC2986" t="s">
        <v>27</v>
      </c>
      <c r="AD2986" t="s">
        <v>42</v>
      </c>
      <c r="AE2986" t="s">
        <v>25</v>
      </c>
      <c r="AF29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4.8387096774193547E-2</v>
      </c>
      <c r="AG2986" t="s">
        <v>942</v>
      </c>
      <c r="AH2986">
        <v>66.5</v>
      </c>
      <c r="AI2986" t="s">
        <v>939</v>
      </c>
      <c r="AJ2986">
        <v>2</v>
      </c>
      <c r="AK29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MIN(AJ2986/8, 1) +
  Merge1[[#This Row],[index_defensive_effort]],
  2
)</f>
        <v>0.8</v>
      </c>
    </row>
    <row r="2987" spans="1:37" x14ac:dyDescent="0.25">
      <c r="A2987" t="s">
        <v>762</v>
      </c>
      <c r="B2987" t="s">
        <v>763</v>
      </c>
      <c r="C2987">
        <v>30</v>
      </c>
      <c r="D2987" t="s">
        <v>56</v>
      </c>
      <c r="E2987">
        <v>72</v>
      </c>
      <c r="F2987">
        <v>190</v>
      </c>
      <c r="G2987" t="s">
        <v>99</v>
      </c>
      <c r="H2987">
        <v>2020</v>
      </c>
      <c r="I2987" t="s">
        <v>33</v>
      </c>
      <c r="J2987">
        <v>3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58</v>
      </c>
      <c r="T2987">
        <v>58</v>
      </c>
      <c r="U2987" s="5">
        <f>IF(Merge1[[#This Row],[team_defense_snaps]]=0, "", Merge1[[#This Row],[defense_snaps]] / Merge1[[#This Row],[team_defense_snaps]])</f>
        <v>0.96666666666666667</v>
      </c>
      <c r="V2987">
        <v>60</v>
      </c>
      <c r="W2987">
        <v>0</v>
      </c>
      <c r="X2987" s="5" t="s">
        <v>29</v>
      </c>
      <c r="Y2987">
        <v>8</v>
      </c>
      <c r="Z2987">
        <v>0</v>
      </c>
      <c r="AA2987" t="s">
        <v>25</v>
      </c>
      <c r="AB2987" t="s">
        <v>26</v>
      </c>
      <c r="AC2987" t="s">
        <v>27</v>
      </c>
      <c r="AD2987" t="s">
        <v>42</v>
      </c>
      <c r="AE2987" t="s">
        <v>25</v>
      </c>
      <c r="AF29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2987" t="s">
        <v>942</v>
      </c>
      <c r="AH2987">
        <v>51.5</v>
      </c>
      <c r="AI2987" t="s">
        <v>939</v>
      </c>
      <c r="AJ2987">
        <v>3</v>
      </c>
      <c r="AK29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MIN(AJ2987/8, 1) +
  Merge1[[#This Row],[index_defensive_effort]],
  2
)</f>
        <v>0.88</v>
      </c>
    </row>
    <row r="2988" spans="1:37" x14ac:dyDescent="0.25">
      <c r="A2988" t="s">
        <v>762</v>
      </c>
      <c r="B2988" t="s">
        <v>763</v>
      </c>
      <c r="C2988">
        <v>30</v>
      </c>
      <c r="D2988" t="s">
        <v>56</v>
      </c>
      <c r="E2988">
        <v>72</v>
      </c>
      <c r="F2988">
        <v>190</v>
      </c>
      <c r="G2988" t="s">
        <v>99</v>
      </c>
      <c r="H2988">
        <v>2020</v>
      </c>
      <c r="I2988" t="s">
        <v>33</v>
      </c>
      <c r="J2988">
        <v>4</v>
      </c>
      <c r="K2988">
        <v>3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2</v>
      </c>
      <c r="S2988">
        <v>56</v>
      </c>
      <c r="T2988">
        <v>56</v>
      </c>
      <c r="U2988" s="5">
        <f>IF(Merge1[[#This Row],[team_defense_snaps]]=0, "", Merge1[[#This Row],[defense_snaps]] / Merge1[[#This Row],[team_defense_snaps]])</f>
        <v>1</v>
      </c>
      <c r="V2988">
        <v>56</v>
      </c>
      <c r="W2988">
        <v>0</v>
      </c>
      <c r="X2988" s="5" t="s">
        <v>29</v>
      </c>
      <c r="Y2988">
        <v>8</v>
      </c>
      <c r="Z2988">
        <v>0</v>
      </c>
      <c r="AA2988" t="s">
        <v>25</v>
      </c>
      <c r="AB2988" t="s">
        <v>26</v>
      </c>
      <c r="AC2988" t="s">
        <v>27</v>
      </c>
      <c r="AD2988" t="s">
        <v>42</v>
      </c>
      <c r="AE2988" t="s">
        <v>25</v>
      </c>
      <c r="AF29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2988" t="s">
        <v>942</v>
      </c>
      <c r="AH2988">
        <v>60.5</v>
      </c>
      <c r="AI2988" t="s">
        <v>939</v>
      </c>
      <c r="AJ2988">
        <v>4</v>
      </c>
      <c r="AK29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MIN(AJ2988/8, 1) +
  Merge1[[#This Row],[index_defensive_effort]],
  2
)</f>
        <v>1.1299999999999999</v>
      </c>
    </row>
    <row r="2989" spans="1:37" x14ac:dyDescent="0.25">
      <c r="A2989" t="s">
        <v>762</v>
      </c>
      <c r="B2989" t="s">
        <v>763</v>
      </c>
      <c r="C2989">
        <v>30</v>
      </c>
      <c r="D2989" t="s">
        <v>56</v>
      </c>
      <c r="E2989">
        <v>72</v>
      </c>
      <c r="F2989">
        <v>190</v>
      </c>
      <c r="G2989" t="s">
        <v>99</v>
      </c>
      <c r="H2989">
        <v>2020</v>
      </c>
      <c r="I2989" t="s">
        <v>33</v>
      </c>
      <c r="J2989">
        <v>6</v>
      </c>
      <c r="K2989">
        <v>1</v>
      </c>
      <c r="L2989">
        <v>2</v>
      </c>
      <c r="M2989">
        <v>1</v>
      </c>
      <c r="N2989">
        <v>3</v>
      </c>
      <c r="O2989">
        <v>0</v>
      </c>
      <c r="P2989">
        <v>0</v>
      </c>
      <c r="Q2989">
        <v>0</v>
      </c>
      <c r="R2989">
        <v>0</v>
      </c>
      <c r="S2989">
        <v>64</v>
      </c>
      <c r="T2989">
        <v>64</v>
      </c>
      <c r="U2989" s="5">
        <f>IF(Merge1[[#This Row],[team_defense_snaps]]=0, "", Merge1[[#This Row],[defense_snaps]] / Merge1[[#This Row],[team_defense_snaps]])</f>
        <v>0.98461538461538467</v>
      </c>
      <c r="V2989">
        <v>65</v>
      </c>
      <c r="W2989">
        <v>0</v>
      </c>
      <c r="X2989" s="5" t="s">
        <v>29</v>
      </c>
      <c r="Y2989">
        <v>8</v>
      </c>
      <c r="Z2989">
        <v>0</v>
      </c>
      <c r="AA2989" t="s">
        <v>25</v>
      </c>
      <c r="AB2989" t="s">
        <v>26</v>
      </c>
      <c r="AC2989" t="s">
        <v>27</v>
      </c>
      <c r="AD2989" t="s">
        <v>42</v>
      </c>
      <c r="AE2989" t="s">
        <v>25</v>
      </c>
      <c r="AF29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3.90625E-2</v>
      </c>
      <c r="AG2989" t="s">
        <v>942</v>
      </c>
      <c r="AH2989">
        <v>63.5</v>
      </c>
      <c r="AI2989" t="s">
        <v>939</v>
      </c>
      <c r="AJ2989">
        <v>1</v>
      </c>
      <c r="AK29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MIN(AJ2989/8, 1) +
  Merge1[[#This Row],[index_defensive_effort]],
  2
)</f>
        <v>0.66</v>
      </c>
    </row>
    <row r="2990" spans="1:37" x14ac:dyDescent="0.25">
      <c r="A2990" t="s">
        <v>762</v>
      </c>
      <c r="B2990" t="s">
        <v>763</v>
      </c>
      <c r="C2990">
        <v>30</v>
      </c>
      <c r="D2990" t="s">
        <v>56</v>
      </c>
      <c r="E2990">
        <v>72</v>
      </c>
      <c r="F2990">
        <v>190</v>
      </c>
      <c r="G2990" t="s">
        <v>99</v>
      </c>
      <c r="H2990">
        <v>2020</v>
      </c>
      <c r="I2990" t="s">
        <v>33</v>
      </c>
      <c r="J2990">
        <v>7</v>
      </c>
      <c r="K2990">
        <v>3</v>
      </c>
      <c r="L2990">
        <v>3</v>
      </c>
      <c r="M2990">
        <v>1</v>
      </c>
      <c r="N2990">
        <v>4</v>
      </c>
      <c r="O2990">
        <v>0</v>
      </c>
      <c r="P2990">
        <v>0</v>
      </c>
      <c r="Q2990">
        <v>0</v>
      </c>
      <c r="R2990">
        <v>0</v>
      </c>
      <c r="S2990">
        <v>66</v>
      </c>
      <c r="T2990">
        <v>66</v>
      </c>
      <c r="U2990" s="5">
        <f>IF(Merge1[[#This Row],[team_defense_snaps]]=0, "", Merge1[[#This Row],[defense_snaps]] / Merge1[[#This Row],[team_defense_snaps]])</f>
        <v>1</v>
      </c>
      <c r="V2990">
        <v>66</v>
      </c>
      <c r="W2990">
        <v>0</v>
      </c>
      <c r="X2990" s="5" t="s">
        <v>29</v>
      </c>
      <c r="Y2990">
        <v>8</v>
      </c>
      <c r="Z2990">
        <v>0</v>
      </c>
      <c r="AA2990" t="s">
        <v>25</v>
      </c>
      <c r="AB2990" t="s">
        <v>26</v>
      </c>
      <c r="AC2990" t="s">
        <v>27</v>
      </c>
      <c r="AD2990" t="s">
        <v>42</v>
      </c>
      <c r="AE2990" t="s">
        <v>25</v>
      </c>
      <c r="AF29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7.575757575757576E-2</v>
      </c>
      <c r="AG2990" t="s">
        <v>942</v>
      </c>
      <c r="AH2990">
        <v>68</v>
      </c>
      <c r="AI2990" t="s">
        <v>939</v>
      </c>
      <c r="AJ2990">
        <v>2</v>
      </c>
      <c r="AK29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MIN(AJ2990/8, 1) +
  Merge1[[#This Row],[index_defensive_effort]],
  2
)</f>
        <v>0.83</v>
      </c>
    </row>
    <row r="2991" spans="1:37" x14ac:dyDescent="0.25">
      <c r="A2991" t="s">
        <v>762</v>
      </c>
      <c r="B2991" t="s">
        <v>763</v>
      </c>
      <c r="C2991">
        <v>30</v>
      </c>
      <c r="D2991" t="s">
        <v>56</v>
      </c>
      <c r="E2991">
        <v>72</v>
      </c>
      <c r="F2991">
        <v>190</v>
      </c>
      <c r="G2991" t="s">
        <v>99</v>
      </c>
      <c r="H2991">
        <v>2020</v>
      </c>
      <c r="I2991" t="s">
        <v>33</v>
      </c>
      <c r="J2991">
        <v>11</v>
      </c>
      <c r="K2991">
        <v>4</v>
      </c>
      <c r="L2991">
        <v>2</v>
      </c>
      <c r="M2991">
        <v>0</v>
      </c>
      <c r="N2991">
        <v>2</v>
      </c>
      <c r="O2991">
        <v>0</v>
      </c>
      <c r="P2991">
        <v>0</v>
      </c>
      <c r="Q2991">
        <v>0</v>
      </c>
      <c r="R2991">
        <v>0</v>
      </c>
      <c r="S2991">
        <v>53</v>
      </c>
      <c r="T2991">
        <v>53</v>
      </c>
      <c r="U2991" s="5">
        <f>IF(Merge1[[#This Row],[team_defense_snaps]]=0, "", Merge1[[#This Row],[defense_snaps]] / Merge1[[#This Row],[team_defense_snaps]])</f>
        <v>0.86885245901639341</v>
      </c>
      <c r="V2991">
        <v>61</v>
      </c>
      <c r="W2991">
        <v>0</v>
      </c>
      <c r="X2991" s="5" t="s">
        <v>29</v>
      </c>
      <c r="Y2991">
        <v>8</v>
      </c>
      <c r="Z2991">
        <v>0</v>
      </c>
      <c r="AA2991" t="s">
        <v>25</v>
      </c>
      <c r="AB2991" t="s">
        <v>36</v>
      </c>
      <c r="AC2991" t="s">
        <v>247</v>
      </c>
      <c r="AD2991" t="s">
        <v>42</v>
      </c>
      <c r="AE2991" t="s">
        <v>25</v>
      </c>
      <c r="AF29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9.4339622641509441E-2</v>
      </c>
      <c r="AG2991" t="s">
        <v>942</v>
      </c>
      <c r="AH2991">
        <v>50</v>
      </c>
      <c r="AI2991" t="s">
        <v>939</v>
      </c>
      <c r="AJ2991">
        <v>1</v>
      </c>
      <c r="AK29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MIN(AJ2991/8, 1) +
  Merge1[[#This Row],[index_defensive_effort]],
  2
)</f>
        <v>0.72</v>
      </c>
    </row>
    <row r="2992" spans="1:37" x14ac:dyDescent="0.25">
      <c r="A2992" t="s">
        <v>762</v>
      </c>
      <c r="B2992" t="s">
        <v>763</v>
      </c>
      <c r="C2992">
        <v>30</v>
      </c>
      <c r="D2992" t="s">
        <v>56</v>
      </c>
      <c r="E2992">
        <v>72</v>
      </c>
      <c r="F2992">
        <v>190</v>
      </c>
      <c r="G2992" t="s">
        <v>99</v>
      </c>
      <c r="H2992">
        <v>2020</v>
      </c>
      <c r="I2992" t="s">
        <v>33</v>
      </c>
      <c r="J2992">
        <v>12</v>
      </c>
      <c r="K2992">
        <v>5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73</v>
      </c>
      <c r="T2992">
        <v>73</v>
      </c>
      <c r="U2992" s="5">
        <f>IF(Merge1[[#This Row],[team_defense_snaps]]=0, "", Merge1[[#This Row],[defense_snaps]] / Merge1[[#This Row],[team_defense_snaps]])</f>
        <v>0.98648648648648651</v>
      </c>
      <c r="V2992">
        <v>74</v>
      </c>
      <c r="W2992">
        <v>0</v>
      </c>
      <c r="X2992" s="5" t="s">
        <v>29</v>
      </c>
      <c r="Y2992">
        <v>8</v>
      </c>
      <c r="Z2992">
        <v>0</v>
      </c>
      <c r="AA2992" t="s">
        <v>25</v>
      </c>
      <c r="AB2992" t="s">
        <v>36</v>
      </c>
      <c r="AC2992" t="s">
        <v>298</v>
      </c>
      <c r="AD2992" t="s">
        <v>42</v>
      </c>
      <c r="AE2992" t="s">
        <v>25</v>
      </c>
      <c r="AF29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6.8493150684931503E-2</v>
      </c>
      <c r="AG2992" t="s">
        <v>942</v>
      </c>
      <c r="AH2992">
        <v>59</v>
      </c>
      <c r="AI2992" t="s">
        <v>939</v>
      </c>
      <c r="AJ2992">
        <v>2</v>
      </c>
      <c r="AK29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MIN(AJ2992/8, 1) +
  Merge1[[#This Row],[index_defensive_effort]],
  2
)</f>
        <v>0.82</v>
      </c>
    </row>
    <row r="2993" spans="1:37" x14ac:dyDescent="0.25">
      <c r="A2993" t="s">
        <v>762</v>
      </c>
      <c r="B2993" t="s">
        <v>763</v>
      </c>
      <c r="C2993">
        <v>30</v>
      </c>
      <c r="D2993" t="s">
        <v>56</v>
      </c>
      <c r="E2993">
        <v>72</v>
      </c>
      <c r="F2993">
        <v>190</v>
      </c>
      <c r="G2993" t="s">
        <v>99</v>
      </c>
      <c r="H2993">
        <v>2020</v>
      </c>
      <c r="I2993" t="s">
        <v>33</v>
      </c>
      <c r="J2993">
        <v>13</v>
      </c>
      <c r="K2993">
        <v>1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58</v>
      </c>
      <c r="T2993">
        <v>58</v>
      </c>
      <c r="U2993" s="5">
        <f>IF(Merge1[[#This Row],[team_defense_snaps]]=0, "", Merge1[[#This Row],[defense_snaps]] / Merge1[[#This Row],[team_defense_snaps]])</f>
        <v>0.79452054794520544</v>
      </c>
      <c r="V2993">
        <v>73</v>
      </c>
      <c r="W2993">
        <v>0</v>
      </c>
      <c r="X2993" s="5" t="s">
        <v>29</v>
      </c>
      <c r="Y2993">
        <v>8</v>
      </c>
      <c r="Z2993">
        <v>0</v>
      </c>
      <c r="AA2993" t="s">
        <v>25</v>
      </c>
      <c r="AB2993" t="s">
        <v>26</v>
      </c>
      <c r="AC2993" t="s">
        <v>27</v>
      </c>
      <c r="AD2993" t="s">
        <v>42</v>
      </c>
      <c r="AE2993" t="s">
        <v>25</v>
      </c>
      <c r="AF29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1.7241379310344827E-2</v>
      </c>
      <c r="AG2993" t="s">
        <v>942</v>
      </c>
      <c r="AH2993">
        <v>47</v>
      </c>
      <c r="AI2993" t="s">
        <v>939</v>
      </c>
      <c r="AJ2993">
        <v>3</v>
      </c>
      <c r="AK29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MIN(AJ2993/8, 1) +
  Merge1[[#This Row],[index_defensive_effort]],
  2
)</f>
        <v>0.89</v>
      </c>
    </row>
    <row r="2994" spans="1:37" x14ac:dyDescent="0.25">
      <c r="A2994" t="s">
        <v>762</v>
      </c>
      <c r="B2994" t="s">
        <v>763</v>
      </c>
      <c r="C2994">
        <v>30</v>
      </c>
      <c r="D2994" t="s">
        <v>56</v>
      </c>
      <c r="E2994">
        <v>72</v>
      </c>
      <c r="F2994">
        <v>190</v>
      </c>
      <c r="G2994" t="s">
        <v>99</v>
      </c>
      <c r="H2994">
        <v>2020</v>
      </c>
      <c r="I2994" t="s">
        <v>33</v>
      </c>
      <c r="J2994">
        <v>14</v>
      </c>
      <c r="K2994">
        <v>4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59</v>
      </c>
      <c r="T2994">
        <v>59</v>
      </c>
      <c r="U2994" s="5">
        <f>IF(Merge1[[#This Row],[team_defense_snaps]]=0, "", Merge1[[#This Row],[defense_snaps]] / Merge1[[#This Row],[team_defense_snaps]])</f>
        <v>0.921875</v>
      </c>
      <c r="V2994">
        <v>64</v>
      </c>
      <c r="W2994">
        <v>0</v>
      </c>
      <c r="X2994" s="5" t="s">
        <v>29</v>
      </c>
      <c r="Y2994">
        <v>8</v>
      </c>
      <c r="Z2994">
        <v>0</v>
      </c>
      <c r="AA2994" t="s">
        <v>25</v>
      </c>
      <c r="AB2994" t="s">
        <v>26</v>
      </c>
      <c r="AC2994" t="s">
        <v>27</v>
      </c>
      <c r="AD2994" t="s">
        <v>42</v>
      </c>
      <c r="AE2994" t="s">
        <v>25</v>
      </c>
      <c r="AF29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6.7796610169491525E-2</v>
      </c>
      <c r="AG2994" t="s">
        <v>942</v>
      </c>
      <c r="AH2994">
        <v>53</v>
      </c>
      <c r="AI2994" t="s">
        <v>939</v>
      </c>
      <c r="AJ2994">
        <v>4</v>
      </c>
      <c r="AK29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MIN(AJ2994/8, 1) +
  Merge1[[#This Row],[index_defensive_effort]],
  2
)</f>
        <v>1.07</v>
      </c>
    </row>
    <row r="2995" spans="1:37" x14ac:dyDescent="0.25">
      <c r="A2995" t="s">
        <v>762</v>
      </c>
      <c r="B2995" t="s">
        <v>763</v>
      </c>
      <c r="C2995">
        <v>30</v>
      </c>
      <c r="D2995" t="s">
        <v>56</v>
      </c>
      <c r="E2995">
        <v>72</v>
      </c>
      <c r="F2995">
        <v>190</v>
      </c>
      <c r="G2995" t="s">
        <v>99</v>
      </c>
      <c r="H2995">
        <v>2020</v>
      </c>
      <c r="I2995" t="s">
        <v>33</v>
      </c>
      <c r="J2995">
        <v>15</v>
      </c>
      <c r="K2995">
        <v>2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24</v>
      </c>
      <c r="T2995">
        <v>24</v>
      </c>
      <c r="U2995" s="5">
        <f>IF(Merge1[[#This Row],[team_defense_snaps]]=0, "", Merge1[[#This Row],[defense_snaps]] / Merge1[[#This Row],[team_defense_snaps]])</f>
        <v>0.32876712328767121</v>
      </c>
      <c r="V2995">
        <v>73</v>
      </c>
      <c r="W2995">
        <v>0</v>
      </c>
      <c r="X2995" s="5" t="s">
        <v>29</v>
      </c>
      <c r="Y2995">
        <v>8</v>
      </c>
      <c r="Z2995">
        <v>0</v>
      </c>
      <c r="AA2995" t="s">
        <v>25</v>
      </c>
      <c r="AB2995" t="s">
        <v>26</v>
      </c>
      <c r="AC2995" t="s">
        <v>27</v>
      </c>
      <c r="AD2995" t="s">
        <v>42</v>
      </c>
      <c r="AE2995" t="s">
        <v>25</v>
      </c>
      <c r="AF29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2995" t="s">
        <v>942</v>
      </c>
      <c r="AH2995">
        <v>48.5</v>
      </c>
      <c r="AI2995" t="s">
        <v>939</v>
      </c>
      <c r="AJ2995">
        <v>5</v>
      </c>
      <c r="AK29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MIN(AJ2995/8, 1) +
  Merge1[[#This Row],[index_defensive_effort]],
  2
)</f>
        <v>1.21</v>
      </c>
    </row>
    <row r="2996" spans="1:37" x14ac:dyDescent="0.25">
      <c r="A2996" t="s">
        <v>774</v>
      </c>
      <c r="B2996" t="s">
        <v>775</v>
      </c>
      <c r="C2996">
        <v>27</v>
      </c>
      <c r="D2996" t="s">
        <v>56</v>
      </c>
      <c r="E2996">
        <v>70</v>
      </c>
      <c r="F2996">
        <v>194</v>
      </c>
      <c r="G2996" t="s">
        <v>74</v>
      </c>
      <c r="H2996">
        <v>2020</v>
      </c>
      <c r="I2996" t="s">
        <v>33</v>
      </c>
      <c r="J2996">
        <v>1</v>
      </c>
      <c r="K2996">
        <v>3</v>
      </c>
      <c r="L2996">
        <v>1</v>
      </c>
      <c r="M2996">
        <v>0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69</v>
      </c>
      <c r="T2996">
        <v>67</v>
      </c>
      <c r="U2996" s="5">
        <f>IF(Merge1[[#This Row],[team_defense_snaps]]=0, "", Merge1[[#This Row],[defense_snaps]] / Merge1[[#This Row],[team_defense_snaps]])</f>
        <v>0.97101449275362317</v>
      </c>
      <c r="V2996">
        <v>69</v>
      </c>
      <c r="W2996">
        <v>2</v>
      </c>
      <c r="X2996" s="5" t="s">
        <v>167</v>
      </c>
      <c r="Y2996">
        <v>5</v>
      </c>
      <c r="Z2996">
        <v>0</v>
      </c>
      <c r="AA2996" t="s">
        <v>25</v>
      </c>
      <c r="AB2996" t="s">
        <v>26</v>
      </c>
      <c r="AC2996" t="s">
        <v>27</v>
      </c>
      <c r="AD2996" t="s">
        <v>42</v>
      </c>
      <c r="AE2996" t="s">
        <v>25</v>
      </c>
      <c r="AF29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5.0724637681159424E-2</v>
      </c>
      <c r="AG2996" t="s">
        <v>941</v>
      </c>
      <c r="AH2996">
        <v>68</v>
      </c>
      <c r="AI2996" t="s">
        <v>939</v>
      </c>
      <c r="AJ2996">
        <v>1</v>
      </c>
      <c r="AK29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MIN(AJ2996/8, 1) +
  Merge1[[#This Row],[index_defensive_effort]],
  2
)</f>
        <v>0.78</v>
      </c>
    </row>
    <row r="2997" spans="1:37" x14ac:dyDescent="0.25">
      <c r="A2997" t="s">
        <v>774</v>
      </c>
      <c r="B2997" t="s">
        <v>775</v>
      </c>
      <c r="C2997">
        <v>27</v>
      </c>
      <c r="D2997" t="s">
        <v>56</v>
      </c>
      <c r="E2997">
        <v>70</v>
      </c>
      <c r="F2997">
        <v>194</v>
      </c>
      <c r="G2997" t="s">
        <v>74</v>
      </c>
      <c r="H2997">
        <v>2020</v>
      </c>
      <c r="I2997" t="s">
        <v>33</v>
      </c>
      <c r="J2997">
        <v>2</v>
      </c>
      <c r="K2997">
        <v>2</v>
      </c>
      <c r="L2997">
        <v>1</v>
      </c>
      <c r="M2997">
        <v>0</v>
      </c>
      <c r="N2997">
        <v>1</v>
      </c>
      <c r="O2997">
        <v>0</v>
      </c>
      <c r="P2997">
        <v>1</v>
      </c>
      <c r="Q2997">
        <v>0</v>
      </c>
      <c r="R2997">
        <v>0</v>
      </c>
      <c r="S2997">
        <v>81</v>
      </c>
      <c r="T2997">
        <v>77</v>
      </c>
      <c r="U2997" s="5">
        <f>IF(Merge1[[#This Row],[team_defense_snaps]]=0, "", Merge1[[#This Row],[defense_snaps]] / Merge1[[#This Row],[team_defense_snaps]])</f>
        <v>1</v>
      </c>
      <c r="V2997">
        <v>77</v>
      </c>
      <c r="W2997">
        <v>4</v>
      </c>
      <c r="X2997" s="5" t="s">
        <v>212</v>
      </c>
      <c r="Y2997">
        <v>5</v>
      </c>
      <c r="Z2997">
        <v>0</v>
      </c>
      <c r="AA2997" t="s">
        <v>25</v>
      </c>
      <c r="AB2997" t="s">
        <v>26</v>
      </c>
      <c r="AC2997" t="s">
        <v>27</v>
      </c>
      <c r="AD2997" t="s">
        <v>42</v>
      </c>
      <c r="AE2997" t="s">
        <v>25</v>
      </c>
      <c r="AF29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2997" t="s">
        <v>941</v>
      </c>
      <c r="AH2997">
        <v>65</v>
      </c>
      <c r="AI2997" t="s">
        <v>939</v>
      </c>
      <c r="AJ2997">
        <v>2</v>
      </c>
      <c r="AK29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MIN(AJ2997/8, 1) +
  Merge1[[#This Row],[index_defensive_effort]],
  2
)</f>
        <v>0.91</v>
      </c>
    </row>
    <row r="2998" spans="1:37" x14ac:dyDescent="0.25">
      <c r="A2998" t="s">
        <v>774</v>
      </c>
      <c r="B2998" t="s">
        <v>775</v>
      </c>
      <c r="C2998">
        <v>27</v>
      </c>
      <c r="D2998" t="s">
        <v>56</v>
      </c>
      <c r="E2998">
        <v>70</v>
      </c>
      <c r="F2998">
        <v>194</v>
      </c>
      <c r="G2998" t="s">
        <v>74</v>
      </c>
      <c r="H2998">
        <v>2020</v>
      </c>
      <c r="I2998" t="s">
        <v>33</v>
      </c>
      <c r="J2998">
        <v>3</v>
      </c>
      <c r="K2998">
        <v>1</v>
      </c>
      <c r="L2998">
        <v>0</v>
      </c>
      <c r="M2998">
        <v>0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50</v>
      </c>
      <c r="T2998">
        <v>47</v>
      </c>
      <c r="U2998" s="5">
        <f>IF(Merge1[[#This Row],[team_defense_snaps]]=0, "", Merge1[[#This Row],[defense_snaps]] / Merge1[[#This Row],[team_defense_snaps]])</f>
        <v>1</v>
      </c>
      <c r="V2998">
        <v>47</v>
      </c>
      <c r="W2998">
        <v>3</v>
      </c>
      <c r="X2998" s="5" t="s">
        <v>35</v>
      </c>
      <c r="Y2998">
        <v>5</v>
      </c>
      <c r="Z2998">
        <v>0</v>
      </c>
      <c r="AA2998" t="s">
        <v>25</v>
      </c>
      <c r="AB2998" t="s">
        <v>26</v>
      </c>
      <c r="AC2998" t="s">
        <v>27</v>
      </c>
      <c r="AD2998" t="s">
        <v>42</v>
      </c>
      <c r="AE2998" t="s">
        <v>25</v>
      </c>
      <c r="AF29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0.06</v>
      </c>
      <c r="AG2998" t="s">
        <v>941</v>
      </c>
      <c r="AH2998">
        <v>48.5</v>
      </c>
      <c r="AI2998" t="s">
        <v>939</v>
      </c>
      <c r="AJ2998">
        <v>3</v>
      </c>
      <c r="AK29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MIN(AJ2998/8, 1) +
  Merge1[[#This Row],[index_defensive_effort]],
  2
)</f>
        <v>1.04</v>
      </c>
    </row>
    <row r="2999" spans="1:37" x14ac:dyDescent="0.25">
      <c r="A2999" t="s">
        <v>774</v>
      </c>
      <c r="B2999" t="s">
        <v>775</v>
      </c>
      <c r="C2999">
        <v>27</v>
      </c>
      <c r="D2999" t="s">
        <v>56</v>
      </c>
      <c r="E2999">
        <v>70</v>
      </c>
      <c r="F2999">
        <v>194</v>
      </c>
      <c r="G2999" t="s">
        <v>74</v>
      </c>
      <c r="H2999">
        <v>2020</v>
      </c>
      <c r="I2999" t="s">
        <v>33</v>
      </c>
      <c r="J2999">
        <v>5</v>
      </c>
      <c r="K2999">
        <v>8</v>
      </c>
      <c r="L2999">
        <v>2</v>
      </c>
      <c r="M2999">
        <v>2</v>
      </c>
      <c r="N2999">
        <v>4</v>
      </c>
      <c r="O2999">
        <v>0</v>
      </c>
      <c r="P2999">
        <v>2</v>
      </c>
      <c r="Q2999">
        <v>4</v>
      </c>
      <c r="R2999">
        <v>0</v>
      </c>
      <c r="S2999">
        <v>63</v>
      </c>
      <c r="T2999">
        <v>59</v>
      </c>
      <c r="U2999" s="5">
        <f>IF(Merge1[[#This Row],[team_defense_snaps]]=0, "", Merge1[[#This Row],[defense_snaps]] / Merge1[[#This Row],[team_defense_snaps]])</f>
        <v>1</v>
      </c>
      <c r="V2999">
        <v>59</v>
      </c>
      <c r="W2999">
        <v>4</v>
      </c>
      <c r="X2999" s="5" t="s">
        <v>168</v>
      </c>
      <c r="Y2999">
        <v>5</v>
      </c>
      <c r="Z2999">
        <v>0</v>
      </c>
      <c r="AA2999" t="s">
        <v>25</v>
      </c>
      <c r="AB2999" t="s">
        <v>26</v>
      </c>
      <c r="AC2999" t="s">
        <v>27</v>
      </c>
      <c r="AD2999" t="s">
        <v>42</v>
      </c>
      <c r="AE2999" t="s">
        <v>25</v>
      </c>
      <c r="AF29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0.47619047619047616</v>
      </c>
      <c r="AG2999" t="s">
        <v>941</v>
      </c>
      <c r="AH2999">
        <v>51</v>
      </c>
      <c r="AI2999" t="s">
        <v>939</v>
      </c>
      <c r="AJ2999">
        <v>1</v>
      </c>
      <c r="AK29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MIN(AJ2999/8, 1) +
  Merge1[[#This Row],[index_defensive_effort]],
  2
)</f>
        <v>1.2</v>
      </c>
    </row>
    <row r="3000" spans="1:37" x14ac:dyDescent="0.25">
      <c r="A3000" t="s">
        <v>774</v>
      </c>
      <c r="B3000" t="s">
        <v>775</v>
      </c>
      <c r="C3000">
        <v>27</v>
      </c>
      <c r="D3000" t="s">
        <v>56</v>
      </c>
      <c r="E3000">
        <v>70</v>
      </c>
      <c r="F3000">
        <v>194</v>
      </c>
      <c r="G3000" t="s">
        <v>74</v>
      </c>
      <c r="H3000">
        <v>2020</v>
      </c>
      <c r="I3000" t="s">
        <v>33</v>
      </c>
      <c r="J3000">
        <v>6</v>
      </c>
      <c r="K3000">
        <v>3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58</v>
      </c>
      <c r="T3000">
        <v>57</v>
      </c>
      <c r="U3000" s="5">
        <f>IF(Merge1[[#This Row],[team_defense_snaps]]=0, "", Merge1[[#This Row],[defense_snaps]] / Merge1[[#This Row],[team_defense_snaps]])</f>
        <v>1</v>
      </c>
      <c r="V3000">
        <v>57</v>
      </c>
      <c r="W3000">
        <v>1</v>
      </c>
      <c r="X3000" s="5" t="s">
        <v>193</v>
      </c>
      <c r="Y3000">
        <v>5</v>
      </c>
      <c r="Z3000">
        <v>0</v>
      </c>
      <c r="AA3000" t="s">
        <v>25</v>
      </c>
      <c r="AB3000" t="s">
        <v>26</v>
      </c>
      <c r="AC3000" t="s">
        <v>27</v>
      </c>
      <c r="AD3000" t="s">
        <v>42</v>
      </c>
      <c r="AE3000" t="s">
        <v>25</v>
      </c>
      <c r="AF30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5.1724137931034482E-2</v>
      </c>
      <c r="AG3000" t="s">
        <v>941</v>
      </c>
      <c r="AH3000">
        <v>63.5</v>
      </c>
      <c r="AI3000" t="s">
        <v>939</v>
      </c>
      <c r="AJ3000">
        <v>2</v>
      </c>
      <c r="AK30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MIN(AJ3000/8, 1) +
  Merge1[[#This Row],[index_defensive_effort]],
  2
)</f>
        <v>0.9</v>
      </c>
    </row>
    <row r="3001" spans="1:37" x14ac:dyDescent="0.25">
      <c r="A3001" t="s">
        <v>774</v>
      </c>
      <c r="B3001" t="s">
        <v>775</v>
      </c>
      <c r="C3001">
        <v>27</v>
      </c>
      <c r="D3001" t="s">
        <v>56</v>
      </c>
      <c r="E3001">
        <v>70</v>
      </c>
      <c r="F3001">
        <v>194</v>
      </c>
      <c r="G3001" t="s">
        <v>74</v>
      </c>
      <c r="H3001">
        <v>2020</v>
      </c>
      <c r="I3001" t="s">
        <v>33</v>
      </c>
      <c r="J3001">
        <v>7</v>
      </c>
      <c r="K3001">
        <v>2</v>
      </c>
      <c r="L3001">
        <v>2</v>
      </c>
      <c r="M3001">
        <v>1</v>
      </c>
      <c r="N3001">
        <v>3</v>
      </c>
      <c r="O3001">
        <v>0</v>
      </c>
      <c r="P3001">
        <v>0</v>
      </c>
      <c r="Q3001">
        <v>0</v>
      </c>
      <c r="R3001">
        <v>0</v>
      </c>
      <c r="S3001">
        <v>60</v>
      </c>
      <c r="T3001">
        <v>56</v>
      </c>
      <c r="U3001" s="5">
        <f>IF(Merge1[[#This Row],[team_defense_snaps]]=0, "", Merge1[[#This Row],[defense_snaps]] / Merge1[[#This Row],[team_defense_snaps]])</f>
        <v>0.98245614035087714</v>
      </c>
      <c r="V3001">
        <v>57</v>
      </c>
      <c r="W3001">
        <v>4</v>
      </c>
      <c r="X3001" s="5" t="s">
        <v>212</v>
      </c>
      <c r="Y3001">
        <v>5</v>
      </c>
      <c r="Z3001">
        <v>0</v>
      </c>
      <c r="AA3001" t="s">
        <v>25</v>
      </c>
      <c r="AB3001" t="s">
        <v>26</v>
      </c>
      <c r="AC3001" t="s">
        <v>27</v>
      </c>
      <c r="AD3001" t="s">
        <v>42</v>
      </c>
      <c r="AE3001" t="s">
        <v>25</v>
      </c>
      <c r="AF30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5.8333333333333334E-2</v>
      </c>
      <c r="AG3001" t="s">
        <v>941</v>
      </c>
      <c r="AH3001">
        <v>60.5</v>
      </c>
      <c r="AI3001" t="s">
        <v>939</v>
      </c>
      <c r="AJ3001">
        <v>3</v>
      </c>
      <c r="AK30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MIN(AJ3001/8, 1) +
  Merge1[[#This Row],[index_defensive_effort]],
  2
)</f>
        <v>1.03</v>
      </c>
    </row>
    <row r="3002" spans="1:37" x14ac:dyDescent="0.25">
      <c r="A3002" t="s">
        <v>774</v>
      </c>
      <c r="B3002" t="s">
        <v>775</v>
      </c>
      <c r="C3002">
        <v>27</v>
      </c>
      <c r="D3002" t="s">
        <v>56</v>
      </c>
      <c r="E3002">
        <v>70</v>
      </c>
      <c r="F3002">
        <v>194</v>
      </c>
      <c r="G3002" t="s">
        <v>74</v>
      </c>
      <c r="H3002">
        <v>2020</v>
      </c>
      <c r="I3002" t="s">
        <v>33</v>
      </c>
      <c r="J3002">
        <v>8</v>
      </c>
      <c r="K3002">
        <v>4</v>
      </c>
      <c r="L3002">
        <v>0</v>
      </c>
      <c r="M3002">
        <v>0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78</v>
      </c>
      <c r="T3002">
        <v>74</v>
      </c>
      <c r="U3002" s="5">
        <f>IF(Merge1[[#This Row],[team_defense_snaps]]=0, "", Merge1[[#This Row],[defense_snaps]] / Merge1[[#This Row],[team_defense_snaps]])</f>
        <v>0.87058823529411766</v>
      </c>
      <c r="V3002">
        <v>85</v>
      </c>
      <c r="W3002">
        <v>4</v>
      </c>
      <c r="X3002" s="5" t="s">
        <v>168</v>
      </c>
      <c r="Y3002">
        <v>5</v>
      </c>
      <c r="Z3002">
        <v>0</v>
      </c>
      <c r="AA3002" t="s">
        <v>25</v>
      </c>
      <c r="AB3002" t="s">
        <v>26</v>
      </c>
      <c r="AC3002" t="s">
        <v>27</v>
      </c>
      <c r="AD3002" t="s">
        <v>42</v>
      </c>
      <c r="AE3002" t="s">
        <v>25</v>
      </c>
      <c r="AF30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7.6923076923076927E-2</v>
      </c>
      <c r="AG3002" t="s">
        <v>941</v>
      </c>
      <c r="AH3002">
        <v>59</v>
      </c>
      <c r="AI3002" t="s">
        <v>939</v>
      </c>
      <c r="AJ3002">
        <v>4</v>
      </c>
      <c r="AK30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MIN(AJ3002/8, 1) +
  Merge1[[#This Row],[index_defensive_effort]],
  2
)</f>
        <v>1.18</v>
      </c>
    </row>
    <row r="3003" spans="1:37" x14ac:dyDescent="0.25">
      <c r="A3003" t="s">
        <v>774</v>
      </c>
      <c r="B3003" t="s">
        <v>775</v>
      </c>
      <c r="C3003">
        <v>27</v>
      </c>
      <c r="D3003" t="s">
        <v>56</v>
      </c>
      <c r="E3003">
        <v>70</v>
      </c>
      <c r="F3003">
        <v>194</v>
      </c>
      <c r="G3003" t="s">
        <v>74</v>
      </c>
      <c r="H3003">
        <v>2020</v>
      </c>
      <c r="I3003" t="s">
        <v>33</v>
      </c>
      <c r="J3003">
        <v>9</v>
      </c>
      <c r="K3003">
        <v>2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73</v>
      </c>
      <c r="T3003">
        <v>67</v>
      </c>
      <c r="U3003" s="5">
        <f>IF(Merge1[[#This Row],[team_defense_snaps]]=0, "", Merge1[[#This Row],[defense_snaps]] / Merge1[[#This Row],[team_defense_snaps]])</f>
        <v>0.93055555555555558</v>
      </c>
      <c r="V3003">
        <v>72</v>
      </c>
      <c r="W3003">
        <v>6</v>
      </c>
      <c r="X3003" s="5" t="s">
        <v>132</v>
      </c>
      <c r="Y3003">
        <v>5</v>
      </c>
      <c r="Z3003">
        <v>0</v>
      </c>
      <c r="AA3003" t="s">
        <v>25</v>
      </c>
      <c r="AB3003" t="s">
        <v>26</v>
      </c>
      <c r="AC3003" t="s">
        <v>27</v>
      </c>
      <c r="AD3003" t="s">
        <v>42</v>
      </c>
      <c r="AE3003" t="s">
        <v>25</v>
      </c>
      <c r="AF30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2.7397260273972601E-2</v>
      </c>
      <c r="AG3003" t="s">
        <v>941</v>
      </c>
      <c r="AH3003">
        <v>71</v>
      </c>
      <c r="AI3003" t="s">
        <v>939</v>
      </c>
      <c r="AJ3003">
        <v>5</v>
      </c>
      <c r="AK30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MIN(AJ3003/8, 1) +
  Merge1[[#This Row],[index_defensive_effort]],
  2
)</f>
        <v>1.25</v>
      </c>
    </row>
    <row r="3004" spans="1:37" x14ac:dyDescent="0.25">
      <c r="A3004" t="s">
        <v>774</v>
      </c>
      <c r="B3004" t="s">
        <v>775</v>
      </c>
      <c r="C3004">
        <v>27</v>
      </c>
      <c r="D3004" t="s">
        <v>56</v>
      </c>
      <c r="E3004">
        <v>70</v>
      </c>
      <c r="F3004">
        <v>194</v>
      </c>
      <c r="G3004" t="s">
        <v>74</v>
      </c>
      <c r="H3004">
        <v>2020</v>
      </c>
      <c r="I3004" t="s">
        <v>33</v>
      </c>
      <c r="J3004">
        <v>10</v>
      </c>
      <c r="K3004">
        <v>1</v>
      </c>
      <c r="L3004">
        <v>1</v>
      </c>
      <c r="M3004">
        <v>1</v>
      </c>
      <c r="N3004">
        <v>2</v>
      </c>
      <c r="O3004">
        <v>0</v>
      </c>
      <c r="P3004">
        <v>0</v>
      </c>
      <c r="Q3004">
        <v>0</v>
      </c>
      <c r="R3004">
        <v>0</v>
      </c>
      <c r="S3004">
        <v>62</v>
      </c>
      <c r="T3004">
        <v>60</v>
      </c>
      <c r="U3004" s="5">
        <f>IF(Merge1[[#This Row],[team_defense_snaps]]=0, "", Merge1[[#This Row],[defense_snaps]] / Merge1[[#This Row],[team_defense_snaps]])</f>
        <v>0.92307692307692313</v>
      </c>
      <c r="V3004">
        <v>65</v>
      </c>
      <c r="W3004">
        <v>2</v>
      </c>
      <c r="X3004" s="5" t="s">
        <v>114</v>
      </c>
      <c r="Y3004">
        <v>5</v>
      </c>
      <c r="Z3004">
        <v>0</v>
      </c>
      <c r="AA3004" t="s">
        <v>25</v>
      </c>
      <c r="AB3004" t="s">
        <v>26</v>
      </c>
      <c r="AC3004" t="s">
        <v>27</v>
      </c>
      <c r="AD3004" t="s">
        <v>42</v>
      </c>
      <c r="AE3004" t="s">
        <v>25</v>
      </c>
      <c r="AF30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3.2258064516129031E-2</v>
      </c>
      <c r="AG3004" t="s">
        <v>941</v>
      </c>
      <c r="AH3004">
        <v>54.5</v>
      </c>
      <c r="AI3004" t="s">
        <v>939</v>
      </c>
      <c r="AJ3004">
        <v>6</v>
      </c>
      <c r="AK30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MIN(AJ3004/8, 1) +
  Merge1[[#This Row],[index_defensive_effort]],
  2
)</f>
        <v>1.38</v>
      </c>
    </row>
    <row r="3005" spans="1:37" x14ac:dyDescent="0.25">
      <c r="A3005" t="s">
        <v>774</v>
      </c>
      <c r="B3005" t="s">
        <v>775</v>
      </c>
      <c r="C3005">
        <v>27</v>
      </c>
      <c r="D3005" t="s">
        <v>56</v>
      </c>
      <c r="E3005">
        <v>70</v>
      </c>
      <c r="F3005">
        <v>194</v>
      </c>
      <c r="G3005" t="s">
        <v>74</v>
      </c>
      <c r="H3005">
        <v>2020</v>
      </c>
      <c r="I3005" t="s">
        <v>33</v>
      </c>
      <c r="J3005">
        <v>11</v>
      </c>
      <c r="K3005">
        <v>0</v>
      </c>
      <c r="L3005">
        <v>2</v>
      </c>
      <c r="M3005">
        <v>2</v>
      </c>
      <c r="N3005">
        <v>4</v>
      </c>
      <c r="O3005">
        <v>0</v>
      </c>
      <c r="P3005">
        <v>0</v>
      </c>
      <c r="Q3005">
        <v>0</v>
      </c>
      <c r="R3005">
        <v>0</v>
      </c>
      <c r="S3005">
        <v>55</v>
      </c>
      <c r="T3005">
        <v>53</v>
      </c>
      <c r="U3005" s="5">
        <f>IF(Merge1[[#This Row],[team_defense_snaps]]=0, "", Merge1[[#This Row],[defense_snaps]] / Merge1[[#This Row],[team_defense_snaps]])</f>
        <v>0.91379310344827591</v>
      </c>
      <c r="V3005">
        <v>58</v>
      </c>
      <c r="W3005">
        <v>2</v>
      </c>
      <c r="X3005" s="5" t="s">
        <v>167</v>
      </c>
      <c r="Y3005">
        <v>5</v>
      </c>
      <c r="Z3005">
        <v>0</v>
      </c>
      <c r="AA3005" t="s">
        <v>25</v>
      </c>
      <c r="AB3005" t="s">
        <v>26</v>
      </c>
      <c r="AC3005" t="s">
        <v>27</v>
      </c>
      <c r="AD3005" t="s">
        <v>42</v>
      </c>
      <c r="AE3005" t="s">
        <v>25</v>
      </c>
      <c r="AF30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3.6363636363636362E-2</v>
      </c>
      <c r="AG3005" t="s">
        <v>941</v>
      </c>
      <c r="AH3005">
        <v>56</v>
      </c>
      <c r="AI3005" t="s">
        <v>939</v>
      </c>
      <c r="AJ3005">
        <v>7</v>
      </c>
      <c r="AK30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MIN(AJ3005/8, 1) +
  Merge1[[#This Row],[index_defensive_effort]],
  2
)</f>
        <v>1.51</v>
      </c>
    </row>
    <row r="3006" spans="1:37" x14ac:dyDescent="0.25">
      <c r="A3006" t="s">
        <v>774</v>
      </c>
      <c r="B3006" t="s">
        <v>775</v>
      </c>
      <c r="C3006">
        <v>27</v>
      </c>
      <c r="D3006" t="s">
        <v>56</v>
      </c>
      <c r="E3006">
        <v>70</v>
      </c>
      <c r="F3006">
        <v>194</v>
      </c>
      <c r="G3006" t="s">
        <v>74</v>
      </c>
      <c r="H3006">
        <v>2020</v>
      </c>
      <c r="I3006" t="s">
        <v>33</v>
      </c>
      <c r="J3006">
        <v>12</v>
      </c>
      <c r="K3006">
        <v>2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50</v>
      </c>
      <c r="T3006">
        <v>48</v>
      </c>
      <c r="U3006" s="5">
        <f>IF(Merge1[[#This Row],[team_defense_snaps]]=0, "", Merge1[[#This Row],[defense_snaps]] / Merge1[[#This Row],[team_defense_snaps]])</f>
        <v>0.90566037735849059</v>
      </c>
      <c r="V3006">
        <v>53</v>
      </c>
      <c r="W3006">
        <v>2</v>
      </c>
      <c r="X3006" s="5" t="s">
        <v>167</v>
      </c>
      <c r="Y3006">
        <v>5</v>
      </c>
      <c r="Z3006">
        <v>0</v>
      </c>
      <c r="AA3006" t="s">
        <v>25</v>
      </c>
      <c r="AB3006" t="s">
        <v>26</v>
      </c>
      <c r="AC3006" t="s">
        <v>27</v>
      </c>
      <c r="AD3006" t="s">
        <v>42</v>
      </c>
      <c r="AE3006" t="s">
        <v>25</v>
      </c>
      <c r="AF30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0.04</v>
      </c>
      <c r="AG3006" t="s">
        <v>941</v>
      </c>
      <c r="AH3006">
        <v>47</v>
      </c>
      <c r="AI3006" t="s">
        <v>939</v>
      </c>
      <c r="AJ3006">
        <v>8</v>
      </c>
      <c r="AK30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MIN(AJ3006/8, 1) +
  Merge1[[#This Row],[index_defensive_effort]],
  2
)</f>
        <v>1.64</v>
      </c>
    </row>
    <row r="3007" spans="1:37" x14ac:dyDescent="0.25">
      <c r="A3007" t="s">
        <v>774</v>
      </c>
      <c r="B3007" t="s">
        <v>775</v>
      </c>
      <c r="C3007">
        <v>27</v>
      </c>
      <c r="D3007" t="s">
        <v>56</v>
      </c>
      <c r="E3007">
        <v>70</v>
      </c>
      <c r="F3007">
        <v>194</v>
      </c>
      <c r="G3007" t="s">
        <v>74</v>
      </c>
      <c r="H3007">
        <v>2020</v>
      </c>
      <c r="I3007" t="s">
        <v>33</v>
      </c>
      <c r="J3007">
        <v>14</v>
      </c>
      <c r="K3007">
        <v>5</v>
      </c>
      <c r="L3007">
        <v>1</v>
      </c>
      <c r="M3007">
        <v>0</v>
      </c>
      <c r="N3007">
        <v>1</v>
      </c>
      <c r="O3007">
        <v>0</v>
      </c>
      <c r="P3007">
        <v>1</v>
      </c>
      <c r="Q3007">
        <v>0</v>
      </c>
      <c r="R3007">
        <v>0</v>
      </c>
      <c r="S3007">
        <v>79</v>
      </c>
      <c r="T3007">
        <v>74</v>
      </c>
      <c r="U3007" s="5">
        <f>IF(Merge1[[#This Row],[team_defense_snaps]]=0, "", Merge1[[#This Row],[defense_snaps]] / Merge1[[#This Row],[team_defense_snaps]])</f>
        <v>0.98666666666666669</v>
      </c>
      <c r="V3007">
        <v>75</v>
      </c>
      <c r="W3007">
        <v>5</v>
      </c>
      <c r="X3007" s="5" t="s">
        <v>181</v>
      </c>
      <c r="Y3007">
        <v>5</v>
      </c>
      <c r="Z3007">
        <v>0</v>
      </c>
      <c r="AA3007" t="s">
        <v>25</v>
      </c>
      <c r="AB3007" t="s">
        <v>26</v>
      </c>
      <c r="AC3007" t="s">
        <v>27</v>
      </c>
      <c r="AD3007" t="s">
        <v>42</v>
      </c>
      <c r="AE3007" t="s">
        <v>25</v>
      </c>
      <c r="AF30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9.49367088607595E-2</v>
      </c>
      <c r="AG3007" t="s">
        <v>941</v>
      </c>
      <c r="AH3007">
        <v>69.5</v>
      </c>
      <c r="AI3007" t="s">
        <v>939</v>
      </c>
      <c r="AJ3007">
        <v>1</v>
      </c>
      <c r="AK30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MIN(AJ3007/8, 1) +
  Merge1[[#This Row],[index_defensive_effort]],
  2
)</f>
        <v>0.82</v>
      </c>
    </row>
    <row r="3008" spans="1:37" x14ac:dyDescent="0.25">
      <c r="A3008" t="s">
        <v>774</v>
      </c>
      <c r="B3008" t="s">
        <v>775</v>
      </c>
      <c r="C3008">
        <v>27</v>
      </c>
      <c r="D3008" t="s">
        <v>56</v>
      </c>
      <c r="E3008">
        <v>70</v>
      </c>
      <c r="F3008">
        <v>194</v>
      </c>
      <c r="G3008" t="s">
        <v>74</v>
      </c>
      <c r="H3008">
        <v>2020</v>
      </c>
      <c r="I3008" t="s">
        <v>33</v>
      </c>
      <c r="J3008">
        <v>15</v>
      </c>
      <c r="K3008">
        <v>2</v>
      </c>
      <c r="L3008">
        <v>0</v>
      </c>
      <c r="M3008">
        <v>0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62</v>
      </c>
      <c r="T3008">
        <v>56</v>
      </c>
      <c r="U3008" s="5">
        <f>IF(Merge1[[#This Row],[team_defense_snaps]]=0, "", Merge1[[#This Row],[defense_snaps]] / Merge1[[#This Row],[team_defense_snaps]])</f>
        <v>1</v>
      </c>
      <c r="V3008">
        <v>56</v>
      </c>
      <c r="W3008">
        <v>6</v>
      </c>
      <c r="X3008" s="5" t="s">
        <v>59</v>
      </c>
      <c r="Y3008">
        <v>5</v>
      </c>
      <c r="Z3008">
        <v>0</v>
      </c>
      <c r="AA3008" t="s">
        <v>25</v>
      </c>
      <c r="AB3008" t="s">
        <v>26</v>
      </c>
      <c r="AC3008" t="s">
        <v>27</v>
      </c>
      <c r="AD3008" t="s">
        <v>42</v>
      </c>
      <c r="AE3008" t="s">
        <v>25</v>
      </c>
      <c r="AF30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6.4516129032258063E-2</v>
      </c>
      <c r="AG3008" t="s">
        <v>941</v>
      </c>
      <c r="AH3008">
        <v>51.5</v>
      </c>
      <c r="AI3008" t="s">
        <v>939</v>
      </c>
      <c r="AJ3008">
        <v>2</v>
      </c>
      <c r="AK30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MIN(AJ3008/8, 1) +
  Merge1[[#This Row],[index_defensive_effort]],
  2
)</f>
        <v>0.91</v>
      </c>
    </row>
    <row r="3009" spans="1:37" x14ac:dyDescent="0.25">
      <c r="A3009" t="s">
        <v>774</v>
      </c>
      <c r="B3009" t="s">
        <v>775</v>
      </c>
      <c r="C3009">
        <v>27</v>
      </c>
      <c r="D3009" t="s">
        <v>56</v>
      </c>
      <c r="E3009">
        <v>70</v>
      </c>
      <c r="F3009">
        <v>194</v>
      </c>
      <c r="G3009" t="s">
        <v>74</v>
      </c>
      <c r="H3009">
        <v>2020</v>
      </c>
      <c r="I3009" t="s">
        <v>33</v>
      </c>
      <c r="J3009">
        <v>16</v>
      </c>
      <c r="K3009">
        <v>5</v>
      </c>
      <c r="L3009">
        <v>1</v>
      </c>
      <c r="M3009">
        <v>1</v>
      </c>
      <c r="N3009">
        <v>2</v>
      </c>
      <c r="O3009">
        <v>0</v>
      </c>
      <c r="P3009">
        <v>0</v>
      </c>
      <c r="Q3009">
        <v>0</v>
      </c>
      <c r="R3009">
        <v>0</v>
      </c>
      <c r="S3009">
        <v>73</v>
      </c>
      <c r="T3009">
        <v>69</v>
      </c>
      <c r="U3009" s="5">
        <f>IF(Merge1[[#This Row],[team_defense_snaps]]=0, "", Merge1[[#This Row],[defense_snaps]] / Merge1[[#This Row],[team_defense_snaps]])</f>
        <v>1</v>
      </c>
      <c r="V3009">
        <v>69</v>
      </c>
      <c r="W3009">
        <v>4</v>
      </c>
      <c r="X3009" s="5" t="s">
        <v>212</v>
      </c>
      <c r="Y3009">
        <v>5</v>
      </c>
      <c r="Z3009">
        <v>0</v>
      </c>
      <c r="AA3009" t="s">
        <v>25</v>
      </c>
      <c r="AB3009" t="s">
        <v>26</v>
      </c>
      <c r="AC3009" t="s">
        <v>27</v>
      </c>
      <c r="AD3009" t="s">
        <v>42</v>
      </c>
      <c r="AE3009" t="s">
        <v>25</v>
      </c>
      <c r="AF30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8.2191780821917804E-2</v>
      </c>
      <c r="AG3009" t="s">
        <v>941</v>
      </c>
      <c r="AH3009">
        <v>62</v>
      </c>
      <c r="AI3009" t="s">
        <v>939</v>
      </c>
      <c r="AJ3009">
        <v>3</v>
      </c>
      <c r="AK30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MIN(AJ3009/8, 1) +
  Merge1[[#This Row],[index_defensive_effort]],
  2
)</f>
        <v>1.06</v>
      </c>
    </row>
    <row r="3010" spans="1:37" x14ac:dyDescent="0.25">
      <c r="A3010" t="s">
        <v>774</v>
      </c>
      <c r="B3010" t="s">
        <v>775</v>
      </c>
      <c r="C3010">
        <v>27</v>
      </c>
      <c r="D3010" t="s">
        <v>56</v>
      </c>
      <c r="E3010">
        <v>70</v>
      </c>
      <c r="F3010">
        <v>194</v>
      </c>
      <c r="G3010" t="s">
        <v>74</v>
      </c>
      <c r="H3010">
        <v>2020</v>
      </c>
      <c r="I3010" t="s">
        <v>33</v>
      </c>
      <c r="J3010">
        <v>17</v>
      </c>
      <c r="K3010">
        <v>3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45</v>
      </c>
      <c r="T3010">
        <v>43</v>
      </c>
      <c r="U3010" s="5">
        <f>IF(Merge1[[#This Row],[team_defense_snaps]]=0, "", Merge1[[#This Row],[defense_snaps]] / Merge1[[#This Row],[team_defense_snaps]])</f>
        <v>0.69354838709677424</v>
      </c>
      <c r="V3010">
        <v>62</v>
      </c>
      <c r="W3010">
        <v>2</v>
      </c>
      <c r="X3010" s="5" t="s">
        <v>167</v>
      </c>
      <c r="Y3010">
        <v>5</v>
      </c>
      <c r="Z3010">
        <v>0</v>
      </c>
      <c r="AA3010" t="s">
        <v>25</v>
      </c>
      <c r="AB3010" t="s">
        <v>26</v>
      </c>
      <c r="AC3010" t="s">
        <v>27</v>
      </c>
      <c r="AD3010" t="s">
        <v>42</v>
      </c>
      <c r="AE3010" t="s">
        <v>25</v>
      </c>
      <c r="AF30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3010" t="s">
        <v>941</v>
      </c>
      <c r="AH3010">
        <v>57.5</v>
      </c>
      <c r="AI3010" t="s">
        <v>939</v>
      </c>
      <c r="AJ3010">
        <v>4</v>
      </c>
      <c r="AK30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MIN(AJ3010/8, 1) +
  Merge1[[#This Row],[index_defensive_effort]],
  2
)</f>
        <v>1.17</v>
      </c>
    </row>
    <row r="3011" spans="1:37" x14ac:dyDescent="0.25">
      <c r="A3011" t="s">
        <v>774</v>
      </c>
      <c r="B3011" t="s">
        <v>775</v>
      </c>
      <c r="C3011">
        <v>27</v>
      </c>
      <c r="D3011" t="s">
        <v>56</v>
      </c>
      <c r="E3011">
        <v>70</v>
      </c>
      <c r="F3011">
        <v>194</v>
      </c>
      <c r="G3011" t="s">
        <v>74</v>
      </c>
      <c r="H3011">
        <v>2020</v>
      </c>
      <c r="I3011" t="s">
        <v>24</v>
      </c>
      <c r="J3011">
        <v>18</v>
      </c>
      <c r="K3011">
        <v>5</v>
      </c>
      <c r="L3011">
        <v>1</v>
      </c>
      <c r="M3011">
        <v>0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75</v>
      </c>
      <c r="T3011">
        <v>67</v>
      </c>
      <c r="U3011" s="5">
        <f>IF(Merge1[[#This Row],[team_defense_snaps]]=0, "", Merge1[[#This Row],[defense_snaps]] / Merge1[[#This Row],[team_defense_snaps]])</f>
        <v>1</v>
      </c>
      <c r="V3011">
        <v>67</v>
      </c>
      <c r="W3011">
        <v>8</v>
      </c>
      <c r="X3011" s="5" t="s">
        <v>132</v>
      </c>
      <c r="Y3011">
        <v>5</v>
      </c>
      <c r="Z3011">
        <v>0</v>
      </c>
      <c r="AA3011" t="s">
        <v>25</v>
      </c>
      <c r="AB3011" t="s">
        <v>26</v>
      </c>
      <c r="AC3011" t="s">
        <v>27</v>
      </c>
      <c r="AD3011" t="s">
        <v>42</v>
      </c>
      <c r="AE3011" t="s">
        <v>25</v>
      </c>
      <c r="AF30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7.3333333333333334E-2</v>
      </c>
      <c r="AG3011" t="s">
        <v>941</v>
      </c>
      <c r="AH3011">
        <v>50</v>
      </c>
      <c r="AI3011" t="s">
        <v>939</v>
      </c>
      <c r="AJ3011">
        <v>5</v>
      </c>
      <c r="AK30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MIN(AJ3011/8, 1) +
  Merge1[[#This Row],[index_defensive_effort]],
  2
)</f>
        <v>1.5</v>
      </c>
    </row>
    <row r="3012" spans="1:37" x14ac:dyDescent="0.25">
      <c r="A3012" t="s">
        <v>776</v>
      </c>
      <c r="B3012" t="s">
        <v>777</v>
      </c>
      <c r="C3012">
        <v>25</v>
      </c>
      <c r="D3012" t="s">
        <v>22</v>
      </c>
      <c r="E3012">
        <v>73</v>
      </c>
      <c r="F3012">
        <v>210</v>
      </c>
      <c r="G3012" t="s">
        <v>78</v>
      </c>
      <c r="H3012">
        <v>2020</v>
      </c>
      <c r="I3012" t="s">
        <v>33</v>
      </c>
      <c r="J3012">
        <v>5</v>
      </c>
      <c r="K3012">
        <v>0</v>
      </c>
      <c r="L3012">
        <v>1</v>
      </c>
      <c r="M3012">
        <v>0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36</v>
      </c>
      <c r="T3012">
        <v>24</v>
      </c>
      <c r="U3012" s="5">
        <f>IF(Merge1[[#This Row],[team_defense_snaps]]=0, "", Merge1[[#This Row],[defense_snaps]] / Merge1[[#This Row],[team_defense_snaps]])</f>
        <v>0.34782608695652173</v>
      </c>
      <c r="V3012">
        <v>69</v>
      </c>
      <c r="W3012">
        <v>12</v>
      </c>
      <c r="X3012" s="5" t="s">
        <v>70</v>
      </c>
      <c r="Y3012">
        <v>2</v>
      </c>
      <c r="Z3012">
        <v>0</v>
      </c>
      <c r="AA3012" t="s">
        <v>25</v>
      </c>
      <c r="AB3012" t="s">
        <v>26</v>
      </c>
      <c r="AC3012" t="s">
        <v>27</v>
      </c>
      <c r="AD3012" t="s">
        <v>28</v>
      </c>
      <c r="AE3012" t="s">
        <v>25</v>
      </c>
      <c r="AF30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1.3888888888888888E-2</v>
      </c>
      <c r="AG3012" t="s">
        <v>942</v>
      </c>
      <c r="AH3012">
        <v>76</v>
      </c>
      <c r="AI3012" t="s">
        <v>939</v>
      </c>
      <c r="AJ3012">
        <v>1</v>
      </c>
      <c r="AK30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MIN(AJ3012/8, 1) +
  Merge1[[#This Row],[index_defensive_effort]],
  2
)</f>
        <v>0.64</v>
      </c>
    </row>
    <row r="3013" spans="1:37" x14ac:dyDescent="0.25">
      <c r="A3013" t="s">
        <v>776</v>
      </c>
      <c r="B3013" t="s">
        <v>777</v>
      </c>
      <c r="C3013">
        <v>25</v>
      </c>
      <c r="D3013" t="s">
        <v>22</v>
      </c>
      <c r="E3013">
        <v>73</v>
      </c>
      <c r="F3013">
        <v>210</v>
      </c>
      <c r="G3013" t="s">
        <v>78</v>
      </c>
      <c r="H3013">
        <v>2020</v>
      </c>
      <c r="I3013" t="s">
        <v>33</v>
      </c>
      <c r="J3013">
        <v>7</v>
      </c>
      <c r="K3013">
        <v>2</v>
      </c>
      <c r="L3013">
        <v>1</v>
      </c>
      <c r="M3013">
        <v>0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36</v>
      </c>
      <c r="T3013">
        <v>25</v>
      </c>
      <c r="U3013" s="5">
        <f>IF(Merge1[[#This Row],[team_defense_snaps]]=0, "", Merge1[[#This Row],[defense_snaps]] / Merge1[[#This Row],[team_defense_snaps]])</f>
        <v>0.36231884057971014</v>
      </c>
      <c r="V3013">
        <v>69</v>
      </c>
      <c r="W3013">
        <v>11</v>
      </c>
      <c r="X3013" s="5" t="s">
        <v>182</v>
      </c>
      <c r="Y3013">
        <v>2</v>
      </c>
      <c r="Z3013">
        <v>0</v>
      </c>
      <c r="AA3013" t="s">
        <v>25</v>
      </c>
      <c r="AB3013" t="s">
        <v>26</v>
      </c>
      <c r="AC3013" t="s">
        <v>27</v>
      </c>
      <c r="AD3013" t="s">
        <v>28</v>
      </c>
      <c r="AE3013" t="s">
        <v>25</v>
      </c>
      <c r="AF30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6.9444444444444448E-2</v>
      </c>
      <c r="AG3013" t="s">
        <v>942</v>
      </c>
      <c r="AH3013">
        <v>73</v>
      </c>
      <c r="AI3013" t="s">
        <v>939</v>
      </c>
      <c r="AJ3013">
        <v>1</v>
      </c>
      <c r="AK30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MIN(AJ3013/8, 1) +
  Merge1[[#This Row],[index_defensive_effort]],
  2
)</f>
        <v>0.69</v>
      </c>
    </row>
    <row r="3014" spans="1:37" x14ac:dyDescent="0.25">
      <c r="A3014" t="s">
        <v>776</v>
      </c>
      <c r="B3014" t="s">
        <v>777</v>
      </c>
      <c r="C3014">
        <v>25</v>
      </c>
      <c r="D3014" t="s">
        <v>22</v>
      </c>
      <c r="E3014">
        <v>73</v>
      </c>
      <c r="F3014">
        <v>210</v>
      </c>
      <c r="G3014" t="s">
        <v>78</v>
      </c>
      <c r="H3014">
        <v>2020</v>
      </c>
      <c r="I3014" t="s">
        <v>33</v>
      </c>
      <c r="J3014">
        <v>9</v>
      </c>
      <c r="K3014">
        <v>1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23</v>
      </c>
      <c r="T3014">
        <v>15</v>
      </c>
      <c r="U3014" s="5">
        <f>IF(Merge1[[#This Row],[team_defense_snaps]]=0, "", Merge1[[#This Row],[defense_snaps]] / Merge1[[#This Row],[team_defense_snaps]])</f>
        <v>0.21739130434782608</v>
      </c>
      <c r="V3014">
        <v>69</v>
      </c>
      <c r="W3014">
        <v>8</v>
      </c>
      <c r="X3014" s="5" t="s">
        <v>314</v>
      </c>
      <c r="Y3014">
        <v>2</v>
      </c>
      <c r="Z3014">
        <v>0</v>
      </c>
      <c r="AA3014" t="s">
        <v>25</v>
      </c>
      <c r="AB3014" t="s">
        <v>26</v>
      </c>
      <c r="AC3014" t="s">
        <v>27</v>
      </c>
      <c r="AD3014" t="s">
        <v>28</v>
      </c>
      <c r="AE3014" t="s">
        <v>25</v>
      </c>
      <c r="AF30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4.3478260869565216E-2</v>
      </c>
      <c r="AG3014" t="s">
        <v>942</v>
      </c>
      <c r="AH3014">
        <v>79</v>
      </c>
      <c r="AI3014" t="s">
        <v>939</v>
      </c>
      <c r="AJ3014">
        <v>1</v>
      </c>
      <c r="AK30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MIN(AJ3014/8, 1) +
  Merge1[[#This Row],[index_defensive_effort]],
  2
)</f>
        <v>0.67</v>
      </c>
    </row>
    <row r="3015" spans="1:37" x14ac:dyDescent="0.25">
      <c r="A3015" t="s">
        <v>802</v>
      </c>
      <c r="B3015" t="s">
        <v>803</v>
      </c>
      <c r="C3015">
        <v>30</v>
      </c>
      <c r="D3015" t="s">
        <v>56</v>
      </c>
      <c r="E3015">
        <v>72</v>
      </c>
      <c r="F3015">
        <v>204</v>
      </c>
      <c r="G3015" t="s">
        <v>424</v>
      </c>
      <c r="H3015">
        <v>2020</v>
      </c>
      <c r="I3015" t="s">
        <v>33</v>
      </c>
      <c r="J3015">
        <v>2</v>
      </c>
      <c r="K3015">
        <v>3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2</v>
      </c>
      <c r="R3015">
        <v>0</v>
      </c>
      <c r="S3015">
        <v>57</v>
      </c>
      <c r="T3015">
        <v>40</v>
      </c>
      <c r="U3015" s="5">
        <f>IF(Merge1[[#This Row],[team_defense_snaps]]=0, "", Merge1[[#This Row],[defense_snaps]] / Merge1[[#This Row],[team_defense_snaps]])</f>
        <v>0.72727272727272729</v>
      </c>
      <c r="V3015">
        <v>55</v>
      </c>
      <c r="W3015">
        <v>17</v>
      </c>
      <c r="X3015" s="5" t="s">
        <v>176</v>
      </c>
      <c r="Y3015">
        <v>6</v>
      </c>
      <c r="Z3015">
        <v>0</v>
      </c>
      <c r="AA3015" t="s">
        <v>25</v>
      </c>
      <c r="AB3015" t="s">
        <v>26</v>
      </c>
      <c r="AC3015" t="s">
        <v>27</v>
      </c>
      <c r="AD3015" t="s">
        <v>28</v>
      </c>
      <c r="AE3015" t="s">
        <v>25</v>
      </c>
      <c r="AF30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0.19298245614035087</v>
      </c>
      <c r="AG3015" t="s">
        <v>942</v>
      </c>
      <c r="AH3015">
        <v>49.5</v>
      </c>
      <c r="AI3015" t="s">
        <v>939</v>
      </c>
      <c r="AJ3015">
        <v>1</v>
      </c>
      <c r="AK30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MIN(AJ3015/8, 1) +
  Merge1[[#This Row],[index_defensive_effort]],
  2
)</f>
        <v>0.92</v>
      </c>
    </row>
    <row r="3016" spans="1:37" x14ac:dyDescent="0.25">
      <c r="A3016" t="s">
        <v>802</v>
      </c>
      <c r="B3016" t="s">
        <v>803</v>
      </c>
      <c r="C3016">
        <v>30</v>
      </c>
      <c r="D3016" t="s">
        <v>56</v>
      </c>
      <c r="E3016">
        <v>72</v>
      </c>
      <c r="F3016">
        <v>204</v>
      </c>
      <c r="G3016" t="s">
        <v>424</v>
      </c>
      <c r="H3016">
        <v>2020</v>
      </c>
      <c r="I3016" t="s">
        <v>33</v>
      </c>
      <c r="J3016">
        <v>3</v>
      </c>
      <c r="K3016">
        <v>2</v>
      </c>
      <c r="L3016">
        <v>1</v>
      </c>
      <c r="M3016">
        <v>0</v>
      </c>
      <c r="N3016">
        <v>1</v>
      </c>
      <c r="O3016">
        <v>0</v>
      </c>
      <c r="P3016">
        <v>0</v>
      </c>
      <c r="Q3016">
        <v>2</v>
      </c>
      <c r="R3016">
        <v>0</v>
      </c>
      <c r="S3016">
        <v>63</v>
      </c>
      <c r="T3016">
        <v>54</v>
      </c>
      <c r="U3016" s="5">
        <f>IF(Merge1[[#This Row],[team_defense_snaps]]=0, "", Merge1[[#This Row],[defense_snaps]] / Merge1[[#This Row],[team_defense_snaps]])</f>
        <v>0.83076923076923082</v>
      </c>
      <c r="V3016">
        <v>65</v>
      </c>
      <c r="W3016">
        <v>9</v>
      </c>
      <c r="X3016" s="5" t="s">
        <v>123</v>
      </c>
      <c r="Y3016">
        <v>6</v>
      </c>
      <c r="Z3016">
        <v>0</v>
      </c>
      <c r="AA3016" t="s">
        <v>25</v>
      </c>
      <c r="AB3016" t="s">
        <v>26</v>
      </c>
      <c r="AC3016" t="s">
        <v>27</v>
      </c>
      <c r="AD3016" t="s">
        <v>42</v>
      </c>
      <c r="AE3016" t="s">
        <v>25</v>
      </c>
      <c r="AF30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AG3016" t="s">
        <v>942</v>
      </c>
      <c r="AH3016">
        <v>48</v>
      </c>
      <c r="AI3016" t="s">
        <v>939</v>
      </c>
      <c r="AJ3016">
        <v>2</v>
      </c>
      <c r="AK30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MIN(AJ3016/8, 1) +
  Merge1[[#This Row],[index_defensive_effort]],
  2
)</f>
        <v>1.02</v>
      </c>
    </row>
    <row r="3017" spans="1:37" x14ac:dyDescent="0.25">
      <c r="A3017" t="s">
        <v>802</v>
      </c>
      <c r="B3017" t="s">
        <v>803</v>
      </c>
      <c r="C3017">
        <v>30</v>
      </c>
      <c r="D3017" t="s">
        <v>56</v>
      </c>
      <c r="E3017">
        <v>72</v>
      </c>
      <c r="F3017">
        <v>204</v>
      </c>
      <c r="G3017" t="s">
        <v>424</v>
      </c>
      <c r="H3017">
        <v>2020</v>
      </c>
      <c r="I3017" t="s">
        <v>33</v>
      </c>
      <c r="J3017">
        <v>6</v>
      </c>
      <c r="K3017">
        <v>1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24</v>
      </c>
      <c r="T3017">
        <v>4</v>
      </c>
      <c r="U3017" s="5">
        <f>IF(Merge1[[#This Row],[team_defense_snaps]]=0, "", Merge1[[#This Row],[defense_snaps]] / Merge1[[#This Row],[team_defense_snaps]])</f>
        <v>0.05</v>
      </c>
      <c r="V3017">
        <v>80</v>
      </c>
      <c r="W3017">
        <v>20</v>
      </c>
      <c r="X3017" s="5" t="s">
        <v>100</v>
      </c>
      <c r="Y3017">
        <v>6</v>
      </c>
      <c r="Z3017">
        <v>0</v>
      </c>
      <c r="AA3017" t="s">
        <v>25</v>
      </c>
      <c r="AB3017" t="s">
        <v>26</v>
      </c>
      <c r="AC3017" t="s">
        <v>27</v>
      </c>
      <c r="AD3017" t="s">
        <v>28</v>
      </c>
      <c r="AE3017" t="s">
        <v>25</v>
      </c>
      <c r="AF30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3017" t="s">
        <v>942</v>
      </c>
      <c r="AH3017">
        <v>58.5</v>
      </c>
      <c r="AI3017" t="s">
        <v>939</v>
      </c>
      <c r="AJ3017">
        <v>1</v>
      </c>
      <c r="AK30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MIN(AJ3017/8, 1) +
  Merge1[[#This Row],[index_defensive_effort]],
  2
)</f>
        <v>0.77</v>
      </c>
    </row>
    <row r="3018" spans="1:37" x14ac:dyDescent="0.25">
      <c r="A3018" t="s">
        <v>802</v>
      </c>
      <c r="B3018" t="s">
        <v>803</v>
      </c>
      <c r="C3018">
        <v>30</v>
      </c>
      <c r="D3018" t="s">
        <v>56</v>
      </c>
      <c r="E3018">
        <v>72</v>
      </c>
      <c r="F3018">
        <v>204</v>
      </c>
      <c r="G3018" t="s">
        <v>424</v>
      </c>
      <c r="H3018">
        <v>2020</v>
      </c>
      <c r="I3018" t="s">
        <v>33</v>
      </c>
      <c r="J3018">
        <v>8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30</v>
      </c>
      <c r="T3018">
        <v>13</v>
      </c>
      <c r="U3018" s="5">
        <f>IF(Merge1[[#This Row],[team_defense_snaps]]=0, "", Merge1[[#This Row],[defense_snaps]] / Merge1[[#This Row],[team_defense_snaps]])</f>
        <v>0.20967741935483872</v>
      </c>
      <c r="V3018">
        <v>62</v>
      </c>
      <c r="W3018">
        <v>17</v>
      </c>
      <c r="X3018" s="5" t="s">
        <v>232</v>
      </c>
      <c r="Y3018">
        <v>6</v>
      </c>
      <c r="Z3018">
        <v>0</v>
      </c>
      <c r="AA3018" t="s">
        <v>25</v>
      </c>
      <c r="AB3018" t="s">
        <v>26</v>
      </c>
      <c r="AC3018" t="s">
        <v>27</v>
      </c>
      <c r="AD3018" t="s">
        <v>28</v>
      </c>
      <c r="AE3018" t="s">
        <v>25</v>
      </c>
      <c r="AF30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018" t="s">
        <v>942</v>
      </c>
      <c r="AH3018">
        <v>52.5</v>
      </c>
      <c r="AI3018" t="s">
        <v>939</v>
      </c>
      <c r="AJ3018">
        <v>1</v>
      </c>
      <c r="AK30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MIN(AJ3018/8, 1) +
  Merge1[[#This Row],[index_defensive_effort]],
  2
)</f>
        <v>0.73</v>
      </c>
    </row>
    <row r="3019" spans="1:37" x14ac:dyDescent="0.25">
      <c r="A3019" t="s">
        <v>802</v>
      </c>
      <c r="B3019" t="s">
        <v>803</v>
      </c>
      <c r="C3019">
        <v>30</v>
      </c>
      <c r="D3019" t="s">
        <v>56</v>
      </c>
      <c r="E3019">
        <v>72</v>
      </c>
      <c r="F3019">
        <v>204</v>
      </c>
      <c r="G3019" t="s">
        <v>424</v>
      </c>
      <c r="H3019">
        <v>2020</v>
      </c>
      <c r="I3019" t="s">
        <v>33</v>
      </c>
      <c r="J3019">
        <v>9</v>
      </c>
      <c r="K3019">
        <v>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21</v>
      </c>
      <c r="T3019">
        <v>6</v>
      </c>
      <c r="U3019" s="5">
        <f>IF(Merge1[[#This Row],[team_defense_snaps]]=0, "", Merge1[[#This Row],[defense_snaps]] / Merge1[[#This Row],[team_defense_snaps]])</f>
        <v>8.9552238805970144E-2</v>
      </c>
      <c r="V3019">
        <v>67</v>
      </c>
      <c r="W3019">
        <v>15</v>
      </c>
      <c r="X3019" s="5" t="s">
        <v>256</v>
      </c>
      <c r="Y3019">
        <v>6</v>
      </c>
      <c r="Z3019">
        <v>0</v>
      </c>
      <c r="AA3019" t="s">
        <v>25</v>
      </c>
      <c r="AB3019" t="s">
        <v>26</v>
      </c>
      <c r="AC3019" t="s">
        <v>27</v>
      </c>
      <c r="AD3019" t="s">
        <v>28</v>
      </c>
      <c r="AE3019" t="s">
        <v>25</v>
      </c>
      <c r="AF30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4.7619047619047616E-2</v>
      </c>
      <c r="AG3019" t="s">
        <v>942</v>
      </c>
      <c r="AH3019">
        <v>69</v>
      </c>
      <c r="AI3019" t="s">
        <v>939</v>
      </c>
      <c r="AJ3019">
        <v>2</v>
      </c>
      <c r="AK30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MIN(AJ3019/8, 1) +
  Merge1[[#This Row],[index_defensive_effort]],
  2
)</f>
        <v>0.9</v>
      </c>
    </row>
    <row r="3020" spans="1:37" x14ac:dyDescent="0.25">
      <c r="A3020" t="s">
        <v>802</v>
      </c>
      <c r="B3020" t="s">
        <v>803</v>
      </c>
      <c r="C3020">
        <v>30</v>
      </c>
      <c r="D3020" t="s">
        <v>56</v>
      </c>
      <c r="E3020">
        <v>72</v>
      </c>
      <c r="F3020">
        <v>204</v>
      </c>
      <c r="G3020" t="s">
        <v>424</v>
      </c>
      <c r="H3020">
        <v>2020</v>
      </c>
      <c r="I3020" t="s">
        <v>33</v>
      </c>
      <c r="J3020">
        <v>10</v>
      </c>
      <c r="K3020">
        <v>0</v>
      </c>
      <c r="L3020">
        <v>1</v>
      </c>
      <c r="M3020">
        <v>1</v>
      </c>
      <c r="N3020">
        <v>2</v>
      </c>
      <c r="O3020">
        <v>0</v>
      </c>
      <c r="P3020">
        <v>1</v>
      </c>
      <c r="Q3020">
        <v>0</v>
      </c>
      <c r="R3020">
        <v>0</v>
      </c>
      <c r="S3020">
        <v>47</v>
      </c>
      <c r="T3020">
        <v>32</v>
      </c>
      <c r="U3020" s="5">
        <f>IF(Merge1[[#This Row],[team_defense_snaps]]=0, "", Merge1[[#This Row],[defense_snaps]] / Merge1[[#This Row],[team_defense_snaps]])</f>
        <v>0.47761194029850745</v>
      </c>
      <c r="V3020">
        <v>67</v>
      </c>
      <c r="W3020">
        <v>15</v>
      </c>
      <c r="X3020" s="5" t="s">
        <v>256</v>
      </c>
      <c r="Y3020">
        <v>6</v>
      </c>
      <c r="Z3020">
        <v>0</v>
      </c>
      <c r="AA3020" t="s">
        <v>25</v>
      </c>
      <c r="AB3020" t="s">
        <v>26</v>
      </c>
      <c r="AC3020" t="s">
        <v>27</v>
      </c>
      <c r="AD3020" t="s">
        <v>42</v>
      </c>
      <c r="AE3020" t="s">
        <v>25</v>
      </c>
      <c r="AF30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6.3829787234042548E-2</v>
      </c>
      <c r="AG3020" t="s">
        <v>942</v>
      </c>
      <c r="AH3020">
        <v>70.5</v>
      </c>
      <c r="AI3020" t="s">
        <v>939</v>
      </c>
      <c r="AJ3020">
        <v>3</v>
      </c>
      <c r="AK30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MIN(AJ3020/8, 1) +
  Merge1[[#This Row],[index_defensive_effort]],
  2
)</f>
        <v>1.04</v>
      </c>
    </row>
    <row r="3021" spans="1:37" x14ac:dyDescent="0.25">
      <c r="A3021" t="s">
        <v>802</v>
      </c>
      <c r="B3021" t="s">
        <v>803</v>
      </c>
      <c r="C3021">
        <v>30</v>
      </c>
      <c r="D3021" t="s">
        <v>56</v>
      </c>
      <c r="E3021">
        <v>72</v>
      </c>
      <c r="F3021">
        <v>204</v>
      </c>
      <c r="G3021" t="s">
        <v>424</v>
      </c>
      <c r="H3021">
        <v>2020</v>
      </c>
      <c r="I3021" t="s">
        <v>33</v>
      </c>
      <c r="J3021">
        <v>12</v>
      </c>
      <c r="K3021">
        <v>2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49</v>
      </c>
      <c r="T3021">
        <v>25</v>
      </c>
      <c r="U3021" s="5">
        <f>IF(Merge1[[#This Row],[team_defense_snaps]]=0, "", Merge1[[#This Row],[defense_snaps]] / Merge1[[#This Row],[team_defense_snaps]])</f>
        <v>0.34722222222222221</v>
      </c>
      <c r="V3021">
        <v>72</v>
      </c>
      <c r="W3021">
        <v>24</v>
      </c>
      <c r="X3021" s="5" t="s">
        <v>218</v>
      </c>
      <c r="Y3021">
        <v>6</v>
      </c>
      <c r="Z3021">
        <v>0</v>
      </c>
      <c r="AA3021" t="s">
        <v>25</v>
      </c>
      <c r="AB3021" t="s">
        <v>26</v>
      </c>
      <c r="AC3021" t="s">
        <v>27</v>
      </c>
      <c r="AD3021" t="s">
        <v>28</v>
      </c>
      <c r="AE3021" t="s">
        <v>25</v>
      </c>
      <c r="AF30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4.0816326530612242E-2</v>
      </c>
      <c r="AG3021" t="s">
        <v>942</v>
      </c>
      <c r="AH3021">
        <v>54</v>
      </c>
      <c r="AI3021" t="s">
        <v>939</v>
      </c>
      <c r="AJ3021">
        <v>1</v>
      </c>
      <c r="AK30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MIN(AJ3021/8, 1) +
  Merge1[[#This Row],[index_defensive_effort]],
  2
)</f>
        <v>0.77</v>
      </c>
    </row>
    <row r="3022" spans="1:37" x14ac:dyDescent="0.25">
      <c r="A3022" t="s">
        <v>802</v>
      </c>
      <c r="B3022" t="s">
        <v>803</v>
      </c>
      <c r="C3022">
        <v>30</v>
      </c>
      <c r="D3022" t="s">
        <v>56</v>
      </c>
      <c r="E3022">
        <v>72</v>
      </c>
      <c r="F3022">
        <v>204</v>
      </c>
      <c r="G3022" t="s">
        <v>424</v>
      </c>
      <c r="H3022">
        <v>2020</v>
      </c>
      <c r="I3022" t="s">
        <v>33</v>
      </c>
      <c r="J3022">
        <v>13</v>
      </c>
      <c r="K3022">
        <v>1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58</v>
      </c>
      <c r="T3022">
        <v>36</v>
      </c>
      <c r="U3022" s="5">
        <f>IF(Merge1[[#This Row],[team_defense_snaps]]=0, "", Merge1[[#This Row],[defense_snaps]] / Merge1[[#This Row],[team_defense_snaps]])</f>
        <v>0.5625</v>
      </c>
      <c r="V3022">
        <v>64</v>
      </c>
      <c r="W3022">
        <v>22</v>
      </c>
      <c r="X3022" s="5" t="s">
        <v>49</v>
      </c>
      <c r="Y3022">
        <v>6</v>
      </c>
      <c r="Z3022">
        <v>0</v>
      </c>
      <c r="AA3022" t="s">
        <v>25</v>
      </c>
      <c r="AB3022" t="s">
        <v>26</v>
      </c>
      <c r="AC3022" t="s">
        <v>27</v>
      </c>
      <c r="AD3022" t="s">
        <v>28</v>
      </c>
      <c r="AE3022" t="s">
        <v>25</v>
      </c>
      <c r="AF30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1.7241379310344827E-2</v>
      </c>
      <c r="AG3022" t="s">
        <v>942</v>
      </c>
      <c r="AH3022">
        <v>64.5</v>
      </c>
      <c r="AI3022" t="s">
        <v>939</v>
      </c>
      <c r="AJ3022">
        <v>2</v>
      </c>
      <c r="AK30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MIN(AJ3022/8, 1) +
  Merge1[[#This Row],[index_defensive_effort]],
  2
)</f>
        <v>0.87</v>
      </c>
    </row>
    <row r="3023" spans="1:37" x14ac:dyDescent="0.25">
      <c r="A3023" t="s">
        <v>802</v>
      </c>
      <c r="B3023" t="s">
        <v>803</v>
      </c>
      <c r="C3023">
        <v>30</v>
      </c>
      <c r="D3023" t="s">
        <v>56</v>
      </c>
      <c r="E3023">
        <v>72</v>
      </c>
      <c r="F3023">
        <v>204</v>
      </c>
      <c r="G3023" t="s">
        <v>424</v>
      </c>
      <c r="H3023">
        <v>2020</v>
      </c>
      <c r="I3023" t="s">
        <v>33</v>
      </c>
      <c r="J3023">
        <v>14</v>
      </c>
      <c r="K3023">
        <v>3</v>
      </c>
      <c r="L3023">
        <v>1</v>
      </c>
      <c r="M3023">
        <v>0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60</v>
      </c>
      <c r="T3023">
        <v>43</v>
      </c>
      <c r="U3023" s="5">
        <f>IF(Merge1[[#This Row],[team_defense_snaps]]=0, "", Merge1[[#This Row],[defense_snaps]] / Merge1[[#This Row],[team_defense_snaps]])</f>
        <v>0.62318840579710144</v>
      </c>
      <c r="V3023">
        <v>69</v>
      </c>
      <c r="W3023">
        <v>17</v>
      </c>
      <c r="X3023" s="5" t="s">
        <v>102</v>
      </c>
      <c r="Y3023">
        <v>6</v>
      </c>
      <c r="Z3023">
        <v>0</v>
      </c>
      <c r="AA3023" t="s">
        <v>25</v>
      </c>
      <c r="AB3023" t="s">
        <v>26</v>
      </c>
      <c r="AC3023" t="s">
        <v>27</v>
      </c>
      <c r="AD3023" t="s">
        <v>28</v>
      </c>
      <c r="AE3023" t="s">
        <v>25</v>
      </c>
      <c r="AF30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5.8333333333333334E-2</v>
      </c>
      <c r="AG3023" t="s">
        <v>942</v>
      </c>
      <c r="AH3023">
        <v>52</v>
      </c>
      <c r="AI3023" t="s">
        <v>939</v>
      </c>
      <c r="AJ3023">
        <v>3</v>
      </c>
      <c r="AK30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MIN(AJ3023/8, 1) +
  Merge1[[#This Row],[index_defensive_effort]],
  2
)</f>
        <v>1.03</v>
      </c>
    </row>
    <row r="3024" spans="1:37" x14ac:dyDescent="0.25">
      <c r="A3024" t="s">
        <v>802</v>
      </c>
      <c r="B3024" t="s">
        <v>803</v>
      </c>
      <c r="C3024">
        <v>30</v>
      </c>
      <c r="D3024" t="s">
        <v>56</v>
      </c>
      <c r="E3024">
        <v>72</v>
      </c>
      <c r="F3024">
        <v>204</v>
      </c>
      <c r="G3024" t="s">
        <v>424</v>
      </c>
      <c r="H3024">
        <v>2020</v>
      </c>
      <c r="I3024" t="s">
        <v>33</v>
      </c>
      <c r="J3024">
        <v>15</v>
      </c>
      <c r="K3024">
        <v>1</v>
      </c>
      <c r="L3024">
        <v>2</v>
      </c>
      <c r="M3024">
        <v>2</v>
      </c>
      <c r="N3024">
        <v>4</v>
      </c>
      <c r="O3024">
        <v>0</v>
      </c>
      <c r="P3024">
        <v>0</v>
      </c>
      <c r="Q3024">
        <v>0</v>
      </c>
      <c r="R3024">
        <v>0</v>
      </c>
      <c r="S3024">
        <v>59</v>
      </c>
      <c r="T3024">
        <v>45</v>
      </c>
      <c r="U3024" s="5">
        <f>IF(Merge1[[#This Row],[team_defense_snaps]]=0, "", Merge1[[#This Row],[defense_snaps]] / Merge1[[#This Row],[team_defense_snaps]])</f>
        <v>0.65217391304347827</v>
      </c>
      <c r="V3024">
        <v>69</v>
      </c>
      <c r="W3024">
        <v>14</v>
      </c>
      <c r="X3024" s="5" t="s">
        <v>125</v>
      </c>
      <c r="Y3024">
        <v>6</v>
      </c>
      <c r="Z3024">
        <v>0</v>
      </c>
      <c r="AA3024" t="s">
        <v>25</v>
      </c>
      <c r="AB3024" t="s">
        <v>26</v>
      </c>
      <c r="AC3024" t="s">
        <v>27</v>
      </c>
      <c r="AD3024" t="s">
        <v>28</v>
      </c>
      <c r="AE3024" t="s">
        <v>25</v>
      </c>
      <c r="AF30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5.0847457627118647E-2</v>
      </c>
      <c r="AG3024" t="s">
        <v>942</v>
      </c>
      <c r="AH3024">
        <v>61.5</v>
      </c>
      <c r="AI3024" t="s">
        <v>939</v>
      </c>
      <c r="AJ3024">
        <v>4</v>
      </c>
      <c r="AK30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MIN(AJ3024/8, 1) +
  Merge1[[#This Row],[index_defensive_effort]],
  2
)</f>
        <v>1.1499999999999999</v>
      </c>
    </row>
    <row r="3025" spans="1:37" x14ac:dyDescent="0.25">
      <c r="A3025" t="s">
        <v>802</v>
      </c>
      <c r="B3025" t="s">
        <v>803</v>
      </c>
      <c r="C3025">
        <v>30</v>
      </c>
      <c r="D3025" t="s">
        <v>56</v>
      </c>
      <c r="E3025">
        <v>72</v>
      </c>
      <c r="F3025">
        <v>204</v>
      </c>
      <c r="G3025" t="s">
        <v>424</v>
      </c>
      <c r="H3025">
        <v>2020</v>
      </c>
      <c r="I3025" t="s">
        <v>33</v>
      </c>
      <c r="J3025">
        <v>16</v>
      </c>
      <c r="K3025">
        <v>3</v>
      </c>
      <c r="L3025">
        <v>3</v>
      </c>
      <c r="M3025">
        <v>2</v>
      </c>
      <c r="N3025">
        <v>5</v>
      </c>
      <c r="O3025">
        <v>0</v>
      </c>
      <c r="P3025">
        <v>0</v>
      </c>
      <c r="Q3025">
        <v>0</v>
      </c>
      <c r="R3025">
        <v>0</v>
      </c>
      <c r="S3025">
        <v>43</v>
      </c>
      <c r="T3025">
        <v>27</v>
      </c>
      <c r="U3025" s="5">
        <f>IF(Merge1[[#This Row],[team_defense_snaps]]=0, "", Merge1[[#This Row],[defense_snaps]] / Merge1[[#This Row],[team_defense_snaps]])</f>
        <v>0.39705882352941174</v>
      </c>
      <c r="V3025">
        <v>68</v>
      </c>
      <c r="W3025">
        <v>16</v>
      </c>
      <c r="X3025" s="5" t="s">
        <v>182</v>
      </c>
      <c r="Y3025">
        <v>6</v>
      </c>
      <c r="Z3025">
        <v>0</v>
      </c>
      <c r="AA3025" t="s">
        <v>25</v>
      </c>
      <c r="AB3025" t="s">
        <v>26</v>
      </c>
      <c r="AC3025" t="s">
        <v>27</v>
      </c>
      <c r="AD3025" t="s">
        <v>28</v>
      </c>
      <c r="AE3025" t="s">
        <v>25</v>
      </c>
      <c r="AF30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0.12790697674418605</v>
      </c>
      <c r="AG3025" t="s">
        <v>942</v>
      </c>
      <c r="AH3025">
        <v>60</v>
      </c>
      <c r="AI3025" t="s">
        <v>939</v>
      </c>
      <c r="AJ3025">
        <v>5</v>
      </c>
      <c r="AK30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MIN(AJ3025/8, 1) +
  Merge1[[#This Row],[index_defensive_effort]],
  2
)</f>
        <v>1.35</v>
      </c>
    </row>
    <row r="3026" spans="1:37" x14ac:dyDescent="0.25">
      <c r="A3026" t="s">
        <v>802</v>
      </c>
      <c r="B3026" t="s">
        <v>803</v>
      </c>
      <c r="C3026">
        <v>30</v>
      </c>
      <c r="D3026" t="s">
        <v>56</v>
      </c>
      <c r="E3026">
        <v>72</v>
      </c>
      <c r="F3026">
        <v>204</v>
      </c>
      <c r="G3026" t="s">
        <v>424</v>
      </c>
      <c r="H3026">
        <v>2020</v>
      </c>
      <c r="I3026" t="s">
        <v>33</v>
      </c>
      <c r="J3026">
        <v>17</v>
      </c>
      <c r="K3026">
        <v>4</v>
      </c>
      <c r="L3026">
        <v>1</v>
      </c>
      <c r="M3026">
        <v>1</v>
      </c>
      <c r="N3026">
        <v>2</v>
      </c>
      <c r="O3026">
        <v>0</v>
      </c>
      <c r="P3026">
        <v>1</v>
      </c>
      <c r="Q3026">
        <v>0</v>
      </c>
      <c r="R3026">
        <v>0</v>
      </c>
      <c r="S3026">
        <v>62</v>
      </c>
      <c r="T3026">
        <v>56</v>
      </c>
      <c r="U3026" s="5">
        <f>IF(Merge1[[#This Row],[team_defense_snaps]]=0, "", Merge1[[#This Row],[defense_snaps]] / Merge1[[#This Row],[team_defense_snaps]])</f>
        <v>0.86153846153846159</v>
      </c>
      <c r="V3026">
        <v>65</v>
      </c>
      <c r="W3026">
        <v>6</v>
      </c>
      <c r="X3026" s="5" t="s">
        <v>293</v>
      </c>
      <c r="Y3026">
        <v>6</v>
      </c>
      <c r="Z3026">
        <v>0</v>
      </c>
      <c r="AA3026" t="s">
        <v>25</v>
      </c>
      <c r="AB3026" t="s">
        <v>26</v>
      </c>
      <c r="AC3026" t="s">
        <v>27</v>
      </c>
      <c r="AD3026" t="s">
        <v>28</v>
      </c>
      <c r="AE3026" t="s">
        <v>25</v>
      </c>
      <c r="AF30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0.11290322580645161</v>
      </c>
      <c r="AG3026" t="s">
        <v>942</v>
      </c>
      <c r="AH3026">
        <v>55.5</v>
      </c>
      <c r="AI3026" t="s">
        <v>939</v>
      </c>
      <c r="AJ3026">
        <v>6</v>
      </c>
      <c r="AK30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MIN(AJ3026/8, 1) +
  Merge1[[#This Row],[index_defensive_effort]],
  2
)</f>
        <v>1.46</v>
      </c>
    </row>
    <row r="3027" spans="1:37" x14ac:dyDescent="0.25">
      <c r="A3027" t="s">
        <v>802</v>
      </c>
      <c r="B3027" t="s">
        <v>803</v>
      </c>
      <c r="C3027">
        <v>30</v>
      </c>
      <c r="D3027" t="s">
        <v>56</v>
      </c>
      <c r="E3027">
        <v>72</v>
      </c>
      <c r="F3027">
        <v>204</v>
      </c>
      <c r="G3027" t="s">
        <v>424</v>
      </c>
      <c r="H3027">
        <v>2020</v>
      </c>
      <c r="I3027" t="s">
        <v>24</v>
      </c>
      <c r="J3027">
        <v>18</v>
      </c>
      <c r="K3027">
        <v>2</v>
      </c>
      <c r="L3027">
        <v>2</v>
      </c>
      <c r="M3027">
        <v>2</v>
      </c>
      <c r="N3027">
        <v>4</v>
      </c>
      <c r="O3027">
        <v>0</v>
      </c>
      <c r="P3027">
        <v>0</v>
      </c>
      <c r="Q3027">
        <v>0</v>
      </c>
      <c r="R3027">
        <v>0</v>
      </c>
      <c r="S3027">
        <v>58</v>
      </c>
      <c r="T3027">
        <v>56</v>
      </c>
      <c r="U3027" s="5">
        <f>IF(Merge1[[#This Row],[team_defense_snaps]]=0, "", Merge1[[#This Row],[defense_snaps]] / Merge1[[#This Row],[team_defense_snaps]])</f>
        <v>0.90322580645161288</v>
      </c>
      <c r="V3027">
        <v>62</v>
      </c>
      <c r="W3027">
        <v>2</v>
      </c>
      <c r="X3027" s="5" t="s">
        <v>167</v>
      </c>
      <c r="Y3027">
        <v>6</v>
      </c>
      <c r="Z3027">
        <v>0</v>
      </c>
      <c r="AA3027" t="s">
        <v>25</v>
      </c>
      <c r="AB3027" t="s">
        <v>26</v>
      </c>
      <c r="AC3027" t="s">
        <v>27</v>
      </c>
      <c r="AD3027" t="s">
        <v>42</v>
      </c>
      <c r="AE3027" t="s">
        <v>25</v>
      </c>
      <c r="AF30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6.8965517241379309E-2</v>
      </c>
      <c r="AG3027" t="s">
        <v>942</v>
      </c>
      <c r="AH3027">
        <v>51</v>
      </c>
      <c r="AI3027" t="s">
        <v>939</v>
      </c>
      <c r="AJ3027">
        <v>7</v>
      </c>
      <c r="AK30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MIN(AJ3027/8, 1) +
  Merge1[[#This Row],[index_defensive_effort]],
  2
)</f>
        <v>1.74</v>
      </c>
    </row>
    <row r="3028" spans="1:37" x14ac:dyDescent="0.25">
      <c r="A3028" t="s">
        <v>910</v>
      </c>
      <c r="B3028" t="s">
        <v>911</v>
      </c>
      <c r="C3028">
        <v>24</v>
      </c>
      <c r="D3028" t="s">
        <v>56</v>
      </c>
      <c r="E3028">
        <v>69</v>
      </c>
      <c r="F3028">
        <v>188</v>
      </c>
      <c r="G3028" t="s">
        <v>203</v>
      </c>
      <c r="H3028">
        <v>2020</v>
      </c>
      <c r="I3028" t="s">
        <v>33</v>
      </c>
      <c r="J3028">
        <v>8</v>
      </c>
      <c r="K3028">
        <v>2</v>
      </c>
      <c r="L3028">
        <v>1</v>
      </c>
      <c r="M3028">
        <v>0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15</v>
      </c>
      <c r="T3028">
        <v>15</v>
      </c>
      <c r="U3028" s="5">
        <f>IF(Merge1[[#This Row],[team_defense_snaps]]=0, "", Merge1[[#This Row],[defense_snaps]] / Merge1[[#This Row],[team_defense_snaps]])</f>
        <v>0.15625</v>
      </c>
      <c r="V3028">
        <v>96</v>
      </c>
      <c r="W3028">
        <v>0</v>
      </c>
      <c r="X3028" s="5">
        <v>0</v>
      </c>
      <c r="Y3028">
        <v>1</v>
      </c>
      <c r="Z3028">
        <v>0</v>
      </c>
      <c r="AA3028" t="s">
        <v>25</v>
      </c>
      <c r="AB3028" t="s">
        <v>26</v>
      </c>
      <c r="AC3028" t="s">
        <v>27</v>
      </c>
      <c r="AD3028" t="s">
        <v>42</v>
      </c>
      <c r="AE3028" t="s">
        <v>25</v>
      </c>
      <c r="AF30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AG3028" t="s">
        <v>941</v>
      </c>
      <c r="AH3028">
        <v>77.5</v>
      </c>
      <c r="AI3028" t="s">
        <v>939</v>
      </c>
      <c r="AJ3028">
        <v>1</v>
      </c>
      <c r="AK30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MIN(AJ3028/8, 1) +
  Merge1[[#This Row],[index_defensive_effort]],
  2
)</f>
        <v>0.79</v>
      </c>
    </row>
    <row r="3029" spans="1:37" x14ac:dyDescent="0.25">
      <c r="A3029" t="s">
        <v>818</v>
      </c>
      <c r="B3029" t="s">
        <v>819</v>
      </c>
      <c r="C3029">
        <v>24</v>
      </c>
      <c r="D3029" t="s">
        <v>56</v>
      </c>
      <c r="E3029">
        <v>71</v>
      </c>
      <c r="F3029">
        <v>192</v>
      </c>
      <c r="G3029" t="s">
        <v>339</v>
      </c>
      <c r="H3029">
        <v>2020</v>
      </c>
      <c r="I3029" t="s">
        <v>33</v>
      </c>
      <c r="J3029">
        <v>1</v>
      </c>
      <c r="K3029">
        <v>3</v>
      </c>
      <c r="L3029">
        <v>2</v>
      </c>
      <c r="M3029">
        <v>1</v>
      </c>
      <c r="N3029">
        <v>3</v>
      </c>
      <c r="O3029">
        <v>0</v>
      </c>
      <c r="P3029">
        <v>1</v>
      </c>
      <c r="Q3029">
        <v>0</v>
      </c>
      <c r="R3029">
        <v>0</v>
      </c>
      <c r="S3029">
        <v>63</v>
      </c>
      <c r="T3029">
        <v>48</v>
      </c>
      <c r="U3029" s="5">
        <f>IF(Merge1[[#This Row],[team_defense_snaps]]=0, "", Merge1[[#This Row],[defense_snaps]] / Merge1[[#This Row],[team_defense_snaps]])</f>
        <v>0.8571428571428571</v>
      </c>
      <c r="V3029">
        <v>56</v>
      </c>
      <c r="W3029">
        <v>15</v>
      </c>
      <c r="X3029" s="5" t="s">
        <v>189</v>
      </c>
      <c r="Y3029">
        <v>2</v>
      </c>
      <c r="Z3029">
        <v>0</v>
      </c>
      <c r="AA3029" t="s">
        <v>25</v>
      </c>
      <c r="AB3029" t="s">
        <v>26</v>
      </c>
      <c r="AC3029" t="s">
        <v>27</v>
      </c>
      <c r="AD3029" t="s">
        <v>42</v>
      </c>
      <c r="AE3029" t="s">
        <v>25</v>
      </c>
      <c r="AF30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0.10317460317460317</v>
      </c>
      <c r="AG3029" t="s">
        <v>942</v>
      </c>
      <c r="AH3029">
        <v>66.5</v>
      </c>
      <c r="AI3029" t="s">
        <v>939</v>
      </c>
      <c r="AJ3029">
        <v>1</v>
      </c>
      <c r="AK30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MIN(AJ3029/8, 1) +
  Merge1[[#This Row],[index_defensive_effort]],
  2
)</f>
        <v>0.63</v>
      </c>
    </row>
    <row r="3030" spans="1:37" x14ac:dyDescent="0.25">
      <c r="A3030" t="s">
        <v>818</v>
      </c>
      <c r="B3030" t="s">
        <v>819</v>
      </c>
      <c r="C3030">
        <v>24</v>
      </c>
      <c r="D3030" t="s">
        <v>56</v>
      </c>
      <c r="E3030">
        <v>71</v>
      </c>
      <c r="F3030">
        <v>192</v>
      </c>
      <c r="G3030" t="s">
        <v>339</v>
      </c>
      <c r="H3030">
        <v>2020</v>
      </c>
      <c r="I3030" t="s">
        <v>33</v>
      </c>
      <c r="J3030">
        <v>2</v>
      </c>
      <c r="K3030">
        <v>3</v>
      </c>
      <c r="L3030">
        <v>2</v>
      </c>
      <c r="M3030">
        <v>1</v>
      </c>
      <c r="N3030">
        <v>3</v>
      </c>
      <c r="O3030">
        <v>0</v>
      </c>
      <c r="P3030">
        <v>1</v>
      </c>
      <c r="Q3030">
        <v>0</v>
      </c>
      <c r="R3030">
        <v>0</v>
      </c>
      <c r="S3030">
        <v>68</v>
      </c>
      <c r="T3030">
        <v>57</v>
      </c>
      <c r="U3030" s="5">
        <f>IF(Merge1[[#This Row],[team_defense_snaps]]=0, "", Merge1[[#This Row],[defense_snaps]] / Merge1[[#This Row],[team_defense_snaps]])</f>
        <v>0.76</v>
      </c>
      <c r="V3030">
        <v>75</v>
      </c>
      <c r="W3030">
        <v>11</v>
      </c>
      <c r="X3030" s="5" t="s">
        <v>60</v>
      </c>
      <c r="Y3030">
        <v>2</v>
      </c>
      <c r="Z3030">
        <v>0</v>
      </c>
      <c r="AA3030" t="s">
        <v>25</v>
      </c>
      <c r="AB3030" t="s">
        <v>26</v>
      </c>
      <c r="AC3030" t="s">
        <v>27</v>
      </c>
      <c r="AD3030" t="s">
        <v>42</v>
      </c>
      <c r="AE3030" t="s">
        <v>25</v>
      </c>
      <c r="AF30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9.5588235294117641E-2</v>
      </c>
      <c r="AG3030" t="s">
        <v>942</v>
      </c>
      <c r="AH3030">
        <v>48</v>
      </c>
      <c r="AI3030" t="s">
        <v>939</v>
      </c>
      <c r="AJ3030">
        <v>2</v>
      </c>
      <c r="AK30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MIN(AJ3030/8, 1) +
  Merge1[[#This Row],[index_defensive_effort]],
  2
)</f>
        <v>0.75</v>
      </c>
    </row>
    <row r="3031" spans="1:37" x14ac:dyDescent="0.25">
      <c r="A3031" t="s">
        <v>818</v>
      </c>
      <c r="B3031" t="s">
        <v>819</v>
      </c>
      <c r="C3031">
        <v>24</v>
      </c>
      <c r="D3031" t="s">
        <v>56</v>
      </c>
      <c r="E3031">
        <v>71</v>
      </c>
      <c r="F3031">
        <v>192</v>
      </c>
      <c r="G3031" t="s">
        <v>339</v>
      </c>
      <c r="H3031">
        <v>2020</v>
      </c>
      <c r="I3031" t="s">
        <v>33</v>
      </c>
      <c r="J3031">
        <v>3</v>
      </c>
      <c r="K3031">
        <v>10</v>
      </c>
      <c r="L3031">
        <v>2</v>
      </c>
      <c r="M3031">
        <v>1</v>
      </c>
      <c r="N3031">
        <v>3</v>
      </c>
      <c r="O3031">
        <v>0</v>
      </c>
      <c r="P3031">
        <v>1</v>
      </c>
      <c r="Q3031">
        <v>0</v>
      </c>
      <c r="R3031">
        <v>0</v>
      </c>
      <c r="S3031">
        <v>60</v>
      </c>
      <c r="T3031">
        <v>60</v>
      </c>
      <c r="U3031" s="5">
        <f>IF(Merge1[[#This Row],[team_defense_snaps]]=0, "", Merge1[[#This Row],[defense_snaps]] / Merge1[[#This Row],[team_defense_snaps]])</f>
        <v>0.86956521739130432</v>
      </c>
      <c r="V3031">
        <v>69</v>
      </c>
      <c r="W3031">
        <v>0</v>
      </c>
      <c r="X3031" s="5" t="s">
        <v>29</v>
      </c>
      <c r="Y3031">
        <v>2</v>
      </c>
      <c r="Z3031">
        <v>0</v>
      </c>
      <c r="AA3031" t="s">
        <v>25</v>
      </c>
      <c r="AB3031" t="s">
        <v>36</v>
      </c>
      <c r="AC3031" t="s">
        <v>50</v>
      </c>
      <c r="AD3031" t="s">
        <v>42</v>
      </c>
      <c r="AE3031" t="s">
        <v>25</v>
      </c>
      <c r="AF30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0.22500000000000001</v>
      </c>
      <c r="AG3031" t="s">
        <v>942</v>
      </c>
      <c r="AH3031">
        <v>57.5</v>
      </c>
      <c r="AI3031" t="s">
        <v>939</v>
      </c>
      <c r="AJ3031">
        <v>3</v>
      </c>
      <c r="AK30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MIN(AJ3031/8, 1) +
  Merge1[[#This Row],[index_defensive_effort]],
  2
)</f>
        <v>1</v>
      </c>
    </row>
    <row r="3032" spans="1:37" x14ac:dyDescent="0.25">
      <c r="A3032" t="s">
        <v>818</v>
      </c>
      <c r="B3032" t="s">
        <v>819</v>
      </c>
      <c r="C3032">
        <v>24</v>
      </c>
      <c r="D3032" t="s">
        <v>56</v>
      </c>
      <c r="E3032">
        <v>71</v>
      </c>
      <c r="F3032">
        <v>192</v>
      </c>
      <c r="G3032" t="s">
        <v>339</v>
      </c>
      <c r="H3032">
        <v>2020</v>
      </c>
      <c r="I3032" t="s">
        <v>33</v>
      </c>
      <c r="J3032">
        <v>4</v>
      </c>
      <c r="K3032">
        <v>5</v>
      </c>
      <c r="L3032">
        <v>2</v>
      </c>
      <c r="M3032">
        <v>0</v>
      </c>
      <c r="N3032">
        <v>2</v>
      </c>
      <c r="O3032">
        <v>0</v>
      </c>
      <c r="P3032">
        <v>0</v>
      </c>
      <c r="Q3032">
        <v>0</v>
      </c>
      <c r="R3032">
        <v>0</v>
      </c>
      <c r="S3032">
        <v>70</v>
      </c>
      <c r="T3032">
        <v>53</v>
      </c>
      <c r="U3032" s="5">
        <f>IF(Merge1[[#This Row],[team_defense_snaps]]=0, "", Merge1[[#This Row],[defense_snaps]] / Merge1[[#This Row],[team_defense_snaps]])</f>
        <v>0.70666666666666667</v>
      </c>
      <c r="V3032">
        <v>75</v>
      </c>
      <c r="W3032">
        <v>17</v>
      </c>
      <c r="X3032" s="5" t="s">
        <v>281</v>
      </c>
      <c r="Y3032">
        <v>2</v>
      </c>
      <c r="Z3032">
        <v>0</v>
      </c>
      <c r="AA3032" t="s">
        <v>25</v>
      </c>
      <c r="AB3032" t="s">
        <v>26</v>
      </c>
      <c r="AC3032" t="s">
        <v>27</v>
      </c>
      <c r="AD3032" t="s">
        <v>28</v>
      </c>
      <c r="AE3032" t="s">
        <v>25</v>
      </c>
      <c r="AF30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8.5714285714285715E-2</v>
      </c>
      <c r="AG3032" t="s">
        <v>942</v>
      </c>
      <c r="AH3032">
        <v>59</v>
      </c>
      <c r="AI3032" t="s">
        <v>939</v>
      </c>
      <c r="AJ3032">
        <v>4</v>
      </c>
      <c r="AK30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MIN(AJ3032/8, 1) +
  Merge1[[#This Row],[index_defensive_effort]],
  2
)</f>
        <v>0.99</v>
      </c>
    </row>
    <row r="3033" spans="1:37" x14ac:dyDescent="0.25">
      <c r="A3033" t="s">
        <v>818</v>
      </c>
      <c r="B3033" t="s">
        <v>819</v>
      </c>
      <c r="C3033">
        <v>24</v>
      </c>
      <c r="D3033" t="s">
        <v>56</v>
      </c>
      <c r="E3033">
        <v>71</v>
      </c>
      <c r="F3033">
        <v>192</v>
      </c>
      <c r="G3033" t="s">
        <v>339</v>
      </c>
      <c r="H3033">
        <v>2020</v>
      </c>
      <c r="I3033" t="s">
        <v>33</v>
      </c>
      <c r="J3033">
        <v>5</v>
      </c>
      <c r="K3033">
        <v>5</v>
      </c>
      <c r="L3033">
        <v>2</v>
      </c>
      <c r="M3033">
        <v>1</v>
      </c>
      <c r="N3033">
        <v>3</v>
      </c>
      <c r="O3033">
        <v>0</v>
      </c>
      <c r="P3033">
        <v>0</v>
      </c>
      <c r="Q3033">
        <v>0</v>
      </c>
      <c r="R3033">
        <v>0</v>
      </c>
      <c r="S3033">
        <v>50</v>
      </c>
      <c r="T3033">
        <v>37</v>
      </c>
      <c r="U3033" s="5">
        <f>IF(Merge1[[#This Row],[team_defense_snaps]]=0, "", Merge1[[#This Row],[defense_snaps]] / Merge1[[#This Row],[team_defense_snaps]])</f>
        <v>0.55223880597014929</v>
      </c>
      <c r="V3033">
        <v>67</v>
      </c>
      <c r="W3033">
        <v>13</v>
      </c>
      <c r="X3033" s="5" t="s">
        <v>112</v>
      </c>
      <c r="Y3033">
        <v>2</v>
      </c>
      <c r="Z3033">
        <v>0</v>
      </c>
      <c r="AA3033" t="s">
        <v>25</v>
      </c>
      <c r="AB3033" t="s">
        <v>26</v>
      </c>
      <c r="AC3033" t="s">
        <v>27</v>
      </c>
      <c r="AD3033" t="s">
        <v>28</v>
      </c>
      <c r="AE3033" t="s">
        <v>25</v>
      </c>
      <c r="AF30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</v>
      </c>
      <c r="AG3033" t="s">
        <v>942</v>
      </c>
      <c r="AH3033">
        <v>65</v>
      </c>
      <c r="AI3033" t="s">
        <v>939</v>
      </c>
      <c r="AJ3033">
        <v>5</v>
      </c>
      <c r="AK30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MIN(AJ3033/8, 1) +
  Merge1[[#This Row],[index_defensive_effort]],
  2
)</f>
        <v>1.1599999999999999</v>
      </c>
    </row>
    <row r="3034" spans="1:37" x14ac:dyDescent="0.25">
      <c r="A3034" t="s">
        <v>818</v>
      </c>
      <c r="B3034" t="s">
        <v>819</v>
      </c>
      <c r="C3034">
        <v>24</v>
      </c>
      <c r="D3034" t="s">
        <v>56</v>
      </c>
      <c r="E3034">
        <v>71</v>
      </c>
      <c r="F3034">
        <v>192</v>
      </c>
      <c r="G3034" t="s">
        <v>339</v>
      </c>
      <c r="H3034">
        <v>2020</v>
      </c>
      <c r="I3034" t="s">
        <v>33</v>
      </c>
      <c r="J3034">
        <v>6</v>
      </c>
      <c r="K3034">
        <v>6</v>
      </c>
      <c r="L3034">
        <v>2</v>
      </c>
      <c r="M3034">
        <v>2</v>
      </c>
      <c r="N3034">
        <v>4</v>
      </c>
      <c r="O3034">
        <v>0</v>
      </c>
      <c r="P3034">
        <v>0</v>
      </c>
      <c r="Q3034">
        <v>0</v>
      </c>
      <c r="R3034">
        <v>0</v>
      </c>
      <c r="S3034">
        <v>74</v>
      </c>
      <c r="T3034">
        <v>63</v>
      </c>
      <c r="U3034" s="5">
        <f>IF(Merge1[[#This Row],[team_defense_snaps]]=0, "", Merge1[[#This Row],[defense_snaps]] / Merge1[[#This Row],[team_defense_snaps]])</f>
        <v>0.84</v>
      </c>
      <c r="V3034">
        <v>75</v>
      </c>
      <c r="W3034">
        <v>11</v>
      </c>
      <c r="X3034" s="5" t="s">
        <v>243</v>
      </c>
      <c r="Y3034">
        <v>2</v>
      </c>
      <c r="Z3034">
        <v>0</v>
      </c>
      <c r="AA3034" t="s">
        <v>25</v>
      </c>
      <c r="AB3034" t="s">
        <v>26</v>
      </c>
      <c r="AC3034" t="s">
        <v>27</v>
      </c>
      <c r="AD3034" t="s">
        <v>28</v>
      </c>
      <c r="AE3034" t="s">
        <v>25</v>
      </c>
      <c r="AF30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0.10810810810810811</v>
      </c>
      <c r="AG3034" t="s">
        <v>942</v>
      </c>
      <c r="AH3034">
        <v>68</v>
      </c>
      <c r="AI3034" t="s">
        <v>939</v>
      </c>
      <c r="AJ3034">
        <v>6</v>
      </c>
      <c r="AK30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MIN(AJ3034/8, 1) +
  Merge1[[#This Row],[index_defensive_effort]],
  2
)</f>
        <v>1.26</v>
      </c>
    </row>
    <row r="3035" spans="1:37" x14ac:dyDescent="0.25">
      <c r="A3035" t="s">
        <v>818</v>
      </c>
      <c r="B3035" t="s">
        <v>819</v>
      </c>
      <c r="C3035">
        <v>24</v>
      </c>
      <c r="D3035" t="s">
        <v>56</v>
      </c>
      <c r="E3035">
        <v>71</v>
      </c>
      <c r="F3035">
        <v>192</v>
      </c>
      <c r="G3035" t="s">
        <v>339</v>
      </c>
      <c r="H3035">
        <v>2020</v>
      </c>
      <c r="I3035" t="s">
        <v>33</v>
      </c>
      <c r="J3035">
        <v>7</v>
      </c>
      <c r="K3035">
        <v>2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60</v>
      </c>
      <c r="T3035">
        <v>48</v>
      </c>
      <c r="U3035" s="5">
        <f>IF(Merge1[[#This Row],[team_defense_snaps]]=0, "", Merge1[[#This Row],[defense_snaps]] / Merge1[[#This Row],[team_defense_snaps]])</f>
        <v>0.84210526315789469</v>
      </c>
      <c r="V3035">
        <v>57</v>
      </c>
      <c r="W3035">
        <v>12</v>
      </c>
      <c r="X3035" s="5" t="s">
        <v>52</v>
      </c>
      <c r="Y3035">
        <v>2</v>
      </c>
      <c r="Z3035">
        <v>0</v>
      </c>
      <c r="AA3035" t="s">
        <v>25</v>
      </c>
      <c r="AB3035" t="s">
        <v>26</v>
      </c>
      <c r="AC3035" t="s">
        <v>27</v>
      </c>
      <c r="AD3035" t="s">
        <v>42</v>
      </c>
      <c r="AE3035" t="s">
        <v>25</v>
      </c>
      <c r="AF30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3.3333333333333333E-2</v>
      </c>
      <c r="AG3035" t="s">
        <v>942</v>
      </c>
      <c r="AH3035">
        <v>63.5</v>
      </c>
      <c r="AI3035" t="s">
        <v>939</v>
      </c>
      <c r="AJ3035">
        <v>7</v>
      </c>
      <c r="AK30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MIN(AJ3035/8, 1) +
  Merge1[[#This Row],[index_defensive_effort]],
  2
)</f>
        <v>1.31</v>
      </c>
    </row>
    <row r="3036" spans="1:37" x14ac:dyDescent="0.25">
      <c r="A3036" t="s">
        <v>818</v>
      </c>
      <c r="B3036" t="s">
        <v>819</v>
      </c>
      <c r="C3036">
        <v>24</v>
      </c>
      <c r="D3036" t="s">
        <v>56</v>
      </c>
      <c r="E3036">
        <v>71</v>
      </c>
      <c r="F3036">
        <v>192</v>
      </c>
      <c r="G3036" t="s">
        <v>339</v>
      </c>
      <c r="H3036">
        <v>2020</v>
      </c>
      <c r="I3036" t="s">
        <v>33</v>
      </c>
      <c r="J3036">
        <v>8</v>
      </c>
      <c r="K3036">
        <v>4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62</v>
      </c>
      <c r="T3036">
        <v>49</v>
      </c>
      <c r="U3036" s="5">
        <f>IF(Merge1[[#This Row],[team_defense_snaps]]=0, "", Merge1[[#This Row],[defense_snaps]] / Merge1[[#This Row],[team_defense_snaps]])</f>
        <v>0.75384615384615383</v>
      </c>
      <c r="V3036">
        <v>65</v>
      </c>
      <c r="W3036">
        <v>13</v>
      </c>
      <c r="X3036" s="5" t="s">
        <v>112</v>
      </c>
      <c r="Y3036">
        <v>2</v>
      </c>
      <c r="Z3036">
        <v>0</v>
      </c>
      <c r="AA3036" t="s">
        <v>25</v>
      </c>
      <c r="AB3036" t="s">
        <v>26</v>
      </c>
      <c r="AC3036" t="s">
        <v>27</v>
      </c>
      <c r="AD3036" t="s">
        <v>42</v>
      </c>
      <c r="AE3036" t="s">
        <v>25</v>
      </c>
      <c r="AF30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6.4516129032258063E-2</v>
      </c>
      <c r="AG3036" t="s">
        <v>942</v>
      </c>
      <c r="AH3036">
        <v>51.5</v>
      </c>
      <c r="AI3036" t="s">
        <v>939</v>
      </c>
      <c r="AJ3036">
        <v>8</v>
      </c>
      <c r="AK30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MIN(AJ3036/8, 1) +
  Merge1[[#This Row],[index_defensive_effort]],
  2
)</f>
        <v>1.46</v>
      </c>
    </row>
    <row r="3037" spans="1:37" x14ac:dyDescent="0.25">
      <c r="A3037" t="s">
        <v>818</v>
      </c>
      <c r="B3037" t="s">
        <v>819</v>
      </c>
      <c r="C3037">
        <v>24</v>
      </c>
      <c r="D3037" t="s">
        <v>56</v>
      </c>
      <c r="E3037">
        <v>71</v>
      </c>
      <c r="F3037">
        <v>192</v>
      </c>
      <c r="G3037" t="s">
        <v>339</v>
      </c>
      <c r="H3037">
        <v>2020</v>
      </c>
      <c r="I3037" t="s">
        <v>33</v>
      </c>
      <c r="J3037">
        <v>9</v>
      </c>
      <c r="K3037">
        <v>3</v>
      </c>
      <c r="L3037">
        <v>2</v>
      </c>
      <c r="M3037">
        <v>0</v>
      </c>
      <c r="N3037">
        <v>2</v>
      </c>
      <c r="O3037">
        <v>0</v>
      </c>
      <c r="P3037">
        <v>0</v>
      </c>
      <c r="Q3037">
        <v>0</v>
      </c>
      <c r="R3037">
        <v>0</v>
      </c>
      <c r="S3037">
        <v>54</v>
      </c>
      <c r="T3037">
        <v>44</v>
      </c>
      <c r="U3037" s="5">
        <f>IF(Merge1[[#This Row],[team_defense_snaps]]=0, "", Merge1[[#This Row],[defense_snaps]] / Merge1[[#This Row],[team_defense_snaps]])</f>
        <v>0.65671641791044777</v>
      </c>
      <c r="V3037">
        <v>67</v>
      </c>
      <c r="W3037">
        <v>10</v>
      </c>
      <c r="X3037" s="5" t="s">
        <v>113</v>
      </c>
      <c r="Y3037">
        <v>2</v>
      </c>
      <c r="Z3037">
        <v>0</v>
      </c>
      <c r="AA3037" t="s">
        <v>25</v>
      </c>
      <c r="AB3037" t="s">
        <v>26</v>
      </c>
      <c r="AC3037" t="s">
        <v>27</v>
      </c>
      <c r="AD3037" t="s">
        <v>28</v>
      </c>
      <c r="AE3037" t="s">
        <v>25</v>
      </c>
      <c r="AF30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7.407407407407407E-2</v>
      </c>
      <c r="AG3037" t="s">
        <v>942</v>
      </c>
      <c r="AH3037">
        <v>45.5</v>
      </c>
      <c r="AI3037" t="s">
        <v>939</v>
      </c>
      <c r="AJ3037">
        <v>9</v>
      </c>
      <c r="AK30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MIN(AJ3037/8, 1) +
  Merge1[[#This Row],[index_defensive_effort]],
  2
)</f>
        <v>1.47</v>
      </c>
    </row>
    <row r="3038" spans="1:37" x14ac:dyDescent="0.25">
      <c r="A3038" t="s">
        <v>818</v>
      </c>
      <c r="B3038" t="s">
        <v>819</v>
      </c>
      <c r="C3038">
        <v>24</v>
      </c>
      <c r="D3038" t="s">
        <v>56</v>
      </c>
      <c r="E3038">
        <v>71</v>
      </c>
      <c r="F3038">
        <v>192</v>
      </c>
      <c r="G3038" t="s">
        <v>339</v>
      </c>
      <c r="H3038">
        <v>2020</v>
      </c>
      <c r="I3038" t="s">
        <v>33</v>
      </c>
      <c r="J3038">
        <v>10</v>
      </c>
      <c r="K3038">
        <v>11</v>
      </c>
      <c r="L3038">
        <v>2</v>
      </c>
      <c r="M3038">
        <v>1</v>
      </c>
      <c r="N3038">
        <v>3</v>
      </c>
      <c r="O3038">
        <v>4</v>
      </c>
      <c r="P3038">
        <v>5</v>
      </c>
      <c r="Q3038">
        <v>0</v>
      </c>
      <c r="R3038">
        <v>2</v>
      </c>
      <c r="S3038">
        <v>86</v>
      </c>
      <c r="T3038">
        <v>73</v>
      </c>
      <c r="U3038" s="5">
        <f>IF(Merge1[[#This Row],[team_defense_snaps]]=0, "", Merge1[[#This Row],[defense_snaps]] / Merge1[[#This Row],[team_defense_snaps]])</f>
        <v>0.97333333333333338</v>
      </c>
      <c r="V3038">
        <v>75</v>
      </c>
      <c r="W3038">
        <v>13</v>
      </c>
      <c r="X3038" s="5" t="s">
        <v>57</v>
      </c>
      <c r="Y3038">
        <v>2</v>
      </c>
      <c r="Z3038">
        <v>0</v>
      </c>
      <c r="AA3038" t="s">
        <v>25</v>
      </c>
      <c r="AB3038" t="s">
        <v>26</v>
      </c>
      <c r="AC3038" t="s">
        <v>27</v>
      </c>
      <c r="AD3038" t="s">
        <v>42</v>
      </c>
      <c r="AE3038" t="s">
        <v>25</v>
      </c>
      <c r="AF30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0.44767441860465118</v>
      </c>
      <c r="AG3038" t="s">
        <v>942</v>
      </c>
      <c r="AH3038">
        <v>60.5</v>
      </c>
      <c r="AI3038" t="s">
        <v>939</v>
      </c>
      <c r="AJ3038">
        <v>10</v>
      </c>
      <c r="AK30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MIN(AJ3038/8, 1) +
  Merge1[[#This Row],[index_defensive_effort]],
  2
)</f>
        <v>1.85</v>
      </c>
    </row>
    <row r="3039" spans="1:37" x14ac:dyDescent="0.25">
      <c r="A3039" t="s">
        <v>818</v>
      </c>
      <c r="B3039" t="s">
        <v>819</v>
      </c>
      <c r="C3039">
        <v>24</v>
      </c>
      <c r="D3039" t="s">
        <v>56</v>
      </c>
      <c r="E3039">
        <v>71</v>
      </c>
      <c r="F3039">
        <v>192</v>
      </c>
      <c r="G3039" t="s">
        <v>339</v>
      </c>
      <c r="H3039">
        <v>2020</v>
      </c>
      <c r="I3039" t="s">
        <v>33</v>
      </c>
      <c r="J3039">
        <v>12</v>
      </c>
      <c r="K3039">
        <v>3</v>
      </c>
      <c r="L3039">
        <v>4</v>
      </c>
      <c r="M3039">
        <v>1</v>
      </c>
      <c r="N3039">
        <v>5</v>
      </c>
      <c r="O3039">
        <v>0</v>
      </c>
      <c r="P3039">
        <v>3</v>
      </c>
      <c r="Q3039">
        <v>0</v>
      </c>
      <c r="R3039">
        <v>0</v>
      </c>
      <c r="S3039">
        <v>89</v>
      </c>
      <c r="T3039">
        <v>76</v>
      </c>
      <c r="U3039" s="5">
        <f>IF(Merge1[[#This Row],[team_defense_snaps]]=0, "", Merge1[[#This Row],[defense_snaps]] / Merge1[[#This Row],[team_defense_snaps]])</f>
        <v>0.91566265060240959</v>
      </c>
      <c r="V3039">
        <v>83</v>
      </c>
      <c r="W3039">
        <v>13</v>
      </c>
      <c r="X3039" s="5" t="s">
        <v>200</v>
      </c>
      <c r="Y3039">
        <v>2</v>
      </c>
      <c r="Z3039">
        <v>0</v>
      </c>
      <c r="AA3039" t="s">
        <v>25</v>
      </c>
      <c r="AB3039" t="s">
        <v>26</v>
      </c>
      <c r="AC3039" t="s">
        <v>27</v>
      </c>
      <c r="AD3039" t="s">
        <v>42</v>
      </c>
      <c r="AE3039" t="s">
        <v>25</v>
      </c>
      <c r="AF30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0.12921348314606743</v>
      </c>
      <c r="AG3039" t="s">
        <v>942</v>
      </c>
      <c r="AH3039">
        <v>48.5</v>
      </c>
      <c r="AI3039" t="s">
        <v>939</v>
      </c>
      <c r="AJ3039">
        <v>1</v>
      </c>
      <c r="AK30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MIN(AJ3039/8, 1) +
  Merge1[[#This Row],[index_defensive_effort]],
  2
)</f>
        <v>0.65</v>
      </c>
    </row>
    <row r="3040" spans="1:37" x14ac:dyDescent="0.25">
      <c r="A3040" t="s">
        <v>818</v>
      </c>
      <c r="B3040" t="s">
        <v>819</v>
      </c>
      <c r="C3040">
        <v>24</v>
      </c>
      <c r="D3040" t="s">
        <v>56</v>
      </c>
      <c r="E3040">
        <v>71</v>
      </c>
      <c r="F3040">
        <v>192</v>
      </c>
      <c r="G3040" t="s">
        <v>339</v>
      </c>
      <c r="H3040">
        <v>2020</v>
      </c>
      <c r="I3040" t="s">
        <v>33</v>
      </c>
      <c r="J3040">
        <v>13</v>
      </c>
      <c r="K3040">
        <v>2</v>
      </c>
      <c r="L3040">
        <v>5</v>
      </c>
      <c r="M3040">
        <v>3</v>
      </c>
      <c r="N3040">
        <v>8</v>
      </c>
      <c r="O3040">
        <v>0</v>
      </c>
      <c r="P3040">
        <v>2</v>
      </c>
      <c r="Q3040">
        <v>0</v>
      </c>
      <c r="R3040">
        <v>0</v>
      </c>
      <c r="S3040">
        <v>60</v>
      </c>
      <c r="T3040">
        <v>60</v>
      </c>
      <c r="U3040" s="5">
        <f>IF(Merge1[[#This Row],[team_defense_snaps]]=0, "", Merge1[[#This Row],[defense_snaps]] / Merge1[[#This Row],[team_defense_snaps]])</f>
        <v>0.98360655737704916</v>
      </c>
      <c r="V3040">
        <v>61</v>
      </c>
      <c r="W3040">
        <v>0</v>
      </c>
      <c r="X3040" s="5" t="s">
        <v>29</v>
      </c>
      <c r="Y3040">
        <v>2</v>
      </c>
      <c r="Z3040">
        <v>0</v>
      </c>
      <c r="AA3040" t="s">
        <v>25</v>
      </c>
      <c r="AB3040" t="s">
        <v>26</v>
      </c>
      <c r="AC3040" t="s">
        <v>27</v>
      </c>
      <c r="AD3040" t="s">
        <v>42</v>
      </c>
      <c r="AE3040" t="s">
        <v>25</v>
      </c>
      <c r="AF30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AG3040" t="s">
        <v>942</v>
      </c>
      <c r="AH3040">
        <v>54.5</v>
      </c>
      <c r="AI3040" t="s">
        <v>939</v>
      </c>
      <c r="AJ3040">
        <v>2</v>
      </c>
      <c r="AK30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MIN(AJ3040/8, 1) +
  Merge1[[#This Row],[index_defensive_effort]],
  2
)</f>
        <v>0.82</v>
      </c>
    </row>
    <row r="3041" spans="1:37" x14ac:dyDescent="0.25">
      <c r="A3041" t="s">
        <v>818</v>
      </c>
      <c r="B3041" t="s">
        <v>819</v>
      </c>
      <c r="C3041">
        <v>24</v>
      </c>
      <c r="D3041" t="s">
        <v>56</v>
      </c>
      <c r="E3041">
        <v>71</v>
      </c>
      <c r="F3041">
        <v>192</v>
      </c>
      <c r="G3041" t="s">
        <v>339</v>
      </c>
      <c r="H3041">
        <v>2020</v>
      </c>
      <c r="I3041" t="s">
        <v>33</v>
      </c>
      <c r="J3041">
        <v>14</v>
      </c>
      <c r="K3041">
        <v>4</v>
      </c>
      <c r="L3041">
        <v>3</v>
      </c>
      <c r="M3041">
        <v>0</v>
      </c>
      <c r="N3041">
        <v>3</v>
      </c>
      <c r="O3041">
        <v>0</v>
      </c>
      <c r="P3041">
        <v>0</v>
      </c>
      <c r="Q3041">
        <v>2</v>
      </c>
      <c r="R3041">
        <v>0</v>
      </c>
      <c r="S3041">
        <v>38</v>
      </c>
      <c r="T3041">
        <v>37</v>
      </c>
      <c r="U3041" s="5">
        <f>IF(Merge1[[#This Row],[team_defense_snaps]]=0, "", Merge1[[#This Row],[defense_snaps]] / Merge1[[#This Row],[team_defense_snaps]])</f>
        <v>0.64912280701754388</v>
      </c>
      <c r="V3041">
        <v>57</v>
      </c>
      <c r="W3041">
        <v>1</v>
      </c>
      <c r="X3041" s="5" t="s">
        <v>193</v>
      </c>
      <c r="Y3041">
        <v>2</v>
      </c>
      <c r="Z3041">
        <v>0</v>
      </c>
      <c r="AA3041" t="s">
        <v>25</v>
      </c>
      <c r="AB3041" t="s">
        <v>26</v>
      </c>
      <c r="AC3041" t="s">
        <v>27</v>
      </c>
      <c r="AD3041" t="s">
        <v>42</v>
      </c>
      <c r="AE3041" t="s">
        <v>25</v>
      </c>
      <c r="AF30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0.35526315789473684</v>
      </c>
      <c r="AG3041" t="s">
        <v>942</v>
      </c>
      <c r="AH3041">
        <v>56</v>
      </c>
      <c r="AI3041" t="s">
        <v>939</v>
      </c>
      <c r="AJ3041">
        <v>3</v>
      </c>
      <c r="AK30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MIN(AJ3041/8, 1) +
  Merge1[[#This Row],[index_defensive_effort]],
  2
)</f>
        <v>1.1299999999999999</v>
      </c>
    </row>
    <row r="3042" spans="1:37" x14ac:dyDescent="0.25">
      <c r="A3042" t="s">
        <v>818</v>
      </c>
      <c r="B3042" t="s">
        <v>819</v>
      </c>
      <c r="C3042">
        <v>24</v>
      </c>
      <c r="D3042" t="s">
        <v>56</v>
      </c>
      <c r="E3042">
        <v>71</v>
      </c>
      <c r="F3042">
        <v>192</v>
      </c>
      <c r="G3042" t="s">
        <v>339</v>
      </c>
      <c r="H3042">
        <v>2020</v>
      </c>
      <c r="I3042" t="s">
        <v>33</v>
      </c>
      <c r="J3042">
        <v>15</v>
      </c>
      <c r="K3042">
        <v>4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56</v>
      </c>
      <c r="T3042">
        <v>50</v>
      </c>
      <c r="U3042" s="5">
        <f>IF(Merge1[[#This Row],[team_defense_snaps]]=0, "", Merge1[[#This Row],[defense_snaps]] / Merge1[[#This Row],[team_defense_snaps]])</f>
        <v>0.76923076923076927</v>
      </c>
      <c r="V3042">
        <v>65</v>
      </c>
      <c r="W3042">
        <v>6</v>
      </c>
      <c r="X3042" s="5" t="s">
        <v>59</v>
      </c>
      <c r="Y3042">
        <v>2</v>
      </c>
      <c r="Z3042">
        <v>0</v>
      </c>
      <c r="AA3042" t="s">
        <v>25</v>
      </c>
      <c r="AB3042" t="s">
        <v>26</v>
      </c>
      <c r="AC3042" t="s">
        <v>27</v>
      </c>
      <c r="AD3042" t="s">
        <v>42</v>
      </c>
      <c r="AE3042" t="s">
        <v>25</v>
      </c>
      <c r="AF30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3042" t="s">
        <v>942</v>
      </c>
      <c r="AH3042">
        <v>44</v>
      </c>
      <c r="AI3042" t="s">
        <v>939</v>
      </c>
      <c r="AJ3042">
        <v>4</v>
      </c>
      <c r="AK30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MIN(AJ3042/8, 1) +
  Merge1[[#This Row],[index_defensive_effort]],
  2
)</f>
        <v>0.97</v>
      </c>
    </row>
    <row r="3043" spans="1:37" x14ac:dyDescent="0.25">
      <c r="A3043" t="s">
        <v>818</v>
      </c>
      <c r="B3043" t="s">
        <v>819</v>
      </c>
      <c r="C3043">
        <v>24</v>
      </c>
      <c r="D3043" t="s">
        <v>56</v>
      </c>
      <c r="E3043">
        <v>71</v>
      </c>
      <c r="F3043">
        <v>192</v>
      </c>
      <c r="G3043" t="s">
        <v>339</v>
      </c>
      <c r="H3043">
        <v>2020</v>
      </c>
      <c r="I3043" t="s">
        <v>33</v>
      </c>
      <c r="J3043">
        <v>16</v>
      </c>
      <c r="K3043">
        <v>1</v>
      </c>
      <c r="L3043">
        <v>1</v>
      </c>
      <c r="M3043">
        <v>1</v>
      </c>
      <c r="N3043">
        <v>2</v>
      </c>
      <c r="O3043">
        <v>0</v>
      </c>
      <c r="P3043">
        <v>0</v>
      </c>
      <c r="Q3043">
        <v>0</v>
      </c>
      <c r="R3043">
        <v>0</v>
      </c>
      <c r="S3043">
        <v>40</v>
      </c>
      <c r="T3043">
        <v>26</v>
      </c>
      <c r="U3043" s="5">
        <f>IF(Merge1[[#This Row],[team_defense_snaps]]=0, "", Merge1[[#This Row],[defense_snaps]] / Merge1[[#This Row],[team_defense_snaps]])</f>
        <v>0.52</v>
      </c>
      <c r="V3043">
        <v>50</v>
      </c>
      <c r="W3043">
        <v>14</v>
      </c>
      <c r="X3043" s="5" t="s">
        <v>275</v>
      </c>
      <c r="Y3043">
        <v>2</v>
      </c>
      <c r="Z3043">
        <v>0</v>
      </c>
      <c r="AA3043" t="s">
        <v>25</v>
      </c>
      <c r="AB3043" t="s">
        <v>26</v>
      </c>
      <c r="AC3043" t="s">
        <v>27</v>
      </c>
      <c r="AD3043" t="s">
        <v>28</v>
      </c>
      <c r="AE3043" t="s">
        <v>25</v>
      </c>
      <c r="AF30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3043" t="s">
        <v>942</v>
      </c>
      <c r="AH3043">
        <v>50</v>
      </c>
      <c r="AI3043" t="s">
        <v>939</v>
      </c>
      <c r="AJ3043">
        <v>5</v>
      </c>
      <c r="AK30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MIN(AJ3043/8, 1) +
  Merge1[[#This Row],[index_defensive_effort]],
  2
)</f>
        <v>1.08</v>
      </c>
    </row>
    <row r="3044" spans="1:37" x14ac:dyDescent="0.25">
      <c r="A3044" t="s">
        <v>818</v>
      </c>
      <c r="B3044" t="s">
        <v>819</v>
      </c>
      <c r="C3044">
        <v>24</v>
      </c>
      <c r="D3044" t="s">
        <v>56</v>
      </c>
      <c r="E3044">
        <v>71</v>
      </c>
      <c r="F3044">
        <v>192</v>
      </c>
      <c r="G3044" t="s">
        <v>339</v>
      </c>
      <c r="H3044">
        <v>2020</v>
      </c>
      <c r="I3044" t="s">
        <v>33</v>
      </c>
      <c r="J3044">
        <v>17</v>
      </c>
      <c r="K3044">
        <v>3</v>
      </c>
      <c r="L3044">
        <v>3</v>
      </c>
      <c r="M3044">
        <v>1</v>
      </c>
      <c r="N3044">
        <v>4</v>
      </c>
      <c r="O3044">
        <v>0</v>
      </c>
      <c r="P3044">
        <v>0</v>
      </c>
      <c r="Q3044">
        <v>0</v>
      </c>
      <c r="R3044">
        <v>0</v>
      </c>
      <c r="S3044">
        <v>58</v>
      </c>
      <c r="T3044">
        <v>44</v>
      </c>
      <c r="U3044" s="5">
        <f>IF(Merge1[[#This Row],[team_defense_snaps]]=0, "", Merge1[[#This Row],[defense_snaps]] / Merge1[[#This Row],[team_defense_snaps]])</f>
        <v>0.52380952380952384</v>
      </c>
      <c r="V3044">
        <v>84</v>
      </c>
      <c r="W3044">
        <v>14</v>
      </c>
      <c r="X3044" s="5" t="s">
        <v>57</v>
      </c>
      <c r="Y3044">
        <v>2</v>
      </c>
      <c r="Z3044">
        <v>0</v>
      </c>
      <c r="AA3044" t="s">
        <v>25</v>
      </c>
      <c r="AB3044" t="s">
        <v>26</v>
      </c>
      <c r="AC3044" t="s">
        <v>27</v>
      </c>
      <c r="AD3044" t="s">
        <v>42</v>
      </c>
      <c r="AE3044" t="s">
        <v>25</v>
      </c>
      <c r="AF30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8.6206896551724144E-2</v>
      </c>
      <c r="AG3044" t="s">
        <v>942</v>
      </c>
      <c r="AH3044">
        <v>48</v>
      </c>
      <c r="AI3044" t="s">
        <v>939</v>
      </c>
      <c r="AJ3044">
        <v>6</v>
      </c>
      <c r="AK30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MIN(AJ3044/8, 1) +
  Merge1[[#This Row],[index_defensive_effort]],
  2
)</f>
        <v>1.24</v>
      </c>
    </row>
    <row r="3045" spans="1:37" x14ac:dyDescent="0.25">
      <c r="A3045" t="s">
        <v>818</v>
      </c>
      <c r="B3045" t="s">
        <v>819</v>
      </c>
      <c r="C3045">
        <v>24</v>
      </c>
      <c r="D3045" t="s">
        <v>56</v>
      </c>
      <c r="E3045">
        <v>71</v>
      </c>
      <c r="F3045">
        <v>192</v>
      </c>
      <c r="G3045" t="s">
        <v>339</v>
      </c>
      <c r="H3045">
        <v>2020</v>
      </c>
      <c r="I3045" t="s">
        <v>24</v>
      </c>
      <c r="J3045">
        <v>18</v>
      </c>
      <c r="K3045">
        <v>4</v>
      </c>
      <c r="L3045">
        <v>3</v>
      </c>
      <c r="M3045">
        <v>2</v>
      </c>
      <c r="N3045">
        <v>5</v>
      </c>
      <c r="O3045">
        <v>0</v>
      </c>
      <c r="P3045">
        <v>0</v>
      </c>
      <c r="Q3045">
        <v>0</v>
      </c>
      <c r="R3045">
        <v>0</v>
      </c>
      <c r="S3045">
        <v>83</v>
      </c>
      <c r="T3045">
        <v>75</v>
      </c>
      <c r="U3045" s="5">
        <f>IF(Merge1[[#This Row],[team_defense_snaps]]=0, "", Merge1[[#This Row],[defense_snaps]] / Merge1[[#This Row],[team_defense_snaps]])</f>
        <v>0.94936708860759489</v>
      </c>
      <c r="V3045">
        <v>79</v>
      </c>
      <c r="W3045">
        <v>8</v>
      </c>
      <c r="X3045" s="5" t="s">
        <v>314</v>
      </c>
      <c r="Y3045">
        <v>2</v>
      </c>
      <c r="Z3045">
        <v>0</v>
      </c>
      <c r="AA3045" t="s">
        <v>25</v>
      </c>
      <c r="AB3045" t="s">
        <v>26</v>
      </c>
      <c r="AC3045" t="s">
        <v>27</v>
      </c>
      <c r="AD3045" t="s">
        <v>42</v>
      </c>
      <c r="AE3045" t="s">
        <v>25</v>
      </c>
      <c r="AF30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7.8313253012048195E-2</v>
      </c>
      <c r="AG3045" t="s">
        <v>942</v>
      </c>
      <c r="AH3045">
        <v>48</v>
      </c>
      <c r="AI3045" t="s">
        <v>939</v>
      </c>
      <c r="AJ3045">
        <v>7</v>
      </c>
      <c r="AK30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MIN(AJ3045/8, 1) +
  Merge1[[#This Row],[index_defensive_effort]],
  2
)</f>
        <v>1.55</v>
      </c>
    </row>
    <row r="3046" spans="1:37" x14ac:dyDescent="0.25">
      <c r="A3046" t="s">
        <v>818</v>
      </c>
      <c r="B3046" t="s">
        <v>819</v>
      </c>
      <c r="C3046">
        <v>24</v>
      </c>
      <c r="D3046" t="s">
        <v>56</v>
      </c>
      <c r="E3046">
        <v>71</v>
      </c>
      <c r="F3046">
        <v>192</v>
      </c>
      <c r="G3046" t="s">
        <v>339</v>
      </c>
      <c r="H3046">
        <v>2020</v>
      </c>
      <c r="I3046" t="s">
        <v>24</v>
      </c>
      <c r="J3046">
        <v>19</v>
      </c>
      <c r="K3046">
        <v>6</v>
      </c>
      <c r="L3046">
        <v>1</v>
      </c>
      <c r="M3046">
        <v>1</v>
      </c>
      <c r="N3046">
        <v>2</v>
      </c>
      <c r="O3046">
        <v>0</v>
      </c>
      <c r="P3046">
        <v>0</v>
      </c>
      <c r="Q3046">
        <v>2</v>
      </c>
      <c r="R3046">
        <v>0</v>
      </c>
      <c r="S3046">
        <v>54</v>
      </c>
      <c r="T3046">
        <v>46</v>
      </c>
      <c r="U3046" s="5">
        <f>IF(Merge1[[#This Row],[team_defense_snaps]]=0, "", Merge1[[#This Row],[defense_snaps]] / Merge1[[#This Row],[team_defense_snaps]])</f>
        <v>0.60526315789473684</v>
      </c>
      <c r="V3046">
        <v>76</v>
      </c>
      <c r="W3046">
        <v>8</v>
      </c>
      <c r="X3046" s="5" t="s">
        <v>123</v>
      </c>
      <c r="Y3046">
        <v>2</v>
      </c>
      <c r="Z3046">
        <v>0</v>
      </c>
      <c r="AA3046" t="s">
        <v>25</v>
      </c>
      <c r="AB3046" t="s">
        <v>26</v>
      </c>
      <c r="AC3046" t="s">
        <v>27</v>
      </c>
      <c r="AD3046" t="s">
        <v>28</v>
      </c>
      <c r="AE3046" t="s">
        <v>25</v>
      </c>
      <c r="AF30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0.27777777777777779</v>
      </c>
      <c r="AG3046" t="s">
        <v>942</v>
      </c>
      <c r="AH3046">
        <v>47</v>
      </c>
      <c r="AI3046" t="s">
        <v>939</v>
      </c>
      <c r="AJ3046">
        <v>8</v>
      </c>
      <c r="AK30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MIN(AJ3046/8, 1) +
  Merge1[[#This Row],[index_defensive_effort]],
  2
)</f>
        <v>1.88</v>
      </c>
    </row>
    <row r="3047" spans="1:37" x14ac:dyDescent="0.25">
      <c r="A3047" t="s">
        <v>818</v>
      </c>
      <c r="B3047" t="s">
        <v>819</v>
      </c>
      <c r="C3047">
        <v>24</v>
      </c>
      <c r="D3047" t="s">
        <v>56</v>
      </c>
      <c r="E3047">
        <v>71</v>
      </c>
      <c r="F3047">
        <v>192</v>
      </c>
      <c r="G3047" t="s">
        <v>339</v>
      </c>
      <c r="H3047">
        <v>2020</v>
      </c>
      <c r="I3047" t="s">
        <v>24</v>
      </c>
      <c r="J3047">
        <v>20</v>
      </c>
      <c r="K3047">
        <v>3</v>
      </c>
      <c r="L3047">
        <v>2</v>
      </c>
      <c r="M3047">
        <v>0</v>
      </c>
      <c r="N3047">
        <v>2</v>
      </c>
      <c r="O3047">
        <v>0</v>
      </c>
      <c r="P3047">
        <v>0</v>
      </c>
      <c r="Q3047">
        <v>0</v>
      </c>
      <c r="R3047">
        <v>0</v>
      </c>
      <c r="S3047">
        <v>67</v>
      </c>
      <c r="T3047">
        <v>59</v>
      </c>
      <c r="U3047" s="5">
        <f>IF(Merge1[[#This Row],[team_defense_snaps]]=0, "", Merge1[[#This Row],[defense_snaps]] / Merge1[[#This Row],[team_defense_snaps]])</f>
        <v>0.90769230769230769</v>
      </c>
      <c r="V3047">
        <v>65</v>
      </c>
      <c r="W3047">
        <v>8</v>
      </c>
      <c r="X3047" s="5" t="s">
        <v>261</v>
      </c>
      <c r="Y3047">
        <v>2</v>
      </c>
      <c r="Z3047">
        <v>0</v>
      </c>
      <c r="AA3047" t="s">
        <v>25</v>
      </c>
      <c r="AB3047" t="s">
        <v>26</v>
      </c>
      <c r="AC3047" t="s">
        <v>27</v>
      </c>
      <c r="AD3047" t="s">
        <v>42</v>
      </c>
      <c r="AE3047" t="s">
        <v>25</v>
      </c>
      <c r="AF30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5.9701492537313432E-2</v>
      </c>
      <c r="AG3047" t="s">
        <v>942</v>
      </c>
      <c r="AH3047">
        <v>62</v>
      </c>
      <c r="AI3047" t="s">
        <v>939</v>
      </c>
      <c r="AJ3047">
        <v>9</v>
      </c>
      <c r="AK30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MIN(AJ3047/8, 1) +
  Merge1[[#This Row],[index_defensive_effort]],
  2
)</f>
        <v>1.66</v>
      </c>
    </row>
    <row r="3048" spans="1:37" x14ac:dyDescent="0.25">
      <c r="A3048" t="s">
        <v>828</v>
      </c>
      <c r="B3048" t="s">
        <v>829</v>
      </c>
      <c r="C3048">
        <v>24</v>
      </c>
      <c r="D3048" t="s">
        <v>22</v>
      </c>
      <c r="E3048">
        <v>74</v>
      </c>
      <c r="F3048">
        <v>200</v>
      </c>
      <c r="G3048" t="s">
        <v>144</v>
      </c>
      <c r="H3048">
        <v>2020</v>
      </c>
      <c r="I3048" t="s">
        <v>33</v>
      </c>
      <c r="J3048">
        <v>1</v>
      </c>
      <c r="K3048">
        <v>1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26</v>
      </c>
      <c r="T3048">
        <v>2</v>
      </c>
      <c r="U3048" s="5">
        <f>IF(Merge1[[#This Row],[team_defense_snaps]]=0, "", Merge1[[#This Row],[defense_snaps]] / Merge1[[#This Row],[team_defense_snaps]])</f>
        <v>0.02</v>
      </c>
      <c r="V3048">
        <v>100</v>
      </c>
      <c r="W3048">
        <v>24</v>
      </c>
      <c r="X3048" s="5" t="s">
        <v>90</v>
      </c>
      <c r="Y3048">
        <v>2</v>
      </c>
      <c r="Z3048">
        <v>0</v>
      </c>
      <c r="AA3048" t="s">
        <v>25</v>
      </c>
      <c r="AB3048" t="s">
        <v>26</v>
      </c>
      <c r="AC3048" t="s">
        <v>27</v>
      </c>
      <c r="AD3048" t="s">
        <v>28</v>
      </c>
      <c r="AE3048" t="s">
        <v>25</v>
      </c>
      <c r="AF30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3.8461538461538464E-2</v>
      </c>
      <c r="AG3048" t="s">
        <v>941</v>
      </c>
      <c r="AH3048">
        <v>69</v>
      </c>
      <c r="AI3048" t="s">
        <v>939</v>
      </c>
      <c r="AJ3048">
        <v>1</v>
      </c>
      <c r="AK30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MIN(AJ3048/8, 1) +
  Merge1[[#This Row],[index_defensive_effort]],
  2
)</f>
        <v>0.56000000000000005</v>
      </c>
    </row>
    <row r="3049" spans="1:37" x14ac:dyDescent="0.25">
      <c r="A3049" t="s">
        <v>828</v>
      </c>
      <c r="B3049" t="s">
        <v>829</v>
      </c>
      <c r="C3049">
        <v>24</v>
      </c>
      <c r="D3049" t="s">
        <v>22</v>
      </c>
      <c r="E3049">
        <v>74</v>
      </c>
      <c r="F3049">
        <v>200</v>
      </c>
      <c r="G3049" t="s">
        <v>144</v>
      </c>
      <c r="H3049">
        <v>2020</v>
      </c>
      <c r="I3049" t="s">
        <v>33</v>
      </c>
      <c r="J3049">
        <v>2</v>
      </c>
      <c r="K3049">
        <v>2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34</v>
      </c>
      <c r="T3049">
        <v>13</v>
      </c>
      <c r="U3049" s="5">
        <f>IF(Merge1[[#This Row],[team_defense_snaps]]=0, "", Merge1[[#This Row],[defense_snaps]] / Merge1[[#This Row],[team_defense_snaps]])</f>
        <v>0.19402985074626866</v>
      </c>
      <c r="V3049">
        <v>67</v>
      </c>
      <c r="W3049">
        <v>21</v>
      </c>
      <c r="X3049" s="5" t="s">
        <v>101</v>
      </c>
      <c r="Y3049">
        <v>2</v>
      </c>
      <c r="Z3049">
        <v>0</v>
      </c>
      <c r="AA3049" t="s">
        <v>25</v>
      </c>
      <c r="AB3049" t="s">
        <v>26</v>
      </c>
      <c r="AC3049" t="s">
        <v>27</v>
      </c>
      <c r="AD3049" t="s">
        <v>28</v>
      </c>
      <c r="AE3049" t="s">
        <v>25</v>
      </c>
      <c r="AF30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AG3049" t="s">
        <v>941</v>
      </c>
      <c r="AH3049">
        <v>58.5</v>
      </c>
      <c r="AI3049" t="s">
        <v>939</v>
      </c>
      <c r="AJ3049">
        <v>2</v>
      </c>
      <c r="AK30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MIN(AJ3049/8, 1) +
  Merge1[[#This Row],[index_defensive_effort]],
  2
)</f>
        <v>0.71</v>
      </c>
    </row>
    <row r="3050" spans="1:37" x14ac:dyDescent="0.25">
      <c r="A3050" t="s">
        <v>828</v>
      </c>
      <c r="B3050" t="s">
        <v>829</v>
      </c>
      <c r="C3050">
        <v>24</v>
      </c>
      <c r="D3050" t="s">
        <v>22</v>
      </c>
      <c r="E3050">
        <v>74</v>
      </c>
      <c r="F3050">
        <v>200</v>
      </c>
      <c r="G3050" t="s">
        <v>144</v>
      </c>
      <c r="H3050">
        <v>2020</v>
      </c>
      <c r="I3050" t="s">
        <v>33</v>
      </c>
      <c r="J3050">
        <v>3</v>
      </c>
      <c r="K3050">
        <v>0</v>
      </c>
      <c r="L3050">
        <v>1</v>
      </c>
      <c r="M3050">
        <v>1</v>
      </c>
      <c r="N3050">
        <v>2</v>
      </c>
      <c r="O3050">
        <v>0</v>
      </c>
      <c r="P3050">
        <v>1</v>
      </c>
      <c r="Q3050">
        <v>0</v>
      </c>
      <c r="R3050">
        <v>0</v>
      </c>
      <c r="S3050">
        <v>23</v>
      </c>
      <c r="T3050">
        <v>7</v>
      </c>
      <c r="U3050" s="5">
        <f>IF(Merge1[[#This Row],[team_defense_snaps]]=0, "", Merge1[[#This Row],[defense_snaps]] / Merge1[[#This Row],[team_defense_snaps]])</f>
        <v>0.12962962962962962</v>
      </c>
      <c r="V3050">
        <v>54</v>
      </c>
      <c r="W3050">
        <v>16</v>
      </c>
      <c r="X3050" s="5" t="s">
        <v>80</v>
      </c>
      <c r="Y3050">
        <v>2</v>
      </c>
      <c r="Z3050">
        <v>0</v>
      </c>
      <c r="AA3050" t="s">
        <v>25</v>
      </c>
      <c r="AB3050" t="s">
        <v>26</v>
      </c>
      <c r="AC3050" t="s">
        <v>27</v>
      </c>
      <c r="AD3050" t="s">
        <v>28</v>
      </c>
      <c r="AE3050" t="s">
        <v>25</v>
      </c>
      <c r="AF30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0.13043478260869565</v>
      </c>
      <c r="AG3050" t="s">
        <v>941</v>
      </c>
      <c r="AH3050">
        <v>76.5</v>
      </c>
      <c r="AI3050" t="s">
        <v>939</v>
      </c>
      <c r="AJ3050">
        <v>3</v>
      </c>
      <c r="AK30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MIN(AJ3050/8, 1) +
  Merge1[[#This Row],[index_defensive_effort]],
  2
)</f>
        <v>0.91</v>
      </c>
    </row>
    <row r="3051" spans="1:37" x14ac:dyDescent="0.25">
      <c r="A3051" t="s">
        <v>828</v>
      </c>
      <c r="B3051" t="s">
        <v>829</v>
      </c>
      <c r="C3051">
        <v>24</v>
      </c>
      <c r="D3051" t="s">
        <v>22</v>
      </c>
      <c r="E3051">
        <v>74</v>
      </c>
      <c r="F3051">
        <v>200</v>
      </c>
      <c r="G3051" t="s">
        <v>144</v>
      </c>
      <c r="H3051">
        <v>2020</v>
      </c>
      <c r="I3051" t="s">
        <v>33</v>
      </c>
      <c r="J3051">
        <v>7</v>
      </c>
      <c r="K3051">
        <v>5</v>
      </c>
      <c r="L3051">
        <v>1</v>
      </c>
      <c r="M3051">
        <v>0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55</v>
      </c>
      <c r="T3051">
        <v>52</v>
      </c>
      <c r="U3051" s="5">
        <f>IF(Merge1[[#This Row],[team_defense_snaps]]=0, "", Merge1[[#This Row],[defense_snaps]] / Merge1[[#This Row],[team_defense_snaps]])</f>
        <v>1</v>
      </c>
      <c r="V3051">
        <v>52</v>
      </c>
      <c r="W3051">
        <v>3</v>
      </c>
      <c r="X3051" s="5" t="s">
        <v>212</v>
      </c>
      <c r="Y3051">
        <v>2</v>
      </c>
      <c r="Z3051">
        <v>0</v>
      </c>
      <c r="AA3051" t="s">
        <v>25</v>
      </c>
      <c r="AB3051" t="s">
        <v>26</v>
      </c>
      <c r="AC3051" t="s">
        <v>27</v>
      </c>
      <c r="AD3051" t="s">
        <v>42</v>
      </c>
      <c r="AE3051" t="s">
        <v>25</v>
      </c>
      <c r="AF30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3051" t="s">
        <v>941</v>
      </c>
      <c r="AH3051">
        <v>75</v>
      </c>
      <c r="AI3051" t="s">
        <v>939</v>
      </c>
      <c r="AJ3051">
        <v>1</v>
      </c>
      <c r="AK30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MIN(AJ3051/8, 1) +
  Merge1[[#This Row],[index_defensive_effort]],
  2
)</f>
        <v>0.63</v>
      </c>
    </row>
    <row r="3052" spans="1:37" x14ac:dyDescent="0.25">
      <c r="A3052" t="s">
        <v>828</v>
      </c>
      <c r="B3052" t="s">
        <v>829</v>
      </c>
      <c r="C3052">
        <v>24</v>
      </c>
      <c r="D3052" t="s">
        <v>22</v>
      </c>
      <c r="E3052">
        <v>74</v>
      </c>
      <c r="F3052">
        <v>200</v>
      </c>
      <c r="G3052" t="s">
        <v>144</v>
      </c>
      <c r="H3052">
        <v>2020</v>
      </c>
      <c r="I3052" t="s">
        <v>33</v>
      </c>
      <c r="J3052">
        <v>10</v>
      </c>
      <c r="K3052">
        <v>4</v>
      </c>
      <c r="L3052">
        <v>2</v>
      </c>
      <c r="M3052">
        <v>0</v>
      </c>
      <c r="N3052">
        <v>2</v>
      </c>
      <c r="O3052">
        <v>0</v>
      </c>
      <c r="P3052">
        <v>0</v>
      </c>
      <c r="Q3052">
        <v>0</v>
      </c>
      <c r="R3052">
        <v>2</v>
      </c>
      <c r="S3052">
        <v>69</v>
      </c>
      <c r="T3052">
        <v>59</v>
      </c>
      <c r="U3052" s="5">
        <f>IF(Merge1[[#This Row],[team_defense_snaps]]=0, "", Merge1[[#This Row],[defense_snaps]] / Merge1[[#This Row],[team_defense_snaps]])</f>
        <v>1</v>
      </c>
      <c r="V3052">
        <v>59</v>
      </c>
      <c r="W3052">
        <v>10</v>
      </c>
      <c r="X3052" s="5" t="s">
        <v>134</v>
      </c>
      <c r="Y3052">
        <v>2</v>
      </c>
      <c r="Z3052">
        <v>0</v>
      </c>
      <c r="AA3052" t="s">
        <v>25</v>
      </c>
      <c r="AB3052" t="s">
        <v>26</v>
      </c>
      <c r="AC3052" t="s">
        <v>27</v>
      </c>
      <c r="AD3052" t="s">
        <v>42</v>
      </c>
      <c r="AE3052" t="s">
        <v>25</v>
      </c>
      <c r="AF30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0.13043478260869565</v>
      </c>
      <c r="AG3052" t="s">
        <v>941</v>
      </c>
      <c r="AH3052">
        <v>78</v>
      </c>
      <c r="AI3052" t="s">
        <v>939</v>
      </c>
      <c r="AJ3052">
        <v>1</v>
      </c>
      <c r="AK30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MIN(AJ3052/8, 1) +
  Merge1[[#This Row],[index_defensive_effort]],
  2
)</f>
        <v>0.66</v>
      </c>
    </row>
    <row r="3053" spans="1:37" x14ac:dyDescent="0.25">
      <c r="A3053" t="s">
        <v>828</v>
      </c>
      <c r="B3053" t="s">
        <v>829</v>
      </c>
      <c r="C3053">
        <v>24</v>
      </c>
      <c r="D3053" t="s">
        <v>22</v>
      </c>
      <c r="E3053">
        <v>74</v>
      </c>
      <c r="F3053">
        <v>200</v>
      </c>
      <c r="G3053" t="s">
        <v>144</v>
      </c>
      <c r="H3053">
        <v>2020</v>
      </c>
      <c r="I3053" t="s">
        <v>33</v>
      </c>
      <c r="J3053">
        <v>12</v>
      </c>
      <c r="K3053">
        <v>1</v>
      </c>
      <c r="L3053">
        <v>2</v>
      </c>
      <c r="M3053">
        <v>0</v>
      </c>
      <c r="N3053">
        <v>2</v>
      </c>
      <c r="O3053">
        <v>0</v>
      </c>
      <c r="P3053">
        <v>0</v>
      </c>
      <c r="Q3053">
        <v>0</v>
      </c>
      <c r="R3053">
        <v>0</v>
      </c>
      <c r="S3053">
        <v>69</v>
      </c>
      <c r="T3053">
        <v>62</v>
      </c>
      <c r="U3053" s="5">
        <f>IF(Merge1[[#This Row],[team_defense_snaps]]=0, "", Merge1[[#This Row],[defense_snaps]] / Merge1[[#This Row],[team_defense_snaps]])</f>
        <v>1</v>
      </c>
      <c r="V3053">
        <v>62</v>
      </c>
      <c r="W3053">
        <v>7</v>
      </c>
      <c r="X3053" s="5" t="s">
        <v>58</v>
      </c>
      <c r="Y3053">
        <v>2</v>
      </c>
      <c r="Z3053">
        <v>0</v>
      </c>
      <c r="AA3053" t="s">
        <v>25</v>
      </c>
      <c r="AB3053" t="s">
        <v>26</v>
      </c>
      <c r="AC3053" t="s">
        <v>27</v>
      </c>
      <c r="AD3053" t="s">
        <v>42</v>
      </c>
      <c r="AE3053" t="s">
        <v>25</v>
      </c>
      <c r="AF30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2.8985507246376812E-2</v>
      </c>
      <c r="AG3053" t="s">
        <v>941</v>
      </c>
      <c r="AH3053">
        <v>57</v>
      </c>
      <c r="AI3053" t="s">
        <v>939</v>
      </c>
      <c r="AJ3053">
        <v>1</v>
      </c>
      <c r="AK30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MIN(AJ3053/8, 1) +
  Merge1[[#This Row],[index_defensive_effort]],
  2
)</f>
        <v>0.55000000000000004</v>
      </c>
    </row>
    <row r="3054" spans="1:37" x14ac:dyDescent="0.25">
      <c r="A3054" t="s">
        <v>828</v>
      </c>
      <c r="B3054" t="s">
        <v>829</v>
      </c>
      <c r="C3054">
        <v>24</v>
      </c>
      <c r="D3054" t="s">
        <v>22</v>
      </c>
      <c r="E3054">
        <v>74</v>
      </c>
      <c r="F3054">
        <v>200</v>
      </c>
      <c r="G3054" t="s">
        <v>144</v>
      </c>
      <c r="H3054">
        <v>2020</v>
      </c>
      <c r="I3054" t="s">
        <v>33</v>
      </c>
      <c r="J3054">
        <v>13</v>
      </c>
      <c r="K3054">
        <v>3</v>
      </c>
      <c r="L3054">
        <v>3</v>
      </c>
      <c r="M3054">
        <v>1</v>
      </c>
      <c r="N3054">
        <v>4</v>
      </c>
      <c r="O3054">
        <v>0</v>
      </c>
      <c r="P3054">
        <v>0</v>
      </c>
      <c r="Q3054">
        <v>0</v>
      </c>
      <c r="R3054">
        <v>0</v>
      </c>
      <c r="S3054">
        <v>78</v>
      </c>
      <c r="T3054">
        <v>73</v>
      </c>
      <c r="U3054" s="5">
        <f>IF(Merge1[[#This Row],[team_defense_snaps]]=0, "", Merge1[[#This Row],[defense_snaps]] / Merge1[[#This Row],[team_defense_snaps]])</f>
        <v>1</v>
      </c>
      <c r="V3054">
        <v>73</v>
      </c>
      <c r="W3054">
        <v>5</v>
      </c>
      <c r="X3054" s="5" t="s">
        <v>293</v>
      </c>
      <c r="Y3054">
        <v>2</v>
      </c>
      <c r="Z3054">
        <v>0</v>
      </c>
      <c r="AA3054" t="s">
        <v>25</v>
      </c>
      <c r="AB3054" t="s">
        <v>26</v>
      </c>
      <c r="AC3054" t="s">
        <v>27</v>
      </c>
      <c r="AD3054" t="s">
        <v>42</v>
      </c>
      <c r="AE3054" t="s">
        <v>25</v>
      </c>
      <c r="AF30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6.4102564102564097E-2</v>
      </c>
      <c r="AG3054" t="s">
        <v>941</v>
      </c>
      <c r="AH3054">
        <v>64.5</v>
      </c>
      <c r="AI3054" t="s">
        <v>939</v>
      </c>
      <c r="AJ3054">
        <v>2</v>
      </c>
      <c r="AK30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MIN(AJ3054/8, 1) +
  Merge1[[#This Row],[index_defensive_effort]],
  2
)</f>
        <v>0.71</v>
      </c>
    </row>
    <row r="3055" spans="1:37" x14ac:dyDescent="0.25">
      <c r="A3055" t="s">
        <v>828</v>
      </c>
      <c r="B3055" t="s">
        <v>829</v>
      </c>
      <c r="C3055">
        <v>24</v>
      </c>
      <c r="D3055" t="s">
        <v>22</v>
      </c>
      <c r="E3055">
        <v>74</v>
      </c>
      <c r="F3055">
        <v>200</v>
      </c>
      <c r="G3055" t="s">
        <v>144</v>
      </c>
      <c r="H3055">
        <v>2020</v>
      </c>
      <c r="I3055" t="s">
        <v>33</v>
      </c>
      <c r="J3055">
        <v>14</v>
      </c>
      <c r="K3055">
        <v>3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68</v>
      </c>
      <c r="T3055">
        <v>63</v>
      </c>
      <c r="U3055" s="5">
        <f>IF(Merge1[[#This Row],[team_defense_snaps]]=0, "", Merge1[[#This Row],[defense_snaps]] / Merge1[[#This Row],[team_defense_snaps]])</f>
        <v>0.94029850746268662</v>
      </c>
      <c r="V3055">
        <v>67</v>
      </c>
      <c r="W3055">
        <v>5</v>
      </c>
      <c r="X3055" s="5" t="s">
        <v>168</v>
      </c>
      <c r="Y3055">
        <v>2</v>
      </c>
      <c r="Z3055">
        <v>0</v>
      </c>
      <c r="AA3055" t="s">
        <v>25</v>
      </c>
      <c r="AB3055" t="s">
        <v>26</v>
      </c>
      <c r="AC3055" t="s">
        <v>27</v>
      </c>
      <c r="AD3055" t="s">
        <v>42</v>
      </c>
      <c r="AE3055" t="s">
        <v>25</v>
      </c>
      <c r="AF30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4.4117647058823532E-2</v>
      </c>
      <c r="AG3055" t="s">
        <v>941</v>
      </c>
      <c r="AH3055">
        <v>54</v>
      </c>
      <c r="AI3055" t="s">
        <v>939</v>
      </c>
      <c r="AJ3055">
        <v>3</v>
      </c>
      <c r="AK30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MIN(AJ3055/8, 1) +
  Merge1[[#This Row],[index_defensive_effort]],
  2
)</f>
        <v>0.82</v>
      </c>
    </row>
    <row r="3056" spans="1:37" x14ac:dyDescent="0.25">
      <c r="A3056" t="s">
        <v>828</v>
      </c>
      <c r="B3056" t="s">
        <v>829</v>
      </c>
      <c r="C3056">
        <v>24</v>
      </c>
      <c r="D3056" t="s">
        <v>22</v>
      </c>
      <c r="E3056">
        <v>74</v>
      </c>
      <c r="F3056">
        <v>200</v>
      </c>
      <c r="G3056" t="s">
        <v>144</v>
      </c>
      <c r="H3056">
        <v>2020</v>
      </c>
      <c r="I3056" t="s">
        <v>33</v>
      </c>
      <c r="J3056">
        <v>15</v>
      </c>
      <c r="K3056">
        <v>5</v>
      </c>
      <c r="L3056">
        <v>2</v>
      </c>
      <c r="M3056">
        <v>0</v>
      </c>
      <c r="N3056">
        <v>2</v>
      </c>
      <c r="O3056">
        <v>0</v>
      </c>
      <c r="P3056">
        <v>0</v>
      </c>
      <c r="Q3056">
        <v>0</v>
      </c>
      <c r="R3056">
        <v>0</v>
      </c>
      <c r="S3056">
        <v>69</v>
      </c>
      <c r="T3056">
        <v>57</v>
      </c>
      <c r="U3056" s="5">
        <f>IF(Merge1[[#This Row],[team_defense_snaps]]=0, "", Merge1[[#This Row],[defense_snaps]] / Merge1[[#This Row],[team_defense_snaps]])</f>
        <v>0.98275862068965514</v>
      </c>
      <c r="V3056">
        <v>58</v>
      </c>
      <c r="W3056">
        <v>12</v>
      </c>
      <c r="X3056" s="5" t="s">
        <v>108</v>
      </c>
      <c r="Y3056">
        <v>2</v>
      </c>
      <c r="Z3056">
        <v>0</v>
      </c>
      <c r="AA3056" t="s">
        <v>25</v>
      </c>
      <c r="AB3056" t="s">
        <v>26</v>
      </c>
      <c r="AC3056" t="s">
        <v>27</v>
      </c>
      <c r="AD3056" t="s">
        <v>42</v>
      </c>
      <c r="AE3056" t="s">
        <v>25</v>
      </c>
      <c r="AF30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8.6956521739130432E-2</v>
      </c>
      <c r="AG3056" t="s">
        <v>941</v>
      </c>
      <c r="AH3056">
        <v>55.5</v>
      </c>
      <c r="AI3056" t="s">
        <v>939</v>
      </c>
      <c r="AJ3056">
        <v>4</v>
      </c>
      <c r="AK30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MIN(AJ3056/8, 1) +
  Merge1[[#This Row],[index_defensive_effort]],
  2
)</f>
        <v>0.99</v>
      </c>
    </row>
    <row r="3057" spans="1:37" x14ac:dyDescent="0.25">
      <c r="A3057" t="s">
        <v>828</v>
      </c>
      <c r="B3057" t="s">
        <v>829</v>
      </c>
      <c r="C3057">
        <v>24</v>
      </c>
      <c r="D3057" t="s">
        <v>22</v>
      </c>
      <c r="E3057">
        <v>74</v>
      </c>
      <c r="F3057">
        <v>200</v>
      </c>
      <c r="G3057" t="s">
        <v>144</v>
      </c>
      <c r="H3057">
        <v>2020</v>
      </c>
      <c r="I3057" t="s">
        <v>33</v>
      </c>
      <c r="J3057">
        <v>16</v>
      </c>
      <c r="K3057">
        <v>7</v>
      </c>
      <c r="L3057">
        <v>4</v>
      </c>
      <c r="M3057">
        <v>0</v>
      </c>
      <c r="N3057">
        <v>4</v>
      </c>
      <c r="O3057">
        <v>0</v>
      </c>
      <c r="P3057">
        <v>0</v>
      </c>
      <c r="Q3057">
        <v>0</v>
      </c>
      <c r="R3057">
        <v>1</v>
      </c>
      <c r="S3057">
        <v>87</v>
      </c>
      <c r="T3057">
        <v>82</v>
      </c>
      <c r="U3057" s="5">
        <f>IF(Merge1[[#This Row],[team_defense_snaps]]=0, "", Merge1[[#This Row],[defense_snaps]] / Merge1[[#This Row],[team_defense_snaps]])</f>
        <v>1</v>
      </c>
      <c r="V3057">
        <v>82</v>
      </c>
      <c r="W3057">
        <v>5</v>
      </c>
      <c r="X3057" s="5" t="s">
        <v>293</v>
      </c>
      <c r="Y3057">
        <v>2</v>
      </c>
      <c r="Z3057">
        <v>0</v>
      </c>
      <c r="AA3057" t="s">
        <v>25</v>
      </c>
      <c r="AB3057" t="s">
        <v>36</v>
      </c>
      <c r="AC3057" t="s">
        <v>247</v>
      </c>
      <c r="AD3057" t="s">
        <v>42</v>
      </c>
      <c r="AE3057" t="s">
        <v>25</v>
      </c>
      <c r="AF30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0.12643678160919541</v>
      </c>
      <c r="AG3057" t="s">
        <v>941</v>
      </c>
      <c r="AH3057">
        <v>60</v>
      </c>
      <c r="AI3057" t="s">
        <v>939</v>
      </c>
      <c r="AJ3057">
        <v>5</v>
      </c>
      <c r="AK30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MIN(AJ3057/8, 1) +
  Merge1[[#This Row],[index_defensive_effort]],
  2
)</f>
        <v>1.1499999999999999</v>
      </c>
    </row>
    <row r="3058" spans="1:37" x14ac:dyDescent="0.25">
      <c r="A3058" t="s">
        <v>828</v>
      </c>
      <c r="B3058" t="s">
        <v>829</v>
      </c>
      <c r="C3058">
        <v>24</v>
      </c>
      <c r="D3058" t="s">
        <v>22</v>
      </c>
      <c r="E3058">
        <v>74</v>
      </c>
      <c r="F3058">
        <v>200</v>
      </c>
      <c r="G3058" t="s">
        <v>144</v>
      </c>
      <c r="H3058">
        <v>2020</v>
      </c>
      <c r="I3058" t="s">
        <v>33</v>
      </c>
      <c r="J3058">
        <v>17</v>
      </c>
      <c r="K3058">
        <v>4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65</v>
      </c>
      <c r="T3058">
        <v>65</v>
      </c>
      <c r="U3058" s="5">
        <f>IF(Merge1[[#This Row],[team_defense_snaps]]=0, "", Merge1[[#This Row],[defense_snaps]] / Merge1[[#This Row],[team_defense_snaps]])</f>
        <v>1</v>
      </c>
      <c r="V3058">
        <v>65</v>
      </c>
      <c r="W3058">
        <v>0</v>
      </c>
      <c r="X3058" s="5" t="s">
        <v>29</v>
      </c>
      <c r="Y3058">
        <v>2</v>
      </c>
      <c r="Z3058">
        <v>0</v>
      </c>
      <c r="AA3058" t="s">
        <v>25</v>
      </c>
      <c r="AB3058" t="s">
        <v>36</v>
      </c>
      <c r="AC3058" t="s">
        <v>63</v>
      </c>
      <c r="AD3058" t="s">
        <v>42</v>
      </c>
      <c r="AE3058" t="s">
        <v>25</v>
      </c>
      <c r="AF30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6.1538461538461542E-2</v>
      </c>
      <c r="AG3058" t="s">
        <v>941</v>
      </c>
      <c r="AH3058">
        <v>61.5</v>
      </c>
      <c r="AI3058" t="s">
        <v>939</v>
      </c>
      <c r="AJ3058">
        <v>6</v>
      </c>
      <c r="AK30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MIN(AJ3058/8, 1) +
  Merge1[[#This Row],[index_defensive_effort]],
  2
)</f>
        <v>1.21</v>
      </c>
    </row>
    <row r="3059" spans="1:37" x14ac:dyDescent="0.25">
      <c r="A3059" t="s">
        <v>810</v>
      </c>
      <c r="B3059" t="s">
        <v>811</v>
      </c>
      <c r="C3059">
        <v>30</v>
      </c>
      <c r="D3059" t="s">
        <v>22</v>
      </c>
      <c r="E3059">
        <v>73</v>
      </c>
      <c r="F3059">
        <v>212</v>
      </c>
      <c r="G3059" t="s">
        <v>228</v>
      </c>
      <c r="H3059">
        <v>2020</v>
      </c>
      <c r="I3059" t="s">
        <v>33</v>
      </c>
      <c r="J3059">
        <v>1</v>
      </c>
      <c r="K3059">
        <v>5</v>
      </c>
      <c r="L3059">
        <v>2</v>
      </c>
      <c r="M3059">
        <v>1</v>
      </c>
      <c r="N3059">
        <v>3</v>
      </c>
      <c r="O3059">
        <v>0</v>
      </c>
      <c r="P3059">
        <v>1</v>
      </c>
      <c r="Q3059">
        <v>0</v>
      </c>
      <c r="R3059">
        <v>0</v>
      </c>
      <c r="S3059">
        <v>78</v>
      </c>
      <c r="T3059">
        <v>78</v>
      </c>
      <c r="U3059" s="5">
        <f>IF(Merge1[[#This Row],[team_defense_snaps]]=0, "", Merge1[[#This Row],[defense_snaps]] / Merge1[[#This Row],[team_defense_snaps]])</f>
        <v>1</v>
      </c>
      <c r="V3059">
        <v>78</v>
      </c>
      <c r="W3059">
        <v>0</v>
      </c>
      <c r="X3059" s="5" t="s">
        <v>29</v>
      </c>
      <c r="Y3059">
        <v>8</v>
      </c>
      <c r="Z3059">
        <v>0</v>
      </c>
      <c r="AA3059" t="s">
        <v>25</v>
      </c>
      <c r="AB3059" t="s">
        <v>26</v>
      </c>
      <c r="AC3059" t="s">
        <v>27</v>
      </c>
      <c r="AD3059" t="s">
        <v>204</v>
      </c>
      <c r="AE3059" t="s">
        <v>25</v>
      </c>
      <c r="AF30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0.10897435897435898</v>
      </c>
      <c r="AG3059" t="s">
        <v>941</v>
      </c>
      <c r="AH3059">
        <v>56.5</v>
      </c>
      <c r="AI3059" t="s">
        <v>939</v>
      </c>
      <c r="AJ3059">
        <v>1</v>
      </c>
      <c r="AK30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MIN(AJ3059/8, 1) +
  Merge1[[#This Row],[index_defensive_effort]],
  2
)</f>
        <v>0.83</v>
      </c>
    </row>
    <row r="3060" spans="1:37" x14ac:dyDescent="0.25">
      <c r="A3060" t="s">
        <v>810</v>
      </c>
      <c r="B3060" t="s">
        <v>811</v>
      </c>
      <c r="C3060">
        <v>30</v>
      </c>
      <c r="D3060" t="s">
        <v>22</v>
      </c>
      <c r="E3060">
        <v>73</v>
      </c>
      <c r="F3060">
        <v>212</v>
      </c>
      <c r="G3060" t="s">
        <v>228</v>
      </c>
      <c r="H3060">
        <v>2020</v>
      </c>
      <c r="I3060" t="s">
        <v>33</v>
      </c>
      <c r="J3060">
        <v>2</v>
      </c>
      <c r="K3060">
        <v>2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65</v>
      </c>
      <c r="T3060">
        <v>65</v>
      </c>
      <c r="U3060" s="5">
        <f>IF(Merge1[[#This Row],[team_defense_snaps]]=0, "", Merge1[[#This Row],[defense_snaps]] / Merge1[[#This Row],[team_defense_snaps]])</f>
        <v>0.98484848484848486</v>
      </c>
      <c r="V3060">
        <v>66</v>
      </c>
      <c r="W3060">
        <v>0</v>
      </c>
      <c r="X3060" s="5" t="s">
        <v>29</v>
      </c>
      <c r="Y3060">
        <v>8</v>
      </c>
      <c r="Z3060">
        <v>0</v>
      </c>
      <c r="AA3060" t="s">
        <v>25</v>
      </c>
      <c r="AB3060" t="s">
        <v>26</v>
      </c>
      <c r="AC3060" t="s">
        <v>27</v>
      </c>
      <c r="AD3060" t="s">
        <v>204</v>
      </c>
      <c r="AE3060" t="s">
        <v>25</v>
      </c>
      <c r="AF30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3.0769230769230771E-2</v>
      </c>
      <c r="AG3060" t="s">
        <v>941</v>
      </c>
      <c r="AH3060">
        <v>67</v>
      </c>
      <c r="AI3060" t="s">
        <v>939</v>
      </c>
      <c r="AJ3060">
        <v>2</v>
      </c>
      <c r="AK30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MIN(AJ3060/8, 1) +
  Merge1[[#This Row],[index_defensive_effort]],
  2
)</f>
        <v>0.88</v>
      </c>
    </row>
    <row r="3061" spans="1:37" x14ac:dyDescent="0.25">
      <c r="A3061" t="s">
        <v>810</v>
      </c>
      <c r="B3061" t="s">
        <v>811</v>
      </c>
      <c r="C3061">
        <v>30</v>
      </c>
      <c r="D3061" t="s">
        <v>22</v>
      </c>
      <c r="E3061">
        <v>73</v>
      </c>
      <c r="F3061">
        <v>212</v>
      </c>
      <c r="G3061" t="s">
        <v>228</v>
      </c>
      <c r="H3061">
        <v>2020</v>
      </c>
      <c r="I3061" t="s">
        <v>33</v>
      </c>
      <c r="J3061">
        <v>3</v>
      </c>
      <c r="K3061">
        <v>3</v>
      </c>
      <c r="L3061">
        <v>3</v>
      </c>
      <c r="M3061">
        <v>1</v>
      </c>
      <c r="N3061">
        <v>4</v>
      </c>
      <c r="O3061">
        <v>0</v>
      </c>
      <c r="P3061">
        <v>0</v>
      </c>
      <c r="Q3061">
        <v>2</v>
      </c>
      <c r="R3061">
        <v>0</v>
      </c>
      <c r="S3061">
        <v>68</v>
      </c>
      <c r="T3061">
        <v>68</v>
      </c>
      <c r="U3061" s="5">
        <f>IF(Merge1[[#This Row],[team_defense_snaps]]=0, "", Merge1[[#This Row],[defense_snaps]] / Merge1[[#This Row],[team_defense_snaps]])</f>
        <v>1</v>
      </c>
      <c r="V3061">
        <v>68</v>
      </c>
      <c r="W3061">
        <v>0</v>
      </c>
      <c r="X3061" s="5" t="s">
        <v>29</v>
      </c>
      <c r="Y3061">
        <v>8</v>
      </c>
      <c r="Z3061">
        <v>0</v>
      </c>
      <c r="AA3061" t="s">
        <v>25</v>
      </c>
      <c r="AB3061" t="s">
        <v>26</v>
      </c>
      <c r="AC3061" t="s">
        <v>27</v>
      </c>
      <c r="AD3061" t="s">
        <v>204</v>
      </c>
      <c r="AE3061" t="s">
        <v>25</v>
      </c>
      <c r="AF30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0.19117647058823528</v>
      </c>
      <c r="AG3061" t="s">
        <v>941</v>
      </c>
      <c r="AH3061">
        <v>52</v>
      </c>
      <c r="AI3061" t="s">
        <v>939</v>
      </c>
      <c r="AJ3061">
        <v>3</v>
      </c>
      <c r="AK30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MIN(AJ3061/8, 1) +
  Merge1[[#This Row],[index_defensive_effort]],
  2
)</f>
        <v>1.17</v>
      </c>
    </row>
    <row r="3062" spans="1:37" x14ac:dyDescent="0.25">
      <c r="A3062" t="s">
        <v>810</v>
      </c>
      <c r="B3062" t="s">
        <v>811</v>
      </c>
      <c r="C3062">
        <v>30</v>
      </c>
      <c r="D3062" t="s">
        <v>22</v>
      </c>
      <c r="E3062">
        <v>73</v>
      </c>
      <c r="F3062">
        <v>212</v>
      </c>
      <c r="G3062" t="s">
        <v>228</v>
      </c>
      <c r="H3062">
        <v>2020</v>
      </c>
      <c r="I3062" t="s">
        <v>33</v>
      </c>
      <c r="J3062">
        <v>4</v>
      </c>
      <c r="K3062">
        <v>8</v>
      </c>
      <c r="L3062">
        <v>1</v>
      </c>
      <c r="M3062">
        <v>0</v>
      </c>
      <c r="N3062">
        <v>1</v>
      </c>
      <c r="O3062">
        <v>0</v>
      </c>
      <c r="P3062">
        <v>1</v>
      </c>
      <c r="Q3062">
        <v>0</v>
      </c>
      <c r="R3062">
        <v>0</v>
      </c>
      <c r="S3062">
        <v>72</v>
      </c>
      <c r="T3062">
        <v>72</v>
      </c>
      <c r="U3062" s="5">
        <f>IF(Merge1[[#This Row],[team_defense_snaps]]=0, "", Merge1[[#This Row],[defense_snaps]] / Merge1[[#This Row],[team_defense_snaps]])</f>
        <v>1</v>
      </c>
      <c r="V3062">
        <v>72</v>
      </c>
      <c r="W3062">
        <v>0</v>
      </c>
      <c r="X3062" s="5" t="s">
        <v>29</v>
      </c>
      <c r="Y3062">
        <v>8</v>
      </c>
      <c r="Z3062">
        <v>0</v>
      </c>
      <c r="AA3062" t="s">
        <v>25</v>
      </c>
      <c r="AB3062" t="s">
        <v>26</v>
      </c>
      <c r="AC3062" t="s">
        <v>27</v>
      </c>
      <c r="AD3062" t="s">
        <v>204</v>
      </c>
      <c r="AE3062" t="s">
        <v>25</v>
      </c>
      <c r="AF30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0.14583333333333334</v>
      </c>
      <c r="AG3062" t="s">
        <v>941</v>
      </c>
      <c r="AH3062">
        <v>70</v>
      </c>
      <c r="AI3062" t="s">
        <v>939</v>
      </c>
      <c r="AJ3062">
        <v>4</v>
      </c>
      <c r="AK30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MIN(AJ3062/8, 1) +
  Merge1[[#This Row],[index_defensive_effort]],
  2
)</f>
        <v>1.25</v>
      </c>
    </row>
    <row r="3063" spans="1:37" x14ac:dyDescent="0.25">
      <c r="A3063" t="s">
        <v>810</v>
      </c>
      <c r="B3063" t="s">
        <v>811</v>
      </c>
      <c r="C3063">
        <v>30</v>
      </c>
      <c r="D3063" t="s">
        <v>22</v>
      </c>
      <c r="E3063">
        <v>73</v>
      </c>
      <c r="F3063">
        <v>212</v>
      </c>
      <c r="G3063" t="s">
        <v>228</v>
      </c>
      <c r="H3063">
        <v>2020</v>
      </c>
      <c r="I3063" t="s">
        <v>33</v>
      </c>
      <c r="J3063">
        <v>5</v>
      </c>
      <c r="K3063">
        <v>4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71</v>
      </c>
      <c r="T3063">
        <v>71</v>
      </c>
      <c r="U3063" s="5">
        <f>IF(Merge1[[#This Row],[team_defense_snaps]]=0, "", Merge1[[#This Row],[defense_snaps]] / Merge1[[#This Row],[team_defense_snaps]])</f>
        <v>1</v>
      </c>
      <c r="V3063">
        <v>71</v>
      </c>
      <c r="W3063">
        <v>0</v>
      </c>
      <c r="X3063" s="5" t="s">
        <v>29</v>
      </c>
      <c r="Y3063">
        <v>8</v>
      </c>
      <c r="Z3063">
        <v>0</v>
      </c>
      <c r="AA3063" t="s">
        <v>25</v>
      </c>
      <c r="AB3063" t="s">
        <v>26</v>
      </c>
      <c r="AC3063" t="s">
        <v>27</v>
      </c>
      <c r="AD3063" t="s">
        <v>204</v>
      </c>
      <c r="AE3063" t="s">
        <v>25</v>
      </c>
      <c r="AF30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5.6338028169014086E-2</v>
      </c>
      <c r="AG3063" t="s">
        <v>941</v>
      </c>
      <c r="AH3063">
        <v>65.5</v>
      </c>
      <c r="AI3063" t="s">
        <v>939</v>
      </c>
      <c r="AJ3063">
        <v>5</v>
      </c>
      <c r="AK30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MIN(AJ3063/8, 1) +
  Merge1[[#This Row],[index_defensive_effort]],
  2
)</f>
        <v>1.28</v>
      </c>
    </row>
    <row r="3064" spans="1:37" x14ac:dyDescent="0.25">
      <c r="A3064" t="s">
        <v>810</v>
      </c>
      <c r="B3064" t="s">
        <v>811</v>
      </c>
      <c r="C3064">
        <v>30</v>
      </c>
      <c r="D3064" t="s">
        <v>22</v>
      </c>
      <c r="E3064">
        <v>73</v>
      </c>
      <c r="F3064">
        <v>212</v>
      </c>
      <c r="G3064" t="s">
        <v>228</v>
      </c>
      <c r="H3064">
        <v>2020</v>
      </c>
      <c r="I3064" t="s">
        <v>33</v>
      </c>
      <c r="J3064">
        <v>6</v>
      </c>
      <c r="K3064">
        <v>4</v>
      </c>
      <c r="L3064">
        <v>4</v>
      </c>
      <c r="M3064">
        <v>0</v>
      </c>
      <c r="N3064">
        <v>4</v>
      </c>
      <c r="O3064">
        <v>0</v>
      </c>
      <c r="P3064">
        <v>0</v>
      </c>
      <c r="Q3064">
        <v>2</v>
      </c>
      <c r="R3064">
        <v>0</v>
      </c>
      <c r="S3064">
        <v>68</v>
      </c>
      <c r="T3064">
        <v>68</v>
      </c>
      <c r="U3064" s="5">
        <f>IF(Merge1[[#This Row],[team_defense_snaps]]=0, "", Merge1[[#This Row],[defense_snaps]] / Merge1[[#This Row],[team_defense_snaps]])</f>
        <v>0.98550724637681164</v>
      </c>
      <c r="V3064">
        <v>69</v>
      </c>
      <c r="W3064">
        <v>0</v>
      </c>
      <c r="X3064" s="5" t="s">
        <v>29</v>
      </c>
      <c r="Y3064">
        <v>8</v>
      </c>
      <c r="Z3064">
        <v>0</v>
      </c>
      <c r="AA3064" t="s">
        <v>25</v>
      </c>
      <c r="AB3064" t="s">
        <v>26</v>
      </c>
      <c r="AC3064" t="s">
        <v>27</v>
      </c>
      <c r="AD3064" t="s">
        <v>204</v>
      </c>
      <c r="AE3064" t="s">
        <v>25</v>
      </c>
      <c r="AF30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0.20588235294117646</v>
      </c>
      <c r="AG3064" t="s">
        <v>941</v>
      </c>
      <c r="AH3064">
        <v>61</v>
      </c>
      <c r="AI3064" t="s">
        <v>939</v>
      </c>
      <c r="AJ3064">
        <v>6</v>
      </c>
      <c r="AK30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MIN(AJ3064/8, 1) +
  Merge1[[#This Row],[index_defensive_effort]],
  2
)</f>
        <v>1.56</v>
      </c>
    </row>
    <row r="3065" spans="1:37" x14ac:dyDescent="0.25">
      <c r="A3065" t="s">
        <v>810</v>
      </c>
      <c r="B3065" t="s">
        <v>811</v>
      </c>
      <c r="C3065">
        <v>30</v>
      </c>
      <c r="D3065" t="s">
        <v>22</v>
      </c>
      <c r="E3065">
        <v>73</v>
      </c>
      <c r="F3065">
        <v>212</v>
      </c>
      <c r="G3065" t="s">
        <v>228</v>
      </c>
      <c r="H3065">
        <v>2020</v>
      </c>
      <c r="I3065" t="s">
        <v>33</v>
      </c>
      <c r="J3065">
        <v>7</v>
      </c>
      <c r="K3065">
        <v>1</v>
      </c>
      <c r="L3065">
        <v>0</v>
      </c>
      <c r="M3065">
        <v>0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72</v>
      </c>
      <c r="T3065">
        <v>72</v>
      </c>
      <c r="U3065" s="5">
        <f>IF(Merge1[[#This Row],[team_defense_snaps]]=0, "", Merge1[[#This Row],[defense_snaps]] / Merge1[[#This Row],[team_defense_snaps]])</f>
        <v>1</v>
      </c>
      <c r="V3065">
        <v>72</v>
      </c>
      <c r="W3065">
        <v>0</v>
      </c>
      <c r="X3065" s="5" t="s">
        <v>29</v>
      </c>
      <c r="Y3065">
        <v>8</v>
      </c>
      <c r="Z3065">
        <v>0</v>
      </c>
      <c r="AA3065" t="s">
        <v>25</v>
      </c>
      <c r="AB3065" t="s">
        <v>26</v>
      </c>
      <c r="AC3065" t="s">
        <v>27</v>
      </c>
      <c r="AD3065" t="s">
        <v>204</v>
      </c>
      <c r="AE3065" t="s">
        <v>25</v>
      </c>
      <c r="AF30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3065" t="s">
        <v>941</v>
      </c>
      <c r="AH3065">
        <v>64</v>
      </c>
      <c r="AI3065" t="s">
        <v>939</v>
      </c>
      <c r="AJ3065">
        <v>7</v>
      </c>
      <c r="AK30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MIN(AJ3065/8, 1) +
  Merge1[[#This Row],[index_defensive_effort]],
  2
)</f>
        <v>1.52</v>
      </c>
    </row>
    <row r="3066" spans="1:37" x14ac:dyDescent="0.25">
      <c r="A3066" t="s">
        <v>810</v>
      </c>
      <c r="B3066" t="s">
        <v>811</v>
      </c>
      <c r="C3066">
        <v>30</v>
      </c>
      <c r="D3066" t="s">
        <v>22</v>
      </c>
      <c r="E3066">
        <v>73</v>
      </c>
      <c r="F3066">
        <v>212</v>
      </c>
      <c r="G3066" t="s">
        <v>228</v>
      </c>
      <c r="H3066">
        <v>2020</v>
      </c>
      <c r="I3066" t="s">
        <v>33</v>
      </c>
      <c r="J3066">
        <v>8</v>
      </c>
      <c r="K3066">
        <v>6</v>
      </c>
      <c r="L3066">
        <v>2</v>
      </c>
      <c r="M3066">
        <v>0</v>
      </c>
      <c r="N3066">
        <v>2</v>
      </c>
      <c r="O3066">
        <v>0</v>
      </c>
      <c r="P3066">
        <v>0</v>
      </c>
      <c r="Q3066">
        <v>0</v>
      </c>
      <c r="R3066">
        <v>0</v>
      </c>
      <c r="S3066">
        <v>73</v>
      </c>
      <c r="T3066">
        <v>73</v>
      </c>
      <c r="U3066" s="5">
        <f>IF(Merge1[[#This Row],[team_defense_snaps]]=0, "", Merge1[[#This Row],[defense_snaps]] / Merge1[[#This Row],[team_defense_snaps]])</f>
        <v>0.98648648648648651</v>
      </c>
      <c r="V3066">
        <v>74</v>
      </c>
      <c r="W3066">
        <v>0</v>
      </c>
      <c r="X3066" s="5" t="s">
        <v>29</v>
      </c>
      <c r="Y3066">
        <v>8</v>
      </c>
      <c r="Z3066">
        <v>0</v>
      </c>
      <c r="AA3066" t="s">
        <v>25</v>
      </c>
      <c r="AB3066" t="s">
        <v>26</v>
      </c>
      <c r="AC3066" t="s">
        <v>27</v>
      </c>
      <c r="AD3066" t="s">
        <v>204</v>
      </c>
      <c r="AE3066" t="s">
        <v>25</v>
      </c>
      <c r="AF30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9.5890410958904104E-2</v>
      </c>
      <c r="AG3066" t="s">
        <v>941</v>
      </c>
      <c r="AH3066">
        <v>47.5</v>
      </c>
      <c r="AI3066" t="s">
        <v>939</v>
      </c>
      <c r="AJ3066">
        <v>8</v>
      </c>
      <c r="AK30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MIN(AJ3066/8, 1) +
  Merge1[[#This Row],[index_defensive_effort]],
  2
)</f>
        <v>1.7</v>
      </c>
    </row>
    <row r="3067" spans="1:37" x14ac:dyDescent="0.25">
      <c r="A3067" t="s">
        <v>810</v>
      </c>
      <c r="B3067" t="s">
        <v>811</v>
      </c>
      <c r="C3067">
        <v>30</v>
      </c>
      <c r="D3067" t="s">
        <v>22</v>
      </c>
      <c r="E3067">
        <v>73</v>
      </c>
      <c r="F3067">
        <v>212</v>
      </c>
      <c r="G3067" t="s">
        <v>228</v>
      </c>
      <c r="H3067">
        <v>2020</v>
      </c>
      <c r="I3067" t="s">
        <v>33</v>
      </c>
      <c r="J3067">
        <v>10</v>
      </c>
      <c r="K3067">
        <v>2</v>
      </c>
      <c r="L3067">
        <v>1</v>
      </c>
      <c r="M3067">
        <v>0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73</v>
      </c>
      <c r="T3067">
        <v>73</v>
      </c>
      <c r="U3067" s="5">
        <f>IF(Merge1[[#This Row],[team_defense_snaps]]=0, "", Merge1[[#This Row],[defense_snaps]] / Merge1[[#This Row],[team_defense_snaps]])</f>
        <v>0.98648648648648651</v>
      </c>
      <c r="V3067">
        <v>74</v>
      </c>
      <c r="W3067">
        <v>0</v>
      </c>
      <c r="X3067" s="5" t="s">
        <v>29</v>
      </c>
      <c r="Y3067">
        <v>8</v>
      </c>
      <c r="Z3067">
        <v>0</v>
      </c>
      <c r="AA3067" t="s">
        <v>25</v>
      </c>
      <c r="AB3067" t="s">
        <v>26</v>
      </c>
      <c r="AC3067" t="s">
        <v>27</v>
      </c>
      <c r="AD3067" t="s">
        <v>204</v>
      </c>
      <c r="AE3067" t="s">
        <v>25</v>
      </c>
      <c r="AF30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3.4246575342465752E-2</v>
      </c>
      <c r="AG3067" t="s">
        <v>941</v>
      </c>
      <c r="AH3067">
        <v>62.5</v>
      </c>
      <c r="AI3067" t="s">
        <v>939</v>
      </c>
      <c r="AJ3067">
        <v>1</v>
      </c>
      <c r="AK30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MIN(AJ3067/8, 1) +
  Merge1[[#This Row],[index_defensive_effort]],
  2
)</f>
        <v>0.76</v>
      </c>
    </row>
    <row r="3068" spans="1:37" x14ac:dyDescent="0.25">
      <c r="A3068" t="s">
        <v>810</v>
      </c>
      <c r="B3068" t="s">
        <v>811</v>
      </c>
      <c r="C3068">
        <v>30</v>
      </c>
      <c r="D3068" t="s">
        <v>22</v>
      </c>
      <c r="E3068">
        <v>73</v>
      </c>
      <c r="F3068">
        <v>212</v>
      </c>
      <c r="G3068" t="s">
        <v>228</v>
      </c>
      <c r="H3068">
        <v>2020</v>
      </c>
      <c r="I3068" t="s">
        <v>33</v>
      </c>
      <c r="J3068">
        <v>12</v>
      </c>
      <c r="K3068">
        <v>3</v>
      </c>
      <c r="L3068">
        <v>1</v>
      </c>
      <c r="M3068">
        <v>0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68</v>
      </c>
      <c r="T3068">
        <v>68</v>
      </c>
      <c r="U3068" s="5">
        <f>IF(Merge1[[#This Row],[team_defense_snaps]]=0, "", Merge1[[#This Row],[defense_snaps]] / Merge1[[#This Row],[team_defense_snaps]])</f>
        <v>0.90666666666666662</v>
      </c>
      <c r="V3068">
        <v>75</v>
      </c>
      <c r="W3068">
        <v>0</v>
      </c>
      <c r="X3068" s="5" t="s">
        <v>29</v>
      </c>
      <c r="Y3068">
        <v>8</v>
      </c>
      <c r="Z3068">
        <v>0</v>
      </c>
      <c r="AA3068" t="s">
        <v>25</v>
      </c>
      <c r="AB3068" t="s">
        <v>26</v>
      </c>
      <c r="AC3068" t="s">
        <v>27</v>
      </c>
      <c r="AD3068" t="s">
        <v>204</v>
      </c>
      <c r="AE3068" t="s">
        <v>25</v>
      </c>
      <c r="AF30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5.1470588235294115E-2</v>
      </c>
      <c r="AG3068" t="s">
        <v>941</v>
      </c>
      <c r="AH3068">
        <v>59.5</v>
      </c>
      <c r="AI3068" t="s">
        <v>939</v>
      </c>
      <c r="AJ3068">
        <v>1</v>
      </c>
      <c r="AK30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MIN(AJ3068/8, 1) +
  Merge1[[#This Row],[index_defensive_effort]],
  2
)</f>
        <v>0.78</v>
      </c>
    </row>
    <row r="3069" spans="1:37" x14ac:dyDescent="0.25">
      <c r="A3069" t="s">
        <v>810</v>
      </c>
      <c r="B3069" t="s">
        <v>811</v>
      </c>
      <c r="C3069">
        <v>30</v>
      </c>
      <c r="D3069" t="s">
        <v>22</v>
      </c>
      <c r="E3069">
        <v>73</v>
      </c>
      <c r="F3069">
        <v>212</v>
      </c>
      <c r="G3069" t="s">
        <v>228</v>
      </c>
      <c r="H3069">
        <v>2020</v>
      </c>
      <c r="I3069" t="s">
        <v>33</v>
      </c>
      <c r="J3069">
        <v>13</v>
      </c>
      <c r="K3069">
        <v>2</v>
      </c>
      <c r="L3069">
        <v>1</v>
      </c>
      <c r="M3069">
        <v>0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68</v>
      </c>
      <c r="T3069">
        <v>68</v>
      </c>
      <c r="U3069" s="5">
        <f>IF(Merge1[[#This Row],[team_defense_snaps]]=0, "", Merge1[[#This Row],[defense_snaps]] / Merge1[[#This Row],[team_defense_snaps]])</f>
        <v>0.90666666666666662</v>
      </c>
      <c r="V3069">
        <v>75</v>
      </c>
      <c r="W3069">
        <v>0</v>
      </c>
      <c r="X3069" s="5" t="s">
        <v>29</v>
      </c>
      <c r="Y3069">
        <v>8</v>
      </c>
      <c r="Z3069">
        <v>0</v>
      </c>
      <c r="AA3069" t="s">
        <v>25</v>
      </c>
      <c r="AB3069" t="s">
        <v>26</v>
      </c>
      <c r="AC3069" t="s">
        <v>27</v>
      </c>
      <c r="AD3069" t="s">
        <v>204</v>
      </c>
      <c r="AE3069" t="s">
        <v>25</v>
      </c>
      <c r="AF30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3.6764705882352942E-2</v>
      </c>
      <c r="AG3069" t="s">
        <v>941</v>
      </c>
      <c r="AH3069">
        <v>50</v>
      </c>
      <c r="AI3069" t="s">
        <v>939</v>
      </c>
      <c r="AJ3069">
        <v>2</v>
      </c>
      <c r="AK30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MIN(AJ3069/8, 1) +
  Merge1[[#This Row],[index_defensive_effort]],
  2
)</f>
        <v>0.89</v>
      </c>
    </row>
    <row r="3070" spans="1:37" x14ac:dyDescent="0.25">
      <c r="A3070" t="s">
        <v>810</v>
      </c>
      <c r="B3070" t="s">
        <v>811</v>
      </c>
      <c r="C3070">
        <v>30</v>
      </c>
      <c r="D3070" t="s">
        <v>22</v>
      </c>
      <c r="E3070">
        <v>73</v>
      </c>
      <c r="F3070">
        <v>212</v>
      </c>
      <c r="G3070" t="s">
        <v>228</v>
      </c>
      <c r="H3070">
        <v>2020</v>
      </c>
      <c r="I3070" t="s">
        <v>33</v>
      </c>
      <c r="J3070">
        <v>14</v>
      </c>
      <c r="K3070">
        <v>5</v>
      </c>
      <c r="L3070">
        <v>1</v>
      </c>
      <c r="M3070">
        <v>0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66</v>
      </c>
      <c r="T3070">
        <v>66</v>
      </c>
      <c r="U3070" s="5">
        <f>IF(Merge1[[#This Row],[team_defense_snaps]]=0, "", Merge1[[#This Row],[defense_snaps]] / Merge1[[#This Row],[team_defense_snaps]])</f>
        <v>0.9850746268656716</v>
      </c>
      <c r="V3070">
        <v>67</v>
      </c>
      <c r="W3070">
        <v>0</v>
      </c>
      <c r="X3070" s="5" t="s">
        <v>29</v>
      </c>
      <c r="Y3070">
        <v>8</v>
      </c>
      <c r="Z3070">
        <v>0</v>
      </c>
      <c r="AA3070" t="s">
        <v>25</v>
      </c>
      <c r="AB3070" t="s">
        <v>26</v>
      </c>
      <c r="AC3070" t="s">
        <v>27</v>
      </c>
      <c r="AD3070" t="s">
        <v>204</v>
      </c>
      <c r="AE3070" t="s">
        <v>25</v>
      </c>
      <c r="AF30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3070" t="s">
        <v>941</v>
      </c>
      <c r="AH3070">
        <v>50.5</v>
      </c>
      <c r="AI3070" t="s">
        <v>939</v>
      </c>
      <c r="AJ3070">
        <v>3</v>
      </c>
      <c r="AK30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MIN(AJ3070/8, 1) +
  Merge1[[#This Row],[index_defensive_effort]],
  2
)</f>
        <v>1.06</v>
      </c>
    </row>
    <row r="3071" spans="1:37" x14ac:dyDescent="0.25">
      <c r="A3071" t="s">
        <v>810</v>
      </c>
      <c r="B3071" t="s">
        <v>811</v>
      </c>
      <c r="C3071">
        <v>30</v>
      </c>
      <c r="D3071" t="s">
        <v>22</v>
      </c>
      <c r="E3071">
        <v>73</v>
      </c>
      <c r="F3071">
        <v>212</v>
      </c>
      <c r="G3071" t="s">
        <v>228</v>
      </c>
      <c r="H3071">
        <v>2020</v>
      </c>
      <c r="I3071" t="s">
        <v>33</v>
      </c>
      <c r="J3071">
        <v>15</v>
      </c>
      <c r="K3071">
        <v>2</v>
      </c>
      <c r="L3071">
        <v>1</v>
      </c>
      <c r="M3071">
        <v>0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68</v>
      </c>
      <c r="T3071">
        <v>68</v>
      </c>
      <c r="U3071" s="5">
        <f>IF(Merge1[[#This Row],[team_defense_snaps]]=0, "", Merge1[[#This Row],[defense_snaps]] / Merge1[[#This Row],[team_defense_snaps]])</f>
        <v>1</v>
      </c>
      <c r="V3071">
        <v>68</v>
      </c>
      <c r="W3071">
        <v>0</v>
      </c>
      <c r="X3071" s="5" t="s">
        <v>29</v>
      </c>
      <c r="Y3071">
        <v>8</v>
      </c>
      <c r="Z3071">
        <v>0</v>
      </c>
      <c r="AA3071" t="s">
        <v>25</v>
      </c>
      <c r="AB3071" t="s">
        <v>26</v>
      </c>
      <c r="AC3071" t="s">
        <v>27</v>
      </c>
      <c r="AD3071" t="s">
        <v>204</v>
      </c>
      <c r="AE3071" t="s">
        <v>25</v>
      </c>
      <c r="AF30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3.6764705882352942E-2</v>
      </c>
      <c r="AG3071" t="s">
        <v>941</v>
      </c>
      <c r="AH3071">
        <v>68.5</v>
      </c>
      <c r="AI3071" t="s">
        <v>939</v>
      </c>
      <c r="AJ3071">
        <v>4</v>
      </c>
      <c r="AK30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MIN(AJ3071/8, 1) +
  Merge1[[#This Row],[index_defensive_effort]],
  2
)</f>
        <v>1.1399999999999999</v>
      </c>
    </row>
    <row r="3072" spans="1:37" x14ac:dyDescent="0.25">
      <c r="A3072" t="s">
        <v>810</v>
      </c>
      <c r="B3072" t="s">
        <v>811</v>
      </c>
      <c r="C3072">
        <v>30</v>
      </c>
      <c r="D3072" t="s">
        <v>22</v>
      </c>
      <c r="E3072">
        <v>73</v>
      </c>
      <c r="F3072">
        <v>212</v>
      </c>
      <c r="G3072" t="s">
        <v>228</v>
      </c>
      <c r="H3072">
        <v>2020</v>
      </c>
      <c r="I3072" t="s">
        <v>33</v>
      </c>
      <c r="J3072">
        <v>16</v>
      </c>
      <c r="K3072">
        <v>1</v>
      </c>
      <c r="L3072">
        <v>0</v>
      </c>
      <c r="M3072">
        <v>0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44</v>
      </c>
      <c r="T3072">
        <v>44</v>
      </c>
      <c r="U3072" s="5">
        <f>IF(Merge1[[#This Row],[team_defense_snaps]]=0, "", Merge1[[#This Row],[defense_snaps]] / Merge1[[#This Row],[team_defense_snaps]])</f>
        <v>0.7857142857142857</v>
      </c>
      <c r="V3072">
        <v>56</v>
      </c>
      <c r="W3072">
        <v>0</v>
      </c>
      <c r="X3072" s="5" t="s">
        <v>29</v>
      </c>
      <c r="Y3072">
        <v>8</v>
      </c>
      <c r="Z3072">
        <v>0</v>
      </c>
      <c r="AA3072" t="s">
        <v>25</v>
      </c>
      <c r="AB3072" t="s">
        <v>26</v>
      </c>
      <c r="AC3072" t="s">
        <v>27</v>
      </c>
      <c r="AD3072" t="s">
        <v>204</v>
      </c>
      <c r="AE3072" t="s">
        <v>25</v>
      </c>
      <c r="AF30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6.8181818181818177E-2</v>
      </c>
      <c r="AG3072" t="s">
        <v>941</v>
      </c>
      <c r="AH3072">
        <v>46</v>
      </c>
      <c r="AI3072" t="s">
        <v>939</v>
      </c>
      <c r="AJ3072">
        <v>5</v>
      </c>
      <c r="AK30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MIN(AJ3072/8, 1) +
  Merge1[[#This Row],[index_defensive_effort]],
  2
)</f>
        <v>1.29</v>
      </c>
    </row>
    <row r="3073" spans="1:37" x14ac:dyDescent="0.25">
      <c r="A3073" t="s">
        <v>810</v>
      </c>
      <c r="B3073" t="s">
        <v>811</v>
      </c>
      <c r="C3073">
        <v>30</v>
      </c>
      <c r="D3073" t="s">
        <v>22</v>
      </c>
      <c r="E3073">
        <v>73</v>
      </c>
      <c r="F3073">
        <v>212</v>
      </c>
      <c r="G3073" t="s">
        <v>228</v>
      </c>
      <c r="H3073">
        <v>2020</v>
      </c>
      <c r="I3073" t="s">
        <v>33</v>
      </c>
      <c r="J3073">
        <v>17</v>
      </c>
      <c r="K3073">
        <v>1</v>
      </c>
      <c r="L3073">
        <v>2</v>
      </c>
      <c r="M3073">
        <v>0</v>
      </c>
      <c r="N3073">
        <v>2</v>
      </c>
      <c r="O3073">
        <v>0</v>
      </c>
      <c r="P3073">
        <v>1</v>
      </c>
      <c r="Q3073">
        <v>0</v>
      </c>
      <c r="R3073">
        <v>0</v>
      </c>
      <c r="S3073">
        <v>45</v>
      </c>
      <c r="T3073">
        <v>45</v>
      </c>
      <c r="U3073" s="5">
        <f>IF(Merge1[[#This Row],[team_defense_snaps]]=0, "", Merge1[[#This Row],[defense_snaps]] / Merge1[[#This Row],[team_defense_snaps]])</f>
        <v>0.97826086956521741</v>
      </c>
      <c r="V3073">
        <v>46</v>
      </c>
      <c r="W3073">
        <v>0</v>
      </c>
      <c r="X3073" s="5" t="s">
        <v>29</v>
      </c>
      <c r="Y3073">
        <v>8</v>
      </c>
      <c r="Z3073">
        <v>0</v>
      </c>
      <c r="AA3073" t="s">
        <v>25</v>
      </c>
      <c r="AB3073" t="s">
        <v>36</v>
      </c>
      <c r="AC3073" t="s">
        <v>96</v>
      </c>
      <c r="AD3073" t="s">
        <v>204</v>
      </c>
      <c r="AE3073" t="s">
        <v>25</v>
      </c>
      <c r="AF30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8.8888888888888892E-2</v>
      </c>
      <c r="AG3073" t="s">
        <v>941</v>
      </c>
      <c r="AH3073">
        <v>53.5</v>
      </c>
      <c r="AI3073" t="s">
        <v>939</v>
      </c>
      <c r="AJ3073">
        <v>6</v>
      </c>
      <c r="AK30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MIN(AJ3073/8, 1) +
  Merge1[[#This Row],[index_defensive_effort]],
  2
)</f>
        <v>1.44</v>
      </c>
    </row>
    <row r="3074" spans="1:37" x14ac:dyDescent="0.25">
      <c r="A3074" t="s">
        <v>810</v>
      </c>
      <c r="B3074" t="s">
        <v>811</v>
      </c>
      <c r="C3074">
        <v>30</v>
      </c>
      <c r="D3074" t="s">
        <v>22</v>
      </c>
      <c r="E3074">
        <v>73</v>
      </c>
      <c r="F3074">
        <v>212</v>
      </c>
      <c r="G3074" t="s">
        <v>228</v>
      </c>
      <c r="H3074">
        <v>2020</v>
      </c>
      <c r="I3074" t="s">
        <v>24</v>
      </c>
      <c r="J3074">
        <v>18</v>
      </c>
      <c r="K3074">
        <v>7</v>
      </c>
      <c r="L3074">
        <v>1</v>
      </c>
      <c r="M3074">
        <v>0</v>
      </c>
      <c r="N3074">
        <v>1</v>
      </c>
      <c r="O3074">
        <v>2</v>
      </c>
      <c r="P3074">
        <v>2</v>
      </c>
      <c r="Q3074">
        <v>0</v>
      </c>
      <c r="R3074">
        <v>3</v>
      </c>
      <c r="S3074">
        <v>76</v>
      </c>
      <c r="T3074">
        <v>76</v>
      </c>
      <c r="U3074" s="5">
        <f>IF(Merge1[[#This Row],[team_defense_snaps]]=0, "", Merge1[[#This Row],[defense_snaps]] / Merge1[[#This Row],[team_defense_snaps]])</f>
        <v>0.98701298701298701</v>
      </c>
      <c r="V3074">
        <v>77</v>
      </c>
      <c r="W3074">
        <v>0</v>
      </c>
      <c r="X3074" s="5" t="s">
        <v>29</v>
      </c>
      <c r="Y3074">
        <v>8</v>
      </c>
      <c r="Z3074">
        <v>0</v>
      </c>
      <c r="AA3074" t="s">
        <v>25</v>
      </c>
      <c r="AB3074" t="s">
        <v>26</v>
      </c>
      <c r="AC3074" t="s">
        <v>27</v>
      </c>
      <c r="AD3074" t="s">
        <v>204</v>
      </c>
      <c r="AE3074" t="s">
        <v>25</v>
      </c>
      <c r="AF30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0.30921052631578949</v>
      </c>
      <c r="AG3074" t="s">
        <v>941</v>
      </c>
      <c r="AH3074">
        <v>49</v>
      </c>
      <c r="AI3074" t="s">
        <v>939</v>
      </c>
      <c r="AJ3074">
        <v>7</v>
      </c>
      <c r="AK30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MIN(AJ3074/8, 1) +
  Merge1[[#This Row],[index_defensive_effort]],
  2
)</f>
        <v>1.98</v>
      </c>
    </row>
    <row r="3075" spans="1:37" x14ac:dyDescent="0.25">
      <c r="A3075" t="s">
        <v>838</v>
      </c>
      <c r="B3075" t="s">
        <v>839</v>
      </c>
      <c r="C3075">
        <v>24</v>
      </c>
      <c r="D3075" t="s">
        <v>56</v>
      </c>
      <c r="E3075">
        <v>70</v>
      </c>
      <c r="F3075">
        <v>205</v>
      </c>
      <c r="G3075" t="s">
        <v>47</v>
      </c>
      <c r="H3075">
        <v>2020</v>
      </c>
      <c r="I3075" t="s">
        <v>33</v>
      </c>
      <c r="J3075">
        <v>1</v>
      </c>
      <c r="K3075">
        <v>6</v>
      </c>
      <c r="L3075">
        <v>1</v>
      </c>
      <c r="M3075">
        <v>0</v>
      </c>
      <c r="N3075">
        <v>1</v>
      </c>
      <c r="O3075">
        <v>4</v>
      </c>
      <c r="P3075">
        <v>4</v>
      </c>
      <c r="Q3075">
        <v>0</v>
      </c>
      <c r="R3075">
        <v>0</v>
      </c>
      <c r="S3075">
        <v>48</v>
      </c>
      <c r="T3075">
        <v>28</v>
      </c>
      <c r="U3075" s="5">
        <f>IF(Merge1[[#This Row],[team_defense_snaps]]=0, "", Merge1[[#This Row],[defense_snaps]] / Merge1[[#This Row],[team_defense_snaps]])</f>
        <v>0.46666666666666667</v>
      </c>
      <c r="V3075">
        <v>60</v>
      </c>
      <c r="W3075">
        <v>20</v>
      </c>
      <c r="X3075" s="5" t="s">
        <v>103</v>
      </c>
      <c r="Y3075">
        <v>2</v>
      </c>
      <c r="Z3075">
        <v>0</v>
      </c>
      <c r="AA3075" t="s">
        <v>25</v>
      </c>
      <c r="AB3075" t="s">
        <v>26</v>
      </c>
      <c r="AC3075" t="s">
        <v>27</v>
      </c>
      <c r="AD3075" t="s">
        <v>28</v>
      </c>
      <c r="AE3075" t="s">
        <v>25</v>
      </c>
      <c r="AF30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0.55208333333333337</v>
      </c>
      <c r="AG3075" t="s">
        <v>941</v>
      </c>
      <c r="AH3075">
        <v>53.5</v>
      </c>
      <c r="AI3075" t="s">
        <v>939</v>
      </c>
      <c r="AJ3075">
        <v>1</v>
      </c>
      <c r="AK30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MIN(AJ3075/8, 1) +
  Merge1[[#This Row],[index_defensive_effort]],
  2
)</f>
        <v>1.18</v>
      </c>
    </row>
    <row r="3076" spans="1:37" x14ac:dyDescent="0.25">
      <c r="A3076" t="s">
        <v>838</v>
      </c>
      <c r="B3076" t="s">
        <v>839</v>
      </c>
      <c r="C3076">
        <v>24</v>
      </c>
      <c r="D3076" t="s">
        <v>56</v>
      </c>
      <c r="E3076">
        <v>70</v>
      </c>
      <c r="F3076">
        <v>205</v>
      </c>
      <c r="G3076" t="s">
        <v>47</v>
      </c>
      <c r="H3076">
        <v>2020</v>
      </c>
      <c r="I3076" t="s">
        <v>33</v>
      </c>
      <c r="J3076">
        <v>2</v>
      </c>
      <c r="K3076">
        <v>9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92</v>
      </c>
      <c r="T3076">
        <v>76</v>
      </c>
      <c r="U3076" s="5">
        <f>IF(Merge1[[#This Row],[team_defense_snaps]]=0, "", Merge1[[#This Row],[defense_snaps]] / Merge1[[#This Row],[team_defense_snaps]])</f>
        <v>0.82608695652173914</v>
      </c>
      <c r="V3076">
        <v>92</v>
      </c>
      <c r="W3076">
        <v>16</v>
      </c>
      <c r="X3076" s="5" t="s">
        <v>102</v>
      </c>
      <c r="Y3076">
        <v>2</v>
      </c>
      <c r="Z3076">
        <v>0</v>
      </c>
      <c r="AA3076" t="s">
        <v>25</v>
      </c>
      <c r="AB3076" t="s">
        <v>26</v>
      </c>
      <c r="AC3076" t="s">
        <v>27</v>
      </c>
      <c r="AD3076" t="s">
        <v>42</v>
      </c>
      <c r="AE3076" t="s">
        <v>25</v>
      </c>
      <c r="AF30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9.7826086956521743E-2</v>
      </c>
      <c r="AG3076" t="s">
        <v>941</v>
      </c>
      <c r="AH3076">
        <v>50</v>
      </c>
      <c r="AI3076" t="s">
        <v>939</v>
      </c>
      <c r="AJ3076">
        <v>2</v>
      </c>
      <c r="AK30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MIN(AJ3076/8, 1) +
  Merge1[[#This Row],[index_defensive_effort]],
  2
)</f>
        <v>0.85</v>
      </c>
    </row>
    <row r="3077" spans="1:37" x14ac:dyDescent="0.25">
      <c r="A3077" t="s">
        <v>838</v>
      </c>
      <c r="B3077" t="s">
        <v>839</v>
      </c>
      <c r="C3077">
        <v>24</v>
      </c>
      <c r="D3077" t="s">
        <v>56</v>
      </c>
      <c r="E3077">
        <v>70</v>
      </c>
      <c r="F3077">
        <v>205</v>
      </c>
      <c r="G3077" t="s">
        <v>47</v>
      </c>
      <c r="H3077">
        <v>2020</v>
      </c>
      <c r="I3077" t="s">
        <v>33</v>
      </c>
      <c r="J3077">
        <v>3</v>
      </c>
      <c r="K3077">
        <v>3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51</v>
      </c>
      <c r="T3077">
        <v>30</v>
      </c>
      <c r="U3077" s="5">
        <f>IF(Merge1[[#This Row],[team_defense_snaps]]=0, "", Merge1[[#This Row],[defense_snaps]] / Merge1[[#This Row],[team_defense_snaps]])</f>
        <v>0.44776119402985076</v>
      </c>
      <c r="V3077">
        <v>67</v>
      </c>
      <c r="W3077">
        <v>21</v>
      </c>
      <c r="X3077" s="5" t="s">
        <v>81</v>
      </c>
      <c r="Y3077">
        <v>2</v>
      </c>
      <c r="Z3077">
        <v>0</v>
      </c>
      <c r="AA3077" t="s">
        <v>25</v>
      </c>
      <c r="AB3077" t="s">
        <v>26</v>
      </c>
      <c r="AC3077" t="s">
        <v>27</v>
      </c>
      <c r="AD3077" t="s">
        <v>42</v>
      </c>
      <c r="AE3077" t="s">
        <v>25</v>
      </c>
      <c r="AF30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AG3077" t="s">
        <v>941</v>
      </c>
      <c r="AH3077">
        <v>68.5</v>
      </c>
      <c r="AI3077" t="s">
        <v>939</v>
      </c>
      <c r="AJ3077">
        <v>3</v>
      </c>
      <c r="AK30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MIN(AJ3077/8, 1) +
  Merge1[[#This Row],[index_defensive_effort]],
  2
)</f>
        <v>0.93</v>
      </c>
    </row>
    <row r="3078" spans="1:37" x14ac:dyDescent="0.25">
      <c r="A3078" t="s">
        <v>838</v>
      </c>
      <c r="B3078" t="s">
        <v>839</v>
      </c>
      <c r="C3078">
        <v>24</v>
      </c>
      <c r="D3078" t="s">
        <v>56</v>
      </c>
      <c r="E3078">
        <v>70</v>
      </c>
      <c r="F3078">
        <v>205</v>
      </c>
      <c r="G3078" t="s">
        <v>47</v>
      </c>
      <c r="H3078">
        <v>2020</v>
      </c>
      <c r="I3078" t="s">
        <v>33</v>
      </c>
      <c r="J3078">
        <v>4</v>
      </c>
      <c r="K3078">
        <v>2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61</v>
      </c>
      <c r="T3078">
        <v>39</v>
      </c>
      <c r="U3078" s="5">
        <f>IF(Merge1[[#This Row],[team_defense_snaps]]=0, "", Merge1[[#This Row],[defense_snaps]] / Merge1[[#This Row],[team_defense_snaps]])</f>
        <v>0.45882352941176469</v>
      </c>
      <c r="V3078">
        <v>85</v>
      </c>
      <c r="W3078">
        <v>22</v>
      </c>
      <c r="X3078" s="5" t="s">
        <v>230</v>
      </c>
      <c r="Y3078">
        <v>2</v>
      </c>
      <c r="Z3078">
        <v>0</v>
      </c>
      <c r="AA3078" t="s">
        <v>25</v>
      </c>
      <c r="AB3078" t="s">
        <v>26</v>
      </c>
      <c r="AC3078" t="s">
        <v>27</v>
      </c>
      <c r="AD3078" t="s">
        <v>42</v>
      </c>
      <c r="AE3078" t="s">
        <v>25</v>
      </c>
      <c r="AF30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3.2786885245901641E-2</v>
      </c>
      <c r="AG3078" t="s">
        <v>941</v>
      </c>
      <c r="AH3078">
        <v>67</v>
      </c>
      <c r="AI3078" t="s">
        <v>939</v>
      </c>
      <c r="AJ3078">
        <v>4</v>
      </c>
      <c r="AK30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MIN(AJ3078/8, 1) +
  Merge1[[#This Row],[index_defensive_effort]],
  2
)</f>
        <v>1.03</v>
      </c>
    </row>
    <row r="3079" spans="1:37" x14ac:dyDescent="0.25">
      <c r="A3079" t="s">
        <v>838</v>
      </c>
      <c r="B3079" t="s">
        <v>839</v>
      </c>
      <c r="C3079">
        <v>24</v>
      </c>
      <c r="D3079" t="s">
        <v>56</v>
      </c>
      <c r="E3079">
        <v>70</v>
      </c>
      <c r="F3079">
        <v>205</v>
      </c>
      <c r="G3079" t="s">
        <v>47</v>
      </c>
      <c r="H3079">
        <v>2020</v>
      </c>
      <c r="I3079" t="s">
        <v>33</v>
      </c>
      <c r="J3079">
        <v>12</v>
      </c>
      <c r="K3079">
        <v>3</v>
      </c>
      <c r="L3079">
        <v>0</v>
      </c>
      <c r="M3079">
        <v>0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44</v>
      </c>
      <c r="T3079">
        <v>25</v>
      </c>
      <c r="U3079" s="5">
        <f>IF(Merge1[[#This Row],[team_defense_snaps]]=0, "", Merge1[[#This Row],[defense_snaps]] / Merge1[[#This Row],[team_defense_snaps]])</f>
        <v>0.37878787878787878</v>
      </c>
      <c r="V3079">
        <v>66</v>
      </c>
      <c r="W3079">
        <v>19</v>
      </c>
      <c r="X3079" s="5" t="s">
        <v>87</v>
      </c>
      <c r="Y3079">
        <v>2</v>
      </c>
      <c r="Z3079">
        <v>0</v>
      </c>
      <c r="AA3079" t="s">
        <v>25</v>
      </c>
      <c r="AB3079" t="s">
        <v>26</v>
      </c>
      <c r="AC3079" t="s">
        <v>27</v>
      </c>
      <c r="AD3079" t="s">
        <v>28</v>
      </c>
      <c r="AE3079" t="s">
        <v>25</v>
      </c>
      <c r="AF30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0.11363636363636363</v>
      </c>
      <c r="AG3079" t="s">
        <v>941</v>
      </c>
      <c r="AH3079">
        <v>65.5</v>
      </c>
      <c r="AI3079" t="s">
        <v>939</v>
      </c>
      <c r="AJ3079">
        <v>1</v>
      </c>
      <c r="AK30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MIN(AJ3079/8, 1) +
  Merge1[[#This Row],[index_defensive_effort]],
  2
)</f>
        <v>0.74</v>
      </c>
    </row>
    <row r="3080" spans="1:37" x14ac:dyDescent="0.25">
      <c r="A3080" t="s">
        <v>838</v>
      </c>
      <c r="B3080" t="s">
        <v>839</v>
      </c>
      <c r="C3080">
        <v>24</v>
      </c>
      <c r="D3080" t="s">
        <v>56</v>
      </c>
      <c r="E3080">
        <v>70</v>
      </c>
      <c r="F3080">
        <v>205</v>
      </c>
      <c r="G3080" t="s">
        <v>47</v>
      </c>
      <c r="H3080">
        <v>2020</v>
      </c>
      <c r="I3080" t="s">
        <v>24</v>
      </c>
      <c r="J3080">
        <v>18</v>
      </c>
      <c r="K3080">
        <v>1</v>
      </c>
      <c r="L3080">
        <v>0</v>
      </c>
      <c r="M3080">
        <v>0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40</v>
      </c>
      <c r="T3080">
        <v>13</v>
      </c>
      <c r="U3080" s="5">
        <f>IF(Merge1[[#This Row],[team_defense_snaps]]=0, "", Merge1[[#This Row],[defense_snaps]] / Merge1[[#This Row],[team_defense_snaps]])</f>
        <v>0.14130434782608695</v>
      </c>
      <c r="V3080">
        <v>92</v>
      </c>
      <c r="W3080">
        <v>27</v>
      </c>
      <c r="X3080" s="5" t="s">
        <v>218</v>
      </c>
      <c r="Y3080">
        <v>2</v>
      </c>
      <c r="Z3080">
        <v>0</v>
      </c>
      <c r="AA3080" t="s">
        <v>25</v>
      </c>
      <c r="AB3080" t="s">
        <v>26</v>
      </c>
      <c r="AC3080" t="s">
        <v>27</v>
      </c>
      <c r="AD3080" t="s">
        <v>28</v>
      </c>
      <c r="AE3080" t="s">
        <v>25</v>
      </c>
      <c r="AF30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7.4999999999999997E-2</v>
      </c>
      <c r="AG3080" t="s">
        <v>941</v>
      </c>
      <c r="AH3080">
        <v>70</v>
      </c>
      <c r="AI3080" t="s">
        <v>939</v>
      </c>
      <c r="AJ3080">
        <v>1</v>
      </c>
      <c r="AK30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MIN(AJ3080/8, 1) +
  Merge1[[#This Row],[index_defensive_effort]],
  2
)</f>
        <v>0.9</v>
      </c>
    </row>
    <row r="3081" spans="1:37" x14ac:dyDescent="0.25">
      <c r="A3081" t="s">
        <v>846</v>
      </c>
      <c r="B3081" t="s">
        <v>847</v>
      </c>
      <c r="C3081">
        <v>30</v>
      </c>
      <c r="D3081" t="s">
        <v>22</v>
      </c>
      <c r="E3081">
        <v>72</v>
      </c>
      <c r="F3081">
        <v>208</v>
      </c>
      <c r="G3081" t="s">
        <v>424</v>
      </c>
      <c r="H3081">
        <v>2020</v>
      </c>
      <c r="I3081" t="s">
        <v>33</v>
      </c>
      <c r="J3081">
        <v>3</v>
      </c>
      <c r="K3081">
        <v>6</v>
      </c>
      <c r="L3081">
        <v>0</v>
      </c>
      <c r="M3081">
        <v>0</v>
      </c>
      <c r="N3081">
        <v>0</v>
      </c>
      <c r="O3081">
        <v>0</v>
      </c>
      <c r="P3081">
        <v>2</v>
      </c>
      <c r="Q3081">
        <v>0</v>
      </c>
      <c r="R3081">
        <v>0</v>
      </c>
      <c r="S3081">
        <v>37</v>
      </c>
      <c r="T3081">
        <v>23</v>
      </c>
      <c r="U3081" s="5">
        <f>IF(Merge1[[#This Row],[team_defense_snaps]]=0, "", Merge1[[#This Row],[defense_snaps]] / Merge1[[#This Row],[team_defense_snaps]])</f>
        <v>0.35384615384615387</v>
      </c>
      <c r="V3081">
        <v>65</v>
      </c>
      <c r="W3081">
        <v>14</v>
      </c>
      <c r="X3081" s="5" t="s">
        <v>52</v>
      </c>
      <c r="Y3081">
        <v>8</v>
      </c>
      <c r="Z3081">
        <v>0</v>
      </c>
      <c r="AA3081" t="s">
        <v>25</v>
      </c>
      <c r="AB3081" t="s">
        <v>26</v>
      </c>
      <c r="AC3081" t="s">
        <v>27</v>
      </c>
      <c r="AD3081" t="s">
        <v>28</v>
      </c>
      <c r="AE3081" t="s">
        <v>25</v>
      </c>
      <c r="AF30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0.27027027027027029</v>
      </c>
      <c r="AG3081" t="s">
        <v>942</v>
      </c>
      <c r="AH3081">
        <v>54</v>
      </c>
      <c r="AI3081" t="s">
        <v>939</v>
      </c>
      <c r="AJ3081">
        <v>1</v>
      </c>
      <c r="AK30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MIN(AJ3081/8, 1) +
  Merge1[[#This Row],[index_defensive_effort]],
  2
)</f>
        <v>1</v>
      </c>
    </row>
    <row r="3082" spans="1:37" x14ac:dyDescent="0.25">
      <c r="A3082" t="s">
        <v>846</v>
      </c>
      <c r="B3082" t="s">
        <v>847</v>
      </c>
      <c r="C3082">
        <v>30</v>
      </c>
      <c r="D3082" t="s">
        <v>22</v>
      </c>
      <c r="E3082">
        <v>72</v>
      </c>
      <c r="F3082">
        <v>208</v>
      </c>
      <c r="G3082" t="s">
        <v>424</v>
      </c>
      <c r="H3082">
        <v>2020</v>
      </c>
      <c r="I3082" t="s">
        <v>33</v>
      </c>
      <c r="J3082">
        <v>5</v>
      </c>
      <c r="K3082">
        <v>1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24</v>
      </c>
      <c r="T3082">
        <v>9</v>
      </c>
      <c r="U3082" s="5">
        <f>IF(Merge1[[#This Row],[team_defense_snaps]]=0, "", Merge1[[#This Row],[defense_snaps]] / Merge1[[#This Row],[team_defense_snaps]])</f>
        <v>0.12</v>
      </c>
      <c r="V3082">
        <v>75</v>
      </c>
      <c r="W3082">
        <v>15</v>
      </c>
      <c r="X3082" s="5" t="s">
        <v>112</v>
      </c>
      <c r="Y3082">
        <v>8</v>
      </c>
      <c r="Z3082">
        <v>0</v>
      </c>
      <c r="AA3082" t="s">
        <v>25</v>
      </c>
      <c r="AB3082" t="s">
        <v>26</v>
      </c>
      <c r="AC3082" t="s">
        <v>27</v>
      </c>
      <c r="AD3082" t="s">
        <v>28</v>
      </c>
      <c r="AE3082" t="s">
        <v>25</v>
      </c>
      <c r="AF30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3082" t="s">
        <v>942</v>
      </c>
      <c r="AH3082">
        <v>55.5</v>
      </c>
      <c r="AI3082" t="s">
        <v>939</v>
      </c>
      <c r="AJ3082">
        <v>1</v>
      </c>
      <c r="AK30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MIN(AJ3082/8, 1) +
  Merge1[[#This Row],[index_defensive_effort]],
  2
)</f>
        <v>0.77</v>
      </c>
    </row>
    <row r="3083" spans="1:37" x14ac:dyDescent="0.25">
      <c r="A3083" t="s">
        <v>846</v>
      </c>
      <c r="B3083" t="s">
        <v>847</v>
      </c>
      <c r="C3083">
        <v>30</v>
      </c>
      <c r="D3083" t="s">
        <v>22</v>
      </c>
      <c r="E3083">
        <v>72</v>
      </c>
      <c r="F3083">
        <v>208</v>
      </c>
      <c r="G3083" t="s">
        <v>424</v>
      </c>
      <c r="H3083">
        <v>2020</v>
      </c>
      <c r="I3083" t="s">
        <v>33</v>
      </c>
      <c r="J3083">
        <v>10</v>
      </c>
      <c r="K3083">
        <v>0</v>
      </c>
      <c r="L3083">
        <v>1</v>
      </c>
      <c r="M3083">
        <v>1</v>
      </c>
      <c r="N3083">
        <v>2</v>
      </c>
      <c r="O3083">
        <v>0</v>
      </c>
      <c r="P3083">
        <v>0</v>
      </c>
      <c r="Q3083">
        <v>0</v>
      </c>
      <c r="R3083">
        <v>0</v>
      </c>
      <c r="S3083">
        <v>18</v>
      </c>
      <c r="T3083">
        <v>5</v>
      </c>
      <c r="U3083" s="5">
        <f>IF(Merge1[[#This Row],[team_defense_snaps]]=0, "", Merge1[[#This Row],[defense_snaps]] / Merge1[[#This Row],[team_defense_snaps]])</f>
        <v>7.4626865671641784E-2</v>
      </c>
      <c r="V3083">
        <v>67</v>
      </c>
      <c r="W3083">
        <v>13</v>
      </c>
      <c r="X3083" s="5" t="s">
        <v>112</v>
      </c>
      <c r="Y3083">
        <v>8</v>
      </c>
      <c r="Z3083">
        <v>0</v>
      </c>
      <c r="AA3083" t="s">
        <v>25</v>
      </c>
      <c r="AB3083" t="s">
        <v>26</v>
      </c>
      <c r="AC3083" t="s">
        <v>27</v>
      </c>
      <c r="AD3083" t="s">
        <v>28</v>
      </c>
      <c r="AE3083" t="s">
        <v>25</v>
      </c>
      <c r="AF30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3083" t="s">
        <v>942</v>
      </c>
      <c r="AH3083">
        <v>49.5</v>
      </c>
      <c r="AI3083" t="s">
        <v>939</v>
      </c>
      <c r="AJ3083">
        <v>1</v>
      </c>
      <c r="AK30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MIN(AJ3083/8, 1) +
  Merge1[[#This Row],[index_defensive_effort]],
  2
)</f>
        <v>0.78</v>
      </c>
    </row>
    <row r="3084" spans="1:37" x14ac:dyDescent="0.25">
      <c r="A3084" t="s">
        <v>846</v>
      </c>
      <c r="B3084" t="s">
        <v>847</v>
      </c>
      <c r="C3084">
        <v>30</v>
      </c>
      <c r="D3084" t="s">
        <v>22</v>
      </c>
      <c r="E3084">
        <v>72</v>
      </c>
      <c r="F3084">
        <v>208</v>
      </c>
      <c r="G3084" t="s">
        <v>424</v>
      </c>
      <c r="H3084">
        <v>2020</v>
      </c>
      <c r="I3084" t="s">
        <v>33</v>
      </c>
      <c r="J3084">
        <v>12</v>
      </c>
      <c r="K3084">
        <v>1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29</v>
      </c>
      <c r="T3084">
        <v>13</v>
      </c>
      <c r="U3084" s="5">
        <f>IF(Merge1[[#This Row],[team_defense_snaps]]=0, "", Merge1[[#This Row],[defense_snaps]] / Merge1[[#This Row],[team_defense_snaps]])</f>
        <v>0.18055555555555555</v>
      </c>
      <c r="V3084">
        <v>72</v>
      </c>
      <c r="W3084">
        <v>16</v>
      </c>
      <c r="X3084" s="5" t="s">
        <v>52</v>
      </c>
      <c r="Y3084">
        <v>8</v>
      </c>
      <c r="Z3084">
        <v>0</v>
      </c>
      <c r="AA3084" t="s">
        <v>25</v>
      </c>
      <c r="AB3084" t="s">
        <v>26</v>
      </c>
      <c r="AC3084" t="s">
        <v>27</v>
      </c>
      <c r="AD3084" t="s">
        <v>28</v>
      </c>
      <c r="AE3084" t="s">
        <v>25</v>
      </c>
      <c r="AF30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3.4482758620689655E-2</v>
      </c>
      <c r="AG3084" t="s">
        <v>942</v>
      </c>
      <c r="AH3084">
        <v>52.5</v>
      </c>
      <c r="AI3084" t="s">
        <v>939</v>
      </c>
      <c r="AJ3084">
        <v>1</v>
      </c>
      <c r="AK30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MIN(AJ3084/8, 1) +
  Merge1[[#This Row],[index_defensive_effort]],
  2
)</f>
        <v>0.76</v>
      </c>
    </row>
    <row r="3085" spans="1:37" x14ac:dyDescent="0.25">
      <c r="A3085" t="s">
        <v>846</v>
      </c>
      <c r="B3085" t="s">
        <v>847</v>
      </c>
      <c r="C3085">
        <v>30</v>
      </c>
      <c r="D3085" t="s">
        <v>22</v>
      </c>
      <c r="E3085">
        <v>72</v>
      </c>
      <c r="F3085">
        <v>208</v>
      </c>
      <c r="G3085" t="s">
        <v>424</v>
      </c>
      <c r="H3085">
        <v>2020</v>
      </c>
      <c r="I3085" t="s">
        <v>33</v>
      </c>
      <c r="J3085">
        <v>13</v>
      </c>
      <c r="K3085">
        <v>3</v>
      </c>
      <c r="L3085">
        <v>1</v>
      </c>
      <c r="M3085">
        <v>0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69</v>
      </c>
      <c r="T3085">
        <v>61</v>
      </c>
      <c r="U3085" s="5">
        <f>IF(Merge1[[#This Row],[team_defense_snaps]]=0, "", Merge1[[#This Row],[defense_snaps]] / Merge1[[#This Row],[team_defense_snaps]])</f>
        <v>0.953125</v>
      </c>
      <c r="V3085">
        <v>64</v>
      </c>
      <c r="W3085">
        <v>8</v>
      </c>
      <c r="X3085" s="5" t="s">
        <v>113</v>
      </c>
      <c r="Y3085">
        <v>8</v>
      </c>
      <c r="Z3085">
        <v>0</v>
      </c>
      <c r="AA3085" t="s">
        <v>25</v>
      </c>
      <c r="AB3085" t="s">
        <v>26</v>
      </c>
      <c r="AC3085" t="s">
        <v>27</v>
      </c>
      <c r="AD3085" t="s">
        <v>42</v>
      </c>
      <c r="AE3085" t="s">
        <v>25</v>
      </c>
      <c r="AF30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5.0724637681159424E-2</v>
      </c>
      <c r="AG3085" t="s">
        <v>942</v>
      </c>
      <c r="AH3085">
        <v>66</v>
      </c>
      <c r="AI3085" t="s">
        <v>939</v>
      </c>
      <c r="AJ3085">
        <v>2</v>
      </c>
      <c r="AK30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MIN(AJ3085/8, 1) +
  Merge1[[#This Row],[index_defensive_effort]],
  2
)</f>
        <v>0.9</v>
      </c>
    </row>
    <row r="3086" spans="1:37" x14ac:dyDescent="0.25">
      <c r="A3086" t="s">
        <v>846</v>
      </c>
      <c r="B3086" t="s">
        <v>847</v>
      </c>
      <c r="C3086">
        <v>30</v>
      </c>
      <c r="D3086" t="s">
        <v>22</v>
      </c>
      <c r="E3086">
        <v>72</v>
      </c>
      <c r="F3086">
        <v>208</v>
      </c>
      <c r="G3086" t="s">
        <v>424</v>
      </c>
      <c r="H3086">
        <v>2020</v>
      </c>
      <c r="I3086" t="s">
        <v>33</v>
      </c>
      <c r="J3086">
        <v>14</v>
      </c>
      <c r="K3086">
        <v>1</v>
      </c>
      <c r="L3086">
        <v>2</v>
      </c>
      <c r="M3086">
        <v>0</v>
      </c>
      <c r="N3086">
        <v>2</v>
      </c>
      <c r="O3086">
        <v>0</v>
      </c>
      <c r="P3086">
        <v>0</v>
      </c>
      <c r="Q3086">
        <v>0</v>
      </c>
      <c r="R3086">
        <v>0</v>
      </c>
      <c r="S3086">
        <v>23</v>
      </c>
      <c r="T3086">
        <v>9</v>
      </c>
      <c r="U3086" s="5">
        <f>IF(Merge1[[#This Row],[team_defense_snaps]]=0, "", Merge1[[#This Row],[defense_snaps]] / Merge1[[#This Row],[team_defense_snaps]])</f>
        <v>0.13043478260869565</v>
      </c>
      <c r="V3086">
        <v>69</v>
      </c>
      <c r="W3086">
        <v>14</v>
      </c>
      <c r="X3086" s="5" t="s">
        <v>200</v>
      </c>
      <c r="Y3086">
        <v>8</v>
      </c>
      <c r="Z3086">
        <v>0</v>
      </c>
      <c r="AA3086" t="s">
        <v>25</v>
      </c>
      <c r="AB3086" t="s">
        <v>26</v>
      </c>
      <c r="AC3086" t="s">
        <v>27</v>
      </c>
      <c r="AD3086" t="s">
        <v>28</v>
      </c>
      <c r="AE3086" t="s">
        <v>25</v>
      </c>
      <c r="AF30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8.6956521739130432E-2</v>
      </c>
      <c r="AG3086" t="s">
        <v>942</v>
      </c>
      <c r="AH3086">
        <v>69</v>
      </c>
      <c r="AI3086" t="s">
        <v>939</v>
      </c>
      <c r="AJ3086">
        <v>3</v>
      </c>
      <c r="AK30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MIN(AJ3086/8, 1) +
  Merge1[[#This Row],[index_defensive_effort]],
  2
)</f>
        <v>1.06</v>
      </c>
    </row>
    <row r="3087" spans="1:37" x14ac:dyDescent="0.25">
      <c r="A3087" t="s">
        <v>846</v>
      </c>
      <c r="B3087" t="s">
        <v>847</v>
      </c>
      <c r="C3087">
        <v>30</v>
      </c>
      <c r="D3087" t="s">
        <v>22</v>
      </c>
      <c r="E3087">
        <v>72</v>
      </c>
      <c r="F3087">
        <v>208</v>
      </c>
      <c r="G3087" t="s">
        <v>424</v>
      </c>
      <c r="H3087">
        <v>2020</v>
      </c>
      <c r="I3087" t="s">
        <v>33</v>
      </c>
      <c r="J3087">
        <v>16</v>
      </c>
      <c r="K3087">
        <v>2</v>
      </c>
      <c r="L3087">
        <v>0</v>
      </c>
      <c r="M3087">
        <v>0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46</v>
      </c>
      <c r="T3087">
        <v>29</v>
      </c>
      <c r="U3087" s="5">
        <f>IF(Merge1[[#This Row],[team_defense_snaps]]=0, "", Merge1[[#This Row],[defense_snaps]] / Merge1[[#This Row],[team_defense_snaps]])</f>
        <v>0.4264705882352941</v>
      </c>
      <c r="V3087">
        <v>68</v>
      </c>
      <c r="W3087">
        <v>17</v>
      </c>
      <c r="X3087" s="5" t="s">
        <v>102</v>
      </c>
      <c r="Y3087">
        <v>8</v>
      </c>
      <c r="Z3087">
        <v>0</v>
      </c>
      <c r="AA3087" t="s">
        <v>25</v>
      </c>
      <c r="AB3087" t="s">
        <v>26</v>
      </c>
      <c r="AC3087" t="s">
        <v>27</v>
      </c>
      <c r="AD3087" t="s">
        <v>28</v>
      </c>
      <c r="AE3087" t="s">
        <v>25</v>
      </c>
      <c r="AF30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8.6956521739130432E-2</v>
      </c>
      <c r="AG3087" t="s">
        <v>942</v>
      </c>
      <c r="AH3087">
        <v>48</v>
      </c>
      <c r="AI3087" t="s">
        <v>939</v>
      </c>
      <c r="AJ3087">
        <v>1</v>
      </c>
      <c r="AK30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MIN(AJ3087/8, 1) +
  Merge1[[#This Row],[index_defensive_effort]],
  2
)</f>
        <v>0.81</v>
      </c>
    </row>
    <row r="3088" spans="1:37" x14ac:dyDescent="0.25">
      <c r="A3088" t="s">
        <v>846</v>
      </c>
      <c r="B3088" t="s">
        <v>847</v>
      </c>
      <c r="C3088">
        <v>30</v>
      </c>
      <c r="D3088" t="s">
        <v>22</v>
      </c>
      <c r="E3088">
        <v>72</v>
      </c>
      <c r="F3088">
        <v>208</v>
      </c>
      <c r="G3088" t="s">
        <v>424</v>
      </c>
      <c r="H3088">
        <v>2020</v>
      </c>
      <c r="I3088" t="s">
        <v>33</v>
      </c>
      <c r="J3088">
        <v>17</v>
      </c>
      <c r="K3088">
        <v>4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76</v>
      </c>
      <c r="T3088">
        <v>65</v>
      </c>
      <c r="U3088" s="5">
        <f>IF(Merge1[[#This Row],[team_defense_snaps]]=0, "", Merge1[[#This Row],[defense_snaps]] / Merge1[[#This Row],[team_defense_snaps]])</f>
        <v>1</v>
      </c>
      <c r="V3088">
        <v>65</v>
      </c>
      <c r="W3088">
        <v>11</v>
      </c>
      <c r="X3088" s="5" t="s">
        <v>57</v>
      </c>
      <c r="Y3088">
        <v>8</v>
      </c>
      <c r="Z3088">
        <v>0</v>
      </c>
      <c r="AA3088" t="s">
        <v>25</v>
      </c>
      <c r="AB3088" t="s">
        <v>26</v>
      </c>
      <c r="AC3088" t="s">
        <v>27</v>
      </c>
      <c r="AD3088" t="s">
        <v>42</v>
      </c>
      <c r="AE3088" t="s">
        <v>25</v>
      </c>
      <c r="AF30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5.2631578947368418E-2</v>
      </c>
      <c r="AG3088" t="s">
        <v>942</v>
      </c>
      <c r="AH3088">
        <v>58.5</v>
      </c>
      <c r="AI3088" t="s">
        <v>939</v>
      </c>
      <c r="AJ3088">
        <v>2</v>
      </c>
      <c r="AK30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MIN(AJ3088/8, 1) +
  Merge1[[#This Row],[index_defensive_effort]],
  2
)</f>
        <v>0.9</v>
      </c>
    </row>
    <row r="3089" spans="1:37" x14ac:dyDescent="0.25">
      <c r="A3089" t="s">
        <v>848</v>
      </c>
      <c r="B3089" t="s">
        <v>849</v>
      </c>
      <c r="C3089">
        <v>26</v>
      </c>
      <c r="D3089" t="s">
        <v>56</v>
      </c>
      <c r="E3089">
        <v>69</v>
      </c>
      <c r="F3089">
        <v>185</v>
      </c>
      <c r="G3089" t="s">
        <v>32</v>
      </c>
      <c r="H3089">
        <v>2020</v>
      </c>
      <c r="I3089" t="s">
        <v>33</v>
      </c>
      <c r="J3089">
        <v>1</v>
      </c>
      <c r="K3089">
        <v>2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44</v>
      </c>
      <c r="T3089">
        <v>35</v>
      </c>
      <c r="U3089" s="5">
        <f>IF(Merge1[[#This Row],[team_defense_snaps]]=0, "", Merge1[[#This Row],[defense_snaps]] / Merge1[[#This Row],[team_defense_snaps]])</f>
        <v>0.47945205479452052</v>
      </c>
      <c r="V3089">
        <v>73</v>
      </c>
      <c r="W3089">
        <v>9</v>
      </c>
      <c r="X3089" s="5" t="s">
        <v>158</v>
      </c>
      <c r="Y3089">
        <v>4</v>
      </c>
      <c r="Z3089">
        <v>0</v>
      </c>
      <c r="AA3089" t="s">
        <v>25</v>
      </c>
      <c r="AB3089" t="s">
        <v>26</v>
      </c>
      <c r="AC3089" t="s">
        <v>27</v>
      </c>
      <c r="AD3089" t="s">
        <v>28</v>
      </c>
      <c r="AE3089" t="s">
        <v>25</v>
      </c>
      <c r="AF30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G3089" t="s">
        <v>941</v>
      </c>
      <c r="AH3089">
        <v>72</v>
      </c>
      <c r="AI3089" t="s">
        <v>939</v>
      </c>
      <c r="AJ3089">
        <v>1</v>
      </c>
      <c r="AK30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MIN(AJ3089/8, 1) +
  Merge1[[#This Row],[index_defensive_effort]],
  2
)</f>
        <v>0.77</v>
      </c>
    </row>
    <row r="3090" spans="1:37" x14ac:dyDescent="0.25">
      <c r="A3090" t="s">
        <v>834</v>
      </c>
      <c r="B3090" t="s">
        <v>835</v>
      </c>
      <c r="C3090">
        <v>23</v>
      </c>
      <c r="D3090" t="s">
        <v>22</v>
      </c>
      <c r="E3090">
        <v>72</v>
      </c>
      <c r="F3090">
        <v>208</v>
      </c>
      <c r="G3090" t="s">
        <v>355</v>
      </c>
      <c r="H3090">
        <v>2020</v>
      </c>
      <c r="I3090" t="s">
        <v>33</v>
      </c>
      <c r="J3090">
        <v>1</v>
      </c>
      <c r="K3090">
        <v>1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28</v>
      </c>
      <c r="T3090">
        <v>15</v>
      </c>
      <c r="U3090" s="5">
        <f>IF(Merge1[[#This Row],[team_defense_snaps]]=0, "", Merge1[[#This Row],[defense_snaps]] / Merge1[[#This Row],[team_defense_snaps]])</f>
        <v>0.20833333333333334</v>
      </c>
      <c r="V3090">
        <v>72</v>
      </c>
      <c r="W3090">
        <v>13</v>
      </c>
      <c r="X3090" s="5" t="s">
        <v>52</v>
      </c>
      <c r="Y3090">
        <v>1</v>
      </c>
      <c r="Z3090">
        <v>0</v>
      </c>
      <c r="AA3090" t="s">
        <v>25</v>
      </c>
      <c r="AB3090" t="s">
        <v>26</v>
      </c>
      <c r="AC3090" t="s">
        <v>27</v>
      </c>
      <c r="AD3090" t="s">
        <v>28</v>
      </c>
      <c r="AE3090" t="s">
        <v>25</v>
      </c>
      <c r="AF30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3.5714285714285712E-2</v>
      </c>
      <c r="AH3090">
        <v>62.5</v>
      </c>
      <c r="AI3090" t="s">
        <v>939</v>
      </c>
      <c r="AJ3090">
        <v>1</v>
      </c>
      <c r="AK30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MIN(AJ3090/8, 1) +
  Merge1[[#This Row],[index_defensive_effort]],
  2
)</f>
        <v>0.66</v>
      </c>
    </row>
    <row r="3091" spans="1:37" x14ac:dyDescent="0.25">
      <c r="A3091" t="s">
        <v>834</v>
      </c>
      <c r="B3091" t="s">
        <v>835</v>
      </c>
      <c r="C3091">
        <v>23</v>
      </c>
      <c r="D3091" t="s">
        <v>22</v>
      </c>
      <c r="E3091">
        <v>72</v>
      </c>
      <c r="F3091">
        <v>208</v>
      </c>
      <c r="G3091" t="s">
        <v>355</v>
      </c>
      <c r="H3091">
        <v>2020</v>
      </c>
      <c r="I3091" t="s">
        <v>33</v>
      </c>
      <c r="J3091">
        <v>2</v>
      </c>
      <c r="K3091">
        <v>2</v>
      </c>
      <c r="L3091">
        <v>0</v>
      </c>
      <c r="M3091">
        <v>0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31</v>
      </c>
      <c r="T3091">
        <v>17</v>
      </c>
      <c r="U3091" s="5">
        <f>IF(Merge1[[#This Row],[team_defense_snaps]]=0, "", Merge1[[#This Row],[defense_snaps]] / Merge1[[#This Row],[team_defense_snaps]])</f>
        <v>0.23943661971830985</v>
      </c>
      <c r="V3091">
        <v>71</v>
      </c>
      <c r="W3091">
        <v>14</v>
      </c>
      <c r="X3091" s="5" t="s">
        <v>111</v>
      </c>
      <c r="Y3091">
        <v>1</v>
      </c>
      <c r="Z3091">
        <v>0</v>
      </c>
      <c r="AA3091" t="s">
        <v>25</v>
      </c>
      <c r="AB3091" t="s">
        <v>26</v>
      </c>
      <c r="AC3091" t="s">
        <v>27</v>
      </c>
      <c r="AD3091" t="s">
        <v>28</v>
      </c>
      <c r="AE3091" t="s">
        <v>25</v>
      </c>
      <c r="AF30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0.12903225806451613</v>
      </c>
      <c r="AH3091">
        <v>65.5</v>
      </c>
      <c r="AI3091" t="s">
        <v>939</v>
      </c>
      <c r="AJ3091">
        <v>2</v>
      </c>
      <c r="AK30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MIN(AJ3091/8, 1) +
  Merge1[[#This Row],[index_defensive_effort]],
  2
)</f>
        <v>0.88</v>
      </c>
    </row>
    <row r="3092" spans="1:37" x14ac:dyDescent="0.25">
      <c r="A3092" t="s">
        <v>834</v>
      </c>
      <c r="B3092" t="s">
        <v>835</v>
      </c>
      <c r="C3092">
        <v>23</v>
      </c>
      <c r="D3092" t="s">
        <v>22</v>
      </c>
      <c r="E3092">
        <v>72</v>
      </c>
      <c r="F3092">
        <v>208</v>
      </c>
      <c r="G3092" t="s">
        <v>355</v>
      </c>
      <c r="H3092">
        <v>2020</v>
      </c>
      <c r="I3092" t="s">
        <v>33</v>
      </c>
      <c r="J3092">
        <v>3</v>
      </c>
      <c r="K3092">
        <v>6</v>
      </c>
      <c r="L3092">
        <v>2</v>
      </c>
      <c r="M3092">
        <v>1</v>
      </c>
      <c r="N3092">
        <v>3</v>
      </c>
      <c r="O3092">
        <v>0</v>
      </c>
      <c r="P3092">
        <v>0</v>
      </c>
      <c r="Q3092">
        <v>0</v>
      </c>
      <c r="R3092">
        <v>0</v>
      </c>
      <c r="S3092">
        <v>60</v>
      </c>
      <c r="T3092">
        <v>55</v>
      </c>
      <c r="U3092" s="5">
        <f>IF(Merge1[[#This Row],[team_defense_snaps]]=0, "", Merge1[[#This Row],[defense_snaps]] / Merge1[[#This Row],[team_defense_snaps]])</f>
        <v>0.859375</v>
      </c>
      <c r="V3092">
        <v>64</v>
      </c>
      <c r="W3092">
        <v>5</v>
      </c>
      <c r="X3092" s="5" t="s">
        <v>293</v>
      </c>
      <c r="Y3092">
        <v>1</v>
      </c>
      <c r="Z3092">
        <v>0</v>
      </c>
      <c r="AA3092" t="s">
        <v>25</v>
      </c>
      <c r="AB3092" t="s">
        <v>26</v>
      </c>
      <c r="AC3092" t="s">
        <v>27</v>
      </c>
      <c r="AD3092" t="s">
        <v>28</v>
      </c>
      <c r="AE3092" t="s">
        <v>25</v>
      </c>
      <c r="AF30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H3092">
        <v>61</v>
      </c>
      <c r="AI3092" t="s">
        <v>939</v>
      </c>
      <c r="AJ3092">
        <v>3</v>
      </c>
      <c r="AK30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MIN(AJ3092/8, 1) +
  Merge1[[#This Row],[index_defensive_effort]],
  2
)</f>
        <v>1</v>
      </c>
    </row>
    <row r="3093" spans="1:37" x14ac:dyDescent="0.25">
      <c r="A3093" t="s">
        <v>834</v>
      </c>
      <c r="B3093" t="s">
        <v>835</v>
      </c>
      <c r="C3093">
        <v>23</v>
      </c>
      <c r="D3093" t="s">
        <v>22</v>
      </c>
      <c r="E3093">
        <v>72</v>
      </c>
      <c r="F3093">
        <v>208</v>
      </c>
      <c r="G3093" t="s">
        <v>355</v>
      </c>
      <c r="H3093">
        <v>2020</v>
      </c>
      <c r="I3093" t="s">
        <v>33</v>
      </c>
      <c r="J3093">
        <v>4</v>
      </c>
      <c r="K3093">
        <v>6</v>
      </c>
      <c r="L3093">
        <v>2</v>
      </c>
      <c r="M3093">
        <v>2</v>
      </c>
      <c r="N3093">
        <v>4</v>
      </c>
      <c r="O3093">
        <v>0</v>
      </c>
      <c r="P3093">
        <v>0</v>
      </c>
      <c r="Q3093">
        <v>0</v>
      </c>
      <c r="R3093">
        <v>0</v>
      </c>
      <c r="S3093">
        <v>68</v>
      </c>
      <c r="T3093">
        <v>68</v>
      </c>
      <c r="U3093" s="5">
        <f>IF(Merge1[[#This Row],[team_defense_snaps]]=0, "", Merge1[[#This Row],[defense_snaps]] / Merge1[[#This Row],[team_defense_snaps]])</f>
        <v>1</v>
      </c>
      <c r="V3093">
        <v>68</v>
      </c>
      <c r="W3093">
        <v>0</v>
      </c>
      <c r="X3093" s="5" t="s">
        <v>29</v>
      </c>
      <c r="Y3093">
        <v>1</v>
      </c>
      <c r="Z3093">
        <v>0</v>
      </c>
      <c r="AA3093" t="s">
        <v>25</v>
      </c>
      <c r="AB3093" t="s">
        <v>26</v>
      </c>
      <c r="AC3093" t="s">
        <v>27</v>
      </c>
      <c r="AD3093" t="s">
        <v>42</v>
      </c>
      <c r="AE3093" t="s">
        <v>25</v>
      </c>
      <c r="AF30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0.11764705882352941</v>
      </c>
      <c r="AH3093">
        <v>70</v>
      </c>
      <c r="AI3093" t="s">
        <v>939</v>
      </c>
      <c r="AJ3093">
        <v>4</v>
      </c>
      <c r="AK30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MIN(AJ3093/8, 1) +
  Merge1[[#This Row],[index_defensive_effort]],
  2
)</f>
        <v>1.1200000000000001</v>
      </c>
    </row>
    <row r="3094" spans="1:37" x14ac:dyDescent="0.25">
      <c r="A3094" t="s">
        <v>834</v>
      </c>
      <c r="B3094" t="s">
        <v>835</v>
      </c>
      <c r="C3094">
        <v>23</v>
      </c>
      <c r="D3094" t="s">
        <v>22</v>
      </c>
      <c r="E3094">
        <v>72</v>
      </c>
      <c r="F3094">
        <v>208</v>
      </c>
      <c r="G3094" t="s">
        <v>355</v>
      </c>
      <c r="H3094">
        <v>2020</v>
      </c>
      <c r="I3094" t="s">
        <v>33</v>
      </c>
      <c r="J3094">
        <v>5</v>
      </c>
      <c r="K3094">
        <v>3</v>
      </c>
      <c r="L3094">
        <v>0</v>
      </c>
      <c r="M3094">
        <v>0</v>
      </c>
      <c r="N3094">
        <v>0</v>
      </c>
      <c r="O3094">
        <v>2</v>
      </c>
      <c r="P3094">
        <v>0</v>
      </c>
      <c r="Q3094">
        <v>0</v>
      </c>
      <c r="R3094">
        <v>2</v>
      </c>
      <c r="S3094">
        <v>19</v>
      </c>
      <c r="T3094">
        <v>13</v>
      </c>
      <c r="U3094" s="5">
        <f>IF(Merge1[[#This Row],[team_defense_snaps]]=0, "", Merge1[[#This Row],[defense_snaps]] / Merge1[[#This Row],[team_defense_snaps]])</f>
        <v>0.24074074074074073</v>
      </c>
      <c r="V3094">
        <v>54</v>
      </c>
      <c r="W3094">
        <v>6</v>
      </c>
      <c r="X3094" s="5" t="s">
        <v>58</v>
      </c>
      <c r="Y3094">
        <v>1</v>
      </c>
      <c r="Z3094">
        <v>0</v>
      </c>
      <c r="AA3094" t="s">
        <v>25</v>
      </c>
      <c r="AB3094" t="s">
        <v>26</v>
      </c>
      <c r="AC3094" t="s">
        <v>27</v>
      </c>
      <c r="AD3094" t="s">
        <v>28</v>
      </c>
      <c r="AE3094" t="s">
        <v>25</v>
      </c>
      <c r="AF30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0.68421052631578949</v>
      </c>
      <c r="AH3094">
        <v>56.5</v>
      </c>
      <c r="AI3094" t="s">
        <v>939</v>
      </c>
      <c r="AJ3094">
        <v>5</v>
      </c>
      <c r="AK30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MIN(AJ3094/8, 1) +
  Merge1[[#This Row],[index_defensive_effort]],
  2
)</f>
        <v>1.81</v>
      </c>
    </row>
    <row r="3095" spans="1:37" x14ac:dyDescent="0.25">
      <c r="A3095" t="s">
        <v>834</v>
      </c>
      <c r="B3095" t="s">
        <v>835</v>
      </c>
      <c r="C3095">
        <v>23</v>
      </c>
      <c r="D3095" t="s">
        <v>22</v>
      </c>
      <c r="E3095">
        <v>72</v>
      </c>
      <c r="F3095">
        <v>208</v>
      </c>
      <c r="G3095" t="s">
        <v>355</v>
      </c>
      <c r="H3095">
        <v>2020</v>
      </c>
      <c r="I3095" t="s">
        <v>33</v>
      </c>
      <c r="J3095">
        <v>6</v>
      </c>
      <c r="K3095">
        <v>6</v>
      </c>
      <c r="L3095">
        <v>3</v>
      </c>
      <c r="M3095">
        <v>0</v>
      </c>
      <c r="N3095">
        <v>3</v>
      </c>
      <c r="O3095">
        <v>0</v>
      </c>
      <c r="P3095">
        <v>0</v>
      </c>
      <c r="Q3095">
        <v>0</v>
      </c>
      <c r="R3095">
        <v>0</v>
      </c>
      <c r="S3095">
        <v>73</v>
      </c>
      <c r="T3095">
        <v>73</v>
      </c>
      <c r="U3095" s="5">
        <f>IF(Merge1[[#This Row],[team_defense_snaps]]=0, "", Merge1[[#This Row],[defense_snaps]] / Merge1[[#This Row],[team_defense_snaps]])</f>
        <v>0.97333333333333338</v>
      </c>
      <c r="V3095">
        <v>75</v>
      </c>
      <c r="W3095">
        <v>0</v>
      </c>
      <c r="X3095" s="5" t="s">
        <v>29</v>
      </c>
      <c r="Y3095">
        <v>1</v>
      </c>
      <c r="Z3095">
        <v>0</v>
      </c>
      <c r="AA3095" t="s">
        <v>25</v>
      </c>
      <c r="AB3095" t="s">
        <v>26</v>
      </c>
      <c r="AC3095" t="s">
        <v>27</v>
      </c>
      <c r="AD3095" t="s">
        <v>42</v>
      </c>
      <c r="AE3095" t="s">
        <v>25</v>
      </c>
      <c r="AF30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0.10273972602739725</v>
      </c>
      <c r="AH3095">
        <v>64</v>
      </c>
      <c r="AI3095" t="s">
        <v>939</v>
      </c>
      <c r="AJ3095">
        <v>6</v>
      </c>
      <c r="AK30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MIN(AJ3095/8, 1) +
  Merge1[[#This Row],[index_defensive_effort]],
  2
)</f>
        <v>1.35</v>
      </c>
    </row>
    <row r="3096" spans="1:37" x14ac:dyDescent="0.25">
      <c r="A3096" t="s">
        <v>834</v>
      </c>
      <c r="B3096" t="s">
        <v>835</v>
      </c>
      <c r="C3096">
        <v>23</v>
      </c>
      <c r="D3096" t="s">
        <v>22</v>
      </c>
      <c r="E3096">
        <v>72</v>
      </c>
      <c r="F3096">
        <v>208</v>
      </c>
      <c r="G3096" t="s">
        <v>355</v>
      </c>
      <c r="H3096">
        <v>2020</v>
      </c>
      <c r="I3096" t="s">
        <v>33</v>
      </c>
      <c r="J3096">
        <v>7</v>
      </c>
      <c r="K3096">
        <v>2</v>
      </c>
      <c r="L3096">
        <v>5</v>
      </c>
      <c r="M3096">
        <v>0</v>
      </c>
      <c r="N3096">
        <v>5</v>
      </c>
      <c r="O3096">
        <v>0</v>
      </c>
      <c r="P3096">
        <v>0</v>
      </c>
      <c r="Q3096">
        <v>2</v>
      </c>
      <c r="R3096">
        <v>0</v>
      </c>
      <c r="S3096">
        <v>69</v>
      </c>
      <c r="T3096">
        <v>63</v>
      </c>
      <c r="U3096" s="5">
        <f>IF(Merge1[[#This Row],[team_defense_snaps]]=0, "", Merge1[[#This Row],[defense_snaps]] / Merge1[[#This Row],[team_defense_snaps]])</f>
        <v>1</v>
      </c>
      <c r="V3096">
        <v>63</v>
      </c>
      <c r="W3096">
        <v>6</v>
      </c>
      <c r="X3096" s="5" t="s">
        <v>133</v>
      </c>
      <c r="Y3096">
        <v>1</v>
      </c>
      <c r="Z3096">
        <v>0</v>
      </c>
      <c r="AA3096" t="s">
        <v>25</v>
      </c>
      <c r="AB3096" t="s">
        <v>26</v>
      </c>
      <c r="AC3096" t="s">
        <v>27</v>
      </c>
      <c r="AD3096" t="s">
        <v>42</v>
      </c>
      <c r="AE3096" t="s">
        <v>25</v>
      </c>
      <c r="AF30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0.18115942028985507</v>
      </c>
      <c r="AH3096">
        <v>67</v>
      </c>
      <c r="AI3096" t="s">
        <v>939</v>
      </c>
      <c r="AJ3096">
        <v>7</v>
      </c>
      <c r="AK30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MIN(AJ3096/8, 1) +
  Merge1[[#This Row],[index_defensive_effort]],
  2
)</f>
        <v>1.56</v>
      </c>
    </row>
    <row r="3097" spans="1:37" x14ac:dyDescent="0.25">
      <c r="A3097" t="s">
        <v>834</v>
      </c>
      <c r="B3097" t="s">
        <v>835</v>
      </c>
      <c r="C3097">
        <v>23</v>
      </c>
      <c r="D3097" t="s">
        <v>22</v>
      </c>
      <c r="E3097">
        <v>72</v>
      </c>
      <c r="F3097">
        <v>208</v>
      </c>
      <c r="G3097" t="s">
        <v>355</v>
      </c>
      <c r="H3097">
        <v>2020</v>
      </c>
      <c r="I3097" t="s">
        <v>33</v>
      </c>
      <c r="J3097">
        <v>8</v>
      </c>
      <c r="K3097">
        <v>3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2</v>
      </c>
      <c r="S3097">
        <v>53</v>
      </c>
      <c r="T3097">
        <v>49</v>
      </c>
      <c r="U3097" s="5">
        <f>IF(Merge1[[#This Row],[team_defense_snaps]]=0, "", Merge1[[#This Row],[defense_snaps]] / Merge1[[#This Row],[team_defense_snaps]])</f>
        <v>0.98</v>
      </c>
      <c r="V3097">
        <v>50</v>
      </c>
      <c r="W3097">
        <v>4</v>
      </c>
      <c r="X3097" s="5" t="s">
        <v>251</v>
      </c>
      <c r="Y3097">
        <v>1</v>
      </c>
      <c r="Z3097">
        <v>0</v>
      </c>
      <c r="AA3097" t="s">
        <v>25</v>
      </c>
      <c r="AB3097" t="s">
        <v>26</v>
      </c>
      <c r="AC3097" t="s">
        <v>27</v>
      </c>
      <c r="AD3097" t="s">
        <v>42</v>
      </c>
      <c r="AE3097" t="s">
        <v>25</v>
      </c>
      <c r="AF30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0.13207547169811321</v>
      </c>
      <c r="AH3097">
        <v>59.5</v>
      </c>
      <c r="AI3097" t="s">
        <v>939</v>
      </c>
      <c r="AJ3097">
        <v>8</v>
      </c>
      <c r="AK30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MIN(AJ3097/8, 1) +
  Merge1[[#This Row],[index_defensive_effort]],
  2
)</f>
        <v>1.63</v>
      </c>
    </row>
    <row r="3098" spans="1:37" x14ac:dyDescent="0.25">
      <c r="A3098" t="s">
        <v>834</v>
      </c>
      <c r="B3098" t="s">
        <v>835</v>
      </c>
      <c r="C3098">
        <v>23</v>
      </c>
      <c r="D3098" t="s">
        <v>22</v>
      </c>
      <c r="E3098">
        <v>72</v>
      </c>
      <c r="F3098">
        <v>208</v>
      </c>
      <c r="G3098" t="s">
        <v>355</v>
      </c>
      <c r="H3098">
        <v>2020</v>
      </c>
      <c r="I3098" t="s">
        <v>33</v>
      </c>
      <c r="J3098">
        <v>10</v>
      </c>
      <c r="K3098">
        <v>1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14</v>
      </c>
      <c r="T3098">
        <v>12</v>
      </c>
      <c r="U3098" s="5">
        <f>IF(Merge1[[#This Row],[team_defense_snaps]]=0, "", Merge1[[#This Row],[defense_snaps]] / Merge1[[#This Row],[team_defense_snaps]])</f>
        <v>0.17910447761194029</v>
      </c>
      <c r="V3098">
        <v>67</v>
      </c>
      <c r="W3098">
        <v>2</v>
      </c>
      <c r="X3098" s="5" t="s">
        <v>167</v>
      </c>
      <c r="Y3098">
        <v>1</v>
      </c>
      <c r="Z3098">
        <v>0</v>
      </c>
      <c r="AA3098" t="s">
        <v>25</v>
      </c>
      <c r="AB3098" t="s">
        <v>26</v>
      </c>
      <c r="AC3098" t="s">
        <v>27</v>
      </c>
      <c r="AD3098" t="s">
        <v>42</v>
      </c>
      <c r="AE3098" t="s">
        <v>25</v>
      </c>
      <c r="AF30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H3098">
        <v>68.5</v>
      </c>
      <c r="AI3098" t="s">
        <v>939</v>
      </c>
      <c r="AJ3098">
        <v>1</v>
      </c>
      <c r="AK30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MIN(AJ3098/8, 1) +
  Merge1[[#This Row],[index_defensive_effort]],
  2
)</f>
        <v>0.7</v>
      </c>
    </row>
    <row r="3099" spans="1:37" x14ac:dyDescent="0.25">
      <c r="A3099" t="s">
        <v>840</v>
      </c>
      <c r="B3099" t="s">
        <v>841</v>
      </c>
      <c r="C3099">
        <v>25</v>
      </c>
      <c r="D3099" t="s">
        <v>22</v>
      </c>
      <c r="E3099">
        <v>72</v>
      </c>
      <c r="F3099">
        <v>204</v>
      </c>
      <c r="G3099" t="s">
        <v>86</v>
      </c>
      <c r="H3099">
        <v>2020</v>
      </c>
      <c r="I3099" t="s">
        <v>33</v>
      </c>
      <c r="J3099">
        <v>1</v>
      </c>
      <c r="K3099">
        <v>2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21</v>
      </c>
      <c r="T3099">
        <v>21</v>
      </c>
      <c r="U3099" s="5">
        <f>IF(Merge1[[#This Row],[team_defense_snaps]]=0, "", Merge1[[#This Row],[defense_snaps]] / Merge1[[#This Row],[team_defense_snaps]])</f>
        <v>0.3559322033898305</v>
      </c>
      <c r="V3099">
        <v>59</v>
      </c>
      <c r="W3099">
        <v>0</v>
      </c>
      <c r="X3099" s="5" t="s">
        <v>29</v>
      </c>
      <c r="Y3099">
        <v>3</v>
      </c>
      <c r="Z3099">
        <v>0</v>
      </c>
      <c r="AA3099" t="s">
        <v>25</v>
      </c>
      <c r="AB3099" t="s">
        <v>26</v>
      </c>
      <c r="AC3099" t="s">
        <v>27</v>
      </c>
      <c r="AD3099" t="s">
        <v>204</v>
      </c>
      <c r="AE3099" t="s">
        <v>25</v>
      </c>
      <c r="AF30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9.5238095238095233E-2</v>
      </c>
      <c r="AG3099" t="s">
        <v>941</v>
      </c>
      <c r="AH3099">
        <v>80</v>
      </c>
      <c r="AI3099" t="s">
        <v>939</v>
      </c>
      <c r="AJ3099">
        <v>1</v>
      </c>
      <c r="AK30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MIN(AJ3099/8, 1) +
  Merge1[[#This Row],[index_defensive_effort]],
  2
)</f>
        <v>0.72</v>
      </c>
    </row>
    <row r="3100" spans="1:37" x14ac:dyDescent="0.25">
      <c r="A3100" t="s">
        <v>840</v>
      </c>
      <c r="B3100" t="s">
        <v>841</v>
      </c>
      <c r="C3100">
        <v>25</v>
      </c>
      <c r="D3100" t="s">
        <v>22</v>
      </c>
      <c r="E3100">
        <v>72</v>
      </c>
      <c r="F3100">
        <v>204</v>
      </c>
      <c r="G3100" t="s">
        <v>86</v>
      </c>
      <c r="H3100">
        <v>2020</v>
      </c>
      <c r="I3100" t="s">
        <v>33</v>
      </c>
      <c r="J3100">
        <v>2</v>
      </c>
      <c r="K3100">
        <v>2</v>
      </c>
      <c r="L3100">
        <v>1</v>
      </c>
      <c r="M3100">
        <v>0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16</v>
      </c>
      <c r="T3100">
        <v>16</v>
      </c>
      <c r="U3100" s="5">
        <f>IF(Merge1[[#This Row],[team_defense_snaps]]=0, "", Merge1[[#This Row],[defense_snaps]] / Merge1[[#This Row],[team_defense_snaps]])</f>
        <v>0.19047619047619047</v>
      </c>
      <c r="V3100">
        <v>84</v>
      </c>
      <c r="W3100">
        <v>0</v>
      </c>
      <c r="X3100" s="5" t="s">
        <v>29</v>
      </c>
      <c r="Y3100">
        <v>3</v>
      </c>
      <c r="Z3100">
        <v>0</v>
      </c>
      <c r="AA3100" t="s">
        <v>25</v>
      </c>
      <c r="AB3100" t="s">
        <v>26</v>
      </c>
      <c r="AC3100" t="s">
        <v>27</v>
      </c>
      <c r="AD3100" t="s">
        <v>204</v>
      </c>
      <c r="AE3100" t="s">
        <v>25</v>
      </c>
      <c r="AF31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0.15625</v>
      </c>
      <c r="AG3100" t="s">
        <v>941</v>
      </c>
      <c r="AH3100">
        <v>77</v>
      </c>
      <c r="AI3100" t="s">
        <v>939</v>
      </c>
      <c r="AJ3100">
        <v>2</v>
      </c>
      <c r="AK31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MIN(AJ3100/8, 1) +
  Merge1[[#This Row],[index_defensive_effort]],
  2
)</f>
        <v>0.91</v>
      </c>
    </row>
    <row r="3101" spans="1:37" x14ac:dyDescent="0.25">
      <c r="A3101" t="s">
        <v>840</v>
      </c>
      <c r="B3101" t="s">
        <v>841</v>
      </c>
      <c r="C3101">
        <v>25</v>
      </c>
      <c r="D3101" t="s">
        <v>22</v>
      </c>
      <c r="E3101">
        <v>72</v>
      </c>
      <c r="F3101">
        <v>204</v>
      </c>
      <c r="G3101" t="s">
        <v>86</v>
      </c>
      <c r="H3101">
        <v>2020</v>
      </c>
      <c r="I3101" t="s">
        <v>33</v>
      </c>
      <c r="J3101">
        <v>3</v>
      </c>
      <c r="K3101">
        <v>2</v>
      </c>
      <c r="L3101">
        <v>1</v>
      </c>
      <c r="M3101">
        <v>0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20</v>
      </c>
      <c r="T3101">
        <v>20</v>
      </c>
      <c r="U3101" s="5">
        <f>IF(Merge1[[#This Row],[team_defense_snaps]]=0, "", Merge1[[#This Row],[defense_snaps]] / Merge1[[#This Row],[team_defense_snaps]])</f>
        <v>0.35714285714285715</v>
      </c>
      <c r="V3101">
        <v>56</v>
      </c>
      <c r="W3101">
        <v>0</v>
      </c>
      <c r="X3101" s="5" t="s">
        <v>29</v>
      </c>
      <c r="Y3101">
        <v>3</v>
      </c>
      <c r="Z3101">
        <v>0</v>
      </c>
      <c r="AA3101" t="s">
        <v>25</v>
      </c>
      <c r="AB3101" t="s">
        <v>26</v>
      </c>
      <c r="AC3101" t="s">
        <v>27</v>
      </c>
      <c r="AD3101" t="s">
        <v>204</v>
      </c>
      <c r="AE3101" t="s">
        <v>25</v>
      </c>
      <c r="AF31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3101" t="s">
        <v>941</v>
      </c>
      <c r="AH3101">
        <v>78.5</v>
      </c>
      <c r="AI3101" t="s">
        <v>939</v>
      </c>
      <c r="AJ3101">
        <v>3</v>
      </c>
      <c r="AK31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MIN(AJ3101/8, 1) +
  Merge1[[#This Row],[index_defensive_effort]],
  2
)</f>
        <v>1</v>
      </c>
    </row>
    <row r="3102" spans="1:37" x14ac:dyDescent="0.25">
      <c r="A3102" t="s">
        <v>840</v>
      </c>
      <c r="B3102" t="s">
        <v>841</v>
      </c>
      <c r="C3102">
        <v>25</v>
      </c>
      <c r="D3102" t="s">
        <v>22</v>
      </c>
      <c r="E3102">
        <v>72</v>
      </c>
      <c r="F3102">
        <v>204</v>
      </c>
      <c r="G3102" t="s">
        <v>86</v>
      </c>
      <c r="H3102">
        <v>2020</v>
      </c>
      <c r="I3102" t="s">
        <v>33</v>
      </c>
      <c r="J3102">
        <v>4</v>
      </c>
      <c r="K3102">
        <v>2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14</v>
      </c>
      <c r="T3102">
        <v>14</v>
      </c>
      <c r="U3102" s="5">
        <f>IF(Merge1[[#This Row],[team_defense_snaps]]=0, "", Merge1[[#This Row],[defense_snaps]] / Merge1[[#This Row],[team_defense_snaps]])</f>
        <v>0.18421052631578946</v>
      </c>
      <c r="V3102">
        <v>76</v>
      </c>
      <c r="W3102">
        <v>0</v>
      </c>
      <c r="X3102" s="5" t="s">
        <v>29</v>
      </c>
      <c r="Y3102">
        <v>3</v>
      </c>
      <c r="Z3102">
        <v>0</v>
      </c>
      <c r="AA3102" t="s">
        <v>25</v>
      </c>
      <c r="AB3102" t="s">
        <v>26</v>
      </c>
      <c r="AC3102" t="s">
        <v>27</v>
      </c>
      <c r="AD3102" t="s">
        <v>204</v>
      </c>
      <c r="AE3102" t="s">
        <v>25</v>
      </c>
      <c r="AF31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0.14285714285714285</v>
      </c>
      <c r="AG3102" t="s">
        <v>941</v>
      </c>
      <c r="AH3102">
        <v>71</v>
      </c>
      <c r="AI3102" t="s">
        <v>939</v>
      </c>
      <c r="AJ3102">
        <v>4</v>
      </c>
      <c r="AK31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MIN(AJ3102/8, 1) +
  Merge1[[#This Row],[index_defensive_effort]],
  2
)</f>
        <v>1.1399999999999999</v>
      </c>
    </row>
    <row r="3103" spans="1:37" x14ac:dyDescent="0.25">
      <c r="A3103" t="s">
        <v>840</v>
      </c>
      <c r="B3103" t="s">
        <v>841</v>
      </c>
      <c r="C3103">
        <v>25</v>
      </c>
      <c r="D3103" t="s">
        <v>22</v>
      </c>
      <c r="E3103">
        <v>72</v>
      </c>
      <c r="F3103">
        <v>204</v>
      </c>
      <c r="G3103" t="s">
        <v>86</v>
      </c>
      <c r="H3103">
        <v>2020</v>
      </c>
      <c r="I3103" t="s">
        <v>33</v>
      </c>
      <c r="J3103">
        <v>7</v>
      </c>
      <c r="K3103">
        <v>1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17</v>
      </c>
      <c r="T3103">
        <v>17</v>
      </c>
      <c r="U3103" s="5">
        <f>IF(Merge1[[#This Row],[team_defense_snaps]]=0, "", Merge1[[#This Row],[defense_snaps]] / Merge1[[#This Row],[team_defense_snaps]])</f>
        <v>0.21249999999999999</v>
      </c>
      <c r="V3103">
        <v>80</v>
      </c>
      <c r="W3103">
        <v>0</v>
      </c>
      <c r="X3103" s="5" t="s">
        <v>29</v>
      </c>
      <c r="Y3103">
        <v>3</v>
      </c>
      <c r="Z3103">
        <v>0</v>
      </c>
      <c r="AA3103" t="s">
        <v>25</v>
      </c>
      <c r="AB3103" t="s">
        <v>26</v>
      </c>
      <c r="AC3103" t="s">
        <v>27</v>
      </c>
      <c r="AD3103" t="s">
        <v>204</v>
      </c>
      <c r="AE3103" t="s">
        <v>25</v>
      </c>
      <c r="AF31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AG3103" t="s">
        <v>941</v>
      </c>
      <c r="AH3103">
        <v>75.5</v>
      </c>
      <c r="AI3103" t="s">
        <v>939</v>
      </c>
      <c r="AJ3103">
        <v>1</v>
      </c>
      <c r="AK31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MIN(AJ3103/8, 1) +
  Merge1[[#This Row],[index_defensive_effort]],
  2
)</f>
        <v>0.68</v>
      </c>
    </row>
    <row r="3104" spans="1:37" x14ac:dyDescent="0.25">
      <c r="A3104" t="s">
        <v>826</v>
      </c>
      <c r="B3104" t="s">
        <v>827</v>
      </c>
      <c r="C3104">
        <v>28</v>
      </c>
      <c r="D3104" t="s">
        <v>56</v>
      </c>
      <c r="E3104">
        <v>71</v>
      </c>
      <c r="F3104">
        <v>191</v>
      </c>
      <c r="G3104" t="s">
        <v>47</v>
      </c>
      <c r="H3104">
        <v>2020</v>
      </c>
      <c r="I3104" t="s">
        <v>33</v>
      </c>
      <c r="J3104">
        <v>1</v>
      </c>
      <c r="K3104">
        <v>3</v>
      </c>
      <c r="L3104">
        <v>1</v>
      </c>
      <c r="M3104">
        <v>0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59</v>
      </c>
      <c r="T3104">
        <v>59</v>
      </c>
      <c r="U3104" s="5">
        <f>IF(Merge1[[#This Row],[team_defense_snaps]]=0, "", Merge1[[#This Row],[defense_snaps]] / Merge1[[#This Row],[team_defense_snaps]])</f>
        <v>0.98333333333333328</v>
      </c>
      <c r="V3104">
        <v>60</v>
      </c>
      <c r="W3104">
        <v>0</v>
      </c>
      <c r="X3104" s="5" t="s">
        <v>29</v>
      </c>
      <c r="Y3104">
        <v>6</v>
      </c>
      <c r="Z3104">
        <v>0</v>
      </c>
      <c r="AA3104" t="s">
        <v>25</v>
      </c>
      <c r="AB3104" t="s">
        <v>26</v>
      </c>
      <c r="AC3104" t="s">
        <v>27</v>
      </c>
      <c r="AD3104" t="s">
        <v>42</v>
      </c>
      <c r="AE3104" t="s">
        <v>25</v>
      </c>
      <c r="AF31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5.9322033898305086E-2</v>
      </c>
      <c r="AG3104" t="s">
        <v>941</v>
      </c>
      <c r="AH3104">
        <v>53.5</v>
      </c>
      <c r="AI3104" t="s">
        <v>939</v>
      </c>
      <c r="AJ3104">
        <v>1</v>
      </c>
      <c r="AK31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MIN(AJ3104/8, 1) +
  Merge1[[#This Row],[index_defensive_effort]],
  2
)</f>
        <v>0.68</v>
      </c>
    </row>
    <row r="3105" spans="1:37" x14ac:dyDescent="0.25">
      <c r="A3105" t="s">
        <v>826</v>
      </c>
      <c r="B3105" t="s">
        <v>827</v>
      </c>
      <c r="C3105">
        <v>28</v>
      </c>
      <c r="D3105" t="s">
        <v>56</v>
      </c>
      <c r="E3105">
        <v>71</v>
      </c>
      <c r="F3105">
        <v>191</v>
      </c>
      <c r="G3105" t="s">
        <v>47</v>
      </c>
      <c r="H3105">
        <v>2020</v>
      </c>
      <c r="I3105" t="s">
        <v>33</v>
      </c>
      <c r="J3105">
        <v>2</v>
      </c>
      <c r="K3105">
        <v>1</v>
      </c>
      <c r="L3105">
        <v>1</v>
      </c>
      <c r="M3105">
        <v>0</v>
      </c>
      <c r="N3105">
        <v>1</v>
      </c>
      <c r="O3105">
        <v>0</v>
      </c>
      <c r="P3105">
        <v>1</v>
      </c>
      <c r="Q3105">
        <v>0</v>
      </c>
      <c r="R3105">
        <v>0</v>
      </c>
      <c r="S3105">
        <v>91</v>
      </c>
      <c r="T3105">
        <v>91</v>
      </c>
      <c r="U3105" s="5">
        <f>IF(Merge1[[#This Row],[team_defense_snaps]]=0, "", Merge1[[#This Row],[defense_snaps]] / Merge1[[#This Row],[team_defense_snaps]])</f>
        <v>0.98913043478260865</v>
      </c>
      <c r="V3105">
        <v>92</v>
      </c>
      <c r="W3105">
        <v>0</v>
      </c>
      <c r="X3105" s="5" t="s">
        <v>29</v>
      </c>
      <c r="Y3105">
        <v>6</v>
      </c>
      <c r="Z3105">
        <v>0</v>
      </c>
      <c r="AA3105" t="s">
        <v>25</v>
      </c>
      <c r="AB3105" t="s">
        <v>26</v>
      </c>
      <c r="AC3105" t="s">
        <v>27</v>
      </c>
      <c r="AD3105" t="s">
        <v>42</v>
      </c>
      <c r="AE3105" t="s">
        <v>25</v>
      </c>
      <c r="AF31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3.8461538461538464E-2</v>
      </c>
      <c r="AG3105" t="s">
        <v>941</v>
      </c>
      <c r="AH3105">
        <v>49</v>
      </c>
      <c r="AI3105" t="s">
        <v>939</v>
      </c>
      <c r="AJ3105">
        <v>2</v>
      </c>
      <c r="AK31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MIN(AJ3105/8, 1) +
  Merge1[[#This Row],[index_defensive_effort]],
  2
)</f>
        <v>0.79</v>
      </c>
    </row>
    <row r="3106" spans="1:37" x14ac:dyDescent="0.25">
      <c r="A3106" t="s">
        <v>826</v>
      </c>
      <c r="B3106" t="s">
        <v>827</v>
      </c>
      <c r="C3106">
        <v>28</v>
      </c>
      <c r="D3106" t="s">
        <v>56</v>
      </c>
      <c r="E3106">
        <v>71</v>
      </c>
      <c r="F3106">
        <v>191</v>
      </c>
      <c r="G3106" t="s">
        <v>47</v>
      </c>
      <c r="H3106">
        <v>2020</v>
      </c>
      <c r="I3106" t="s">
        <v>33</v>
      </c>
      <c r="J3106">
        <v>3</v>
      </c>
      <c r="K3106">
        <v>1</v>
      </c>
      <c r="L3106">
        <v>2</v>
      </c>
      <c r="M3106">
        <v>0</v>
      </c>
      <c r="N3106">
        <v>2</v>
      </c>
      <c r="O3106">
        <v>0</v>
      </c>
      <c r="P3106">
        <v>0</v>
      </c>
      <c r="Q3106">
        <v>0</v>
      </c>
      <c r="R3106">
        <v>2</v>
      </c>
      <c r="S3106">
        <v>64</v>
      </c>
      <c r="T3106">
        <v>64</v>
      </c>
      <c r="U3106" s="5">
        <f>IF(Merge1[[#This Row],[team_defense_snaps]]=0, "", Merge1[[#This Row],[defense_snaps]] / Merge1[[#This Row],[team_defense_snaps]])</f>
        <v>0.95522388059701491</v>
      </c>
      <c r="V3106">
        <v>67</v>
      </c>
      <c r="W3106">
        <v>0</v>
      </c>
      <c r="X3106" s="5" t="s">
        <v>29</v>
      </c>
      <c r="Y3106">
        <v>6</v>
      </c>
      <c r="Z3106">
        <v>0</v>
      </c>
      <c r="AA3106" t="s">
        <v>25</v>
      </c>
      <c r="AB3106" t="s">
        <v>26</v>
      </c>
      <c r="AC3106" t="s">
        <v>27</v>
      </c>
      <c r="AD3106" t="s">
        <v>42</v>
      </c>
      <c r="AE3106" t="s">
        <v>25</v>
      </c>
      <c r="AF31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9.375E-2</v>
      </c>
      <c r="AG3106" t="s">
        <v>941</v>
      </c>
      <c r="AH3106">
        <v>47.5</v>
      </c>
      <c r="AI3106" t="s">
        <v>939</v>
      </c>
      <c r="AJ3106">
        <v>3</v>
      </c>
      <c r="AK31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MIN(AJ3106/8, 1) +
  Merge1[[#This Row],[index_defensive_effort]],
  2
)</f>
        <v>0.97</v>
      </c>
    </row>
    <row r="3107" spans="1:37" x14ac:dyDescent="0.25">
      <c r="A3107" t="s">
        <v>826</v>
      </c>
      <c r="B3107" t="s">
        <v>827</v>
      </c>
      <c r="C3107">
        <v>28</v>
      </c>
      <c r="D3107" t="s">
        <v>56</v>
      </c>
      <c r="E3107">
        <v>71</v>
      </c>
      <c r="F3107">
        <v>191</v>
      </c>
      <c r="G3107" t="s">
        <v>47</v>
      </c>
      <c r="H3107">
        <v>2020</v>
      </c>
      <c r="I3107" t="s">
        <v>33</v>
      </c>
      <c r="J3107">
        <v>4</v>
      </c>
      <c r="K3107">
        <v>11</v>
      </c>
      <c r="L3107">
        <v>1</v>
      </c>
      <c r="M3107">
        <v>0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82</v>
      </c>
      <c r="T3107">
        <v>82</v>
      </c>
      <c r="U3107" s="5">
        <f>IF(Merge1[[#This Row],[team_defense_snaps]]=0, "", Merge1[[#This Row],[defense_snaps]] / Merge1[[#This Row],[team_defense_snaps]])</f>
        <v>0.96470588235294119</v>
      </c>
      <c r="V3107">
        <v>85</v>
      </c>
      <c r="W3107">
        <v>0</v>
      </c>
      <c r="X3107" s="5" t="s">
        <v>29</v>
      </c>
      <c r="Y3107">
        <v>6</v>
      </c>
      <c r="Z3107">
        <v>0</v>
      </c>
      <c r="AA3107" t="s">
        <v>25</v>
      </c>
      <c r="AB3107" t="s">
        <v>26</v>
      </c>
      <c r="AC3107" t="s">
        <v>27</v>
      </c>
      <c r="AD3107" t="s">
        <v>42</v>
      </c>
      <c r="AE3107" t="s">
        <v>25</v>
      </c>
      <c r="AF31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0.1402439024390244</v>
      </c>
      <c r="AG3107" t="s">
        <v>941</v>
      </c>
      <c r="AH3107">
        <v>50.5</v>
      </c>
      <c r="AI3107" t="s">
        <v>939</v>
      </c>
      <c r="AJ3107">
        <v>4</v>
      </c>
      <c r="AK31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MIN(AJ3107/8, 1) +
  Merge1[[#This Row],[index_defensive_effort]],
  2
)</f>
        <v>1.1399999999999999</v>
      </c>
    </row>
    <row r="3108" spans="1:37" x14ac:dyDescent="0.25">
      <c r="A3108" t="s">
        <v>826</v>
      </c>
      <c r="B3108" t="s">
        <v>827</v>
      </c>
      <c r="C3108">
        <v>28</v>
      </c>
      <c r="D3108" t="s">
        <v>56</v>
      </c>
      <c r="E3108">
        <v>71</v>
      </c>
      <c r="F3108">
        <v>191</v>
      </c>
      <c r="G3108" t="s">
        <v>47</v>
      </c>
      <c r="H3108">
        <v>2020</v>
      </c>
      <c r="I3108" t="s">
        <v>33</v>
      </c>
      <c r="J3108">
        <v>5</v>
      </c>
      <c r="K3108">
        <v>1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56</v>
      </c>
      <c r="T3108">
        <v>56</v>
      </c>
      <c r="U3108" s="5">
        <f>IF(Merge1[[#This Row],[team_defense_snaps]]=0, "", Merge1[[#This Row],[defense_snaps]] / Merge1[[#This Row],[team_defense_snaps]])</f>
        <v>1</v>
      </c>
      <c r="V3108">
        <v>56</v>
      </c>
      <c r="W3108">
        <v>0</v>
      </c>
      <c r="X3108" s="5" t="s">
        <v>29</v>
      </c>
      <c r="Y3108">
        <v>6</v>
      </c>
      <c r="Z3108">
        <v>0</v>
      </c>
      <c r="AA3108" t="s">
        <v>25</v>
      </c>
      <c r="AB3108" t="s">
        <v>26</v>
      </c>
      <c r="AC3108" t="s">
        <v>27</v>
      </c>
      <c r="AD3108" t="s">
        <v>42</v>
      </c>
      <c r="AE3108" t="s">
        <v>25</v>
      </c>
      <c r="AF31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1.7857142857142856E-2</v>
      </c>
      <c r="AG3108" t="s">
        <v>941</v>
      </c>
      <c r="AH3108">
        <v>46</v>
      </c>
      <c r="AI3108" t="s">
        <v>939</v>
      </c>
      <c r="AJ3108">
        <v>5</v>
      </c>
      <c r="AK31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MIN(AJ3108/8, 1) +
  Merge1[[#This Row],[index_defensive_effort]],
  2
)</f>
        <v>1.1399999999999999</v>
      </c>
    </row>
    <row r="3109" spans="1:37" x14ac:dyDescent="0.25">
      <c r="A3109" t="s">
        <v>826</v>
      </c>
      <c r="B3109" t="s">
        <v>827</v>
      </c>
      <c r="C3109">
        <v>28</v>
      </c>
      <c r="D3109" t="s">
        <v>56</v>
      </c>
      <c r="E3109">
        <v>71</v>
      </c>
      <c r="F3109">
        <v>191</v>
      </c>
      <c r="G3109" t="s">
        <v>47</v>
      </c>
      <c r="H3109">
        <v>2020</v>
      </c>
      <c r="I3109" t="s">
        <v>33</v>
      </c>
      <c r="J3109">
        <v>6</v>
      </c>
      <c r="K3109">
        <v>3</v>
      </c>
      <c r="L3109">
        <v>3</v>
      </c>
      <c r="M3109">
        <v>1</v>
      </c>
      <c r="N3109">
        <v>4</v>
      </c>
      <c r="O3109">
        <v>0</v>
      </c>
      <c r="P3109">
        <v>0</v>
      </c>
      <c r="Q3109">
        <v>0</v>
      </c>
      <c r="R3109">
        <v>0</v>
      </c>
      <c r="S3109">
        <v>64</v>
      </c>
      <c r="T3109">
        <v>64</v>
      </c>
      <c r="U3109" s="5">
        <f>IF(Merge1[[#This Row],[team_defense_snaps]]=0, "", Merge1[[#This Row],[defense_snaps]] / Merge1[[#This Row],[team_defense_snaps]])</f>
        <v>0.98461538461538467</v>
      </c>
      <c r="V3109">
        <v>65</v>
      </c>
      <c r="W3109">
        <v>0</v>
      </c>
      <c r="X3109" s="5" t="s">
        <v>29</v>
      </c>
      <c r="Y3109">
        <v>6</v>
      </c>
      <c r="Z3109">
        <v>0</v>
      </c>
      <c r="AA3109" t="s">
        <v>25</v>
      </c>
      <c r="AB3109" t="s">
        <v>26</v>
      </c>
      <c r="AC3109" t="s">
        <v>27</v>
      </c>
      <c r="AD3109" t="s">
        <v>42</v>
      </c>
      <c r="AE3109" t="s">
        <v>25</v>
      </c>
      <c r="AF31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7.8125E-2</v>
      </c>
      <c r="AG3109" t="s">
        <v>941</v>
      </c>
      <c r="AH3109">
        <v>70</v>
      </c>
      <c r="AI3109" t="s">
        <v>939</v>
      </c>
      <c r="AJ3109">
        <v>6</v>
      </c>
      <c r="AK31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MIN(AJ3109/8, 1) +
  Merge1[[#This Row],[index_defensive_effort]],
  2
)</f>
        <v>1.33</v>
      </c>
    </row>
    <row r="3110" spans="1:37" x14ac:dyDescent="0.25">
      <c r="A3110" t="s">
        <v>826</v>
      </c>
      <c r="B3110" t="s">
        <v>827</v>
      </c>
      <c r="C3110">
        <v>28</v>
      </c>
      <c r="D3110" t="s">
        <v>56</v>
      </c>
      <c r="E3110">
        <v>71</v>
      </c>
      <c r="F3110">
        <v>191</v>
      </c>
      <c r="G3110" t="s">
        <v>47</v>
      </c>
      <c r="H3110">
        <v>2020</v>
      </c>
      <c r="I3110" t="s">
        <v>33</v>
      </c>
      <c r="J3110">
        <v>7</v>
      </c>
      <c r="K3110">
        <v>3</v>
      </c>
      <c r="L3110">
        <v>1</v>
      </c>
      <c r="M3110">
        <v>1</v>
      </c>
      <c r="N3110">
        <v>2</v>
      </c>
      <c r="O3110">
        <v>0</v>
      </c>
      <c r="P3110">
        <v>1</v>
      </c>
      <c r="Q3110">
        <v>0</v>
      </c>
      <c r="R3110">
        <v>0</v>
      </c>
      <c r="S3110">
        <v>74</v>
      </c>
      <c r="T3110">
        <v>74</v>
      </c>
      <c r="U3110" s="5">
        <f>IF(Merge1[[#This Row],[team_defense_snaps]]=0, "", Merge1[[#This Row],[defense_snaps]] / Merge1[[#This Row],[team_defense_snaps]])</f>
        <v>0.97368421052631582</v>
      </c>
      <c r="V3110">
        <v>76</v>
      </c>
      <c r="W3110">
        <v>0</v>
      </c>
      <c r="X3110" s="5" t="s">
        <v>29</v>
      </c>
      <c r="Y3110">
        <v>6</v>
      </c>
      <c r="Z3110">
        <v>0</v>
      </c>
      <c r="AA3110" t="s">
        <v>25</v>
      </c>
      <c r="AB3110" t="s">
        <v>26</v>
      </c>
      <c r="AC3110" t="s">
        <v>27</v>
      </c>
      <c r="AD3110" t="s">
        <v>42</v>
      </c>
      <c r="AE3110" t="s">
        <v>25</v>
      </c>
      <c r="AF31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8.1081081081081086E-2</v>
      </c>
      <c r="AG3110" t="s">
        <v>941</v>
      </c>
      <c r="AH3110">
        <v>67</v>
      </c>
      <c r="AI3110" t="s">
        <v>939</v>
      </c>
      <c r="AJ3110">
        <v>7</v>
      </c>
      <c r="AK31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MIN(AJ3110/8, 1) +
  Merge1[[#This Row],[index_defensive_effort]],
  2
)</f>
        <v>1.46</v>
      </c>
    </row>
    <row r="3111" spans="1:37" x14ac:dyDescent="0.25">
      <c r="A3111" t="s">
        <v>826</v>
      </c>
      <c r="B3111" t="s">
        <v>827</v>
      </c>
      <c r="C3111">
        <v>28</v>
      </c>
      <c r="D3111" t="s">
        <v>56</v>
      </c>
      <c r="E3111">
        <v>71</v>
      </c>
      <c r="F3111">
        <v>191</v>
      </c>
      <c r="G3111" t="s">
        <v>47</v>
      </c>
      <c r="H3111">
        <v>2020</v>
      </c>
      <c r="I3111" t="s">
        <v>33</v>
      </c>
      <c r="J3111">
        <v>8</v>
      </c>
      <c r="K3111">
        <v>4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70</v>
      </c>
      <c r="T3111">
        <v>70</v>
      </c>
      <c r="U3111" s="5">
        <f>IF(Merge1[[#This Row],[team_defense_snaps]]=0, "", Merge1[[#This Row],[defense_snaps]] / Merge1[[#This Row],[team_defense_snaps]])</f>
        <v>0.93333333333333335</v>
      </c>
      <c r="V3111">
        <v>75</v>
      </c>
      <c r="W3111">
        <v>0</v>
      </c>
      <c r="X3111" s="5" t="s">
        <v>29</v>
      </c>
      <c r="Y3111">
        <v>6</v>
      </c>
      <c r="Z3111">
        <v>0</v>
      </c>
      <c r="AA3111" t="s">
        <v>25</v>
      </c>
      <c r="AB3111" t="s">
        <v>26</v>
      </c>
      <c r="AC3111" t="s">
        <v>27</v>
      </c>
      <c r="AD3111" t="s">
        <v>42</v>
      </c>
      <c r="AE3111" t="s">
        <v>25</v>
      </c>
      <c r="AF31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5.7142857142857141E-2</v>
      </c>
      <c r="AG3111" t="s">
        <v>941</v>
      </c>
      <c r="AH3111">
        <v>61</v>
      </c>
      <c r="AI3111" t="s">
        <v>939</v>
      </c>
      <c r="AJ3111">
        <v>8</v>
      </c>
      <c r="AK31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MIN(AJ3111/8, 1) +
  Merge1[[#This Row],[index_defensive_effort]],
  2
)</f>
        <v>1.56</v>
      </c>
    </row>
    <row r="3112" spans="1:37" x14ac:dyDescent="0.25">
      <c r="A3112" t="s">
        <v>826</v>
      </c>
      <c r="B3112" t="s">
        <v>827</v>
      </c>
      <c r="C3112">
        <v>28</v>
      </c>
      <c r="D3112" t="s">
        <v>56</v>
      </c>
      <c r="E3112">
        <v>71</v>
      </c>
      <c r="F3112">
        <v>191</v>
      </c>
      <c r="G3112" t="s">
        <v>47</v>
      </c>
      <c r="H3112">
        <v>2020</v>
      </c>
      <c r="I3112" t="s">
        <v>33</v>
      </c>
      <c r="J3112">
        <v>10</v>
      </c>
      <c r="K3112">
        <v>1</v>
      </c>
      <c r="L3112">
        <v>3</v>
      </c>
      <c r="M3112">
        <v>2</v>
      </c>
      <c r="N3112">
        <v>5</v>
      </c>
      <c r="O3112">
        <v>0</v>
      </c>
      <c r="P3112">
        <v>0</v>
      </c>
      <c r="Q3112">
        <v>0</v>
      </c>
      <c r="R3112">
        <v>0</v>
      </c>
      <c r="S3112">
        <v>57</v>
      </c>
      <c r="T3112">
        <v>57</v>
      </c>
      <c r="U3112" s="5">
        <f>IF(Merge1[[#This Row],[team_defense_snaps]]=0, "", Merge1[[#This Row],[defense_snaps]] / Merge1[[#This Row],[team_defense_snaps]])</f>
        <v>1</v>
      </c>
      <c r="V3112">
        <v>57</v>
      </c>
      <c r="W3112">
        <v>0</v>
      </c>
      <c r="X3112" s="5" t="s">
        <v>29</v>
      </c>
      <c r="Y3112">
        <v>6</v>
      </c>
      <c r="Z3112">
        <v>0</v>
      </c>
      <c r="AA3112" t="s">
        <v>25</v>
      </c>
      <c r="AB3112" t="s">
        <v>26</v>
      </c>
      <c r="AC3112" t="s">
        <v>27</v>
      </c>
      <c r="AD3112" t="s">
        <v>42</v>
      </c>
      <c r="AE3112" t="s">
        <v>25</v>
      </c>
      <c r="AF31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6.1403508771929821E-2</v>
      </c>
      <c r="AG3112" t="s">
        <v>941</v>
      </c>
      <c r="AH3112">
        <v>50</v>
      </c>
      <c r="AI3112" t="s">
        <v>939</v>
      </c>
      <c r="AJ3112">
        <v>1</v>
      </c>
      <c r="AK31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MIN(AJ3112/8, 1) +
  Merge1[[#This Row],[index_defensive_effort]],
  2
)</f>
        <v>0.69</v>
      </c>
    </row>
    <row r="3113" spans="1:37" x14ac:dyDescent="0.25">
      <c r="A3113" t="s">
        <v>826</v>
      </c>
      <c r="B3113" t="s">
        <v>827</v>
      </c>
      <c r="C3113">
        <v>28</v>
      </c>
      <c r="D3113" t="s">
        <v>56</v>
      </c>
      <c r="E3113">
        <v>71</v>
      </c>
      <c r="F3113">
        <v>191</v>
      </c>
      <c r="G3113" t="s">
        <v>47</v>
      </c>
      <c r="H3113">
        <v>2020</v>
      </c>
      <c r="I3113" t="s">
        <v>33</v>
      </c>
      <c r="J3113">
        <v>11</v>
      </c>
      <c r="K3113">
        <v>4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68</v>
      </c>
      <c r="T3113">
        <v>68</v>
      </c>
      <c r="U3113" s="5">
        <f>IF(Merge1[[#This Row],[team_defense_snaps]]=0, "", Merge1[[#This Row],[defense_snaps]] / Merge1[[#This Row],[team_defense_snaps]])</f>
        <v>0.98550724637681164</v>
      </c>
      <c r="V3113">
        <v>69</v>
      </c>
      <c r="W3113">
        <v>0</v>
      </c>
      <c r="X3113" s="5" t="s">
        <v>29</v>
      </c>
      <c r="Y3113">
        <v>6</v>
      </c>
      <c r="Z3113">
        <v>0</v>
      </c>
      <c r="AA3113" t="s">
        <v>25</v>
      </c>
      <c r="AB3113" t="s">
        <v>26</v>
      </c>
      <c r="AC3113" t="s">
        <v>27</v>
      </c>
      <c r="AD3113" t="s">
        <v>42</v>
      </c>
      <c r="AE3113" t="s">
        <v>25</v>
      </c>
      <c r="AF31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AG3113" t="s">
        <v>941</v>
      </c>
      <c r="AH3113">
        <v>65.5</v>
      </c>
      <c r="AI3113" t="s">
        <v>939</v>
      </c>
      <c r="AJ3113">
        <v>2</v>
      </c>
      <c r="AK31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MIN(AJ3113/8, 1) +
  Merge1[[#This Row],[index_defensive_effort]],
  2
)</f>
        <v>0.81</v>
      </c>
    </row>
    <row r="3114" spans="1:37" x14ac:dyDescent="0.25">
      <c r="A3114" t="s">
        <v>826</v>
      </c>
      <c r="B3114" t="s">
        <v>827</v>
      </c>
      <c r="C3114">
        <v>28</v>
      </c>
      <c r="D3114" t="s">
        <v>56</v>
      </c>
      <c r="E3114">
        <v>71</v>
      </c>
      <c r="F3114">
        <v>191</v>
      </c>
      <c r="G3114" t="s">
        <v>47</v>
      </c>
      <c r="H3114">
        <v>2020</v>
      </c>
      <c r="I3114" t="s">
        <v>33</v>
      </c>
      <c r="J3114">
        <v>12</v>
      </c>
      <c r="K3114">
        <v>7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65</v>
      </c>
      <c r="T3114">
        <v>65</v>
      </c>
      <c r="U3114" s="5">
        <f>IF(Merge1[[#This Row],[team_defense_snaps]]=0, "", Merge1[[#This Row],[defense_snaps]] / Merge1[[#This Row],[team_defense_snaps]])</f>
        <v>0.98484848484848486</v>
      </c>
      <c r="V3114">
        <v>66</v>
      </c>
      <c r="W3114">
        <v>0</v>
      </c>
      <c r="X3114" s="5" t="s">
        <v>29</v>
      </c>
      <c r="Y3114">
        <v>6</v>
      </c>
      <c r="Z3114">
        <v>0</v>
      </c>
      <c r="AA3114" t="s">
        <v>25</v>
      </c>
      <c r="AB3114" t="s">
        <v>26</v>
      </c>
      <c r="AC3114" t="s">
        <v>27</v>
      </c>
      <c r="AD3114" t="s">
        <v>42</v>
      </c>
      <c r="AE3114" t="s">
        <v>25</v>
      </c>
      <c r="AF31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0.1076923076923077</v>
      </c>
      <c r="AG3114" t="s">
        <v>941</v>
      </c>
      <c r="AH3114">
        <v>56.5</v>
      </c>
      <c r="AI3114" t="s">
        <v>939</v>
      </c>
      <c r="AJ3114">
        <v>3</v>
      </c>
      <c r="AK31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MIN(AJ3114/8, 1) +
  Merge1[[#This Row],[index_defensive_effort]],
  2
)</f>
        <v>0.98</v>
      </c>
    </row>
    <row r="3115" spans="1:37" x14ac:dyDescent="0.25">
      <c r="A3115" t="s">
        <v>826</v>
      </c>
      <c r="B3115" t="s">
        <v>827</v>
      </c>
      <c r="C3115">
        <v>28</v>
      </c>
      <c r="D3115" t="s">
        <v>56</v>
      </c>
      <c r="E3115">
        <v>71</v>
      </c>
      <c r="F3115">
        <v>191</v>
      </c>
      <c r="G3115" t="s">
        <v>47</v>
      </c>
      <c r="H3115">
        <v>2020</v>
      </c>
      <c r="I3115" t="s">
        <v>33</v>
      </c>
      <c r="J3115">
        <v>13</v>
      </c>
      <c r="K3115">
        <v>3</v>
      </c>
      <c r="L3115">
        <v>1</v>
      </c>
      <c r="M3115">
        <v>0</v>
      </c>
      <c r="N3115">
        <v>1</v>
      </c>
      <c r="O3115">
        <v>0</v>
      </c>
      <c r="P3115">
        <v>0</v>
      </c>
      <c r="Q3115">
        <v>0</v>
      </c>
      <c r="R3115">
        <v>2</v>
      </c>
      <c r="S3115">
        <v>72</v>
      </c>
      <c r="T3115">
        <v>72</v>
      </c>
      <c r="U3115" s="5">
        <f>IF(Merge1[[#This Row],[team_defense_snaps]]=0, "", Merge1[[#This Row],[defense_snaps]] / Merge1[[#This Row],[team_defense_snaps]])</f>
        <v>0.98630136986301364</v>
      </c>
      <c r="V3115">
        <v>73</v>
      </c>
      <c r="W3115">
        <v>0</v>
      </c>
      <c r="X3115" s="5" t="s">
        <v>29</v>
      </c>
      <c r="Y3115">
        <v>6</v>
      </c>
      <c r="Z3115">
        <v>0</v>
      </c>
      <c r="AA3115" t="s">
        <v>25</v>
      </c>
      <c r="AB3115" t="s">
        <v>26</v>
      </c>
      <c r="AC3115" t="s">
        <v>27</v>
      </c>
      <c r="AD3115" t="s">
        <v>42</v>
      </c>
      <c r="AE3115" t="s">
        <v>25</v>
      </c>
      <c r="AF31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0.10416666666666667</v>
      </c>
      <c r="AG3115" t="s">
        <v>941</v>
      </c>
      <c r="AH3115">
        <v>59.5</v>
      </c>
      <c r="AI3115" t="s">
        <v>939</v>
      </c>
      <c r="AJ3115">
        <v>4</v>
      </c>
      <c r="AK31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MIN(AJ3115/8, 1) +
  Merge1[[#This Row],[index_defensive_effort]],
  2
)</f>
        <v>1.1000000000000001</v>
      </c>
    </row>
    <row r="3116" spans="1:37" x14ac:dyDescent="0.25">
      <c r="A3116" t="s">
        <v>826</v>
      </c>
      <c r="B3116" t="s">
        <v>827</v>
      </c>
      <c r="C3116">
        <v>28</v>
      </c>
      <c r="D3116" t="s">
        <v>56</v>
      </c>
      <c r="E3116">
        <v>71</v>
      </c>
      <c r="F3116">
        <v>191</v>
      </c>
      <c r="G3116" t="s">
        <v>47</v>
      </c>
      <c r="H3116">
        <v>2020</v>
      </c>
      <c r="I3116" t="s">
        <v>33</v>
      </c>
      <c r="J3116">
        <v>14</v>
      </c>
      <c r="K3116">
        <v>3</v>
      </c>
      <c r="L3116">
        <v>1</v>
      </c>
      <c r="M3116">
        <v>0</v>
      </c>
      <c r="N3116">
        <v>1</v>
      </c>
      <c r="O3116">
        <v>0</v>
      </c>
      <c r="P3116">
        <v>0</v>
      </c>
      <c r="Q3116">
        <v>0</v>
      </c>
      <c r="R3116">
        <v>2</v>
      </c>
      <c r="S3116">
        <v>59</v>
      </c>
      <c r="T3116">
        <v>59</v>
      </c>
      <c r="U3116" s="5">
        <f>IF(Merge1[[#This Row],[team_defense_snaps]]=0, "", Merge1[[#This Row],[defense_snaps]] / Merge1[[#This Row],[team_defense_snaps]])</f>
        <v>0.96721311475409832</v>
      </c>
      <c r="V3116">
        <v>61</v>
      </c>
      <c r="W3116">
        <v>0</v>
      </c>
      <c r="X3116" s="5" t="s">
        <v>29</v>
      </c>
      <c r="Y3116">
        <v>6</v>
      </c>
      <c r="Z3116">
        <v>0</v>
      </c>
      <c r="AA3116" t="s">
        <v>25</v>
      </c>
      <c r="AB3116" t="s">
        <v>26</v>
      </c>
      <c r="AC3116" t="s">
        <v>27</v>
      </c>
      <c r="AD3116" t="s">
        <v>42</v>
      </c>
      <c r="AE3116" t="s">
        <v>25</v>
      </c>
      <c r="AF31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0.1271186440677966</v>
      </c>
      <c r="AG3116" t="s">
        <v>941</v>
      </c>
      <c r="AH3116">
        <v>52</v>
      </c>
      <c r="AI3116" t="s">
        <v>939</v>
      </c>
      <c r="AJ3116">
        <v>5</v>
      </c>
      <c r="AK31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MIN(AJ3116/8, 1) +
  Merge1[[#This Row],[index_defensive_effort]],
  2
)</f>
        <v>1.25</v>
      </c>
    </row>
    <row r="3117" spans="1:37" x14ac:dyDescent="0.25">
      <c r="A3117" t="s">
        <v>826</v>
      </c>
      <c r="B3117" t="s">
        <v>827</v>
      </c>
      <c r="C3117">
        <v>28</v>
      </c>
      <c r="D3117" t="s">
        <v>56</v>
      </c>
      <c r="E3117">
        <v>71</v>
      </c>
      <c r="F3117">
        <v>191</v>
      </c>
      <c r="G3117" t="s">
        <v>47</v>
      </c>
      <c r="H3117">
        <v>2020</v>
      </c>
      <c r="I3117" t="s">
        <v>33</v>
      </c>
      <c r="J3117">
        <v>15</v>
      </c>
      <c r="K3117">
        <v>0</v>
      </c>
      <c r="L3117">
        <v>1</v>
      </c>
      <c r="M3117">
        <v>0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54</v>
      </c>
      <c r="T3117">
        <v>54</v>
      </c>
      <c r="U3117" s="5">
        <f>IF(Merge1[[#This Row],[team_defense_snaps]]=0, "", Merge1[[#This Row],[defense_snaps]] / Merge1[[#This Row],[team_defense_snaps]])</f>
        <v>1</v>
      </c>
      <c r="V3117">
        <v>54</v>
      </c>
      <c r="W3117">
        <v>0</v>
      </c>
      <c r="X3117" s="5" t="s">
        <v>29</v>
      </c>
      <c r="Y3117">
        <v>6</v>
      </c>
      <c r="Z3117">
        <v>0</v>
      </c>
      <c r="AA3117" t="s">
        <v>25</v>
      </c>
      <c r="AB3117" t="s">
        <v>26</v>
      </c>
      <c r="AC3117" t="s">
        <v>27</v>
      </c>
      <c r="AD3117" t="s">
        <v>42</v>
      </c>
      <c r="AE3117" t="s">
        <v>25</v>
      </c>
      <c r="AF31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9.2592592592592587E-3</v>
      </c>
      <c r="AG3117" t="s">
        <v>941</v>
      </c>
      <c r="AH3117">
        <v>64</v>
      </c>
      <c r="AI3117" t="s">
        <v>939</v>
      </c>
      <c r="AJ3117">
        <v>6</v>
      </c>
      <c r="AK31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MIN(AJ3117/8, 1) +
  Merge1[[#This Row],[index_defensive_effort]],
  2
)</f>
        <v>1.26</v>
      </c>
    </row>
    <row r="3118" spans="1:37" x14ac:dyDescent="0.25">
      <c r="A3118" t="s">
        <v>826</v>
      </c>
      <c r="B3118" t="s">
        <v>827</v>
      </c>
      <c r="C3118">
        <v>28</v>
      </c>
      <c r="D3118" t="s">
        <v>56</v>
      </c>
      <c r="E3118">
        <v>71</v>
      </c>
      <c r="F3118">
        <v>191</v>
      </c>
      <c r="G3118" t="s">
        <v>47</v>
      </c>
      <c r="H3118">
        <v>2020</v>
      </c>
      <c r="I3118" t="s">
        <v>33</v>
      </c>
      <c r="J3118">
        <v>16</v>
      </c>
      <c r="K3118">
        <v>2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69</v>
      </c>
      <c r="T3118">
        <v>69</v>
      </c>
      <c r="U3118" s="5">
        <f>IF(Merge1[[#This Row],[team_defense_snaps]]=0, "", Merge1[[#This Row],[defense_snaps]] / Merge1[[#This Row],[team_defense_snaps]])</f>
        <v>0.971830985915493</v>
      </c>
      <c r="V3118">
        <v>71</v>
      </c>
      <c r="W3118">
        <v>0</v>
      </c>
      <c r="X3118" s="5" t="s">
        <v>29</v>
      </c>
      <c r="Y3118">
        <v>6</v>
      </c>
      <c r="Z3118">
        <v>0</v>
      </c>
      <c r="AA3118" t="s">
        <v>25</v>
      </c>
      <c r="AB3118" t="s">
        <v>26</v>
      </c>
      <c r="AC3118" t="s">
        <v>27</v>
      </c>
      <c r="AD3118" t="s">
        <v>42</v>
      </c>
      <c r="AE3118" t="s">
        <v>25</v>
      </c>
      <c r="AF31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2.8985507246376812E-2</v>
      </c>
      <c r="AG3118" t="s">
        <v>941</v>
      </c>
      <c r="AH3118">
        <v>55</v>
      </c>
      <c r="AI3118" t="s">
        <v>939</v>
      </c>
      <c r="AJ3118">
        <v>7</v>
      </c>
      <c r="AK31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MIN(AJ3118/8, 1) +
  Merge1[[#This Row],[index_defensive_effort]],
  2
)</f>
        <v>1.4</v>
      </c>
    </row>
    <row r="3119" spans="1:37" x14ac:dyDescent="0.25">
      <c r="A3119" t="s">
        <v>826</v>
      </c>
      <c r="B3119" t="s">
        <v>827</v>
      </c>
      <c r="C3119">
        <v>28</v>
      </c>
      <c r="D3119" t="s">
        <v>56</v>
      </c>
      <c r="E3119">
        <v>71</v>
      </c>
      <c r="F3119">
        <v>191</v>
      </c>
      <c r="G3119" t="s">
        <v>47</v>
      </c>
      <c r="H3119">
        <v>2020</v>
      </c>
      <c r="I3119" t="s">
        <v>33</v>
      </c>
      <c r="J3119">
        <v>17</v>
      </c>
      <c r="K3119">
        <v>5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67</v>
      </c>
      <c r="T3119">
        <v>67</v>
      </c>
      <c r="U3119" s="5">
        <f>IF(Merge1[[#This Row],[team_defense_snaps]]=0, "", Merge1[[#This Row],[defense_snaps]] / Merge1[[#This Row],[team_defense_snaps]])</f>
        <v>1</v>
      </c>
      <c r="V3119">
        <v>67</v>
      </c>
      <c r="W3119">
        <v>0</v>
      </c>
      <c r="X3119" s="5" t="s">
        <v>29</v>
      </c>
      <c r="Y3119">
        <v>6</v>
      </c>
      <c r="Z3119">
        <v>0</v>
      </c>
      <c r="AA3119" t="s">
        <v>25</v>
      </c>
      <c r="AB3119" t="s">
        <v>26</v>
      </c>
      <c r="AC3119" t="s">
        <v>27</v>
      </c>
      <c r="AD3119" t="s">
        <v>42</v>
      </c>
      <c r="AE3119" t="s">
        <v>25</v>
      </c>
      <c r="AF31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7.4626865671641784E-2</v>
      </c>
      <c r="AG3119" t="s">
        <v>941</v>
      </c>
      <c r="AH3119">
        <v>62.5</v>
      </c>
      <c r="AI3119" t="s">
        <v>939</v>
      </c>
      <c r="AJ3119">
        <v>8</v>
      </c>
      <c r="AK31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MIN(AJ3119/8, 1) +
  Merge1[[#This Row],[index_defensive_effort]],
  2
)</f>
        <v>1.57</v>
      </c>
    </row>
    <row r="3120" spans="1:37" x14ac:dyDescent="0.25">
      <c r="A3120" t="s">
        <v>826</v>
      </c>
      <c r="B3120" t="s">
        <v>827</v>
      </c>
      <c r="C3120">
        <v>28</v>
      </c>
      <c r="D3120" t="s">
        <v>56</v>
      </c>
      <c r="E3120">
        <v>71</v>
      </c>
      <c r="F3120">
        <v>191</v>
      </c>
      <c r="G3120" t="s">
        <v>47</v>
      </c>
      <c r="H3120">
        <v>2020</v>
      </c>
      <c r="I3120" t="s">
        <v>24</v>
      </c>
      <c r="J3120">
        <v>18</v>
      </c>
      <c r="K3120">
        <v>6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89</v>
      </c>
      <c r="T3120">
        <v>89</v>
      </c>
      <c r="U3120" s="5">
        <f>IF(Merge1[[#This Row],[team_defense_snaps]]=0, "", Merge1[[#This Row],[defense_snaps]] / Merge1[[#This Row],[team_defense_snaps]])</f>
        <v>0.96739130434782605</v>
      </c>
      <c r="V3120">
        <v>92</v>
      </c>
      <c r="W3120">
        <v>0</v>
      </c>
      <c r="X3120" s="5" t="s">
        <v>29</v>
      </c>
      <c r="Y3120">
        <v>6</v>
      </c>
      <c r="Z3120">
        <v>0</v>
      </c>
      <c r="AA3120" t="s">
        <v>25</v>
      </c>
      <c r="AB3120" t="s">
        <v>36</v>
      </c>
      <c r="AC3120" t="s">
        <v>272</v>
      </c>
      <c r="AD3120" t="s">
        <v>42</v>
      </c>
      <c r="AE3120" t="s">
        <v>25</v>
      </c>
      <c r="AF31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6.741573033707865E-2</v>
      </c>
      <c r="AG3120" t="s">
        <v>941</v>
      </c>
      <c r="AH3120">
        <v>68.5</v>
      </c>
      <c r="AI3120" t="s">
        <v>939</v>
      </c>
      <c r="AJ3120">
        <v>9</v>
      </c>
      <c r="AK31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MIN(AJ3120/8, 1) +
  Merge1[[#This Row],[index_defensive_effort]],
  2
)</f>
        <v>1.77</v>
      </c>
    </row>
    <row r="3121" spans="1:37" x14ac:dyDescent="0.25">
      <c r="A3121" t="s">
        <v>826</v>
      </c>
      <c r="B3121" t="s">
        <v>827</v>
      </c>
      <c r="C3121">
        <v>28</v>
      </c>
      <c r="D3121" t="s">
        <v>56</v>
      </c>
      <c r="E3121">
        <v>71</v>
      </c>
      <c r="F3121">
        <v>191</v>
      </c>
      <c r="G3121" t="s">
        <v>47</v>
      </c>
      <c r="H3121">
        <v>2020</v>
      </c>
      <c r="I3121" t="s">
        <v>24</v>
      </c>
      <c r="J3121">
        <v>19</v>
      </c>
      <c r="K3121">
        <v>4</v>
      </c>
      <c r="L3121">
        <v>3</v>
      </c>
      <c r="M3121">
        <v>0</v>
      </c>
      <c r="N3121">
        <v>3</v>
      </c>
      <c r="O3121">
        <v>0</v>
      </c>
      <c r="P3121">
        <v>0</v>
      </c>
      <c r="Q3121">
        <v>0</v>
      </c>
      <c r="R3121">
        <v>0</v>
      </c>
      <c r="S3121">
        <v>66</v>
      </c>
      <c r="T3121">
        <v>66</v>
      </c>
      <c r="U3121" s="5">
        <f>IF(Merge1[[#This Row],[team_defense_snaps]]=0, "", Merge1[[#This Row],[defense_snaps]] / Merge1[[#This Row],[team_defense_snaps]])</f>
        <v>0.9850746268656716</v>
      </c>
      <c r="V3121">
        <v>67</v>
      </c>
      <c r="W3121">
        <v>0</v>
      </c>
      <c r="X3121" s="5" t="s">
        <v>29</v>
      </c>
      <c r="Y3121">
        <v>6</v>
      </c>
      <c r="Z3121">
        <v>0</v>
      </c>
      <c r="AA3121" t="s">
        <v>25</v>
      </c>
      <c r="AB3121" t="s">
        <v>26</v>
      </c>
      <c r="AC3121" t="s">
        <v>27</v>
      </c>
      <c r="AD3121" t="s">
        <v>42</v>
      </c>
      <c r="AE3121" t="s">
        <v>25</v>
      </c>
      <c r="AF31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3121" t="s">
        <v>941</v>
      </c>
      <c r="AH3121">
        <v>50</v>
      </c>
      <c r="AI3121" t="s">
        <v>939</v>
      </c>
      <c r="AJ3121">
        <v>10</v>
      </c>
      <c r="AK31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MIN(AJ3121/8, 1) +
  Merge1[[#This Row],[index_defensive_effort]],
  2
)</f>
        <v>1.78</v>
      </c>
    </row>
    <row r="3122" spans="1:37" x14ac:dyDescent="0.25">
      <c r="A3122" t="s">
        <v>900</v>
      </c>
      <c r="B3122" t="s">
        <v>901</v>
      </c>
      <c r="C3122">
        <v>24</v>
      </c>
      <c r="D3122" t="s">
        <v>56</v>
      </c>
      <c r="E3122">
        <v>69</v>
      </c>
      <c r="F3122">
        <v>188</v>
      </c>
      <c r="G3122" t="s">
        <v>32</v>
      </c>
      <c r="H3122">
        <v>2020</v>
      </c>
      <c r="I3122" t="s">
        <v>33</v>
      </c>
      <c r="J3122">
        <v>8</v>
      </c>
      <c r="K3122">
        <v>2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17</v>
      </c>
      <c r="T3122">
        <v>17</v>
      </c>
      <c r="U3122" s="5">
        <f>IF(Merge1[[#This Row],[team_defense_snaps]]=0, "", Merge1[[#This Row],[defense_snaps]] / Merge1[[#This Row],[team_defense_snaps]])</f>
        <v>0.30909090909090908</v>
      </c>
      <c r="V3122">
        <v>55</v>
      </c>
      <c r="W3122">
        <v>0</v>
      </c>
      <c r="X3122" s="5">
        <v>0</v>
      </c>
      <c r="Y3122">
        <v>2</v>
      </c>
      <c r="AA3122" t="s">
        <v>25</v>
      </c>
      <c r="AB3122" t="s">
        <v>26</v>
      </c>
      <c r="AC3122" t="s">
        <v>27</v>
      </c>
      <c r="AD3122" t="s">
        <v>42</v>
      </c>
      <c r="AE3122" t="s">
        <v>25</v>
      </c>
      <c r="AF31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0.11764705882352941</v>
      </c>
      <c r="AG3122" t="s">
        <v>941</v>
      </c>
      <c r="AH3122">
        <v>61.5</v>
      </c>
      <c r="AI3122" t="s">
        <v>939</v>
      </c>
      <c r="AJ3122">
        <v>1</v>
      </c>
      <c r="AK31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MIN(AJ3122/8, 1) +
  Merge1[[#This Row],[index_defensive_effort]],
  2
)</f>
        <v>0.74</v>
      </c>
    </row>
    <row r="3123" spans="1:37" x14ac:dyDescent="0.25">
      <c r="A3123" t="s">
        <v>900</v>
      </c>
      <c r="B3123" t="s">
        <v>901</v>
      </c>
      <c r="C3123">
        <v>24</v>
      </c>
      <c r="D3123" t="s">
        <v>56</v>
      </c>
      <c r="E3123">
        <v>69</v>
      </c>
      <c r="F3123">
        <v>188</v>
      </c>
      <c r="G3123" t="s">
        <v>32</v>
      </c>
      <c r="H3123">
        <v>2020</v>
      </c>
      <c r="I3123" t="s">
        <v>33</v>
      </c>
      <c r="J3123">
        <v>9</v>
      </c>
      <c r="K3123">
        <v>3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60</v>
      </c>
      <c r="T3123">
        <v>60</v>
      </c>
      <c r="U3123" s="5">
        <f>IF(Merge1[[#This Row],[team_defense_snaps]]=0, "", Merge1[[#This Row],[defense_snaps]] / Merge1[[#This Row],[team_defense_snaps]])</f>
        <v>0.86956521739130432</v>
      </c>
      <c r="V3123">
        <v>69</v>
      </c>
      <c r="W3123">
        <v>0</v>
      </c>
      <c r="X3123" s="5">
        <v>0</v>
      </c>
      <c r="Y3123">
        <v>2</v>
      </c>
      <c r="AA3123" t="s">
        <v>25</v>
      </c>
      <c r="AB3123" t="s">
        <v>26</v>
      </c>
      <c r="AC3123" t="s">
        <v>27</v>
      </c>
      <c r="AD3123" t="s">
        <v>42</v>
      </c>
      <c r="AE3123" t="s">
        <v>25</v>
      </c>
      <c r="AF31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3123" t="s">
        <v>941</v>
      </c>
      <c r="AH3123">
        <v>60</v>
      </c>
      <c r="AI3123" t="s">
        <v>939</v>
      </c>
      <c r="AJ3123">
        <v>2</v>
      </c>
      <c r="AK31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MIN(AJ3123/8, 1) +
  Merge1[[#This Row],[index_defensive_effort]],
  2
)</f>
        <v>0.8</v>
      </c>
    </row>
    <row r="3124" spans="1:37" x14ac:dyDescent="0.25">
      <c r="A3124" t="s">
        <v>798</v>
      </c>
      <c r="B3124" t="s">
        <v>799</v>
      </c>
      <c r="C3124">
        <v>22</v>
      </c>
      <c r="D3124" t="s">
        <v>22</v>
      </c>
      <c r="E3124">
        <v>71</v>
      </c>
      <c r="F3124">
        <v>202</v>
      </c>
      <c r="G3124" t="s">
        <v>355</v>
      </c>
      <c r="H3124">
        <v>2020</v>
      </c>
      <c r="I3124" t="s">
        <v>33</v>
      </c>
      <c r="J3124">
        <v>3</v>
      </c>
      <c r="K3124">
        <v>1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28</v>
      </c>
      <c r="T3124">
        <v>9</v>
      </c>
      <c r="U3124" s="5">
        <f>IF(Merge1[[#This Row],[team_defense_snaps]]=0, "", Merge1[[#This Row],[defense_snaps]] / Merge1[[#This Row],[team_defense_snaps]])</f>
        <v>0.140625</v>
      </c>
      <c r="V3124">
        <v>64</v>
      </c>
      <c r="W3124">
        <v>19</v>
      </c>
      <c r="X3124" s="5" t="s">
        <v>49</v>
      </c>
      <c r="Y3124">
        <v>0</v>
      </c>
      <c r="Z3124">
        <v>0</v>
      </c>
      <c r="AA3124" t="s">
        <v>25</v>
      </c>
      <c r="AB3124" t="s">
        <v>26</v>
      </c>
      <c r="AC3124" t="s">
        <v>27</v>
      </c>
      <c r="AD3124" t="s">
        <v>28</v>
      </c>
      <c r="AE3124" t="s">
        <v>25</v>
      </c>
      <c r="AF31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3.5714285714285712E-2</v>
      </c>
      <c r="AH3124">
        <v>61</v>
      </c>
      <c r="AI3124" t="s">
        <v>939</v>
      </c>
      <c r="AJ3124">
        <v>1</v>
      </c>
      <c r="AK31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MIN(AJ3124/8, 1) +
  Merge1[[#This Row],[index_defensive_effort]],
  2
)</f>
        <v>0.66</v>
      </c>
    </row>
    <row r="3125" spans="1:37" x14ac:dyDescent="0.25">
      <c r="A3125" t="s">
        <v>798</v>
      </c>
      <c r="B3125" t="s">
        <v>799</v>
      </c>
      <c r="C3125">
        <v>22</v>
      </c>
      <c r="D3125" t="s">
        <v>22</v>
      </c>
      <c r="E3125">
        <v>71</v>
      </c>
      <c r="F3125">
        <v>202</v>
      </c>
      <c r="G3125" t="s">
        <v>355</v>
      </c>
      <c r="H3125">
        <v>2020</v>
      </c>
      <c r="I3125" t="s">
        <v>33</v>
      </c>
      <c r="J3125">
        <v>4</v>
      </c>
      <c r="K3125">
        <v>1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38</v>
      </c>
      <c r="T3125">
        <v>19</v>
      </c>
      <c r="U3125" s="5">
        <f>IF(Merge1[[#This Row],[team_defense_snaps]]=0, "", Merge1[[#This Row],[defense_snaps]] / Merge1[[#This Row],[team_defense_snaps]])</f>
        <v>0.27941176470588236</v>
      </c>
      <c r="V3125">
        <v>68</v>
      </c>
      <c r="W3125">
        <v>19</v>
      </c>
      <c r="X3125" s="5" t="s">
        <v>103</v>
      </c>
      <c r="Y3125">
        <v>0</v>
      </c>
      <c r="Z3125">
        <v>0</v>
      </c>
      <c r="AA3125" t="s">
        <v>25</v>
      </c>
      <c r="AB3125" t="s">
        <v>26</v>
      </c>
      <c r="AC3125" t="s">
        <v>27</v>
      </c>
      <c r="AD3125" t="s">
        <v>28</v>
      </c>
      <c r="AE3125" t="s">
        <v>25</v>
      </c>
      <c r="AF31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2.6315789473684209E-2</v>
      </c>
      <c r="AH3125">
        <v>65.5</v>
      </c>
      <c r="AI3125" t="s">
        <v>939</v>
      </c>
      <c r="AJ3125">
        <v>2</v>
      </c>
      <c r="AK31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MIN(AJ3125/8, 1) +
  Merge1[[#This Row],[index_defensive_effort]],
  2
)</f>
        <v>0.78</v>
      </c>
    </row>
    <row r="3126" spans="1:37" x14ac:dyDescent="0.25">
      <c r="A3126" t="s">
        <v>798</v>
      </c>
      <c r="B3126" t="s">
        <v>799</v>
      </c>
      <c r="C3126">
        <v>22</v>
      </c>
      <c r="D3126" t="s">
        <v>22</v>
      </c>
      <c r="E3126">
        <v>71</v>
      </c>
      <c r="F3126">
        <v>202</v>
      </c>
      <c r="G3126" t="s">
        <v>355</v>
      </c>
      <c r="H3126">
        <v>2020</v>
      </c>
      <c r="I3126" t="s">
        <v>33</v>
      </c>
      <c r="J3126">
        <v>6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33</v>
      </c>
      <c r="T3126">
        <v>9</v>
      </c>
      <c r="U3126" s="5">
        <f>IF(Merge1[[#This Row],[team_defense_snaps]]=0, "", Merge1[[#This Row],[defense_snaps]] / Merge1[[#This Row],[team_defense_snaps]])</f>
        <v>0.12</v>
      </c>
      <c r="V3126">
        <v>75</v>
      </c>
      <c r="W3126">
        <v>24</v>
      </c>
      <c r="X3126" s="5" t="s">
        <v>104</v>
      </c>
      <c r="Y3126">
        <v>0</v>
      </c>
      <c r="Z3126">
        <v>0</v>
      </c>
      <c r="AA3126" t="s">
        <v>25</v>
      </c>
      <c r="AB3126" t="s">
        <v>26</v>
      </c>
      <c r="AC3126" t="s">
        <v>27</v>
      </c>
      <c r="AD3126" t="s">
        <v>28</v>
      </c>
      <c r="AE3126" t="s">
        <v>25</v>
      </c>
      <c r="AF31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H3126">
        <v>67</v>
      </c>
      <c r="AI3126" t="s">
        <v>939</v>
      </c>
      <c r="AJ3126">
        <v>1</v>
      </c>
      <c r="AK31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MIN(AJ3126/8, 1) +
  Merge1[[#This Row],[index_defensive_effort]],
  2
)</f>
        <v>0.63</v>
      </c>
    </row>
    <row r="3127" spans="1:37" x14ac:dyDescent="0.25">
      <c r="A3127" t="s">
        <v>798</v>
      </c>
      <c r="B3127" t="s">
        <v>799</v>
      </c>
      <c r="C3127">
        <v>22</v>
      </c>
      <c r="D3127" t="s">
        <v>22</v>
      </c>
      <c r="E3127">
        <v>71</v>
      </c>
      <c r="F3127">
        <v>202</v>
      </c>
      <c r="G3127" t="s">
        <v>355</v>
      </c>
      <c r="H3127">
        <v>2020</v>
      </c>
      <c r="I3127" t="s">
        <v>33</v>
      </c>
      <c r="J3127">
        <v>7</v>
      </c>
      <c r="K3127">
        <v>2</v>
      </c>
      <c r="L3127">
        <v>1</v>
      </c>
      <c r="M3127">
        <v>0</v>
      </c>
      <c r="N3127">
        <v>1</v>
      </c>
      <c r="O3127">
        <v>0</v>
      </c>
      <c r="P3127">
        <v>1</v>
      </c>
      <c r="Q3127">
        <v>0</v>
      </c>
      <c r="R3127">
        <v>0</v>
      </c>
      <c r="S3127">
        <v>28</v>
      </c>
      <c r="T3127">
        <v>12</v>
      </c>
      <c r="U3127" s="5">
        <f>IF(Merge1[[#This Row],[team_defense_snaps]]=0, "", Merge1[[#This Row],[defense_snaps]] / Merge1[[#This Row],[team_defense_snaps]])</f>
        <v>0.19047619047619047</v>
      </c>
      <c r="V3127">
        <v>63</v>
      </c>
      <c r="W3127">
        <v>16</v>
      </c>
      <c r="X3127" s="5" t="s">
        <v>80</v>
      </c>
      <c r="Y3127">
        <v>0</v>
      </c>
      <c r="Z3127">
        <v>0</v>
      </c>
      <c r="AA3127" t="s">
        <v>25</v>
      </c>
      <c r="AB3127" t="s">
        <v>26</v>
      </c>
      <c r="AC3127" t="s">
        <v>27</v>
      </c>
      <c r="AD3127" t="s">
        <v>28</v>
      </c>
      <c r="AE3127" t="s">
        <v>25</v>
      </c>
      <c r="AF31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0.16071428571428573</v>
      </c>
      <c r="AH3127">
        <v>62.5</v>
      </c>
      <c r="AI3127" t="s">
        <v>939</v>
      </c>
      <c r="AJ3127">
        <v>2</v>
      </c>
      <c r="AK31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MIN(AJ3127/8, 1) +
  Merge1[[#This Row],[index_defensive_effort]],
  2
)</f>
        <v>0.91</v>
      </c>
    </row>
    <row r="3128" spans="1:37" x14ac:dyDescent="0.25">
      <c r="A3128" t="s">
        <v>806</v>
      </c>
      <c r="B3128" t="s">
        <v>807</v>
      </c>
      <c r="C3128">
        <v>23</v>
      </c>
      <c r="D3128" t="s">
        <v>22</v>
      </c>
      <c r="E3128">
        <v>73</v>
      </c>
      <c r="F3128">
        <v>217</v>
      </c>
      <c r="G3128" t="s">
        <v>74</v>
      </c>
      <c r="H3128">
        <v>2020</v>
      </c>
      <c r="I3128" t="s">
        <v>33</v>
      </c>
      <c r="J3128">
        <v>1</v>
      </c>
      <c r="K3128">
        <v>7</v>
      </c>
      <c r="L3128">
        <v>1</v>
      </c>
      <c r="M3128">
        <v>0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70</v>
      </c>
      <c r="T3128">
        <v>68</v>
      </c>
      <c r="U3128" s="5">
        <f>IF(Merge1[[#This Row],[team_defense_snaps]]=0, "", Merge1[[#This Row],[defense_snaps]] / Merge1[[#This Row],[team_defense_snaps]])</f>
        <v>0.98550724637681164</v>
      </c>
      <c r="V3128">
        <v>69</v>
      </c>
      <c r="W3128">
        <v>2</v>
      </c>
      <c r="X3128" s="5" t="s">
        <v>167</v>
      </c>
      <c r="Y3128">
        <v>2</v>
      </c>
      <c r="Z3128">
        <v>0</v>
      </c>
      <c r="AA3128" t="s">
        <v>25</v>
      </c>
      <c r="AB3128" t="s">
        <v>26</v>
      </c>
      <c r="AC3128" t="s">
        <v>27</v>
      </c>
      <c r="AD3128" t="s">
        <v>42</v>
      </c>
      <c r="AE3128" t="s">
        <v>25</v>
      </c>
      <c r="AF31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0.10714285714285714</v>
      </c>
      <c r="AG3128" t="s">
        <v>941</v>
      </c>
      <c r="AH3128">
        <v>50</v>
      </c>
      <c r="AI3128" t="s">
        <v>939</v>
      </c>
      <c r="AJ3128">
        <v>1</v>
      </c>
      <c r="AK31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MIN(AJ3128/8, 1) +
  Merge1[[#This Row],[index_defensive_effort]],
  2
)</f>
        <v>0.73</v>
      </c>
    </row>
    <row r="3129" spans="1:37" x14ac:dyDescent="0.25">
      <c r="A3129" t="s">
        <v>806</v>
      </c>
      <c r="B3129" t="s">
        <v>807</v>
      </c>
      <c r="C3129">
        <v>23</v>
      </c>
      <c r="D3129" t="s">
        <v>22</v>
      </c>
      <c r="E3129">
        <v>73</v>
      </c>
      <c r="F3129">
        <v>217</v>
      </c>
      <c r="G3129" t="s">
        <v>74</v>
      </c>
      <c r="H3129">
        <v>2020</v>
      </c>
      <c r="I3129" t="s">
        <v>33</v>
      </c>
      <c r="J3129">
        <v>1</v>
      </c>
      <c r="K3129">
        <v>7</v>
      </c>
      <c r="L3129">
        <v>1</v>
      </c>
      <c r="M3129">
        <v>0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70</v>
      </c>
      <c r="T3129">
        <v>68</v>
      </c>
      <c r="U3129" s="5">
        <f>IF(Merge1[[#This Row],[team_defense_snaps]]=0, "", Merge1[[#This Row],[defense_snaps]] / Merge1[[#This Row],[team_defense_snaps]])</f>
        <v>0.98550724637681164</v>
      </c>
      <c r="V3129">
        <v>69</v>
      </c>
      <c r="W3129">
        <v>2</v>
      </c>
      <c r="X3129" s="5" t="s">
        <v>167</v>
      </c>
      <c r="Y3129">
        <v>2</v>
      </c>
      <c r="Z3129">
        <v>0</v>
      </c>
      <c r="AA3129" t="s">
        <v>25</v>
      </c>
      <c r="AB3129" t="s">
        <v>26</v>
      </c>
      <c r="AC3129" t="s">
        <v>27</v>
      </c>
      <c r="AD3129" t="s">
        <v>42</v>
      </c>
      <c r="AE3129" t="s">
        <v>25</v>
      </c>
      <c r="AF31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0.10714285714285714</v>
      </c>
      <c r="AG3129" t="s">
        <v>941</v>
      </c>
      <c r="AH3129">
        <v>51.5</v>
      </c>
      <c r="AI3129" t="s">
        <v>939</v>
      </c>
      <c r="AJ3129">
        <v>1</v>
      </c>
      <c r="AK31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MIN(AJ3129/8, 1) +
  Merge1[[#This Row],[index_defensive_effort]],
  2
)</f>
        <v>0.73</v>
      </c>
    </row>
    <row r="3130" spans="1:37" x14ac:dyDescent="0.25">
      <c r="A3130" t="s">
        <v>806</v>
      </c>
      <c r="B3130" t="s">
        <v>807</v>
      </c>
      <c r="C3130">
        <v>23</v>
      </c>
      <c r="D3130" t="s">
        <v>22</v>
      </c>
      <c r="E3130">
        <v>73</v>
      </c>
      <c r="F3130">
        <v>217</v>
      </c>
      <c r="G3130" t="s">
        <v>74</v>
      </c>
      <c r="H3130">
        <v>2020</v>
      </c>
      <c r="I3130" t="s">
        <v>33</v>
      </c>
      <c r="J3130">
        <v>2</v>
      </c>
      <c r="K3130">
        <v>5</v>
      </c>
      <c r="L3130">
        <v>2</v>
      </c>
      <c r="M3130">
        <v>0</v>
      </c>
      <c r="N3130">
        <v>2</v>
      </c>
      <c r="O3130">
        <v>4</v>
      </c>
      <c r="P3130">
        <v>4</v>
      </c>
      <c r="Q3130">
        <v>0</v>
      </c>
      <c r="R3130">
        <v>0</v>
      </c>
      <c r="S3130">
        <v>74</v>
      </c>
      <c r="T3130">
        <v>71</v>
      </c>
      <c r="U3130" s="5">
        <f>IF(Merge1[[#This Row],[team_defense_snaps]]=0, "", Merge1[[#This Row],[defense_snaps]] / Merge1[[#This Row],[team_defense_snaps]])</f>
        <v>0.92207792207792205</v>
      </c>
      <c r="V3130">
        <v>77</v>
      </c>
      <c r="W3130">
        <v>3</v>
      </c>
      <c r="X3130" s="5" t="s">
        <v>38</v>
      </c>
      <c r="Y3130">
        <v>2</v>
      </c>
      <c r="Z3130">
        <v>0</v>
      </c>
      <c r="AA3130" t="s">
        <v>25</v>
      </c>
      <c r="AB3130" t="s">
        <v>26</v>
      </c>
      <c r="AC3130" t="s">
        <v>27</v>
      </c>
      <c r="AD3130" t="s">
        <v>42</v>
      </c>
      <c r="AE3130" t="s">
        <v>25</v>
      </c>
      <c r="AF31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0.35135135135135137</v>
      </c>
      <c r="AG3130" t="s">
        <v>941</v>
      </c>
      <c r="AH3130">
        <v>56</v>
      </c>
      <c r="AI3130" t="s">
        <v>939</v>
      </c>
      <c r="AJ3130">
        <v>2</v>
      </c>
      <c r="AK31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MIN(AJ3130/8, 1) +
  Merge1[[#This Row],[index_defensive_effort]],
  2
)</f>
        <v>1.1000000000000001</v>
      </c>
    </row>
    <row r="3131" spans="1:37" x14ac:dyDescent="0.25">
      <c r="A3131" t="s">
        <v>806</v>
      </c>
      <c r="B3131" t="s">
        <v>807</v>
      </c>
      <c r="C3131">
        <v>23</v>
      </c>
      <c r="D3131" t="s">
        <v>22</v>
      </c>
      <c r="E3131">
        <v>73</v>
      </c>
      <c r="F3131">
        <v>217</v>
      </c>
      <c r="G3131" t="s">
        <v>74</v>
      </c>
      <c r="H3131">
        <v>2020</v>
      </c>
      <c r="I3131" t="s">
        <v>33</v>
      </c>
      <c r="J3131">
        <v>2</v>
      </c>
      <c r="K3131">
        <v>5</v>
      </c>
      <c r="L3131">
        <v>2</v>
      </c>
      <c r="M3131">
        <v>0</v>
      </c>
      <c r="N3131">
        <v>2</v>
      </c>
      <c r="O3131">
        <v>4</v>
      </c>
      <c r="P3131">
        <v>4</v>
      </c>
      <c r="Q3131">
        <v>0</v>
      </c>
      <c r="R3131">
        <v>0</v>
      </c>
      <c r="S3131">
        <v>74</v>
      </c>
      <c r="T3131">
        <v>71</v>
      </c>
      <c r="U3131" s="5">
        <f>IF(Merge1[[#This Row],[team_defense_snaps]]=0, "", Merge1[[#This Row],[defense_snaps]] / Merge1[[#This Row],[team_defense_snaps]])</f>
        <v>0.92207792207792205</v>
      </c>
      <c r="V3131">
        <v>77</v>
      </c>
      <c r="W3131">
        <v>3</v>
      </c>
      <c r="X3131" s="5" t="s">
        <v>38</v>
      </c>
      <c r="Y3131">
        <v>2</v>
      </c>
      <c r="Z3131">
        <v>0</v>
      </c>
      <c r="AA3131" t="s">
        <v>25</v>
      </c>
      <c r="AB3131" t="s">
        <v>26</v>
      </c>
      <c r="AC3131" t="s">
        <v>27</v>
      </c>
      <c r="AD3131" t="s">
        <v>42</v>
      </c>
      <c r="AE3131" t="s">
        <v>25</v>
      </c>
      <c r="AF31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0.35135135135135137</v>
      </c>
      <c r="AG3131" t="s">
        <v>941</v>
      </c>
      <c r="AH3131">
        <v>71</v>
      </c>
      <c r="AI3131" t="s">
        <v>939</v>
      </c>
      <c r="AJ3131">
        <v>1</v>
      </c>
      <c r="AK31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MIN(AJ3131/8, 1) +
  Merge1[[#This Row],[index_defensive_effort]],
  2
)</f>
        <v>0.98</v>
      </c>
    </row>
    <row r="3132" spans="1:37" x14ac:dyDescent="0.25">
      <c r="A3132" t="s">
        <v>806</v>
      </c>
      <c r="B3132" t="s">
        <v>807</v>
      </c>
      <c r="C3132">
        <v>23</v>
      </c>
      <c r="D3132" t="s">
        <v>22</v>
      </c>
      <c r="E3132">
        <v>73</v>
      </c>
      <c r="F3132">
        <v>217</v>
      </c>
      <c r="G3132" t="s">
        <v>74</v>
      </c>
      <c r="H3132">
        <v>2020</v>
      </c>
      <c r="I3132" t="s">
        <v>33</v>
      </c>
      <c r="J3132">
        <v>3</v>
      </c>
      <c r="K3132">
        <v>4</v>
      </c>
      <c r="L3132">
        <v>0</v>
      </c>
      <c r="M3132">
        <v>0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50</v>
      </c>
      <c r="T3132">
        <v>47</v>
      </c>
      <c r="U3132" s="5">
        <f>IF(Merge1[[#This Row],[team_defense_snaps]]=0, "", Merge1[[#This Row],[defense_snaps]] / Merge1[[#This Row],[team_defense_snaps]])</f>
        <v>1</v>
      </c>
      <c r="V3132">
        <v>47</v>
      </c>
      <c r="W3132">
        <v>3</v>
      </c>
      <c r="X3132" s="5" t="s">
        <v>35</v>
      </c>
      <c r="Y3132">
        <v>2</v>
      </c>
      <c r="Z3132">
        <v>0</v>
      </c>
      <c r="AA3132" t="s">
        <v>25</v>
      </c>
      <c r="AB3132" t="s">
        <v>26</v>
      </c>
      <c r="AC3132" t="s">
        <v>27</v>
      </c>
      <c r="AD3132" t="s">
        <v>42</v>
      </c>
      <c r="AE3132" t="s">
        <v>25</v>
      </c>
      <c r="AF31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</v>
      </c>
      <c r="AG3132" t="s">
        <v>941</v>
      </c>
      <c r="AH3132">
        <v>56</v>
      </c>
      <c r="AI3132" t="s">
        <v>939</v>
      </c>
      <c r="AJ3132">
        <v>2</v>
      </c>
      <c r="AK31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MIN(AJ3132/8, 1) +
  Merge1[[#This Row],[index_defensive_effort]],
  2
)</f>
        <v>0.87</v>
      </c>
    </row>
    <row r="3133" spans="1:37" x14ac:dyDescent="0.25">
      <c r="A3133" t="s">
        <v>806</v>
      </c>
      <c r="B3133" t="s">
        <v>807</v>
      </c>
      <c r="C3133">
        <v>23</v>
      </c>
      <c r="D3133" t="s">
        <v>22</v>
      </c>
      <c r="E3133">
        <v>73</v>
      </c>
      <c r="F3133">
        <v>217</v>
      </c>
      <c r="G3133" t="s">
        <v>74</v>
      </c>
      <c r="H3133">
        <v>2020</v>
      </c>
      <c r="I3133" t="s">
        <v>33</v>
      </c>
      <c r="J3133">
        <v>3</v>
      </c>
      <c r="K3133">
        <v>4</v>
      </c>
      <c r="L3133">
        <v>0</v>
      </c>
      <c r="M3133">
        <v>0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50</v>
      </c>
      <c r="T3133">
        <v>47</v>
      </c>
      <c r="U3133" s="5">
        <f>IF(Merge1[[#This Row],[team_defense_snaps]]=0, "", Merge1[[#This Row],[defense_snaps]] / Merge1[[#This Row],[team_defense_snaps]])</f>
        <v>1</v>
      </c>
      <c r="V3133">
        <v>47</v>
      </c>
      <c r="W3133">
        <v>3</v>
      </c>
      <c r="X3133" s="5" t="s">
        <v>35</v>
      </c>
      <c r="Y3133">
        <v>2</v>
      </c>
      <c r="Z3133">
        <v>0</v>
      </c>
      <c r="AA3133" t="s">
        <v>25</v>
      </c>
      <c r="AB3133" t="s">
        <v>26</v>
      </c>
      <c r="AC3133" t="s">
        <v>27</v>
      </c>
      <c r="AD3133" t="s">
        <v>42</v>
      </c>
      <c r="AE3133" t="s">
        <v>25</v>
      </c>
      <c r="AF31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</v>
      </c>
      <c r="AG3133" t="s">
        <v>941</v>
      </c>
      <c r="AH3133">
        <v>48.5</v>
      </c>
      <c r="AI3133" t="s">
        <v>939</v>
      </c>
      <c r="AJ3133">
        <v>1</v>
      </c>
      <c r="AK31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MIN(AJ3133/8, 1) +
  Merge1[[#This Row],[index_defensive_effort]],
  2
)</f>
        <v>0.75</v>
      </c>
    </row>
    <row r="3134" spans="1:37" x14ac:dyDescent="0.25">
      <c r="A3134" t="s">
        <v>806</v>
      </c>
      <c r="B3134" t="s">
        <v>807</v>
      </c>
      <c r="C3134">
        <v>23</v>
      </c>
      <c r="D3134" t="s">
        <v>22</v>
      </c>
      <c r="E3134">
        <v>73</v>
      </c>
      <c r="F3134">
        <v>217</v>
      </c>
      <c r="G3134" t="s">
        <v>74</v>
      </c>
      <c r="H3134">
        <v>2020</v>
      </c>
      <c r="I3134" t="s">
        <v>33</v>
      </c>
      <c r="J3134">
        <v>5</v>
      </c>
      <c r="K3134">
        <v>4</v>
      </c>
      <c r="L3134">
        <v>1</v>
      </c>
      <c r="M3134">
        <v>1</v>
      </c>
      <c r="N3134">
        <v>2</v>
      </c>
      <c r="O3134">
        <v>0</v>
      </c>
      <c r="P3134">
        <v>0</v>
      </c>
      <c r="Q3134">
        <v>0</v>
      </c>
      <c r="R3134">
        <v>0</v>
      </c>
      <c r="S3134">
        <v>66</v>
      </c>
      <c r="T3134">
        <v>54</v>
      </c>
      <c r="U3134" s="5">
        <f>IF(Merge1[[#This Row],[team_defense_snaps]]=0, "", Merge1[[#This Row],[defense_snaps]] / Merge1[[#This Row],[team_defense_snaps]])</f>
        <v>0.9152542372881356</v>
      </c>
      <c r="V3134">
        <v>59</v>
      </c>
      <c r="W3134">
        <v>12</v>
      </c>
      <c r="X3134" s="5" t="s">
        <v>260</v>
      </c>
      <c r="Y3134">
        <v>2</v>
      </c>
      <c r="Z3134">
        <v>0</v>
      </c>
      <c r="AA3134" t="s">
        <v>25</v>
      </c>
      <c r="AB3134" t="s">
        <v>26</v>
      </c>
      <c r="AC3134" t="s">
        <v>27</v>
      </c>
      <c r="AD3134" t="s">
        <v>28</v>
      </c>
      <c r="AE3134" t="s">
        <v>25</v>
      </c>
      <c r="AF31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7.575757575757576E-2</v>
      </c>
      <c r="AG3134" t="s">
        <v>941</v>
      </c>
      <c r="AH3134">
        <v>50</v>
      </c>
      <c r="AI3134" t="s">
        <v>939</v>
      </c>
      <c r="AJ3134">
        <v>1</v>
      </c>
      <c r="AK31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MIN(AJ3134/8, 1) +
  Merge1[[#This Row],[index_defensive_effort]],
  2
)</f>
        <v>0.7</v>
      </c>
    </row>
    <row r="3135" spans="1:37" x14ac:dyDescent="0.25">
      <c r="A3135" t="s">
        <v>806</v>
      </c>
      <c r="B3135" t="s">
        <v>807</v>
      </c>
      <c r="C3135">
        <v>23</v>
      </c>
      <c r="D3135" t="s">
        <v>22</v>
      </c>
      <c r="E3135">
        <v>73</v>
      </c>
      <c r="F3135">
        <v>217</v>
      </c>
      <c r="G3135" t="s">
        <v>74</v>
      </c>
      <c r="H3135">
        <v>2020</v>
      </c>
      <c r="I3135" t="s">
        <v>33</v>
      </c>
      <c r="J3135">
        <v>5</v>
      </c>
      <c r="K3135">
        <v>4</v>
      </c>
      <c r="L3135">
        <v>1</v>
      </c>
      <c r="M3135">
        <v>1</v>
      </c>
      <c r="N3135">
        <v>2</v>
      </c>
      <c r="O3135">
        <v>0</v>
      </c>
      <c r="P3135">
        <v>0</v>
      </c>
      <c r="Q3135">
        <v>0</v>
      </c>
      <c r="R3135">
        <v>0</v>
      </c>
      <c r="S3135">
        <v>66</v>
      </c>
      <c r="T3135">
        <v>54</v>
      </c>
      <c r="U3135" s="5">
        <f>IF(Merge1[[#This Row],[team_defense_snaps]]=0, "", Merge1[[#This Row],[defense_snaps]] / Merge1[[#This Row],[team_defense_snaps]])</f>
        <v>0.9152542372881356</v>
      </c>
      <c r="V3135">
        <v>59</v>
      </c>
      <c r="W3135">
        <v>12</v>
      </c>
      <c r="X3135" s="5" t="s">
        <v>260</v>
      </c>
      <c r="Y3135">
        <v>2</v>
      </c>
      <c r="Z3135">
        <v>0</v>
      </c>
      <c r="AA3135" t="s">
        <v>25</v>
      </c>
      <c r="AB3135" t="s">
        <v>26</v>
      </c>
      <c r="AC3135" t="s">
        <v>27</v>
      </c>
      <c r="AD3135" t="s">
        <v>28</v>
      </c>
      <c r="AE3135" t="s">
        <v>25</v>
      </c>
      <c r="AF31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7.575757575757576E-2</v>
      </c>
      <c r="AG3135" t="s">
        <v>941</v>
      </c>
      <c r="AH3135">
        <v>59</v>
      </c>
      <c r="AI3135" t="s">
        <v>939</v>
      </c>
      <c r="AJ3135">
        <v>1</v>
      </c>
      <c r="AK31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MIN(AJ3135/8, 1) +
  Merge1[[#This Row],[index_defensive_effort]],
  2
)</f>
        <v>0.7</v>
      </c>
    </row>
    <row r="3136" spans="1:37" x14ac:dyDescent="0.25">
      <c r="A3136" t="s">
        <v>806</v>
      </c>
      <c r="B3136" t="s">
        <v>807</v>
      </c>
      <c r="C3136">
        <v>23</v>
      </c>
      <c r="D3136" t="s">
        <v>22</v>
      </c>
      <c r="E3136">
        <v>73</v>
      </c>
      <c r="F3136">
        <v>217</v>
      </c>
      <c r="G3136" t="s">
        <v>74</v>
      </c>
      <c r="H3136">
        <v>2020</v>
      </c>
      <c r="I3136" t="s">
        <v>33</v>
      </c>
      <c r="J3136">
        <v>6</v>
      </c>
      <c r="K3136">
        <v>1</v>
      </c>
      <c r="L3136">
        <v>1</v>
      </c>
      <c r="M3136">
        <v>0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54</v>
      </c>
      <c r="T3136">
        <v>54</v>
      </c>
      <c r="U3136" s="5">
        <f>IF(Merge1[[#This Row],[team_defense_snaps]]=0, "", Merge1[[#This Row],[defense_snaps]] / Merge1[[#This Row],[team_defense_snaps]])</f>
        <v>0.94736842105263153</v>
      </c>
      <c r="V3136">
        <v>57</v>
      </c>
      <c r="W3136">
        <v>0</v>
      </c>
      <c r="X3136" s="5" t="s">
        <v>29</v>
      </c>
      <c r="Y3136">
        <v>2</v>
      </c>
      <c r="Z3136">
        <v>0</v>
      </c>
      <c r="AA3136" t="s">
        <v>25</v>
      </c>
      <c r="AB3136" t="s">
        <v>26</v>
      </c>
      <c r="AC3136" t="s">
        <v>27</v>
      </c>
      <c r="AD3136" t="s">
        <v>204</v>
      </c>
      <c r="AE3136" t="s">
        <v>25</v>
      </c>
      <c r="AF31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2.7777777777777776E-2</v>
      </c>
      <c r="AG3136" t="s">
        <v>941</v>
      </c>
      <c r="AH3136">
        <v>69.5</v>
      </c>
      <c r="AI3136" t="s">
        <v>939</v>
      </c>
      <c r="AJ3136">
        <v>2</v>
      </c>
      <c r="AK31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MIN(AJ3136/8, 1) +
  Merge1[[#This Row],[index_defensive_effort]],
  2
)</f>
        <v>0.78</v>
      </c>
    </row>
    <row r="3137" spans="1:37" x14ac:dyDescent="0.25">
      <c r="A3137" t="s">
        <v>806</v>
      </c>
      <c r="B3137" t="s">
        <v>807</v>
      </c>
      <c r="C3137">
        <v>23</v>
      </c>
      <c r="D3137" t="s">
        <v>22</v>
      </c>
      <c r="E3137">
        <v>73</v>
      </c>
      <c r="F3137">
        <v>217</v>
      </c>
      <c r="G3137" t="s">
        <v>74</v>
      </c>
      <c r="H3137">
        <v>2020</v>
      </c>
      <c r="I3137" t="s">
        <v>33</v>
      </c>
      <c r="J3137">
        <v>6</v>
      </c>
      <c r="K3137">
        <v>1</v>
      </c>
      <c r="L3137">
        <v>1</v>
      </c>
      <c r="M3137">
        <v>0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54</v>
      </c>
      <c r="T3137">
        <v>54</v>
      </c>
      <c r="U3137" s="5">
        <f>IF(Merge1[[#This Row],[team_defense_snaps]]=0, "", Merge1[[#This Row],[defense_snaps]] / Merge1[[#This Row],[team_defense_snaps]])</f>
        <v>0.94736842105263153</v>
      </c>
      <c r="V3137">
        <v>57</v>
      </c>
      <c r="W3137">
        <v>0</v>
      </c>
      <c r="X3137" s="5" t="s">
        <v>29</v>
      </c>
      <c r="Y3137">
        <v>2</v>
      </c>
      <c r="Z3137">
        <v>0</v>
      </c>
      <c r="AA3137" t="s">
        <v>25</v>
      </c>
      <c r="AB3137" t="s">
        <v>26</v>
      </c>
      <c r="AC3137" t="s">
        <v>27</v>
      </c>
      <c r="AD3137" t="s">
        <v>204</v>
      </c>
      <c r="AE3137" t="s">
        <v>25</v>
      </c>
      <c r="AF31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2.7777777777777776E-2</v>
      </c>
      <c r="AG3137" t="s">
        <v>941</v>
      </c>
      <c r="AH3137">
        <v>54.5</v>
      </c>
      <c r="AI3137" t="s">
        <v>939</v>
      </c>
      <c r="AJ3137">
        <v>1</v>
      </c>
      <c r="AK31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MIN(AJ3137/8, 1) +
  Merge1[[#This Row],[index_defensive_effort]],
  2
)</f>
        <v>0.65</v>
      </c>
    </row>
    <row r="3138" spans="1:37" x14ac:dyDescent="0.25">
      <c r="A3138" t="s">
        <v>806</v>
      </c>
      <c r="B3138" t="s">
        <v>807</v>
      </c>
      <c r="C3138">
        <v>23</v>
      </c>
      <c r="D3138" t="s">
        <v>22</v>
      </c>
      <c r="E3138">
        <v>73</v>
      </c>
      <c r="F3138">
        <v>217</v>
      </c>
      <c r="G3138" t="s">
        <v>74</v>
      </c>
      <c r="H3138">
        <v>2020</v>
      </c>
      <c r="I3138" t="s">
        <v>33</v>
      </c>
      <c r="J3138">
        <v>7</v>
      </c>
      <c r="K3138">
        <v>2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48</v>
      </c>
      <c r="T3138">
        <v>48</v>
      </c>
      <c r="U3138" s="5">
        <f>IF(Merge1[[#This Row],[team_defense_snaps]]=0, "", Merge1[[#This Row],[defense_snaps]] / Merge1[[#This Row],[team_defense_snaps]])</f>
        <v>0.84210526315789469</v>
      </c>
      <c r="V3138">
        <v>57</v>
      </c>
      <c r="W3138">
        <v>0</v>
      </c>
      <c r="X3138" s="5" t="s">
        <v>29</v>
      </c>
      <c r="Y3138">
        <v>2</v>
      </c>
      <c r="Z3138">
        <v>0</v>
      </c>
      <c r="AA3138" t="s">
        <v>25</v>
      </c>
      <c r="AB3138" t="s">
        <v>26</v>
      </c>
      <c r="AC3138" t="s">
        <v>27</v>
      </c>
      <c r="AD3138" t="s">
        <v>28</v>
      </c>
      <c r="AE3138" t="s">
        <v>25</v>
      </c>
      <c r="AF31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3138" t="s">
        <v>941</v>
      </c>
      <c r="AH3138">
        <v>54.5</v>
      </c>
      <c r="AI3138" t="s">
        <v>939</v>
      </c>
      <c r="AJ3138">
        <v>2</v>
      </c>
      <c r="AK31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MIN(AJ3138/8, 1) +
  Merge1[[#This Row],[index_defensive_effort]],
  2
)</f>
        <v>0.79</v>
      </c>
    </row>
    <row r="3139" spans="1:37" x14ac:dyDescent="0.25">
      <c r="A3139" t="s">
        <v>806</v>
      </c>
      <c r="B3139" t="s">
        <v>807</v>
      </c>
      <c r="C3139">
        <v>23</v>
      </c>
      <c r="D3139" t="s">
        <v>22</v>
      </c>
      <c r="E3139">
        <v>73</v>
      </c>
      <c r="F3139">
        <v>217</v>
      </c>
      <c r="G3139" t="s">
        <v>74</v>
      </c>
      <c r="H3139">
        <v>2020</v>
      </c>
      <c r="I3139" t="s">
        <v>33</v>
      </c>
      <c r="J3139">
        <v>7</v>
      </c>
      <c r="K3139">
        <v>2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48</v>
      </c>
      <c r="T3139">
        <v>48</v>
      </c>
      <c r="U3139" s="5">
        <f>IF(Merge1[[#This Row],[team_defense_snaps]]=0, "", Merge1[[#This Row],[defense_snaps]] / Merge1[[#This Row],[team_defense_snaps]])</f>
        <v>0.84210526315789469</v>
      </c>
      <c r="V3139">
        <v>57</v>
      </c>
      <c r="W3139">
        <v>0</v>
      </c>
      <c r="X3139" s="5" t="s">
        <v>29</v>
      </c>
      <c r="Y3139">
        <v>2</v>
      </c>
      <c r="Z3139">
        <v>0</v>
      </c>
      <c r="AA3139" t="s">
        <v>25</v>
      </c>
      <c r="AB3139" t="s">
        <v>26</v>
      </c>
      <c r="AC3139" t="s">
        <v>27</v>
      </c>
      <c r="AD3139" t="s">
        <v>28</v>
      </c>
      <c r="AE3139" t="s">
        <v>25</v>
      </c>
      <c r="AF31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3139" t="s">
        <v>941</v>
      </c>
      <c r="AH3139">
        <v>68</v>
      </c>
      <c r="AI3139" t="s">
        <v>939</v>
      </c>
      <c r="AJ3139">
        <v>1</v>
      </c>
      <c r="AK31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MIN(AJ3139/8, 1) +
  Merge1[[#This Row],[index_defensive_effort]],
  2
)</f>
        <v>0.67</v>
      </c>
    </row>
    <row r="3140" spans="1:37" x14ac:dyDescent="0.25">
      <c r="A3140" t="s">
        <v>806</v>
      </c>
      <c r="B3140" t="s">
        <v>807</v>
      </c>
      <c r="C3140">
        <v>23</v>
      </c>
      <c r="D3140" t="s">
        <v>22</v>
      </c>
      <c r="E3140">
        <v>73</v>
      </c>
      <c r="F3140">
        <v>217</v>
      </c>
      <c r="G3140" t="s">
        <v>74</v>
      </c>
      <c r="H3140">
        <v>2020</v>
      </c>
      <c r="I3140" t="s">
        <v>33</v>
      </c>
      <c r="J3140">
        <v>8</v>
      </c>
      <c r="K3140">
        <v>2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69</v>
      </c>
      <c r="T3140">
        <v>61</v>
      </c>
      <c r="U3140" s="5">
        <f>IF(Merge1[[#This Row],[team_defense_snaps]]=0, "", Merge1[[#This Row],[defense_snaps]] / Merge1[[#This Row],[team_defense_snaps]])</f>
        <v>0.71764705882352942</v>
      </c>
      <c r="V3140">
        <v>85</v>
      </c>
      <c r="W3140">
        <v>8</v>
      </c>
      <c r="X3140" s="5" t="s">
        <v>138</v>
      </c>
      <c r="Y3140">
        <v>2</v>
      </c>
      <c r="Z3140">
        <v>0</v>
      </c>
      <c r="AA3140" t="s">
        <v>25</v>
      </c>
      <c r="AB3140" t="s">
        <v>26</v>
      </c>
      <c r="AC3140" t="s">
        <v>27</v>
      </c>
      <c r="AD3140" t="s">
        <v>28</v>
      </c>
      <c r="AE3140" t="s">
        <v>25</v>
      </c>
      <c r="AF31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2.8985507246376812E-2</v>
      </c>
      <c r="AG3140" t="s">
        <v>941</v>
      </c>
      <c r="AH3140">
        <v>57.5</v>
      </c>
      <c r="AI3140" t="s">
        <v>939</v>
      </c>
      <c r="AJ3140">
        <v>2</v>
      </c>
      <c r="AK31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MIN(AJ3140/8, 1) +
  Merge1[[#This Row],[index_defensive_effort]],
  2
)</f>
        <v>0.78</v>
      </c>
    </row>
    <row r="3141" spans="1:37" x14ac:dyDescent="0.25">
      <c r="A3141" t="s">
        <v>806</v>
      </c>
      <c r="B3141" t="s">
        <v>807</v>
      </c>
      <c r="C3141">
        <v>23</v>
      </c>
      <c r="D3141" t="s">
        <v>22</v>
      </c>
      <c r="E3141">
        <v>73</v>
      </c>
      <c r="F3141">
        <v>217</v>
      </c>
      <c r="G3141" t="s">
        <v>74</v>
      </c>
      <c r="H3141">
        <v>2020</v>
      </c>
      <c r="I3141" t="s">
        <v>33</v>
      </c>
      <c r="J3141">
        <v>8</v>
      </c>
      <c r="K3141">
        <v>2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69</v>
      </c>
      <c r="T3141">
        <v>61</v>
      </c>
      <c r="U3141" s="5">
        <f>IF(Merge1[[#This Row],[team_defense_snaps]]=0, "", Merge1[[#This Row],[defense_snaps]] / Merge1[[#This Row],[team_defense_snaps]])</f>
        <v>0.71764705882352942</v>
      </c>
      <c r="V3141">
        <v>85</v>
      </c>
      <c r="W3141">
        <v>8</v>
      </c>
      <c r="X3141" s="5" t="s">
        <v>138</v>
      </c>
      <c r="Y3141">
        <v>2</v>
      </c>
      <c r="Z3141">
        <v>0</v>
      </c>
      <c r="AA3141" t="s">
        <v>25</v>
      </c>
      <c r="AB3141" t="s">
        <v>26</v>
      </c>
      <c r="AC3141" t="s">
        <v>27</v>
      </c>
      <c r="AD3141" t="s">
        <v>28</v>
      </c>
      <c r="AE3141" t="s">
        <v>25</v>
      </c>
      <c r="AF31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2.8985507246376812E-2</v>
      </c>
      <c r="AG3141" t="s">
        <v>941</v>
      </c>
      <c r="AH3141">
        <v>48.5</v>
      </c>
      <c r="AI3141" t="s">
        <v>939</v>
      </c>
      <c r="AJ3141">
        <v>1</v>
      </c>
      <c r="AK31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MIN(AJ3141/8, 1) +
  Merge1[[#This Row],[index_defensive_effort]],
  2
)</f>
        <v>0.65</v>
      </c>
    </row>
    <row r="3142" spans="1:37" x14ac:dyDescent="0.25">
      <c r="A3142" t="s">
        <v>806</v>
      </c>
      <c r="B3142" t="s">
        <v>807</v>
      </c>
      <c r="C3142">
        <v>23</v>
      </c>
      <c r="D3142" t="s">
        <v>22</v>
      </c>
      <c r="E3142">
        <v>73</v>
      </c>
      <c r="F3142">
        <v>217</v>
      </c>
      <c r="G3142" t="s">
        <v>74</v>
      </c>
      <c r="H3142">
        <v>2020</v>
      </c>
      <c r="I3142" t="s">
        <v>33</v>
      </c>
      <c r="J3142">
        <v>9</v>
      </c>
      <c r="K3142">
        <v>3</v>
      </c>
      <c r="L3142">
        <v>2</v>
      </c>
      <c r="M3142">
        <v>0</v>
      </c>
      <c r="N3142">
        <v>2</v>
      </c>
      <c r="O3142">
        <v>0</v>
      </c>
      <c r="P3142">
        <v>0</v>
      </c>
      <c r="Q3142">
        <v>0</v>
      </c>
      <c r="R3142">
        <v>0</v>
      </c>
      <c r="S3142">
        <v>59</v>
      </c>
      <c r="T3142">
        <v>59</v>
      </c>
      <c r="U3142" s="5">
        <f>IF(Merge1[[#This Row],[team_defense_snaps]]=0, "", Merge1[[#This Row],[defense_snaps]] / Merge1[[#This Row],[team_defense_snaps]])</f>
        <v>0.81944444444444442</v>
      </c>
      <c r="V3142">
        <v>72</v>
      </c>
      <c r="W3142">
        <v>0</v>
      </c>
      <c r="X3142" s="5" t="s">
        <v>29</v>
      </c>
      <c r="Y3142">
        <v>2</v>
      </c>
      <c r="Z3142">
        <v>0</v>
      </c>
      <c r="AA3142" t="s">
        <v>25</v>
      </c>
      <c r="AB3142" t="s">
        <v>26</v>
      </c>
      <c r="AC3142" t="s">
        <v>27</v>
      </c>
      <c r="AD3142" t="s">
        <v>204</v>
      </c>
      <c r="AE3142" t="s">
        <v>25</v>
      </c>
      <c r="AF31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6.7796610169491525E-2</v>
      </c>
      <c r="AG3142" t="s">
        <v>941</v>
      </c>
      <c r="AH3142">
        <v>71</v>
      </c>
      <c r="AI3142" t="s">
        <v>939</v>
      </c>
      <c r="AJ3142">
        <v>2</v>
      </c>
      <c r="AK31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MIN(AJ3142/8, 1) +
  Merge1[[#This Row],[index_defensive_effort]],
  2
)</f>
        <v>0.82</v>
      </c>
    </row>
    <row r="3143" spans="1:37" x14ac:dyDescent="0.25">
      <c r="A3143" t="s">
        <v>806</v>
      </c>
      <c r="B3143" t="s">
        <v>807</v>
      </c>
      <c r="C3143">
        <v>23</v>
      </c>
      <c r="D3143" t="s">
        <v>22</v>
      </c>
      <c r="E3143">
        <v>73</v>
      </c>
      <c r="F3143">
        <v>217</v>
      </c>
      <c r="G3143" t="s">
        <v>74</v>
      </c>
      <c r="H3143">
        <v>2020</v>
      </c>
      <c r="I3143" t="s">
        <v>33</v>
      </c>
      <c r="J3143">
        <v>9</v>
      </c>
      <c r="K3143">
        <v>3</v>
      </c>
      <c r="L3143">
        <v>2</v>
      </c>
      <c r="M3143">
        <v>0</v>
      </c>
      <c r="N3143">
        <v>2</v>
      </c>
      <c r="O3143">
        <v>0</v>
      </c>
      <c r="P3143">
        <v>0</v>
      </c>
      <c r="Q3143">
        <v>0</v>
      </c>
      <c r="R3143">
        <v>0</v>
      </c>
      <c r="S3143">
        <v>59</v>
      </c>
      <c r="T3143">
        <v>59</v>
      </c>
      <c r="U3143" s="5">
        <f>IF(Merge1[[#This Row],[team_defense_snaps]]=0, "", Merge1[[#This Row],[defense_snaps]] / Merge1[[#This Row],[team_defense_snaps]])</f>
        <v>0.81944444444444442</v>
      </c>
      <c r="V3143">
        <v>72</v>
      </c>
      <c r="W3143">
        <v>0</v>
      </c>
      <c r="X3143" s="5" t="s">
        <v>29</v>
      </c>
      <c r="Y3143">
        <v>2</v>
      </c>
      <c r="Z3143">
        <v>0</v>
      </c>
      <c r="AA3143" t="s">
        <v>25</v>
      </c>
      <c r="AB3143" t="s">
        <v>26</v>
      </c>
      <c r="AC3143" t="s">
        <v>27</v>
      </c>
      <c r="AD3143" t="s">
        <v>204</v>
      </c>
      <c r="AE3143" t="s">
        <v>25</v>
      </c>
      <c r="AF31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6.7796610169491525E-2</v>
      </c>
      <c r="AG3143" t="s">
        <v>941</v>
      </c>
      <c r="AH3143">
        <v>68</v>
      </c>
      <c r="AI3143" t="s">
        <v>939</v>
      </c>
      <c r="AJ3143">
        <v>1</v>
      </c>
      <c r="AK31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MIN(AJ3143/8, 1) +
  Merge1[[#This Row],[index_defensive_effort]],
  2
)</f>
        <v>0.69</v>
      </c>
    </row>
    <row r="3144" spans="1:37" x14ac:dyDescent="0.25">
      <c r="A3144" t="s">
        <v>806</v>
      </c>
      <c r="B3144" t="s">
        <v>807</v>
      </c>
      <c r="C3144">
        <v>23</v>
      </c>
      <c r="D3144" t="s">
        <v>22</v>
      </c>
      <c r="E3144">
        <v>73</v>
      </c>
      <c r="F3144">
        <v>217</v>
      </c>
      <c r="G3144" t="s">
        <v>74</v>
      </c>
      <c r="H3144">
        <v>2020</v>
      </c>
      <c r="I3144" t="s">
        <v>33</v>
      </c>
      <c r="J3144">
        <v>10</v>
      </c>
      <c r="K3144">
        <v>4</v>
      </c>
      <c r="L3144">
        <v>4</v>
      </c>
      <c r="M3144">
        <v>1</v>
      </c>
      <c r="N3144">
        <v>5</v>
      </c>
      <c r="O3144">
        <v>0</v>
      </c>
      <c r="P3144">
        <v>0</v>
      </c>
      <c r="Q3144">
        <v>0</v>
      </c>
      <c r="R3144">
        <v>0</v>
      </c>
      <c r="S3144">
        <v>64</v>
      </c>
      <c r="T3144">
        <v>59</v>
      </c>
      <c r="U3144" s="5">
        <f>IF(Merge1[[#This Row],[team_defense_snaps]]=0, "", Merge1[[#This Row],[defense_snaps]] / Merge1[[#This Row],[team_defense_snaps]])</f>
        <v>0.90769230769230769</v>
      </c>
      <c r="V3144">
        <v>65</v>
      </c>
      <c r="W3144">
        <v>5</v>
      </c>
      <c r="X3144" s="5" t="s">
        <v>212</v>
      </c>
      <c r="Y3144">
        <v>2</v>
      </c>
      <c r="Z3144">
        <v>0</v>
      </c>
      <c r="AA3144" t="s">
        <v>25</v>
      </c>
      <c r="AB3144" t="s">
        <v>26</v>
      </c>
      <c r="AC3144" t="s">
        <v>27</v>
      </c>
      <c r="AD3144" t="s">
        <v>28</v>
      </c>
      <c r="AE3144" t="s">
        <v>25</v>
      </c>
      <c r="AF31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0.1015625</v>
      </c>
      <c r="AG3144" t="s">
        <v>941</v>
      </c>
      <c r="AH3144">
        <v>57.5</v>
      </c>
      <c r="AI3144" t="s">
        <v>939</v>
      </c>
      <c r="AJ3144">
        <v>2</v>
      </c>
      <c r="AK31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MIN(AJ3144/8, 1) +
  Merge1[[#This Row],[index_defensive_effort]],
  2
)</f>
        <v>0.85</v>
      </c>
    </row>
    <row r="3145" spans="1:37" x14ac:dyDescent="0.25">
      <c r="A3145" t="s">
        <v>806</v>
      </c>
      <c r="B3145" t="s">
        <v>807</v>
      </c>
      <c r="C3145">
        <v>23</v>
      </c>
      <c r="D3145" t="s">
        <v>22</v>
      </c>
      <c r="E3145">
        <v>73</v>
      </c>
      <c r="F3145">
        <v>217</v>
      </c>
      <c r="G3145" t="s">
        <v>74</v>
      </c>
      <c r="H3145">
        <v>2020</v>
      </c>
      <c r="I3145" t="s">
        <v>33</v>
      </c>
      <c r="J3145">
        <v>10</v>
      </c>
      <c r="K3145">
        <v>4</v>
      </c>
      <c r="L3145">
        <v>4</v>
      </c>
      <c r="M3145">
        <v>1</v>
      </c>
      <c r="N3145">
        <v>5</v>
      </c>
      <c r="O3145">
        <v>0</v>
      </c>
      <c r="P3145">
        <v>0</v>
      </c>
      <c r="Q3145">
        <v>0</v>
      </c>
      <c r="R3145">
        <v>0</v>
      </c>
      <c r="S3145">
        <v>64</v>
      </c>
      <c r="T3145">
        <v>59</v>
      </c>
      <c r="U3145" s="5">
        <f>IF(Merge1[[#This Row],[team_defense_snaps]]=0, "", Merge1[[#This Row],[defense_snaps]] / Merge1[[#This Row],[team_defense_snaps]])</f>
        <v>0.90769230769230769</v>
      </c>
      <c r="V3145">
        <v>65</v>
      </c>
      <c r="W3145">
        <v>5</v>
      </c>
      <c r="X3145" s="5" t="s">
        <v>212</v>
      </c>
      <c r="Y3145">
        <v>2</v>
      </c>
      <c r="Z3145">
        <v>0</v>
      </c>
      <c r="AA3145" t="s">
        <v>25</v>
      </c>
      <c r="AB3145" t="s">
        <v>26</v>
      </c>
      <c r="AC3145" t="s">
        <v>27</v>
      </c>
      <c r="AD3145" t="s">
        <v>28</v>
      </c>
      <c r="AE3145" t="s">
        <v>25</v>
      </c>
      <c r="AF31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0.1015625</v>
      </c>
      <c r="AG3145" t="s">
        <v>941</v>
      </c>
      <c r="AH3145">
        <v>62</v>
      </c>
      <c r="AI3145" t="s">
        <v>939</v>
      </c>
      <c r="AJ3145">
        <v>1</v>
      </c>
      <c r="AK31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MIN(AJ3145/8, 1) +
  Merge1[[#This Row],[index_defensive_effort]],
  2
)</f>
        <v>0.73</v>
      </c>
    </row>
    <row r="3146" spans="1:37" x14ac:dyDescent="0.25">
      <c r="A3146" t="s">
        <v>806</v>
      </c>
      <c r="B3146" t="s">
        <v>807</v>
      </c>
      <c r="C3146">
        <v>23</v>
      </c>
      <c r="D3146" t="s">
        <v>22</v>
      </c>
      <c r="E3146">
        <v>73</v>
      </c>
      <c r="F3146">
        <v>217</v>
      </c>
      <c r="G3146" t="s">
        <v>74</v>
      </c>
      <c r="H3146">
        <v>2020</v>
      </c>
      <c r="I3146" t="s">
        <v>33</v>
      </c>
      <c r="J3146">
        <v>11</v>
      </c>
      <c r="K3146">
        <v>6</v>
      </c>
      <c r="L3146">
        <v>2</v>
      </c>
      <c r="M3146">
        <v>0</v>
      </c>
      <c r="N3146">
        <v>2</v>
      </c>
      <c r="O3146">
        <v>0</v>
      </c>
      <c r="P3146">
        <v>0</v>
      </c>
      <c r="Q3146">
        <v>4</v>
      </c>
      <c r="R3146">
        <v>0</v>
      </c>
      <c r="S3146">
        <v>49</v>
      </c>
      <c r="T3146">
        <v>49</v>
      </c>
      <c r="U3146" s="5">
        <f>IF(Merge1[[#This Row],[team_defense_snaps]]=0, "", Merge1[[#This Row],[defense_snaps]] / Merge1[[#This Row],[team_defense_snaps]])</f>
        <v>0.84482758620689657</v>
      </c>
      <c r="V3146">
        <v>58</v>
      </c>
      <c r="W3146">
        <v>0</v>
      </c>
      <c r="X3146" s="5" t="s">
        <v>29</v>
      </c>
      <c r="Y3146">
        <v>2</v>
      </c>
      <c r="Z3146">
        <v>0</v>
      </c>
      <c r="AA3146" t="s">
        <v>207</v>
      </c>
      <c r="AB3146" t="s">
        <v>207</v>
      </c>
      <c r="AC3146" t="s">
        <v>147</v>
      </c>
      <c r="AD3146" t="s">
        <v>28</v>
      </c>
      <c r="AE3146" t="s">
        <v>25</v>
      </c>
      <c r="AF31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0.46938775510204084</v>
      </c>
      <c r="AG3146" t="s">
        <v>941</v>
      </c>
      <c r="AH3146">
        <v>69.5</v>
      </c>
      <c r="AI3146" t="s">
        <v>940</v>
      </c>
      <c r="AJ3146">
        <v>2</v>
      </c>
      <c r="AK31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MIN(AJ3146/8, 1) +
  Merge1[[#This Row],[index_defensive_effort]],
  2
)</f>
        <v>1.22</v>
      </c>
    </row>
    <row r="3147" spans="1:37" x14ac:dyDescent="0.25">
      <c r="A3147" t="s">
        <v>806</v>
      </c>
      <c r="B3147" t="s">
        <v>807</v>
      </c>
      <c r="C3147">
        <v>23</v>
      </c>
      <c r="D3147" t="s">
        <v>22</v>
      </c>
      <c r="E3147">
        <v>73</v>
      </c>
      <c r="F3147">
        <v>217</v>
      </c>
      <c r="G3147" t="s">
        <v>74</v>
      </c>
      <c r="H3147">
        <v>2020</v>
      </c>
      <c r="I3147" t="s">
        <v>33</v>
      </c>
      <c r="J3147">
        <v>11</v>
      </c>
      <c r="K3147">
        <v>6</v>
      </c>
      <c r="L3147">
        <v>2</v>
      </c>
      <c r="M3147">
        <v>0</v>
      </c>
      <c r="N3147">
        <v>2</v>
      </c>
      <c r="O3147">
        <v>0</v>
      </c>
      <c r="P3147">
        <v>0</v>
      </c>
      <c r="Q3147">
        <v>4</v>
      </c>
      <c r="R3147">
        <v>0</v>
      </c>
      <c r="S3147">
        <v>49</v>
      </c>
      <c r="T3147">
        <v>49</v>
      </c>
      <c r="U3147" s="5">
        <f>IF(Merge1[[#This Row],[team_defense_snaps]]=0, "", Merge1[[#This Row],[defense_snaps]] / Merge1[[#This Row],[team_defense_snaps]])</f>
        <v>0.84482758620689657</v>
      </c>
      <c r="V3147">
        <v>58</v>
      </c>
      <c r="W3147">
        <v>0</v>
      </c>
      <c r="X3147" s="5" t="s">
        <v>29</v>
      </c>
      <c r="Y3147">
        <v>2</v>
      </c>
      <c r="Z3147">
        <v>0</v>
      </c>
      <c r="AA3147" t="s">
        <v>25</v>
      </c>
      <c r="AB3147" t="s">
        <v>26</v>
      </c>
      <c r="AC3147" t="s">
        <v>27</v>
      </c>
      <c r="AD3147" t="s">
        <v>28</v>
      </c>
      <c r="AE3147" t="s">
        <v>25</v>
      </c>
      <c r="AF31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0.46938775510204084</v>
      </c>
      <c r="AG3147" t="s">
        <v>941</v>
      </c>
      <c r="AH3147">
        <v>60.5</v>
      </c>
      <c r="AI3147" t="s">
        <v>939</v>
      </c>
      <c r="AJ3147">
        <v>1</v>
      </c>
      <c r="AK31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MIN(AJ3147/8, 1) +
  Merge1[[#This Row],[index_defensive_effort]],
  2
)</f>
        <v>1.0900000000000001</v>
      </c>
    </row>
    <row r="3148" spans="1:37" x14ac:dyDescent="0.25">
      <c r="A3148" t="s">
        <v>806</v>
      </c>
      <c r="B3148" t="s">
        <v>807</v>
      </c>
      <c r="C3148">
        <v>23</v>
      </c>
      <c r="D3148" t="s">
        <v>22</v>
      </c>
      <c r="E3148">
        <v>73</v>
      </c>
      <c r="F3148">
        <v>217</v>
      </c>
      <c r="G3148" t="s">
        <v>74</v>
      </c>
      <c r="H3148">
        <v>2020</v>
      </c>
      <c r="I3148" t="s">
        <v>33</v>
      </c>
      <c r="J3148">
        <v>12</v>
      </c>
      <c r="K3148">
        <v>3</v>
      </c>
      <c r="L3148">
        <v>1</v>
      </c>
      <c r="M3148">
        <v>0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47</v>
      </c>
      <c r="T3148">
        <v>47</v>
      </c>
      <c r="U3148" s="5">
        <f>IF(Merge1[[#This Row],[team_defense_snaps]]=0, "", Merge1[[#This Row],[defense_snaps]] / Merge1[[#This Row],[team_defense_snaps]])</f>
        <v>0.8867924528301887</v>
      </c>
      <c r="V3148">
        <v>53</v>
      </c>
      <c r="W3148">
        <v>0</v>
      </c>
      <c r="X3148" s="5" t="s">
        <v>29</v>
      </c>
      <c r="Y3148">
        <v>2</v>
      </c>
      <c r="Z3148">
        <v>0</v>
      </c>
      <c r="AA3148" t="s">
        <v>207</v>
      </c>
      <c r="AB3148" t="s">
        <v>62</v>
      </c>
      <c r="AC3148" t="s">
        <v>27</v>
      </c>
      <c r="AD3148" t="s">
        <v>204</v>
      </c>
      <c r="AE3148" t="s">
        <v>25</v>
      </c>
      <c r="AF31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7.4468085106382975E-2</v>
      </c>
      <c r="AG3148" t="s">
        <v>941</v>
      </c>
      <c r="AH3148">
        <v>65</v>
      </c>
      <c r="AI3148" t="s">
        <v>940</v>
      </c>
      <c r="AJ3148">
        <v>2</v>
      </c>
      <c r="AK31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MIN(AJ3148/8, 1) +
  Merge1[[#This Row],[index_defensive_effort]],
  2
)</f>
        <v>0.82</v>
      </c>
    </row>
    <row r="3149" spans="1:37" x14ac:dyDescent="0.25">
      <c r="A3149" t="s">
        <v>806</v>
      </c>
      <c r="B3149" t="s">
        <v>807</v>
      </c>
      <c r="C3149">
        <v>23</v>
      </c>
      <c r="D3149" t="s">
        <v>22</v>
      </c>
      <c r="E3149">
        <v>73</v>
      </c>
      <c r="F3149">
        <v>217</v>
      </c>
      <c r="G3149" t="s">
        <v>74</v>
      </c>
      <c r="H3149">
        <v>2020</v>
      </c>
      <c r="I3149" t="s">
        <v>33</v>
      </c>
      <c r="J3149">
        <v>12</v>
      </c>
      <c r="K3149">
        <v>3</v>
      </c>
      <c r="L3149">
        <v>1</v>
      </c>
      <c r="M3149">
        <v>0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47</v>
      </c>
      <c r="T3149">
        <v>47</v>
      </c>
      <c r="U3149" s="5">
        <f>IF(Merge1[[#This Row],[team_defense_snaps]]=0, "", Merge1[[#This Row],[defense_snaps]] / Merge1[[#This Row],[team_defense_snaps]])</f>
        <v>0.8867924528301887</v>
      </c>
      <c r="V3149">
        <v>53</v>
      </c>
      <c r="W3149">
        <v>0</v>
      </c>
      <c r="X3149" s="5" t="s">
        <v>29</v>
      </c>
      <c r="Y3149">
        <v>2</v>
      </c>
      <c r="Z3149">
        <v>0</v>
      </c>
      <c r="AA3149" t="s">
        <v>25</v>
      </c>
      <c r="AB3149" t="s">
        <v>26</v>
      </c>
      <c r="AC3149" t="s">
        <v>27</v>
      </c>
      <c r="AD3149" t="s">
        <v>204</v>
      </c>
      <c r="AE3149" t="s">
        <v>25</v>
      </c>
      <c r="AF31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7.4468085106382975E-2</v>
      </c>
      <c r="AG3149" t="s">
        <v>941</v>
      </c>
      <c r="AH3149">
        <v>51.5</v>
      </c>
      <c r="AI3149" t="s">
        <v>939</v>
      </c>
      <c r="AJ3149">
        <v>1</v>
      </c>
      <c r="AK31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MIN(AJ3149/8, 1) +
  Merge1[[#This Row],[index_defensive_effort]],
  2
)</f>
        <v>0.7</v>
      </c>
    </row>
    <row r="3150" spans="1:37" x14ac:dyDescent="0.25">
      <c r="A3150" t="s">
        <v>806</v>
      </c>
      <c r="B3150" t="s">
        <v>807</v>
      </c>
      <c r="C3150">
        <v>23</v>
      </c>
      <c r="D3150" t="s">
        <v>22</v>
      </c>
      <c r="E3150">
        <v>73</v>
      </c>
      <c r="F3150">
        <v>217</v>
      </c>
      <c r="G3150" t="s">
        <v>74</v>
      </c>
      <c r="H3150">
        <v>2020</v>
      </c>
      <c r="I3150" t="s">
        <v>33</v>
      </c>
      <c r="J3150">
        <v>13</v>
      </c>
      <c r="K3150">
        <v>2</v>
      </c>
      <c r="L3150">
        <v>3</v>
      </c>
      <c r="M3150">
        <v>3</v>
      </c>
      <c r="N3150">
        <v>6</v>
      </c>
      <c r="O3150">
        <v>0</v>
      </c>
      <c r="P3150">
        <v>1</v>
      </c>
      <c r="Q3150">
        <v>0</v>
      </c>
      <c r="R3150">
        <v>0</v>
      </c>
      <c r="S3150">
        <v>67</v>
      </c>
      <c r="T3150">
        <v>67</v>
      </c>
      <c r="U3150" s="5">
        <f>IF(Merge1[[#This Row],[team_defense_snaps]]=0, "", Merge1[[#This Row],[defense_snaps]] / Merge1[[#This Row],[team_defense_snaps]])</f>
        <v>0.93055555555555558</v>
      </c>
      <c r="V3150">
        <v>72</v>
      </c>
      <c r="W3150">
        <v>0</v>
      </c>
      <c r="X3150" s="5" t="s">
        <v>29</v>
      </c>
      <c r="Y3150">
        <v>2</v>
      </c>
      <c r="Z3150">
        <v>0</v>
      </c>
      <c r="AA3150" t="s">
        <v>25</v>
      </c>
      <c r="AB3150" t="s">
        <v>26</v>
      </c>
      <c r="AC3150" t="s">
        <v>27</v>
      </c>
      <c r="AD3150" t="s">
        <v>204</v>
      </c>
      <c r="AE3150" t="s">
        <v>25</v>
      </c>
      <c r="AF31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0.1044776119402985</v>
      </c>
      <c r="AG3150" t="s">
        <v>941</v>
      </c>
      <c r="AH3150">
        <v>62</v>
      </c>
      <c r="AI3150" t="s">
        <v>939</v>
      </c>
      <c r="AJ3150">
        <v>2</v>
      </c>
      <c r="AK31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MIN(AJ3150/8, 1) +
  Merge1[[#This Row],[index_defensive_effort]],
  2
)</f>
        <v>0.85</v>
      </c>
    </row>
    <row r="3151" spans="1:37" x14ac:dyDescent="0.25">
      <c r="A3151" t="s">
        <v>806</v>
      </c>
      <c r="B3151" t="s">
        <v>807</v>
      </c>
      <c r="C3151">
        <v>23</v>
      </c>
      <c r="D3151" t="s">
        <v>22</v>
      </c>
      <c r="E3151">
        <v>73</v>
      </c>
      <c r="F3151">
        <v>217</v>
      </c>
      <c r="G3151" t="s">
        <v>74</v>
      </c>
      <c r="H3151">
        <v>2020</v>
      </c>
      <c r="I3151" t="s">
        <v>33</v>
      </c>
      <c r="J3151">
        <v>13</v>
      </c>
      <c r="K3151">
        <v>2</v>
      </c>
      <c r="L3151">
        <v>3</v>
      </c>
      <c r="M3151">
        <v>3</v>
      </c>
      <c r="N3151">
        <v>6</v>
      </c>
      <c r="O3151">
        <v>0</v>
      </c>
      <c r="P3151">
        <v>1</v>
      </c>
      <c r="Q3151">
        <v>0</v>
      </c>
      <c r="R3151">
        <v>0</v>
      </c>
      <c r="S3151">
        <v>67</v>
      </c>
      <c r="T3151">
        <v>67</v>
      </c>
      <c r="U3151" s="5">
        <f>IF(Merge1[[#This Row],[team_defense_snaps]]=0, "", Merge1[[#This Row],[defense_snaps]] / Merge1[[#This Row],[team_defense_snaps]])</f>
        <v>0.93055555555555558</v>
      </c>
      <c r="V3151">
        <v>72</v>
      </c>
      <c r="W3151">
        <v>0</v>
      </c>
      <c r="X3151" s="5" t="s">
        <v>29</v>
      </c>
      <c r="Y3151">
        <v>2</v>
      </c>
      <c r="Z3151">
        <v>0</v>
      </c>
      <c r="AA3151" t="s">
        <v>207</v>
      </c>
      <c r="AB3151" t="s">
        <v>62</v>
      </c>
      <c r="AC3151" t="s">
        <v>27</v>
      </c>
      <c r="AD3151" t="s">
        <v>204</v>
      </c>
      <c r="AE3151" t="s">
        <v>25</v>
      </c>
      <c r="AF31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0.1044776119402985</v>
      </c>
      <c r="AG3151" t="s">
        <v>941</v>
      </c>
      <c r="AH3151">
        <v>59</v>
      </c>
      <c r="AI3151" t="s">
        <v>940</v>
      </c>
      <c r="AJ3151">
        <v>1</v>
      </c>
      <c r="AK31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MIN(AJ3151/8, 1) +
  Merge1[[#This Row],[index_defensive_effort]],
  2
)</f>
        <v>0.73</v>
      </c>
    </row>
    <row r="3152" spans="1:37" x14ac:dyDescent="0.25">
      <c r="A3152" t="s">
        <v>806</v>
      </c>
      <c r="B3152" t="s">
        <v>807</v>
      </c>
      <c r="C3152">
        <v>23</v>
      </c>
      <c r="D3152" t="s">
        <v>22</v>
      </c>
      <c r="E3152">
        <v>73</v>
      </c>
      <c r="F3152">
        <v>217</v>
      </c>
      <c r="G3152" t="s">
        <v>74</v>
      </c>
      <c r="H3152">
        <v>2020</v>
      </c>
      <c r="I3152" t="s">
        <v>33</v>
      </c>
      <c r="J3152">
        <v>14</v>
      </c>
      <c r="K3152">
        <v>3</v>
      </c>
      <c r="L3152">
        <v>5</v>
      </c>
      <c r="M3152">
        <v>0</v>
      </c>
      <c r="N3152">
        <v>5</v>
      </c>
      <c r="O3152">
        <v>0</v>
      </c>
      <c r="P3152">
        <v>0</v>
      </c>
      <c r="Q3152">
        <v>0</v>
      </c>
      <c r="R3152">
        <v>0</v>
      </c>
      <c r="S3152">
        <v>75</v>
      </c>
      <c r="T3152">
        <v>75</v>
      </c>
      <c r="U3152" s="5">
        <f>IF(Merge1[[#This Row],[team_defense_snaps]]=0, "", Merge1[[#This Row],[defense_snaps]] / Merge1[[#This Row],[team_defense_snaps]])</f>
        <v>1</v>
      </c>
      <c r="V3152">
        <v>75</v>
      </c>
      <c r="W3152">
        <v>0</v>
      </c>
      <c r="X3152" s="5" t="s">
        <v>29</v>
      </c>
      <c r="Y3152">
        <v>2</v>
      </c>
      <c r="Z3152">
        <v>0</v>
      </c>
      <c r="AA3152" t="s">
        <v>25</v>
      </c>
      <c r="AB3152" t="s">
        <v>26</v>
      </c>
      <c r="AC3152" t="s">
        <v>27</v>
      </c>
      <c r="AD3152" t="s">
        <v>204</v>
      </c>
      <c r="AE3152" t="s">
        <v>25</v>
      </c>
      <c r="AF31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7.3333333333333334E-2</v>
      </c>
      <c r="AG3152" t="s">
        <v>941</v>
      </c>
      <c r="AH3152">
        <v>51</v>
      </c>
      <c r="AI3152" t="s">
        <v>939</v>
      </c>
      <c r="AJ3152">
        <v>2</v>
      </c>
      <c r="AK31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MIN(AJ3152/8, 1) +
  Merge1[[#This Row],[index_defensive_effort]],
  2
)</f>
        <v>0.82</v>
      </c>
    </row>
    <row r="3153" spans="1:37" x14ac:dyDescent="0.25">
      <c r="A3153" t="s">
        <v>806</v>
      </c>
      <c r="B3153" t="s">
        <v>807</v>
      </c>
      <c r="C3153">
        <v>23</v>
      </c>
      <c r="D3153" t="s">
        <v>22</v>
      </c>
      <c r="E3153">
        <v>73</v>
      </c>
      <c r="F3153">
        <v>217</v>
      </c>
      <c r="G3153" t="s">
        <v>74</v>
      </c>
      <c r="H3153">
        <v>2020</v>
      </c>
      <c r="I3153" t="s">
        <v>33</v>
      </c>
      <c r="J3153">
        <v>14</v>
      </c>
      <c r="K3153">
        <v>3</v>
      </c>
      <c r="L3153">
        <v>5</v>
      </c>
      <c r="M3153">
        <v>0</v>
      </c>
      <c r="N3153">
        <v>5</v>
      </c>
      <c r="O3153">
        <v>0</v>
      </c>
      <c r="P3153">
        <v>0</v>
      </c>
      <c r="Q3153">
        <v>0</v>
      </c>
      <c r="R3153">
        <v>0</v>
      </c>
      <c r="S3153">
        <v>75</v>
      </c>
      <c r="T3153">
        <v>75</v>
      </c>
      <c r="U3153" s="5">
        <f>IF(Merge1[[#This Row],[team_defense_snaps]]=0, "", Merge1[[#This Row],[defense_snaps]] / Merge1[[#This Row],[team_defense_snaps]])</f>
        <v>1</v>
      </c>
      <c r="V3153">
        <v>75</v>
      </c>
      <c r="W3153">
        <v>0</v>
      </c>
      <c r="X3153" s="5" t="s">
        <v>29</v>
      </c>
      <c r="Y3153">
        <v>2</v>
      </c>
      <c r="Z3153">
        <v>0</v>
      </c>
      <c r="AA3153" t="s">
        <v>207</v>
      </c>
      <c r="AB3153" t="s">
        <v>62</v>
      </c>
      <c r="AC3153" t="s">
        <v>27</v>
      </c>
      <c r="AD3153" t="s">
        <v>204</v>
      </c>
      <c r="AE3153" t="s">
        <v>25</v>
      </c>
      <c r="AF31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7.3333333333333334E-2</v>
      </c>
      <c r="AG3153" t="s">
        <v>941</v>
      </c>
      <c r="AH3153">
        <v>60.5</v>
      </c>
      <c r="AI3153" t="s">
        <v>940</v>
      </c>
      <c r="AJ3153">
        <v>1</v>
      </c>
      <c r="AK31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MIN(AJ3153/8, 1) +
  Merge1[[#This Row],[index_defensive_effort]],
  2
)</f>
        <v>0.7</v>
      </c>
    </row>
    <row r="3154" spans="1:37" x14ac:dyDescent="0.25">
      <c r="A3154" t="s">
        <v>806</v>
      </c>
      <c r="B3154" t="s">
        <v>807</v>
      </c>
      <c r="C3154">
        <v>23</v>
      </c>
      <c r="D3154" t="s">
        <v>22</v>
      </c>
      <c r="E3154">
        <v>73</v>
      </c>
      <c r="F3154">
        <v>217</v>
      </c>
      <c r="G3154" t="s">
        <v>74</v>
      </c>
      <c r="H3154">
        <v>2020</v>
      </c>
      <c r="I3154" t="s">
        <v>33</v>
      </c>
      <c r="J3154">
        <v>15</v>
      </c>
      <c r="K3154">
        <v>2</v>
      </c>
      <c r="L3154">
        <v>1</v>
      </c>
      <c r="M3154">
        <v>0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44</v>
      </c>
      <c r="T3154">
        <v>44</v>
      </c>
      <c r="U3154" s="5">
        <f>IF(Merge1[[#This Row],[team_defense_snaps]]=0, "", Merge1[[#This Row],[defense_snaps]] / Merge1[[#This Row],[team_defense_snaps]])</f>
        <v>0.7857142857142857</v>
      </c>
      <c r="V3154">
        <v>56</v>
      </c>
      <c r="W3154">
        <v>0</v>
      </c>
      <c r="X3154" s="5" t="s">
        <v>29</v>
      </c>
      <c r="Y3154">
        <v>2</v>
      </c>
      <c r="Z3154">
        <v>0</v>
      </c>
      <c r="AA3154" t="s">
        <v>25</v>
      </c>
      <c r="AB3154" t="s">
        <v>26</v>
      </c>
      <c r="AC3154" t="s">
        <v>27</v>
      </c>
      <c r="AD3154" t="s">
        <v>204</v>
      </c>
      <c r="AE3154" t="s">
        <v>25</v>
      </c>
      <c r="AF31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5.6818181818181816E-2</v>
      </c>
      <c r="AG3154" t="s">
        <v>941</v>
      </c>
      <c r="AH3154">
        <v>63.5</v>
      </c>
      <c r="AI3154" t="s">
        <v>939</v>
      </c>
      <c r="AJ3154">
        <v>2</v>
      </c>
      <c r="AK31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MIN(AJ3154/8, 1) +
  Merge1[[#This Row],[index_defensive_effort]],
  2
)</f>
        <v>0.81</v>
      </c>
    </row>
    <row r="3155" spans="1:37" x14ac:dyDescent="0.25">
      <c r="A3155" t="s">
        <v>806</v>
      </c>
      <c r="B3155" t="s">
        <v>807</v>
      </c>
      <c r="C3155">
        <v>23</v>
      </c>
      <c r="D3155" t="s">
        <v>22</v>
      </c>
      <c r="E3155">
        <v>73</v>
      </c>
      <c r="F3155">
        <v>217</v>
      </c>
      <c r="G3155" t="s">
        <v>74</v>
      </c>
      <c r="H3155">
        <v>2020</v>
      </c>
      <c r="I3155" t="s">
        <v>33</v>
      </c>
      <c r="J3155">
        <v>15</v>
      </c>
      <c r="K3155">
        <v>2</v>
      </c>
      <c r="L3155">
        <v>1</v>
      </c>
      <c r="M3155">
        <v>0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44</v>
      </c>
      <c r="T3155">
        <v>44</v>
      </c>
      <c r="U3155" s="5">
        <f>IF(Merge1[[#This Row],[team_defense_snaps]]=0, "", Merge1[[#This Row],[defense_snaps]] / Merge1[[#This Row],[team_defense_snaps]])</f>
        <v>0.7857142857142857</v>
      </c>
      <c r="V3155">
        <v>56</v>
      </c>
      <c r="W3155">
        <v>0</v>
      </c>
      <c r="X3155" s="5" t="s">
        <v>29</v>
      </c>
      <c r="Y3155">
        <v>2</v>
      </c>
      <c r="Z3155">
        <v>0</v>
      </c>
      <c r="AA3155" t="s">
        <v>207</v>
      </c>
      <c r="AB3155" t="s">
        <v>62</v>
      </c>
      <c r="AC3155" t="s">
        <v>27</v>
      </c>
      <c r="AD3155" t="s">
        <v>204</v>
      </c>
      <c r="AE3155" t="s">
        <v>25</v>
      </c>
      <c r="AF31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5.6818181818181816E-2</v>
      </c>
      <c r="AG3155" t="s">
        <v>941</v>
      </c>
      <c r="AH3155">
        <v>53</v>
      </c>
      <c r="AI3155" t="s">
        <v>940</v>
      </c>
      <c r="AJ3155">
        <v>1</v>
      </c>
      <c r="AK31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MIN(AJ3155/8, 1) +
  Merge1[[#This Row],[index_defensive_effort]],
  2
)</f>
        <v>0.68</v>
      </c>
    </row>
    <row r="3156" spans="1:37" x14ac:dyDescent="0.25">
      <c r="A3156" t="s">
        <v>806</v>
      </c>
      <c r="B3156" t="s">
        <v>807</v>
      </c>
      <c r="C3156">
        <v>23</v>
      </c>
      <c r="D3156" t="s">
        <v>22</v>
      </c>
      <c r="E3156">
        <v>73</v>
      </c>
      <c r="F3156">
        <v>217</v>
      </c>
      <c r="G3156" t="s">
        <v>74</v>
      </c>
      <c r="H3156">
        <v>2020</v>
      </c>
      <c r="I3156" t="s">
        <v>33</v>
      </c>
      <c r="J3156">
        <v>16</v>
      </c>
      <c r="K3156">
        <v>2</v>
      </c>
      <c r="L3156">
        <v>2</v>
      </c>
      <c r="M3156">
        <v>2</v>
      </c>
      <c r="N3156">
        <v>4</v>
      </c>
      <c r="O3156">
        <v>0</v>
      </c>
      <c r="P3156">
        <v>0</v>
      </c>
      <c r="Q3156">
        <v>0</v>
      </c>
      <c r="R3156">
        <v>0</v>
      </c>
      <c r="S3156">
        <v>61</v>
      </c>
      <c r="T3156">
        <v>61</v>
      </c>
      <c r="U3156" s="5">
        <f>IF(Merge1[[#This Row],[team_defense_snaps]]=0, "", Merge1[[#This Row],[defense_snaps]] / Merge1[[#This Row],[team_defense_snaps]])</f>
        <v>0.88405797101449279</v>
      </c>
      <c r="V3156">
        <v>69</v>
      </c>
      <c r="W3156">
        <v>0</v>
      </c>
      <c r="X3156" s="5" t="s">
        <v>29</v>
      </c>
      <c r="Y3156">
        <v>2</v>
      </c>
      <c r="Z3156">
        <v>0</v>
      </c>
      <c r="AA3156" t="s">
        <v>25</v>
      </c>
      <c r="AB3156" t="s">
        <v>26</v>
      </c>
      <c r="AC3156" t="s">
        <v>27</v>
      </c>
      <c r="AD3156" t="s">
        <v>204</v>
      </c>
      <c r="AE3156" t="s">
        <v>25</v>
      </c>
      <c r="AF31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6.5573770491803282E-2</v>
      </c>
      <c r="AG3156" t="s">
        <v>941</v>
      </c>
      <c r="AH3156">
        <v>65</v>
      </c>
      <c r="AI3156" t="s">
        <v>939</v>
      </c>
      <c r="AJ3156">
        <v>2</v>
      </c>
      <c r="AK31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MIN(AJ3156/8, 1) +
  Merge1[[#This Row],[index_defensive_effort]],
  2
)</f>
        <v>0.82</v>
      </c>
    </row>
    <row r="3157" spans="1:37" x14ac:dyDescent="0.25">
      <c r="A3157" t="s">
        <v>806</v>
      </c>
      <c r="B3157" t="s">
        <v>807</v>
      </c>
      <c r="C3157">
        <v>23</v>
      </c>
      <c r="D3157" t="s">
        <v>22</v>
      </c>
      <c r="E3157">
        <v>73</v>
      </c>
      <c r="F3157">
        <v>217</v>
      </c>
      <c r="G3157" t="s">
        <v>74</v>
      </c>
      <c r="H3157">
        <v>2020</v>
      </c>
      <c r="I3157" t="s">
        <v>33</v>
      </c>
      <c r="J3157">
        <v>16</v>
      </c>
      <c r="K3157">
        <v>2</v>
      </c>
      <c r="L3157">
        <v>2</v>
      </c>
      <c r="M3157">
        <v>2</v>
      </c>
      <c r="N3157">
        <v>4</v>
      </c>
      <c r="O3157">
        <v>0</v>
      </c>
      <c r="P3157">
        <v>0</v>
      </c>
      <c r="Q3157">
        <v>0</v>
      </c>
      <c r="R3157">
        <v>0</v>
      </c>
      <c r="S3157">
        <v>61</v>
      </c>
      <c r="T3157">
        <v>61</v>
      </c>
      <c r="U3157" s="5">
        <f>IF(Merge1[[#This Row],[team_defense_snaps]]=0, "", Merge1[[#This Row],[defense_snaps]] / Merge1[[#This Row],[team_defense_snaps]])</f>
        <v>0.88405797101449279</v>
      </c>
      <c r="V3157">
        <v>69</v>
      </c>
      <c r="W3157">
        <v>0</v>
      </c>
      <c r="X3157" s="5" t="s">
        <v>29</v>
      </c>
      <c r="Y3157">
        <v>2</v>
      </c>
      <c r="Z3157">
        <v>0</v>
      </c>
      <c r="AA3157" t="s">
        <v>207</v>
      </c>
      <c r="AB3157" t="s">
        <v>62</v>
      </c>
      <c r="AC3157" t="s">
        <v>27</v>
      </c>
      <c r="AD3157" t="s">
        <v>204</v>
      </c>
      <c r="AE3157" t="s">
        <v>25</v>
      </c>
      <c r="AF31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6.5573770491803282E-2</v>
      </c>
      <c r="AG3157" t="s">
        <v>941</v>
      </c>
      <c r="AH3157">
        <v>51</v>
      </c>
      <c r="AI3157" t="s">
        <v>940</v>
      </c>
      <c r="AJ3157">
        <v>1</v>
      </c>
      <c r="AK31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MIN(AJ3157/8, 1) +
  Merge1[[#This Row],[index_defensive_effort]],
  2
)</f>
        <v>0.69</v>
      </c>
    </row>
    <row r="3158" spans="1:37" x14ac:dyDescent="0.25">
      <c r="A3158" t="s">
        <v>806</v>
      </c>
      <c r="B3158" t="s">
        <v>807</v>
      </c>
      <c r="C3158">
        <v>23</v>
      </c>
      <c r="D3158" t="s">
        <v>22</v>
      </c>
      <c r="E3158">
        <v>73</v>
      </c>
      <c r="F3158">
        <v>217</v>
      </c>
      <c r="G3158" t="s">
        <v>74</v>
      </c>
      <c r="H3158">
        <v>2020</v>
      </c>
      <c r="I3158" t="s">
        <v>24</v>
      </c>
      <c r="J3158">
        <v>18</v>
      </c>
      <c r="K3158">
        <v>4</v>
      </c>
      <c r="L3158">
        <v>3</v>
      </c>
      <c r="M3158">
        <v>0</v>
      </c>
      <c r="N3158">
        <v>3</v>
      </c>
      <c r="O3158">
        <v>0</v>
      </c>
      <c r="P3158">
        <v>0</v>
      </c>
      <c r="Q3158">
        <v>0</v>
      </c>
      <c r="R3158">
        <v>0</v>
      </c>
      <c r="S3158">
        <v>54</v>
      </c>
      <c r="T3158">
        <v>54</v>
      </c>
      <c r="U3158" s="5">
        <f>IF(Merge1[[#This Row],[team_defense_snaps]]=0, "", Merge1[[#This Row],[defense_snaps]] / Merge1[[#This Row],[team_defense_snaps]])</f>
        <v>0.80597014925373134</v>
      </c>
      <c r="V3158">
        <v>67</v>
      </c>
      <c r="W3158">
        <v>0</v>
      </c>
      <c r="X3158" s="5" t="s">
        <v>29</v>
      </c>
      <c r="Y3158">
        <v>2</v>
      </c>
      <c r="Z3158">
        <v>0</v>
      </c>
      <c r="AA3158" t="s">
        <v>25</v>
      </c>
      <c r="AB3158" t="s">
        <v>26</v>
      </c>
      <c r="AC3158" t="s">
        <v>27</v>
      </c>
      <c r="AD3158" t="s">
        <v>204</v>
      </c>
      <c r="AE3158" t="s">
        <v>25</v>
      </c>
      <c r="AF31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0.10185185185185185</v>
      </c>
      <c r="AG3158" t="s">
        <v>941</v>
      </c>
      <c r="AH3158">
        <v>53</v>
      </c>
      <c r="AI3158" t="s">
        <v>939</v>
      </c>
      <c r="AJ3158">
        <v>1</v>
      </c>
      <c r="AK31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MIN(AJ3158/8, 1) +
  Merge1[[#This Row],[index_defensive_effort]],
  2
)</f>
        <v>0.93</v>
      </c>
    </row>
    <row r="3159" spans="1:37" x14ac:dyDescent="0.25">
      <c r="A3159" t="s">
        <v>806</v>
      </c>
      <c r="B3159" t="s">
        <v>807</v>
      </c>
      <c r="C3159">
        <v>23</v>
      </c>
      <c r="D3159" t="s">
        <v>22</v>
      </c>
      <c r="E3159">
        <v>73</v>
      </c>
      <c r="F3159">
        <v>217</v>
      </c>
      <c r="G3159" t="s">
        <v>74</v>
      </c>
      <c r="H3159">
        <v>2020</v>
      </c>
      <c r="I3159" t="s">
        <v>24</v>
      </c>
      <c r="J3159">
        <v>18</v>
      </c>
      <c r="K3159">
        <v>4</v>
      </c>
      <c r="L3159">
        <v>3</v>
      </c>
      <c r="M3159">
        <v>0</v>
      </c>
      <c r="N3159">
        <v>3</v>
      </c>
      <c r="O3159">
        <v>0</v>
      </c>
      <c r="P3159">
        <v>0</v>
      </c>
      <c r="Q3159">
        <v>0</v>
      </c>
      <c r="R3159">
        <v>0</v>
      </c>
      <c r="S3159">
        <v>54</v>
      </c>
      <c r="T3159">
        <v>54</v>
      </c>
      <c r="U3159" s="5">
        <f>IF(Merge1[[#This Row],[team_defense_snaps]]=0, "", Merge1[[#This Row],[defense_snaps]] / Merge1[[#This Row],[team_defense_snaps]])</f>
        <v>0.80597014925373134</v>
      </c>
      <c r="V3159">
        <v>67</v>
      </c>
      <c r="W3159">
        <v>0</v>
      </c>
      <c r="X3159" s="5" t="s">
        <v>29</v>
      </c>
      <c r="Y3159">
        <v>2</v>
      </c>
      <c r="Z3159">
        <v>0</v>
      </c>
      <c r="AA3159" t="s">
        <v>207</v>
      </c>
      <c r="AB3159" t="s">
        <v>62</v>
      </c>
      <c r="AC3159" t="s">
        <v>27</v>
      </c>
      <c r="AD3159" t="s">
        <v>204</v>
      </c>
      <c r="AE3159" t="s">
        <v>25</v>
      </c>
      <c r="AF31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0.10185185185185185</v>
      </c>
      <c r="AG3159" t="s">
        <v>941</v>
      </c>
      <c r="AH3159">
        <v>63.5</v>
      </c>
      <c r="AI3159" t="s">
        <v>940</v>
      </c>
      <c r="AJ3159">
        <v>1</v>
      </c>
      <c r="AK31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MIN(AJ3159/8, 1) +
  Merge1[[#This Row],[index_defensive_effort]],
  2
)</f>
        <v>0.93</v>
      </c>
    </row>
    <row r="3160" spans="1:37" x14ac:dyDescent="0.25">
      <c r="A3160" t="s">
        <v>794</v>
      </c>
      <c r="B3160" t="s">
        <v>795</v>
      </c>
      <c r="C3160">
        <v>29</v>
      </c>
      <c r="D3160" t="s">
        <v>22</v>
      </c>
      <c r="E3160">
        <v>71</v>
      </c>
      <c r="F3160">
        <v>205</v>
      </c>
      <c r="G3160" t="s">
        <v>99</v>
      </c>
      <c r="H3160">
        <v>2020</v>
      </c>
      <c r="I3160" t="s">
        <v>33</v>
      </c>
      <c r="J3160">
        <v>1</v>
      </c>
      <c r="K3160">
        <v>0</v>
      </c>
      <c r="L3160">
        <v>4</v>
      </c>
      <c r="M3160">
        <v>4</v>
      </c>
      <c r="N3160">
        <v>8</v>
      </c>
      <c r="O3160">
        <v>0</v>
      </c>
      <c r="P3160">
        <v>1</v>
      </c>
      <c r="Q3160">
        <v>0</v>
      </c>
      <c r="R3160">
        <v>0</v>
      </c>
      <c r="S3160">
        <v>33</v>
      </c>
      <c r="T3160">
        <v>29</v>
      </c>
      <c r="U3160" s="5">
        <f>IF(Merge1[[#This Row],[team_defense_snaps]]=0, "", Merge1[[#This Row],[defense_snaps]] / Merge1[[#This Row],[team_defense_snaps]])</f>
        <v>0.46774193548387094</v>
      </c>
      <c r="V3160">
        <v>62</v>
      </c>
      <c r="W3160">
        <v>4</v>
      </c>
      <c r="X3160" s="5" t="s">
        <v>139</v>
      </c>
      <c r="Y3160">
        <v>6</v>
      </c>
      <c r="Z3160">
        <v>0</v>
      </c>
      <c r="AA3160" t="s">
        <v>25</v>
      </c>
      <c r="AB3160" t="s">
        <v>26</v>
      </c>
      <c r="AC3160" t="s">
        <v>27</v>
      </c>
      <c r="AD3160" t="s">
        <v>28</v>
      </c>
      <c r="AE3160" t="s">
        <v>25</v>
      </c>
      <c r="AF31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0.18181818181818182</v>
      </c>
      <c r="AG3160" t="s">
        <v>942</v>
      </c>
      <c r="AH3160">
        <v>65</v>
      </c>
      <c r="AI3160" t="s">
        <v>939</v>
      </c>
      <c r="AJ3160">
        <v>1</v>
      </c>
      <c r="AK31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MIN(AJ3160/8, 1) +
  Merge1[[#This Row],[index_defensive_effort]],
  2
)</f>
        <v>0.91</v>
      </c>
    </row>
    <row r="3161" spans="1:37" x14ac:dyDescent="0.25">
      <c r="A3161" t="s">
        <v>794</v>
      </c>
      <c r="B3161" t="s">
        <v>795</v>
      </c>
      <c r="C3161">
        <v>29</v>
      </c>
      <c r="D3161" t="s">
        <v>22</v>
      </c>
      <c r="E3161">
        <v>71</v>
      </c>
      <c r="F3161">
        <v>205</v>
      </c>
      <c r="G3161" t="s">
        <v>99</v>
      </c>
      <c r="H3161">
        <v>2020</v>
      </c>
      <c r="I3161" t="s">
        <v>33</v>
      </c>
      <c r="J3161">
        <v>2</v>
      </c>
      <c r="K3161">
        <v>1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13</v>
      </c>
      <c r="T3161">
        <v>6</v>
      </c>
      <c r="U3161" s="5">
        <f>IF(Merge1[[#This Row],[team_defense_snaps]]=0, "", Merge1[[#This Row],[defense_snaps]] / Merge1[[#This Row],[team_defense_snaps]])</f>
        <v>9.5238095238095233E-2</v>
      </c>
      <c r="V3161">
        <v>63</v>
      </c>
      <c r="W3161">
        <v>7</v>
      </c>
      <c r="X3161" s="5" t="s">
        <v>135</v>
      </c>
      <c r="Y3161">
        <v>6</v>
      </c>
      <c r="Z3161">
        <v>0</v>
      </c>
      <c r="AA3161" t="s">
        <v>25</v>
      </c>
      <c r="AB3161" t="s">
        <v>26</v>
      </c>
      <c r="AC3161" t="s">
        <v>27</v>
      </c>
      <c r="AD3161" t="s">
        <v>28</v>
      </c>
      <c r="AE3161" t="s">
        <v>25</v>
      </c>
      <c r="AF31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7.6923076923076927E-2</v>
      </c>
      <c r="AG3161" t="s">
        <v>942</v>
      </c>
      <c r="AH3161">
        <v>63.5</v>
      </c>
      <c r="AI3161" t="s">
        <v>939</v>
      </c>
      <c r="AJ3161">
        <v>2</v>
      </c>
      <c r="AK31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MIN(AJ3161/8, 1) +
  Merge1[[#This Row],[index_defensive_effort]],
  2
)</f>
        <v>0.93</v>
      </c>
    </row>
    <row r="3162" spans="1:37" x14ac:dyDescent="0.25">
      <c r="A3162" t="s">
        <v>794</v>
      </c>
      <c r="B3162" t="s">
        <v>795</v>
      </c>
      <c r="C3162">
        <v>29</v>
      </c>
      <c r="D3162" t="s">
        <v>22</v>
      </c>
      <c r="E3162">
        <v>71</v>
      </c>
      <c r="F3162">
        <v>205</v>
      </c>
      <c r="G3162" t="s">
        <v>99</v>
      </c>
      <c r="H3162">
        <v>2020</v>
      </c>
      <c r="I3162" t="s">
        <v>33</v>
      </c>
      <c r="J3162">
        <v>3</v>
      </c>
      <c r="K3162">
        <v>2</v>
      </c>
      <c r="L3162">
        <v>2</v>
      </c>
      <c r="M3162">
        <v>0</v>
      </c>
      <c r="N3162">
        <v>2</v>
      </c>
      <c r="O3162">
        <v>0</v>
      </c>
      <c r="P3162">
        <v>0</v>
      </c>
      <c r="Q3162">
        <v>0</v>
      </c>
      <c r="R3162">
        <v>0</v>
      </c>
      <c r="S3162">
        <v>32</v>
      </c>
      <c r="T3162">
        <v>21</v>
      </c>
      <c r="U3162" s="5">
        <f>IF(Merge1[[#This Row],[team_defense_snaps]]=0, "", Merge1[[#This Row],[defense_snaps]] / Merge1[[#This Row],[team_defense_snaps]])</f>
        <v>0.35</v>
      </c>
      <c r="V3162">
        <v>60</v>
      </c>
      <c r="W3162">
        <v>11</v>
      </c>
      <c r="X3162" s="5" t="s">
        <v>70</v>
      </c>
      <c r="Y3162">
        <v>6</v>
      </c>
      <c r="Z3162">
        <v>0</v>
      </c>
      <c r="AA3162" t="s">
        <v>25</v>
      </c>
      <c r="AB3162" t="s">
        <v>26</v>
      </c>
      <c r="AC3162" t="s">
        <v>27</v>
      </c>
      <c r="AD3162" t="s">
        <v>28</v>
      </c>
      <c r="AE3162" t="s">
        <v>25</v>
      </c>
      <c r="AF31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9.375E-2</v>
      </c>
      <c r="AG3162" t="s">
        <v>942</v>
      </c>
      <c r="AH3162">
        <v>53</v>
      </c>
      <c r="AI3162" t="s">
        <v>939</v>
      </c>
      <c r="AJ3162">
        <v>3</v>
      </c>
      <c r="AK31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MIN(AJ3162/8, 1) +
  Merge1[[#This Row],[index_defensive_effort]],
  2
)</f>
        <v>1.07</v>
      </c>
    </row>
    <row r="3163" spans="1:37" x14ac:dyDescent="0.25">
      <c r="A3163" t="s">
        <v>794</v>
      </c>
      <c r="B3163" t="s">
        <v>795</v>
      </c>
      <c r="C3163">
        <v>29</v>
      </c>
      <c r="D3163" t="s">
        <v>22</v>
      </c>
      <c r="E3163">
        <v>71</v>
      </c>
      <c r="F3163">
        <v>205</v>
      </c>
      <c r="G3163" t="s">
        <v>99</v>
      </c>
      <c r="H3163">
        <v>2020</v>
      </c>
      <c r="I3163" t="s">
        <v>33</v>
      </c>
      <c r="J3163">
        <v>4</v>
      </c>
      <c r="K3163">
        <v>1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17</v>
      </c>
      <c r="T3163">
        <v>7</v>
      </c>
      <c r="U3163" s="5">
        <f>IF(Merge1[[#This Row],[team_defense_snaps]]=0, "", Merge1[[#This Row],[defense_snaps]] / Merge1[[#This Row],[team_defense_snaps]])</f>
        <v>0.125</v>
      </c>
      <c r="V3163">
        <v>56</v>
      </c>
      <c r="W3163">
        <v>10</v>
      </c>
      <c r="X3163" s="5" t="s">
        <v>75</v>
      </c>
      <c r="Y3163">
        <v>6</v>
      </c>
      <c r="Z3163">
        <v>0</v>
      </c>
      <c r="AA3163" t="s">
        <v>25</v>
      </c>
      <c r="AB3163" t="s">
        <v>26</v>
      </c>
      <c r="AC3163" t="s">
        <v>27</v>
      </c>
      <c r="AD3163" t="s">
        <v>28</v>
      </c>
      <c r="AE3163" t="s">
        <v>25</v>
      </c>
      <c r="AF31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AG3163" t="s">
        <v>942</v>
      </c>
      <c r="AH3163">
        <v>68</v>
      </c>
      <c r="AI3163" t="s">
        <v>939</v>
      </c>
      <c r="AJ3163">
        <v>4</v>
      </c>
      <c r="AK31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MIN(AJ3163/8, 1) +
  Merge1[[#This Row],[index_defensive_effort]],
  2
)</f>
        <v>1.1599999999999999</v>
      </c>
    </row>
    <row r="3164" spans="1:37" x14ac:dyDescent="0.25">
      <c r="A3164" t="s">
        <v>794</v>
      </c>
      <c r="B3164" t="s">
        <v>795</v>
      </c>
      <c r="C3164">
        <v>29</v>
      </c>
      <c r="D3164" t="s">
        <v>22</v>
      </c>
      <c r="E3164">
        <v>71</v>
      </c>
      <c r="F3164">
        <v>205</v>
      </c>
      <c r="G3164" t="s">
        <v>99</v>
      </c>
      <c r="H3164">
        <v>2020</v>
      </c>
      <c r="I3164" t="s">
        <v>33</v>
      </c>
      <c r="J3164">
        <v>7</v>
      </c>
      <c r="K3164">
        <v>2</v>
      </c>
      <c r="L3164">
        <v>2</v>
      </c>
      <c r="M3164">
        <v>1</v>
      </c>
      <c r="N3164">
        <v>3</v>
      </c>
      <c r="O3164">
        <v>0</v>
      </c>
      <c r="P3164">
        <v>1</v>
      </c>
      <c r="Q3164">
        <v>0</v>
      </c>
      <c r="R3164">
        <v>0</v>
      </c>
      <c r="S3164">
        <v>39</v>
      </c>
      <c r="T3164">
        <v>27</v>
      </c>
      <c r="U3164" s="5">
        <f>IF(Merge1[[#This Row],[team_defense_snaps]]=0, "", Merge1[[#This Row],[defense_snaps]] / Merge1[[#This Row],[team_defense_snaps]])</f>
        <v>0.40909090909090912</v>
      </c>
      <c r="V3164">
        <v>66</v>
      </c>
      <c r="W3164">
        <v>12</v>
      </c>
      <c r="X3164" s="5" t="s">
        <v>232</v>
      </c>
      <c r="Y3164">
        <v>6</v>
      </c>
      <c r="Z3164">
        <v>0</v>
      </c>
      <c r="AA3164" t="s">
        <v>25</v>
      </c>
      <c r="AB3164" t="s">
        <v>26</v>
      </c>
      <c r="AC3164" t="s">
        <v>27</v>
      </c>
      <c r="AD3164" t="s">
        <v>28</v>
      </c>
      <c r="AE3164" t="s">
        <v>25</v>
      </c>
      <c r="AF31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0.14102564102564102</v>
      </c>
      <c r="AG3164" t="s">
        <v>942</v>
      </c>
      <c r="AH3164">
        <v>57.5</v>
      </c>
      <c r="AI3164" t="s">
        <v>939</v>
      </c>
      <c r="AJ3164">
        <v>1</v>
      </c>
      <c r="AK31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MIN(AJ3164/8, 1) +
  Merge1[[#This Row],[index_defensive_effort]],
  2
)</f>
        <v>0.87</v>
      </c>
    </row>
    <row r="3165" spans="1:37" x14ac:dyDescent="0.25">
      <c r="A3165" t="s">
        <v>794</v>
      </c>
      <c r="B3165" t="s">
        <v>795</v>
      </c>
      <c r="C3165">
        <v>29</v>
      </c>
      <c r="D3165" t="s">
        <v>22</v>
      </c>
      <c r="E3165">
        <v>71</v>
      </c>
      <c r="F3165">
        <v>205</v>
      </c>
      <c r="G3165" t="s">
        <v>99</v>
      </c>
      <c r="H3165">
        <v>2020</v>
      </c>
      <c r="I3165" t="s">
        <v>33</v>
      </c>
      <c r="J3165">
        <v>8</v>
      </c>
      <c r="K3165">
        <v>2</v>
      </c>
      <c r="L3165">
        <v>0</v>
      </c>
      <c r="M3165">
        <v>0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74</v>
      </c>
      <c r="T3165">
        <v>58</v>
      </c>
      <c r="U3165" s="5">
        <f>IF(Merge1[[#This Row],[team_defense_snaps]]=0, "", Merge1[[#This Row],[defense_snaps]] / Merge1[[#This Row],[team_defense_snaps]])</f>
        <v>0.98305084745762716</v>
      </c>
      <c r="V3165">
        <v>59</v>
      </c>
      <c r="W3165">
        <v>16</v>
      </c>
      <c r="X3165" s="5" t="s">
        <v>83</v>
      </c>
      <c r="Y3165">
        <v>6</v>
      </c>
      <c r="Z3165">
        <v>0</v>
      </c>
      <c r="AA3165" t="s">
        <v>25</v>
      </c>
      <c r="AB3165" t="s">
        <v>26</v>
      </c>
      <c r="AC3165" t="s">
        <v>27</v>
      </c>
      <c r="AD3165" t="s">
        <v>42</v>
      </c>
      <c r="AE3165" t="s">
        <v>25</v>
      </c>
      <c r="AF31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5.4054054054054057E-2</v>
      </c>
      <c r="AG3165" t="s">
        <v>942</v>
      </c>
      <c r="AH3165">
        <v>66.5</v>
      </c>
      <c r="AI3165" t="s">
        <v>939</v>
      </c>
      <c r="AJ3165">
        <v>2</v>
      </c>
      <c r="AK31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MIN(AJ3165/8, 1) +
  Merge1[[#This Row],[index_defensive_effort]],
  2
)</f>
        <v>0.9</v>
      </c>
    </row>
    <row r="3166" spans="1:37" x14ac:dyDescent="0.25">
      <c r="A3166" t="s">
        <v>794</v>
      </c>
      <c r="B3166" t="s">
        <v>795</v>
      </c>
      <c r="C3166">
        <v>29</v>
      </c>
      <c r="D3166" t="s">
        <v>22</v>
      </c>
      <c r="E3166">
        <v>71</v>
      </c>
      <c r="F3166">
        <v>205</v>
      </c>
      <c r="G3166" t="s">
        <v>99</v>
      </c>
      <c r="H3166">
        <v>2020</v>
      </c>
      <c r="I3166" t="s">
        <v>33</v>
      </c>
      <c r="J3166">
        <v>9</v>
      </c>
      <c r="K3166">
        <v>0</v>
      </c>
      <c r="L3166">
        <v>1</v>
      </c>
      <c r="M3166">
        <v>0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22</v>
      </c>
      <c r="T3166">
        <v>9</v>
      </c>
      <c r="U3166" s="5">
        <f>IF(Merge1[[#This Row],[team_defense_snaps]]=0, "", Merge1[[#This Row],[defense_snaps]] / Merge1[[#This Row],[team_defense_snaps]])</f>
        <v>0.19565217391304349</v>
      </c>
      <c r="V3166">
        <v>46</v>
      </c>
      <c r="W3166">
        <v>13</v>
      </c>
      <c r="X3166" s="5" t="s">
        <v>200</v>
      </c>
      <c r="Y3166">
        <v>6</v>
      </c>
      <c r="Z3166">
        <v>0</v>
      </c>
      <c r="AA3166" t="s">
        <v>25</v>
      </c>
      <c r="AB3166" t="s">
        <v>26</v>
      </c>
      <c r="AC3166" t="s">
        <v>27</v>
      </c>
      <c r="AD3166" t="s">
        <v>42</v>
      </c>
      <c r="AE3166" t="s">
        <v>25</v>
      </c>
      <c r="AF31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2.2727272727272728E-2</v>
      </c>
      <c r="AG3166" t="s">
        <v>942</v>
      </c>
      <c r="AH3166">
        <v>59</v>
      </c>
      <c r="AI3166" t="s">
        <v>939</v>
      </c>
      <c r="AJ3166">
        <v>3</v>
      </c>
      <c r="AK31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MIN(AJ3166/8, 1) +
  Merge1[[#This Row],[index_defensive_effort]],
  2
)</f>
        <v>1</v>
      </c>
    </row>
    <row r="3167" spans="1:37" x14ac:dyDescent="0.25">
      <c r="A3167" t="s">
        <v>794</v>
      </c>
      <c r="B3167" t="s">
        <v>795</v>
      </c>
      <c r="C3167">
        <v>29</v>
      </c>
      <c r="D3167" t="s">
        <v>22</v>
      </c>
      <c r="E3167">
        <v>71</v>
      </c>
      <c r="F3167">
        <v>205</v>
      </c>
      <c r="G3167" t="s">
        <v>99</v>
      </c>
      <c r="H3167">
        <v>2020</v>
      </c>
      <c r="I3167" t="s">
        <v>33</v>
      </c>
      <c r="J3167">
        <v>11</v>
      </c>
      <c r="K3167">
        <v>1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23</v>
      </c>
      <c r="T3167">
        <v>9</v>
      </c>
      <c r="U3167" s="5">
        <f>IF(Merge1[[#This Row],[team_defense_snaps]]=0, "", Merge1[[#This Row],[defense_snaps]] / Merge1[[#This Row],[team_defense_snaps]])</f>
        <v>0.14754098360655737</v>
      </c>
      <c r="V3167">
        <v>61</v>
      </c>
      <c r="W3167">
        <v>14</v>
      </c>
      <c r="X3167" s="5" t="s">
        <v>52</v>
      </c>
      <c r="Y3167">
        <v>6</v>
      </c>
      <c r="Z3167">
        <v>0</v>
      </c>
      <c r="AA3167" t="s">
        <v>25</v>
      </c>
      <c r="AB3167" t="s">
        <v>26</v>
      </c>
      <c r="AC3167" t="s">
        <v>27</v>
      </c>
      <c r="AD3167" t="s">
        <v>28</v>
      </c>
      <c r="AE3167" t="s">
        <v>25</v>
      </c>
      <c r="AF31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4.3478260869565216E-2</v>
      </c>
      <c r="AG3167" t="s">
        <v>942</v>
      </c>
      <c r="AH3167">
        <v>56</v>
      </c>
      <c r="AI3167" t="s">
        <v>939</v>
      </c>
      <c r="AJ3167">
        <v>1</v>
      </c>
      <c r="AK31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MIN(AJ3167/8, 1) +
  Merge1[[#This Row],[index_defensive_effort]],
  2
)</f>
        <v>0.77</v>
      </c>
    </row>
    <row r="3168" spans="1:37" x14ac:dyDescent="0.25">
      <c r="A3168" t="s">
        <v>794</v>
      </c>
      <c r="B3168" t="s">
        <v>795</v>
      </c>
      <c r="C3168">
        <v>29</v>
      </c>
      <c r="D3168" t="s">
        <v>22</v>
      </c>
      <c r="E3168">
        <v>71</v>
      </c>
      <c r="F3168">
        <v>205</v>
      </c>
      <c r="G3168" t="s">
        <v>99</v>
      </c>
      <c r="H3168">
        <v>2020</v>
      </c>
      <c r="I3168" t="s">
        <v>33</v>
      </c>
      <c r="J3168">
        <v>16</v>
      </c>
      <c r="K3168">
        <v>2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56</v>
      </c>
      <c r="T3168">
        <v>42</v>
      </c>
      <c r="U3168" s="5">
        <f>IF(Merge1[[#This Row],[team_defense_snaps]]=0, "", Merge1[[#This Row],[defense_snaps]] / Merge1[[#This Row],[team_defense_snaps]])</f>
        <v>0.58333333333333337</v>
      </c>
      <c r="V3168">
        <v>72</v>
      </c>
      <c r="W3168">
        <v>14</v>
      </c>
      <c r="X3168" s="5" t="s">
        <v>275</v>
      </c>
      <c r="Y3168">
        <v>6</v>
      </c>
      <c r="Z3168">
        <v>0</v>
      </c>
      <c r="AA3168" t="s">
        <v>25</v>
      </c>
      <c r="AB3168" t="s">
        <v>26</v>
      </c>
      <c r="AC3168" t="s">
        <v>27</v>
      </c>
      <c r="AD3168" t="s">
        <v>28</v>
      </c>
      <c r="AE3168" t="s">
        <v>25</v>
      </c>
      <c r="AF31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3.5714285714285712E-2</v>
      </c>
      <c r="AG3168" t="s">
        <v>942</v>
      </c>
      <c r="AH3168">
        <v>45.5</v>
      </c>
      <c r="AI3168" t="s">
        <v>939</v>
      </c>
      <c r="AJ3168">
        <v>1</v>
      </c>
      <c r="AK31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MIN(AJ3168/8, 1) +
  Merge1[[#This Row],[index_defensive_effort]],
  2
)</f>
        <v>0.76</v>
      </c>
    </row>
    <row r="3169" spans="1:37" x14ac:dyDescent="0.25">
      <c r="A3169" t="s">
        <v>800</v>
      </c>
      <c r="B3169" t="s">
        <v>801</v>
      </c>
      <c r="C3169">
        <v>27</v>
      </c>
      <c r="D3169" t="s">
        <v>56</v>
      </c>
      <c r="E3169">
        <v>72</v>
      </c>
      <c r="F3169">
        <v>200</v>
      </c>
      <c r="G3169" t="s">
        <v>120</v>
      </c>
      <c r="H3169">
        <v>2020</v>
      </c>
      <c r="I3169" t="s">
        <v>33</v>
      </c>
      <c r="J3169">
        <v>4</v>
      </c>
      <c r="K3169">
        <v>1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13</v>
      </c>
      <c r="T3169">
        <v>1</v>
      </c>
      <c r="U3169" s="5">
        <f>IF(Merge1[[#This Row],[team_defense_snaps]]=0, "", Merge1[[#This Row],[defense_snaps]] / Merge1[[#This Row],[team_defense_snaps]])</f>
        <v>0.01</v>
      </c>
      <c r="V3169">
        <v>100</v>
      </c>
      <c r="W3169">
        <v>12</v>
      </c>
      <c r="X3169" s="5" t="s">
        <v>158</v>
      </c>
      <c r="Y3169">
        <v>2</v>
      </c>
      <c r="Z3169">
        <v>0</v>
      </c>
      <c r="AA3169" t="s">
        <v>25</v>
      </c>
      <c r="AB3169" t="s">
        <v>26</v>
      </c>
      <c r="AC3169" t="s">
        <v>27</v>
      </c>
      <c r="AD3169" t="s">
        <v>28</v>
      </c>
      <c r="AE3169" t="s">
        <v>25</v>
      </c>
      <c r="AF31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7.6923076923076927E-2</v>
      </c>
      <c r="AG3169" t="s">
        <v>942</v>
      </c>
      <c r="AH3169">
        <v>58</v>
      </c>
      <c r="AI3169" t="s">
        <v>939</v>
      </c>
      <c r="AJ3169">
        <v>1</v>
      </c>
      <c r="AK31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MIN(AJ3169/8, 1) +
  Merge1[[#This Row],[index_defensive_effort]],
  2
)</f>
        <v>0.8</v>
      </c>
    </row>
    <row r="3170" spans="1:37" x14ac:dyDescent="0.25">
      <c r="A3170" t="s">
        <v>800</v>
      </c>
      <c r="B3170" t="s">
        <v>801</v>
      </c>
      <c r="C3170">
        <v>27</v>
      </c>
      <c r="D3170" t="s">
        <v>56</v>
      </c>
      <c r="E3170">
        <v>72</v>
      </c>
      <c r="F3170">
        <v>200</v>
      </c>
      <c r="G3170" t="s">
        <v>120</v>
      </c>
      <c r="H3170">
        <v>2020</v>
      </c>
      <c r="I3170" t="s">
        <v>33</v>
      </c>
      <c r="J3170">
        <v>8</v>
      </c>
      <c r="K3170">
        <v>1</v>
      </c>
      <c r="L3170">
        <v>2</v>
      </c>
      <c r="M3170">
        <v>0</v>
      </c>
      <c r="N3170">
        <v>2</v>
      </c>
      <c r="O3170">
        <v>0</v>
      </c>
      <c r="P3170">
        <v>0</v>
      </c>
      <c r="Q3170">
        <v>0</v>
      </c>
      <c r="R3170">
        <v>0</v>
      </c>
      <c r="S3170">
        <v>61</v>
      </c>
      <c r="T3170">
        <v>51</v>
      </c>
      <c r="U3170" s="5">
        <f>IF(Merge1[[#This Row],[team_defense_snaps]]=0, "", Merge1[[#This Row],[defense_snaps]] / Merge1[[#This Row],[team_defense_snaps]])</f>
        <v>0.7846153846153846</v>
      </c>
      <c r="V3170">
        <v>65</v>
      </c>
      <c r="W3170">
        <v>10</v>
      </c>
      <c r="X3170" s="5" t="s">
        <v>314</v>
      </c>
      <c r="Y3170">
        <v>2</v>
      </c>
      <c r="Z3170">
        <v>0</v>
      </c>
      <c r="AA3170" t="s">
        <v>25</v>
      </c>
      <c r="AB3170" t="s">
        <v>26</v>
      </c>
      <c r="AC3170" t="s">
        <v>27</v>
      </c>
      <c r="AD3170" t="s">
        <v>28</v>
      </c>
      <c r="AE3170" t="s">
        <v>25</v>
      </c>
      <c r="AF31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3.2786885245901641E-2</v>
      </c>
      <c r="AG3170" t="s">
        <v>942</v>
      </c>
      <c r="AH3170">
        <v>70</v>
      </c>
      <c r="AI3170" t="s">
        <v>939</v>
      </c>
      <c r="AJ3170">
        <v>1</v>
      </c>
      <c r="AK31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MIN(AJ3170/8, 1) +
  Merge1[[#This Row],[index_defensive_effort]],
  2
)</f>
        <v>0.76</v>
      </c>
    </row>
    <row r="3171" spans="1:37" x14ac:dyDescent="0.25">
      <c r="A3171" t="s">
        <v>800</v>
      </c>
      <c r="B3171" t="s">
        <v>801</v>
      </c>
      <c r="C3171">
        <v>27</v>
      </c>
      <c r="D3171" t="s">
        <v>56</v>
      </c>
      <c r="E3171">
        <v>72</v>
      </c>
      <c r="F3171">
        <v>200</v>
      </c>
      <c r="G3171" t="s">
        <v>120</v>
      </c>
      <c r="H3171">
        <v>2020</v>
      </c>
      <c r="I3171" t="s">
        <v>33</v>
      </c>
      <c r="J3171">
        <v>9</v>
      </c>
      <c r="K3171">
        <v>1</v>
      </c>
      <c r="L3171">
        <v>1</v>
      </c>
      <c r="M3171">
        <v>0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48</v>
      </c>
      <c r="T3171">
        <v>37</v>
      </c>
      <c r="U3171" s="5">
        <f>IF(Merge1[[#This Row],[team_defense_snaps]]=0, "", Merge1[[#This Row],[defense_snaps]] / Merge1[[#This Row],[team_defense_snaps]])</f>
        <v>0.72549019607843135</v>
      </c>
      <c r="V3171">
        <v>51</v>
      </c>
      <c r="W3171">
        <v>11</v>
      </c>
      <c r="X3171" s="5" t="s">
        <v>158</v>
      </c>
      <c r="Y3171">
        <v>2</v>
      </c>
      <c r="Z3171">
        <v>0</v>
      </c>
      <c r="AA3171" t="s">
        <v>25</v>
      </c>
      <c r="AB3171" t="s">
        <v>26</v>
      </c>
      <c r="AC3171" t="s">
        <v>27</v>
      </c>
      <c r="AD3171" t="s">
        <v>42</v>
      </c>
      <c r="AE3171" t="s">
        <v>25</v>
      </c>
      <c r="AF31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3.125E-2</v>
      </c>
      <c r="AG3171" t="s">
        <v>942</v>
      </c>
      <c r="AH3171">
        <v>67</v>
      </c>
      <c r="AI3171" t="s">
        <v>939</v>
      </c>
      <c r="AJ3171">
        <v>2</v>
      </c>
      <c r="AK31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MIN(AJ3171/8, 1) +
  Merge1[[#This Row],[index_defensive_effort]],
  2
)</f>
        <v>0.88</v>
      </c>
    </row>
    <row r="3172" spans="1:37" x14ac:dyDescent="0.25">
      <c r="A3172" t="s">
        <v>800</v>
      </c>
      <c r="B3172" t="s">
        <v>801</v>
      </c>
      <c r="C3172">
        <v>27</v>
      </c>
      <c r="D3172" t="s">
        <v>56</v>
      </c>
      <c r="E3172">
        <v>72</v>
      </c>
      <c r="F3172">
        <v>200</v>
      </c>
      <c r="G3172" t="s">
        <v>120</v>
      </c>
      <c r="H3172">
        <v>2020</v>
      </c>
      <c r="I3172" t="s">
        <v>33</v>
      </c>
      <c r="J3172">
        <v>10</v>
      </c>
      <c r="K3172">
        <v>2</v>
      </c>
      <c r="L3172">
        <v>0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40</v>
      </c>
      <c r="T3172">
        <v>33</v>
      </c>
      <c r="U3172" s="5">
        <f>IF(Merge1[[#This Row],[team_defense_snaps]]=0, "", Merge1[[#This Row],[defense_snaps]] / Merge1[[#This Row],[team_defense_snaps]])</f>
        <v>0.56896551724137934</v>
      </c>
      <c r="V3172">
        <v>58</v>
      </c>
      <c r="W3172">
        <v>7</v>
      </c>
      <c r="X3172" s="5" t="s">
        <v>135</v>
      </c>
      <c r="Y3172">
        <v>2</v>
      </c>
      <c r="Z3172">
        <v>0</v>
      </c>
      <c r="AA3172" t="s">
        <v>25</v>
      </c>
      <c r="AB3172" t="s">
        <v>26</v>
      </c>
      <c r="AC3172" t="s">
        <v>27</v>
      </c>
      <c r="AD3172" t="s">
        <v>28</v>
      </c>
      <c r="AE3172" t="s">
        <v>25</v>
      </c>
      <c r="AF31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3172" t="s">
        <v>942</v>
      </c>
      <c r="AH3172">
        <v>77.5</v>
      </c>
      <c r="AI3172" t="s">
        <v>939</v>
      </c>
      <c r="AJ3172">
        <v>3</v>
      </c>
      <c r="AK31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MIN(AJ3172/8, 1) +
  Merge1[[#This Row],[index_defensive_effort]],
  2
)</f>
        <v>1.08</v>
      </c>
    </row>
    <row r="3173" spans="1:37" x14ac:dyDescent="0.25">
      <c r="A3173" t="s">
        <v>800</v>
      </c>
      <c r="B3173" t="s">
        <v>801</v>
      </c>
      <c r="C3173">
        <v>27</v>
      </c>
      <c r="D3173" t="s">
        <v>56</v>
      </c>
      <c r="E3173">
        <v>72</v>
      </c>
      <c r="F3173">
        <v>200</v>
      </c>
      <c r="G3173" t="s">
        <v>120</v>
      </c>
      <c r="H3173">
        <v>2020</v>
      </c>
      <c r="I3173" t="s">
        <v>33</v>
      </c>
      <c r="J3173">
        <v>11</v>
      </c>
      <c r="K3173">
        <v>3</v>
      </c>
      <c r="L3173">
        <v>1</v>
      </c>
      <c r="M3173">
        <v>0</v>
      </c>
      <c r="N3173">
        <v>1</v>
      </c>
      <c r="O3173">
        <v>0</v>
      </c>
      <c r="P3173">
        <v>0</v>
      </c>
      <c r="Q3173">
        <v>2</v>
      </c>
      <c r="R3173">
        <v>0</v>
      </c>
      <c r="S3173">
        <v>62</v>
      </c>
      <c r="T3173">
        <v>57</v>
      </c>
      <c r="U3173" s="5">
        <f>IF(Merge1[[#This Row],[team_defense_snaps]]=0, "", Merge1[[#This Row],[defense_snaps]] / Merge1[[#This Row],[team_defense_snaps]])</f>
        <v>0.93442622950819676</v>
      </c>
      <c r="V3173">
        <v>61</v>
      </c>
      <c r="W3173">
        <v>5</v>
      </c>
      <c r="X3173" s="5" t="s">
        <v>124</v>
      </c>
      <c r="Y3173">
        <v>2</v>
      </c>
      <c r="Z3173">
        <v>0</v>
      </c>
      <c r="AA3173" t="s">
        <v>25</v>
      </c>
      <c r="AB3173" t="s">
        <v>26</v>
      </c>
      <c r="AC3173" t="s">
        <v>27</v>
      </c>
      <c r="AD3173" t="s">
        <v>42</v>
      </c>
      <c r="AE3173" t="s">
        <v>25</v>
      </c>
      <c r="AF31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0.18548387096774194</v>
      </c>
      <c r="AG3173" t="s">
        <v>942</v>
      </c>
      <c r="AH3173">
        <v>71.5</v>
      </c>
      <c r="AI3173" t="s">
        <v>939</v>
      </c>
      <c r="AJ3173">
        <v>4</v>
      </c>
      <c r="AK31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MIN(AJ3173/8, 1) +
  Merge1[[#This Row],[index_defensive_effort]],
  2
)</f>
        <v>1.29</v>
      </c>
    </row>
    <row r="3174" spans="1:37" x14ac:dyDescent="0.25">
      <c r="A3174" t="s">
        <v>800</v>
      </c>
      <c r="B3174" t="s">
        <v>801</v>
      </c>
      <c r="C3174">
        <v>27</v>
      </c>
      <c r="D3174" t="s">
        <v>56</v>
      </c>
      <c r="E3174">
        <v>72</v>
      </c>
      <c r="F3174">
        <v>200</v>
      </c>
      <c r="G3174" t="s">
        <v>120</v>
      </c>
      <c r="H3174">
        <v>2020</v>
      </c>
      <c r="I3174" t="s">
        <v>33</v>
      </c>
      <c r="J3174">
        <v>12</v>
      </c>
      <c r="K3174">
        <v>3</v>
      </c>
      <c r="L3174">
        <v>0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64</v>
      </c>
      <c r="T3174">
        <v>59</v>
      </c>
      <c r="U3174" s="5">
        <f>IF(Merge1[[#This Row],[team_defense_snaps]]=0, "", Merge1[[#This Row],[defense_snaps]] / Merge1[[#This Row],[team_defense_snaps]])</f>
        <v>0.95161290322580649</v>
      </c>
      <c r="V3174">
        <v>62</v>
      </c>
      <c r="W3174">
        <v>5</v>
      </c>
      <c r="X3174" s="5" t="s">
        <v>59</v>
      </c>
      <c r="Y3174">
        <v>2</v>
      </c>
      <c r="Z3174">
        <v>0</v>
      </c>
      <c r="AA3174" t="s">
        <v>25</v>
      </c>
      <c r="AB3174" t="s">
        <v>26</v>
      </c>
      <c r="AC3174" t="s">
        <v>27</v>
      </c>
      <c r="AD3174" t="s">
        <v>42</v>
      </c>
      <c r="AE3174" t="s">
        <v>25</v>
      </c>
      <c r="AF31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7.8125E-2</v>
      </c>
      <c r="AG3174" t="s">
        <v>942</v>
      </c>
      <c r="AH3174">
        <v>65.5</v>
      </c>
      <c r="AI3174" t="s">
        <v>939</v>
      </c>
      <c r="AJ3174">
        <v>5</v>
      </c>
      <c r="AK31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MIN(AJ3174/8, 1) +
  Merge1[[#This Row],[index_defensive_effort]],
  2
)</f>
        <v>1.3</v>
      </c>
    </row>
    <row r="3175" spans="1:37" x14ac:dyDescent="0.25">
      <c r="A3175" t="s">
        <v>800</v>
      </c>
      <c r="B3175" t="s">
        <v>801</v>
      </c>
      <c r="C3175">
        <v>27</v>
      </c>
      <c r="D3175" t="s">
        <v>56</v>
      </c>
      <c r="E3175">
        <v>72</v>
      </c>
      <c r="F3175">
        <v>200</v>
      </c>
      <c r="G3175" t="s">
        <v>120</v>
      </c>
      <c r="H3175">
        <v>2020</v>
      </c>
      <c r="I3175" t="s">
        <v>33</v>
      </c>
      <c r="J3175">
        <v>16</v>
      </c>
      <c r="K3175">
        <v>1</v>
      </c>
      <c r="L3175">
        <v>1</v>
      </c>
      <c r="M3175">
        <v>1</v>
      </c>
      <c r="N3175">
        <v>2</v>
      </c>
      <c r="O3175">
        <v>0</v>
      </c>
      <c r="P3175">
        <v>1</v>
      </c>
      <c r="Q3175">
        <v>0</v>
      </c>
      <c r="R3175">
        <v>0</v>
      </c>
      <c r="S3175">
        <v>64</v>
      </c>
      <c r="T3175">
        <v>48</v>
      </c>
      <c r="U3175" s="5">
        <f>IF(Merge1[[#This Row],[team_defense_snaps]]=0, "", Merge1[[#This Row],[defense_snaps]] / Merge1[[#This Row],[team_defense_snaps]])</f>
        <v>0.62337662337662336</v>
      </c>
      <c r="V3175">
        <v>77</v>
      </c>
      <c r="W3175">
        <v>16</v>
      </c>
      <c r="X3175" s="5" t="s">
        <v>182</v>
      </c>
      <c r="Y3175">
        <v>2</v>
      </c>
      <c r="Z3175">
        <v>0</v>
      </c>
      <c r="AA3175" t="s">
        <v>25</v>
      </c>
      <c r="AB3175" t="s">
        <v>26</v>
      </c>
      <c r="AC3175" t="s">
        <v>27</v>
      </c>
      <c r="AD3175" t="s">
        <v>28</v>
      </c>
      <c r="AE3175" t="s">
        <v>25</v>
      </c>
      <c r="AF31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3175" t="s">
        <v>942</v>
      </c>
      <c r="AH3175">
        <v>59.5</v>
      </c>
      <c r="AI3175" t="s">
        <v>939</v>
      </c>
      <c r="AJ3175">
        <v>1</v>
      </c>
      <c r="AK31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MIN(AJ3175/8, 1) +
  Merge1[[#This Row],[index_defensive_effort]],
  2
)</f>
        <v>0.79</v>
      </c>
    </row>
    <row r="3176" spans="1:37" x14ac:dyDescent="0.25">
      <c r="A3176" t="s">
        <v>800</v>
      </c>
      <c r="B3176" t="s">
        <v>801</v>
      </c>
      <c r="C3176">
        <v>27</v>
      </c>
      <c r="D3176" t="s">
        <v>56</v>
      </c>
      <c r="E3176">
        <v>72</v>
      </c>
      <c r="F3176">
        <v>200</v>
      </c>
      <c r="G3176" t="s">
        <v>120</v>
      </c>
      <c r="H3176">
        <v>2020</v>
      </c>
      <c r="I3176" t="s">
        <v>33</v>
      </c>
      <c r="J3176">
        <v>17</v>
      </c>
      <c r="K3176">
        <v>3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43</v>
      </c>
      <c r="T3176">
        <v>36</v>
      </c>
      <c r="U3176" s="5">
        <f>IF(Merge1[[#This Row],[team_defense_snaps]]=0, "", Merge1[[#This Row],[defense_snaps]] / Merge1[[#This Row],[team_defense_snaps]])</f>
        <v>0.67924528301886788</v>
      </c>
      <c r="V3176">
        <v>53</v>
      </c>
      <c r="W3176">
        <v>7</v>
      </c>
      <c r="X3176" s="5" t="s">
        <v>108</v>
      </c>
      <c r="Y3176">
        <v>2</v>
      </c>
      <c r="Z3176">
        <v>0</v>
      </c>
      <c r="AA3176" t="s">
        <v>25</v>
      </c>
      <c r="AB3176" t="s">
        <v>26</v>
      </c>
      <c r="AC3176" t="s">
        <v>27</v>
      </c>
      <c r="AD3176" t="s">
        <v>42</v>
      </c>
      <c r="AE3176" t="s">
        <v>25</v>
      </c>
      <c r="AF31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6.9767441860465115E-2</v>
      </c>
      <c r="AG3176" t="s">
        <v>942</v>
      </c>
      <c r="AH3176">
        <v>68.5</v>
      </c>
      <c r="AI3176" t="s">
        <v>939</v>
      </c>
      <c r="AJ3176">
        <v>2</v>
      </c>
      <c r="AK31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MIN(AJ3176/8, 1) +
  Merge1[[#This Row],[index_defensive_effort]],
  2
)</f>
        <v>0.92</v>
      </c>
    </row>
    <row r="3177" spans="1:37" x14ac:dyDescent="0.25">
      <c r="A3177" t="s">
        <v>820</v>
      </c>
      <c r="B3177" t="s">
        <v>821</v>
      </c>
      <c r="C3177">
        <v>23</v>
      </c>
      <c r="D3177" t="s">
        <v>56</v>
      </c>
      <c r="E3177">
        <v>73</v>
      </c>
      <c r="F3177">
        <v>200</v>
      </c>
      <c r="G3177" t="s">
        <v>86</v>
      </c>
      <c r="H3177">
        <v>2020</v>
      </c>
      <c r="I3177" t="s">
        <v>33</v>
      </c>
      <c r="J3177">
        <v>17</v>
      </c>
      <c r="K3177">
        <v>6</v>
      </c>
      <c r="L3177">
        <v>1</v>
      </c>
      <c r="M3177">
        <v>0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74</v>
      </c>
      <c r="T3177">
        <v>68</v>
      </c>
      <c r="U3177" s="5">
        <f>IF(Merge1[[#This Row],[team_defense_snaps]]=0, "", Merge1[[#This Row],[defense_snaps]] / Merge1[[#This Row],[team_defense_snaps]])</f>
        <v>0.94444444444444442</v>
      </c>
      <c r="V3177">
        <v>72</v>
      </c>
      <c r="W3177">
        <v>6</v>
      </c>
      <c r="X3177" s="5" t="s">
        <v>136</v>
      </c>
      <c r="Y3177">
        <v>0</v>
      </c>
      <c r="Z3177">
        <v>0</v>
      </c>
      <c r="AA3177" t="s">
        <v>25</v>
      </c>
      <c r="AB3177" t="s">
        <v>26</v>
      </c>
      <c r="AC3177" t="s">
        <v>27</v>
      </c>
      <c r="AD3177" t="s">
        <v>42</v>
      </c>
      <c r="AE3177" t="s">
        <v>25</v>
      </c>
      <c r="AF31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8.7837837837837843E-2</v>
      </c>
      <c r="AG3177" t="s">
        <v>941</v>
      </c>
      <c r="AH3177">
        <v>56</v>
      </c>
      <c r="AI3177" t="s">
        <v>939</v>
      </c>
      <c r="AJ3177">
        <v>1</v>
      </c>
      <c r="AK31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MIN(AJ3177/8, 1) +
  Merge1[[#This Row],[index_defensive_effort]],
  2
)</f>
        <v>0.61</v>
      </c>
    </row>
    <row r="3178" spans="1:37" x14ac:dyDescent="0.25">
      <c r="A3178" t="s">
        <v>796</v>
      </c>
      <c r="B3178" t="s">
        <v>797</v>
      </c>
      <c r="C3178">
        <v>25</v>
      </c>
      <c r="D3178" t="s">
        <v>56</v>
      </c>
      <c r="E3178">
        <v>72</v>
      </c>
      <c r="F3178">
        <v>200</v>
      </c>
      <c r="G3178" t="s">
        <v>235</v>
      </c>
      <c r="H3178">
        <v>2020</v>
      </c>
      <c r="I3178" t="s">
        <v>33</v>
      </c>
      <c r="J3178">
        <v>10</v>
      </c>
      <c r="K3178">
        <v>8</v>
      </c>
      <c r="L3178">
        <v>3</v>
      </c>
      <c r="M3178">
        <v>2</v>
      </c>
      <c r="N3178">
        <v>5</v>
      </c>
      <c r="O3178">
        <v>0</v>
      </c>
      <c r="P3178">
        <v>1</v>
      </c>
      <c r="Q3178">
        <v>0</v>
      </c>
      <c r="R3178">
        <v>0</v>
      </c>
      <c r="S3178">
        <v>77</v>
      </c>
      <c r="T3178">
        <v>71</v>
      </c>
      <c r="U3178" s="5">
        <f>IF(Merge1[[#This Row],[team_defense_snaps]]=0, "", Merge1[[#This Row],[defense_snaps]] / Merge1[[#This Row],[team_defense_snaps]])</f>
        <v>0.9726027397260274</v>
      </c>
      <c r="V3178">
        <v>73</v>
      </c>
      <c r="W3178">
        <v>6</v>
      </c>
      <c r="X3178" s="5" t="s">
        <v>124</v>
      </c>
      <c r="Y3178">
        <v>2</v>
      </c>
      <c r="Z3178">
        <v>0</v>
      </c>
      <c r="AA3178" t="s">
        <v>25</v>
      </c>
      <c r="AB3178" t="s">
        <v>26</v>
      </c>
      <c r="AC3178" t="s">
        <v>27</v>
      </c>
      <c r="AD3178" t="s">
        <v>42</v>
      </c>
      <c r="AE3178" t="s">
        <v>25</v>
      </c>
      <c r="AF31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0.16233766233766234</v>
      </c>
      <c r="AG3178" t="s">
        <v>942</v>
      </c>
      <c r="AH3178">
        <v>48</v>
      </c>
      <c r="AI3178" t="s">
        <v>939</v>
      </c>
      <c r="AJ3178">
        <v>1</v>
      </c>
      <c r="AK31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MIN(AJ3178/8, 1) +
  Merge1[[#This Row],[index_defensive_effort]],
  2
)</f>
        <v>0.79</v>
      </c>
    </row>
    <row r="3179" spans="1:37" x14ac:dyDescent="0.25">
      <c r="A3179" t="s">
        <v>796</v>
      </c>
      <c r="B3179" t="s">
        <v>797</v>
      </c>
      <c r="C3179">
        <v>25</v>
      </c>
      <c r="D3179" t="s">
        <v>56</v>
      </c>
      <c r="E3179">
        <v>72</v>
      </c>
      <c r="F3179">
        <v>200</v>
      </c>
      <c r="G3179" t="s">
        <v>235</v>
      </c>
      <c r="H3179">
        <v>2020</v>
      </c>
      <c r="I3179" t="s">
        <v>33</v>
      </c>
      <c r="J3179">
        <v>17</v>
      </c>
      <c r="K3179">
        <v>1</v>
      </c>
      <c r="L3179">
        <v>1</v>
      </c>
      <c r="M3179">
        <v>0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31</v>
      </c>
      <c r="T3179">
        <v>23</v>
      </c>
      <c r="U3179" s="5">
        <f>IF(Merge1[[#This Row],[team_defense_snaps]]=0, "", Merge1[[#This Row],[defense_snaps]] / Merge1[[#This Row],[team_defense_snaps]])</f>
        <v>0.3108108108108108</v>
      </c>
      <c r="V3179">
        <v>74</v>
      </c>
      <c r="W3179">
        <v>8</v>
      </c>
      <c r="X3179" s="5" t="s">
        <v>108</v>
      </c>
      <c r="Y3179">
        <v>2</v>
      </c>
      <c r="Z3179">
        <v>0</v>
      </c>
      <c r="AA3179" t="s">
        <v>25</v>
      </c>
      <c r="AB3179" t="s">
        <v>26</v>
      </c>
      <c r="AC3179" t="s">
        <v>27</v>
      </c>
      <c r="AD3179" t="s">
        <v>28</v>
      </c>
      <c r="AE3179" t="s">
        <v>25</v>
      </c>
      <c r="AF31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4.8387096774193547E-2</v>
      </c>
      <c r="AG3179" t="s">
        <v>942</v>
      </c>
      <c r="AH3179">
        <v>58.5</v>
      </c>
      <c r="AI3179" t="s">
        <v>939</v>
      </c>
      <c r="AJ3179">
        <v>1</v>
      </c>
      <c r="AK31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MIN(AJ3179/8, 1) +
  Merge1[[#This Row],[index_defensive_effort]],
  2
)</f>
        <v>0.67</v>
      </c>
    </row>
    <row r="3180" spans="1:37" x14ac:dyDescent="0.25">
      <c r="A3180" t="s">
        <v>824</v>
      </c>
      <c r="B3180" t="s">
        <v>825</v>
      </c>
      <c r="C3180">
        <v>27</v>
      </c>
      <c r="D3180" t="s">
        <v>56</v>
      </c>
      <c r="E3180">
        <v>70</v>
      </c>
      <c r="F3180">
        <v>185</v>
      </c>
      <c r="G3180" t="s">
        <v>162</v>
      </c>
      <c r="H3180">
        <v>2020</v>
      </c>
      <c r="I3180" t="s">
        <v>33</v>
      </c>
      <c r="J3180">
        <v>1</v>
      </c>
      <c r="K3180">
        <v>3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35</v>
      </c>
      <c r="T3180">
        <v>16</v>
      </c>
      <c r="U3180" s="5">
        <f>IF(Merge1[[#This Row],[team_defense_snaps]]=0, "", Merge1[[#This Row],[defense_snaps]] / Merge1[[#This Row],[team_defense_snaps]])</f>
        <v>0.24242424242424243</v>
      </c>
      <c r="V3180">
        <v>66</v>
      </c>
      <c r="W3180">
        <v>19</v>
      </c>
      <c r="X3180" s="5" t="s">
        <v>102</v>
      </c>
      <c r="Y3180">
        <v>4</v>
      </c>
      <c r="Z3180">
        <v>0</v>
      </c>
      <c r="AA3180" t="s">
        <v>25</v>
      </c>
      <c r="AB3180" t="s">
        <v>26</v>
      </c>
      <c r="AC3180" t="s">
        <v>27</v>
      </c>
      <c r="AD3180" t="s">
        <v>28</v>
      </c>
      <c r="AE3180" t="s">
        <v>25</v>
      </c>
      <c r="AF31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8.5714285714285715E-2</v>
      </c>
      <c r="AG3180" t="s">
        <v>942</v>
      </c>
      <c r="AH3180">
        <v>70</v>
      </c>
      <c r="AI3180" t="s">
        <v>939</v>
      </c>
      <c r="AJ3180">
        <v>1</v>
      </c>
      <c r="AK31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MIN(AJ3180/8, 1) +
  Merge1[[#This Row],[index_defensive_effort]],
  2
)</f>
        <v>0.71</v>
      </c>
    </row>
    <row r="3181" spans="1:37" x14ac:dyDescent="0.25">
      <c r="A3181" t="s">
        <v>842</v>
      </c>
      <c r="B3181" t="s">
        <v>843</v>
      </c>
      <c r="C3181">
        <v>25</v>
      </c>
      <c r="D3181" t="s">
        <v>22</v>
      </c>
      <c r="E3181">
        <v>73</v>
      </c>
      <c r="F3181">
        <v>206</v>
      </c>
      <c r="G3181" t="s">
        <v>162</v>
      </c>
      <c r="H3181">
        <v>2020</v>
      </c>
      <c r="I3181" t="s">
        <v>33</v>
      </c>
      <c r="J3181">
        <v>1</v>
      </c>
      <c r="K3181">
        <v>5</v>
      </c>
      <c r="L3181">
        <v>4</v>
      </c>
      <c r="M3181">
        <v>3</v>
      </c>
      <c r="N3181">
        <v>7</v>
      </c>
      <c r="O3181">
        <v>0</v>
      </c>
      <c r="P3181">
        <v>0</v>
      </c>
      <c r="Q3181">
        <v>0</v>
      </c>
      <c r="R3181">
        <v>0</v>
      </c>
      <c r="S3181">
        <v>70</v>
      </c>
      <c r="T3181">
        <v>54</v>
      </c>
      <c r="U3181" s="5">
        <f>IF(Merge1[[#This Row],[team_defense_snaps]]=0, "", Merge1[[#This Row],[defense_snaps]] / Merge1[[#This Row],[team_defense_snaps]])</f>
        <v>0.81818181818181823</v>
      </c>
      <c r="V3181">
        <v>66</v>
      </c>
      <c r="W3181">
        <v>16</v>
      </c>
      <c r="X3181" s="5" t="s">
        <v>275</v>
      </c>
      <c r="Y3181">
        <v>2</v>
      </c>
      <c r="Z3181">
        <v>0</v>
      </c>
      <c r="AA3181" t="s">
        <v>25</v>
      </c>
      <c r="AB3181" t="s">
        <v>26</v>
      </c>
      <c r="AC3181" t="s">
        <v>27</v>
      </c>
      <c r="AD3181" t="s">
        <v>28</v>
      </c>
      <c r="AE3181" t="s">
        <v>25</v>
      </c>
      <c r="AF31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0.12142857142857143</v>
      </c>
      <c r="AG3181" t="s">
        <v>942</v>
      </c>
      <c r="AH3181">
        <v>70</v>
      </c>
      <c r="AI3181" t="s">
        <v>939</v>
      </c>
      <c r="AJ3181">
        <v>1</v>
      </c>
      <c r="AK31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MIN(AJ3181/8, 1) +
  Merge1[[#This Row],[index_defensive_effort]],
  2
)</f>
        <v>0.75</v>
      </c>
    </row>
    <row r="3182" spans="1:37" x14ac:dyDescent="0.25">
      <c r="A3182" t="s">
        <v>842</v>
      </c>
      <c r="B3182" t="s">
        <v>843</v>
      </c>
      <c r="C3182">
        <v>25</v>
      </c>
      <c r="D3182" t="s">
        <v>22</v>
      </c>
      <c r="E3182">
        <v>73</v>
      </c>
      <c r="F3182">
        <v>206</v>
      </c>
      <c r="G3182" t="s">
        <v>162</v>
      </c>
      <c r="H3182">
        <v>2020</v>
      </c>
      <c r="I3182" t="s">
        <v>33</v>
      </c>
      <c r="J3182">
        <v>2</v>
      </c>
      <c r="K3182">
        <v>0</v>
      </c>
      <c r="L3182">
        <v>2</v>
      </c>
      <c r="M3182">
        <v>1</v>
      </c>
      <c r="N3182">
        <v>3</v>
      </c>
      <c r="O3182">
        <v>0</v>
      </c>
      <c r="P3182">
        <v>1</v>
      </c>
      <c r="Q3182">
        <v>0</v>
      </c>
      <c r="R3182">
        <v>0</v>
      </c>
      <c r="S3182">
        <v>45</v>
      </c>
      <c r="T3182">
        <v>39</v>
      </c>
      <c r="U3182" s="5">
        <f>IF(Merge1[[#This Row],[team_defense_snaps]]=0, "", Merge1[[#This Row],[defense_snaps]] / Merge1[[#This Row],[team_defense_snaps]])</f>
        <v>0.52702702702702697</v>
      </c>
      <c r="V3182">
        <v>74</v>
      </c>
      <c r="W3182">
        <v>6</v>
      </c>
      <c r="X3182" s="5" t="s">
        <v>58</v>
      </c>
      <c r="Y3182">
        <v>2</v>
      </c>
      <c r="Z3182">
        <v>0</v>
      </c>
      <c r="AA3182" t="s">
        <v>25</v>
      </c>
      <c r="AB3182" t="s">
        <v>26</v>
      </c>
      <c r="AC3182" t="s">
        <v>27</v>
      </c>
      <c r="AD3182" t="s">
        <v>28</v>
      </c>
      <c r="AE3182" t="s">
        <v>25</v>
      </c>
      <c r="AF31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7.7777777777777779E-2</v>
      </c>
      <c r="AG3182" t="s">
        <v>942</v>
      </c>
      <c r="AH3182">
        <v>52</v>
      </c>
      <c r="AI3182" t="s">
        <v>939</v>
      </c>
      <c r="AJ3182">
        <v>2</v>
      </c>
      <c r="AK31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MIN(AJ3182/8, 1) +
  Merge1[[#This Row],[index_defensive_effort]],
  2
)</f>
        <v>0.83</v>
      </c>
    </row>
    <row r="3183" spans="1:37" x14ac:dyDescent="0.25">
      <c r="A3183" t="s">
        <v>842</v>
      </c>
      <c r="B3183" t="s">
        <v>843</v>
      </c>
      <c r="C3183">
        <v>25</v>
      </c>
      <c r="D3183" t="s">
        <v>22</v>
      </c>
      <c r="E3183">
        <v>73</v>
      </c>
      <c r="F3183">
        <v>206</v>
      </c>
      <c r="G3183" t="s">
        <v>162</v>
      </c>
      <c r="H3183">
        <v>2020</v>
      </c>
      <c r="I3183" t="s">
        <v>33</v>
      </c>
      <c r="J3183">
        <v>3</v>
      </c>
      <c r="K3183">
        <v>9</v>
      </c>
      <c r="L3183">
        <v>2</v>
      </c>
      <c r="M3183">
        <v>1</v>
      </c>
      <c r="N3183">
        <v>3</v>
      </c>
      <c r="O3183">
        <v>0</v>
      </c>
      <c r="P3183">
        <v>0</v>
      </c>
      <c r="Q3183">
        <v>0</v>
      </c>
      <c r="R3183">
        <v>0</v>
      </c>
      <c r="S3183">
        <v>72</v>
      </c>
      <c r="T3183">
        <v>65</v>
      </c>
      <c r="U3183" s="5">
        <f>IF(Merge1[[#This Row],[team_defense_snaps]]=0, "", Merge1[[#This Row],[defense_snaps]] / Merge1[[#This Row],[team_defense_snaps]])</f>
        <v>0.98484848484848486</v>
      </c>
      <c r="V3183">
        <v>66</v>
      </c>
      <c r="W3183">
        <v>7</v>
      </c>
      <c r="X3183" s="5" t="s">
        <v>137</v>
      </c>
      <c r="Y3183">
        <v>2</v>
      </c>
      <c r="Z3183">
        <v>0</v>
      </c>
      <c r="AA3183" t="s">
        <v>25</v>
      </c>
      <c r="AB3183" t="s">
        <v>26</v>
      </c>
      <c r="AC3183" t="s">
        <v>27</v>
      </c>
      <c r="AD3183" t="s">
        <v>42</v>
      </c>
      <c r="AE3183" t="s">
        <v>25</v>
      </c>
      <c r="AF31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0.14583333333333334</v>
      </c>
      <c r="AG3183" t="s">
        <v>942</v>
      </c>
      <c r="AH3183">
        <v>50.5</v>
      </c>
      <c r="AI3183" t="s">
        <v>939</v>
      </c>
      <c r="AJ3183">
        <v>3</v>
      </c>
      <c r="AK31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MIN(AJ3183/8, 1) +
  Merge1[[#This Row],[index_defensive_effort]],
  2
)</f>
        <v>1.02</v>
      </c>
    </row>
    <row r="3184" spans="1:37" x14ac:dyDescent="0.25">
      <c r="A3184" t="s">
        <v>842</v>
      </c>
      <c r="B3184" t="s">
        <v>843</v>
      </c>
      <c r="C3184">
        <v>25</v>
      </c>
      <c r="D3184" t="s">
        <v>22</v>
      </c>
      <c r="E3184">
        <v>73</v>
      </c>
      <c r="F3184">
        <v>206</v>
      </c>
      <c r="G3184" t="s">
        <v>162</v>
      </c>
      <c r="H3184">
        <v>2020</v>
      </c>
      <c r="I3184" t="s">
        <v>33</v>
      </c>
      <c r="J3184">
        <v>4</v>
      </c>
      <c r="K3184">
        <v>4</v>
      </c>
      <c r="L3184">
        <v>2</v>
      </c>
      <c r="M3184">
        <v>0</v>
      </c>
      <c r="N3184">
        <v>2</v>
      </c>
      <c r="O3184">
        <v>0</v>
      </c>
      <c r="P3184">
        <v>1</v>
      </c>
      <c r="Q3184">
        <v>0</v>
      </c>
      <c r="R3184">
        <v>0</v>
      </c>
      <c r="S3184">
        <v>76</v>
      </c>
      <c r="T3184">
        <v>70</v>
      </c>
      <c r="U3184" s="5">
        <f>IF(Merge1[[#This Row],[team_defense_snaps]]=0, "", Merge1[[#This Row],[defense_snaps]] / Merge1[[#This Row],[team_defense_snaps]])</f>
        <v>0.9859154929577465</v>
      </c>
      <c r="V3184">
        <v>71</v>
      </c>
      <c r="W3184">
        <v>6</v>
      </c>
      <c r="X3184" s="5" t="s">
        <v>133</v>
      </c>
      <c r="Y3184">
        <v>2</v>
      </c>
      <c r="Z3184">
        <v>0</v>
      </c>
      <c r="AA3184" t="s">
        <v>25</v>
      </c>
      <c r="AB3184" t="s">
        <v>26</v>
      </c>
      <c r="AC3184" t="s">
        <v>27</v>
      </c>
      <c r="AD3184" t="s">
        <v>42</v>
      </c>
      <c r="AE3184" t="s">
        <v>25</v>
      </c>
      <c r="AF31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9.2105263157894732E-2</v>
      </c>
      <c r="AG3184" t="s">
        <v>942</v>
      </c>
      <c r="AH3184">
        <v>47.5</v>
      </c>
      <c r="AI3184" t="s">
        <v>939</v>
      </c>
      <c r="AJ3184">
        <v>4</v>
      </c>
      <c r="AK31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MIN(AJ3184/8, 1) +
  Merge1[[#This Row],[index_defensive_effort]],
  2
)</f>
        <v>1.0900000000000001</v>
      </c>
    </row>
    <row r="3185" spans="1:37" x14ac:dyDescent="0.25">
      <c r="A3185" t="s">
        <v>842</v>
      </c>
      <c r="B3185" t="s">
        <v>843</v>
      </c>
      <c r="C3185">
        <v>25</v>
      </c>
      <c r="D3185" t="s">
        <v>22</v>
      </c>
      <c r="E3185">
        <v>73</v>
      </c>
      <c r="F3185">
        <v>206</v>
      </c>
      <c r="G3185" t="s">
        <v>162</v>
      </c>
      <c r="H3185">
        <v>2020</v>
      </c>
      <c r="I3185" t="s">
        <v>33</v>
      </c>
      <c r="J3185">
        <v>6</v>
      </c>
      <c r="K3185">
        <v>4</v>
      </c>
      <c r="L3185">
        <v>2</v>
      </c>
      <c r="M3185">
        <v>0</v>
      </c>
      <c r="N3185">
        <v>2</v>
      </c>
      <c r="O3185">
        <v>0</v>
      </c>
      <c r="P3185">
        <v>1</v>
      </c>
      <c r="Q3185">
        <v>0</v>
      </c>
      <c r="R3185">
        <v>0</v>
      </c>
      <c r="S3185">
        <v>64</v>
      </c>
      <c r="T3185">
        <v>56</v>
      </c>
      <c r="U3185" s="5">
        <f>IF(Merge1[[#This Row],[team_defense_snaps]]=0, "", Merge1[[#This Row],[defense_snaps]] / Merge1[[#This Row],[team_defense_snaps]])</f>
        <v>0.875</v>
      </c>
      <c r="V3185">
        <v>64</v>
      </c>
      <c r="W3185">
        <v>8</v>
      </c>
      <c r="X3185" s="5" t="s">
        <v>314</v>
      </c>
      <c r="Y3185">
        <v>2</v>
      </c>
      <c r="Z3185">
        <v>0</v>
      </c>
      <c r="AA3185" t="s">
        <v>25</v>
      </c>
      <c r="AB3185" t="s">
        <v>26</v>
      </c>
      <c r="AC3185" t="s">
        <v>27</v>
      </c>
      <c r="AD3185" t="s">
        <v>42</v>
      </c>
      <c r="AE3185" t="s">
        <v>25</v>
      </c>
      <c r="AF31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0.109375</v>
      </c>
      <c r="AG3185" t="s">
        <v>942</v>
      </c>
      <c r="AH3185">
        <v>67</v>
      </c>
      <c r="AI3185" t="s">
        <v>939</v>
      </c>
      <c r="AJ3185">
        <v>1</v>
      </c>
      <c r="AK31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MIN(AJ3185/8, 1) +
  Merge1[[#This Row],[index_defensive_effort]],
  2
)</f>
        <v>0.73</v>
      </c>
    </row>
    <row r="3186" spans="1:37" x14ac:dyDescent="0.25">
      <c r="A3186" t="s">
        <v>842</v>
      </c>
      <c r="B3186" t="s">
        <v>843</v>
      </c>
      <c r="C3186">
        <v>25</v>
      </c>
      <c r="D3186" t="s">
        <v>22</v>
      </c>
      <c r="E3186">
        <v>73</v>
      </c>
      <c r="F3186">
        <v>206</v>
      </c>
      <c r="G3186" t="s">
        <v>162</v>
      </c>
      <c r="H3186">
        <v>2020</v>
      </c>
      <c r="I3186" t="s">
        <v>33</v>
      </c>
      <c r="J3186">
        <v>7</v>
      </c>
      <c r="K3186">
        <v>4</v>
      </c>
      <c r="L3186">
        <v>2</v>
      </c>
      <c r="M3186">
        <v>0</v>
      </c>
      <c r="N3186">
        <v>2</v>
      </c>
      <c r="O3186">
        <v>0</v>
      </c>
      <c r="P3186">
        <v>0</v>
      </c>
      <c r="Q3186">
        <v>0</v>
      </c>
      <c r="R3186">
        <v>0</v>
      </c>
      <c r="S3186">
        <v>73</v>
      </c>
      <c r="T3186">
        <v>66</v>
      </c>
      <c r="U3186" s="5">
        <f>IF(Merge1[[#This Row],[team_defense_snaps]]=0, "", Merge1[[#This Row],[defense_snaps]] / Merge1[[#This Row],[team_defense_snaps]])</f>
        <v>0.86842105263157898</v>
      </c>
      <c r="V3186">
        <v>76</v>
      </c>
      <c r="W3186">
        <v>7</v>
      </c>
      <c r="X3186" s="5" t="s">
        <v>138</v>
      </c>
      <c r="Y3186">
        <v>2</v>
      </c>
      <c r="Z3186">
        <v>0</v>
      </c>
      <c r="AA3186" t="s">
        <v>25</v>
      </c>
      <c r="AB3186" t="s">
        <v>26</v>
      </c>
      <c r="AC3186" t="s">
        <v>27</v>
      </c>
      <c r="AD3186" t="s">
        <v>42</v>
      </c>
      <c r="AE3186" t="s">
        <v>25</v>
      </c>
      <c r="AF31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6.8493150684931503E-2</v>
      </c>
      <c r="AG3186" t="s">
        <v>942</v>
      </c>
      <c r="AH3186">
        <v>65.5</v>
      </c>
      <c r="AI3186" t="s">
        <v>939</v>
      </c>
      <c r="AJ3186">
        <v>2</v>
      </c>
      <c r="AK31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MIN(AJ3186/8, 1) +
  Merge1[[#This Row],[index_defensive_effort]],
  2
)</f>
        <v>0.82</v>
      </c>
    </row>
    <row r="3187" spans="1:37" x14ac:dyDescent="0.25">
      <c r="A3187" t="s">
        <v>842</v>
      </c>
      <c r="B3187" t="s">
        <v>843</v>
      </c>
      <c r="C3187">
        <v>25</v>
      </c>
      <c r="D3187" t="s">
        <v>22</v>
      </c>
      <c r="E3187">
        <v>73</v>
      </c>
      <c r="F3187">
        <v>206</v>
      </c>
      <c r="G3187" t="s">
        <v>162</v>
      </c>
      <c r="H3187">
        <v>2020</v>
      </c>
      <c r="I3187" t="s">
        <v>33</v>
      </c>
      <c r="J3187">
        <v>8</v>
      </c>
      <c r="K3187">
        <v>5</v>
      </c>
      <c r="L3187">
        <v>5</v>
      </c>
      <c r="M3187">
        <v>0</v>
      </c>
      <c r="N3187">
        <v>5</v>
      </c>
      <c r="O3187">
        <v>0</v>
      </c>
      <c r="P3187">
        <v>0</v>
      </c>
      <c r="Q3187">
        <v>0</v>
      </c>
      <c r="R3187">
        <v>0</v>
      </c>
      <c r="S3187">
        <v>85</v>
      </c>
      <c r="T3187">
        <v>77</v>
      </c>
      <c r="U3187" s="5">
        <f>IF(Merge1[[#This Row],[team_defense_snaps]]=0, "", Merge1[[#This Row],[defense_snaps]] / Merge1[[#This Row],[team_defense_snaps]])</f>
        <v>1</v>
      </c>
      <c r="V3187">
        <v>77</v>
      </c>
      <c r="W3187">
        <v>8</v>
      </c>
      <c r="X3187" s="5" t="s">
        <v>136</v>
      </c>
      <c r="Y3187">
        <v>2</v>
      </c>
      <c r="Z3187">
        <v>0</v>
      </c>
      <c r="AA3187" t="s">
        <v>25</v>
      </c>
      <c r="AB3187" t="s">
        <v>26</v>
      </c>
      <c r="AC3187" t="s">
        <v>27</v>
      </c>
      <c r="AD3187" t="s">
        <v>42</v>
      </c>
      <c r="AE3187" t="s">
        <v>25</v>
      </c>
      <c r="AF31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8.8235294117647065E-2</v>
      </c>
      <c r="AG3187" t="s">
        <v>942</v>
      </c>
      <c r="AH3187">
        <v>55</v>
      </c>
      <c r="AI3187" t="s">
        <v>939</v>
      </c>
      <c r="AJ3187">
        <v>3</v>
      </c>
      <c r="AK31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MIN(AJ3187/8, 1) +
  Merge1[[#This Row],[index_defensive_effort]],
  2
)</f>
        <v>0.96</v>
      </c>
    </row>
    <row r="3188" spans="1:37" x14ac:dyDescent="0.25">
      <c r="A3188" t="s">
        <v>842</v>
      </c>
      <c r="B3188" t="s">
        <v>843</v>
      </c>
      <c r="C3188">
        <v>25</v>
      </c>
      <c r="D3188" t="s">
        <v>22</v>
      </c>
      <c r="E3188">
        <v>73</v>
      </c>
      <c r="F3188">
        <v>206</v>
      </c>
      <c r="G3188" t="s">
        <v>162</v>
      </c>
      <c r="H3188">
        <v>2020</v>
      </c>
      <c r="I3188" t="s">
        <v>33</v>
      </c>
      <c r="J3188">
        <v>10</v>
      </c>
      <c r="K3188">
        <v>1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48</v>
      </c>
      <c r="T3188">
        <v>36</v>
      </c>
      <c r="U3188" s="5">
        <f>IF(Merge1[[#This Row],[team_defense_snaps]]=0, "", Merge1[[#This Row],[defense_snaps]] / Merge1[[#This Row],[team_defense_snaps]])</f>
        <v>0.4044943820224719</v>
      </c>
      <c r="V3188">
        <v>89</v>
      </c>
      <c r="W3188">
        <v>12</v>
      </c>
      <c r="X3188" s="5" t="s">
        <v>221</v>
      </c>
      <c r="Y3188">
        <v>2</v>
      </c>
      <c r="Z3188">
        <v>0</v>
      </c>
      <c r="AA3188" t="s">
        <v>25</v>
      </c>
      <c r="AB3188" t="s">
        <v>26</v>
      </c>
      <c r="AC3188" t="s">
        <v>27</v>
      </c>
      <c r="AD3188" t="s">
        <v>28</v>
      </c>
      <c r="AE3188" t="s">
        <v>25</v>
      </c>
      <c r="AF31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2.0833333333333332E-2</v>
      </c>
      <c r="AG3188" t="s">
        <v>942</v>
      </c>
      <c r="AH3188">
        <v>62.5</v>
      </c>
      <c r="AI3188" t="s">
        <v>939</v>
      </c>
      <c r="AJ3188">
        <v>1</v>
      </c>
      <c r="AK31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MIN(AJ3188/8, 1) +
  Merge1[[#This Row],[index_defensive_effort]],
  2
)</f>
        <v>0.65</v>
      </c>
    </row>
    <row r="3189" spans="1:37" x14ac:dyDescent="0.25">
      <c r="A3189" t="s">
        <v>842</v>
      </c>
      <c r="B3189" t="s">
        <v>843</v>
      </c>
      <c r="C3189">
        <v>25</v>
      </c>
      <c r="D3189" t="s">
        <v>22</v>
      </c>
      <c r="E3189">
        <v>73</v>
      </c>
      <c r="F3189">
        <v>206</v>
      </c>
      <c r="G3189" t="s">
        <v>162</v>
      </c>
      <c r="H3189">
        <v>2020</v>
      </c>
      <c r="I3189" t="s">
        <v>33</v>
      </c>
      <c r="J3189">
        <v>11</v>
      </c>
      <c r="K3189">
        <v>1</v>
      </c>
      <c r="L3189">
        <v>1</v>
      </c>
      <c r="M3189">
        <v>0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46</v>
      </c>
      <c r="T3189">
        <v>37</v>
      </c>
      <c r="U3189" s="5">
        <f>IF(Merge1[[#This Row],[team_defense_snaps]]=0, "", Merge1[[#This Row],[defense_snaps]] / Merge1[[#This Row],[team_defense_snaps]])</f>
        <v>0.52112676056338025</v>
      </c>
      <c r="V3189">
        <v>71</v>
      </c>
      <c r="W3189">
        <v>9</v>
      </c>
      <c r="X3189" s="5" t="s">
        <v>210</v>
      </c>
      <c r="Y3189">
        <v>2</v>
      </c>
      <c r="Z3189">
        <v>0</v>
      </c>
      <c r="AA3189" t="s">
        <v>25</v>
      </c>
      <c r="AB3189" t="s">
        <v>26</v>
      </c>
      <c r="AC3189" t="s">
        <v>27</v>
      </c>
      <c r="AD3189" t="s">
        <v>28</v>
      </c>
      <c r="AE3189" t="s">
        <v>25</v>
      </c>
      <c r="AF31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3.2608695652173912E-2</v>
      </c>
      <c r="AG3189" t="s">
        <v>942</v>
      </c>
      <c r="AH3189">
        <v>68.5</v>
      </c>
      <c r="AI3189" t="s">
        <v>939</v>
      </c>
      <c r="AJ3189">
        <v>2</v>
      </c>
      <c r="AK31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MIN(AJ3189/8, 1) +
  Merge1[[#This Row],[index_defensive_effort]],
  2
)</f>
        <v>0.78</v>
      </c>
    </row>
    <row r="3190" spans="1:37" x14ac:dyDescent="0.25">
      <c r="A3190" t="s">
        <v>842</v>
      </c>
      <c r="B3190" t="s">
        <v>843</v>
      </c>
      <c r="C3190">
        <v>25</v>
      </c>
      <c r="D3190" t="s">
        <v>22</v>
      </c>
      <c r="E3190">
        <v>73</v>
      </c>
      <c r="F3190">
        <v>206</v>
      </c>
      <c r="G3190" t="s">
        <v>162</v>
      </c>
      <c r="H3190">
        <v>2020</v>
      </c>
      <c r="I3190" t="s">
        <v>33</v>
      </c>
      <c r="J3190">
        <v>12</v>
      </c>
      <c r="K3190">
        <v>1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37</v>
      </c>
      <c r="T3190">
        <v>27</v>
      </c>
      <c r="U3190" s="5">
        <f>IF(Merge1[[#This Row],[team_defense_snaps]]=0, "", Merge1[[#This Row],[defense_snaps]] / Merge1[[#This Row],[team_defense_snaps]])</f>
        <v>0.46551724137931033</v>
      </c>
      <c r="V3190">
        <v>58</v>
      </c>
      <c r="W3190">
        <v>10</v>
      </c>
      <c r="X3190" s="5" t="s">
        <v>334</v>
      </c>
      <c r="Y3190">
        <v>2</v>
      </c>
      <c r="Z3190">
        <v>0</v>
      </c>
      <c r="AA3190" t="s">
        <v>25</v>
      </c>
      <c r="AB3190" t="s">
        <v>26</v>
      </c>
      <c r="AC3190" t="s">
        <v>27</v>
      </c>
      <c r="AD3190" t="s">
        <v>28</v>
      </c>
      <c r="AE3190" t="s">
        <v>25</v>
      </c>
      <c r="AF31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2.7027027027027029E-2</v>
      </c>
      <c r="AG3190" t="s">
        <v>942</v>
      </c>
      <c r="AH3190">
        <v>61</v>
      </c>
      <c r="AI3190" t="s">
        <v>939</v>
      </c>
      <c r="AJ3190">
        <v>3</v>
      </c>
      <c r="AK31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MIN(AJ3190/8, 1) +
  Merge1[[#This Row],[index_defensive_effort]],
  2
)</f>
        <v>0.9</v>
      </c>
    </row>
    <row r="3191" spans="1:37" x14ac:dyDescent="0.25">
      <c r="A3191" t="s">
        <v>842</v>
      </c>
      <c r="B3191" t="s">
        <v>843</v>
      </c>
      <c r="C3191">
        <v>25</v>
      </c>
      <c r="D3191" t="s">
        <v>22</v>
      </c>
      <c r="E3191">
        <v>73</v>
      </c>
      <c r="F3191">
        <v>206</v>
      </c>
      <c r="G3191" t="s">
        <v>162</v>
      </c>
      <c r="H3191">
        <v>2020</v>
      </c>
      <c r="I3191" t="s">
        <v>33</v>
      </c>
      <c r="J3191">
        <v>13</v>
      </c>
      <c r="K3191">
        <v>3</v>
      </c>
      <c r="L3191">
        <v>1</v>
      </c>
      <c r="M3191">
        <v>0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40</v>
      </c>
      <c r="T3191">
        <v>30</v>
      </c>
      <c r="U3191" s="5">
        <f>IF(Merge1[[#This Row],[team_defense_snaps]]=0, "", Merge1[[#This Row],[defense_snaps]] / Merge1[[#This Row],[team_defense_snaps]])</f>
        <v>0.42253521126760563</v>
      </c>
      <c r="V3191">
        <v>71</v>
      </c>
      <c r="W3191">
        <v>10</v>
      </c>
      <c r="X3191" s="5" t="s">
        <v>123</v>
      </c>
      <c r="Y3191">
        <v>2</v>
      </c>
      <c r="Z3191">
        <v>0</v>
      </c>
      <c r="AA3191" t="s">
        <v>25</v>
      </c>
      <c r="AB3191" t="s">
        <v>36</v>
      </c>
      <c r="AC3191" t="s">
        <v>272</v>
      </c>
      <c r="AD3191" t="s">
        <v>28</v>
      </c>
      <c r="AE3191" t="s">
        <v>25</v>
      </c>
      <c r="AF31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8.7499999999999994E-2</v>
      </c>
      <c r="AG3191" t="s">
        <v>942</v>
      </c>
      <c r="AH3191">
        <v>46</v>
      </c>
      <c r="AI3191" t="s">
        <v>938</v>
      </c>
      <c r="AJ3191">
        <v>4</v>
      </c>
      <c r="AK31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MIN(AJ3191/8, 1) +
  Merge1[[#This Row],[index_defensive_effort]],
  2
)</f>
        <v>1.0900000000000001</v>
      </c>
    </row>
    <row r="3192" spans="1:37" x14ac:dyDescent="0.25">
      <c r="A3192" t="s">
        <v>842</v>
      </c>
      <c r="B3192" t="s">
        <v>843</v>
      </c>
      <c r="C3192">
        <v>25</v>
      </c>
      <c r="D3192" t="s">
        <v>22</v>
      </c>
      <c r="E3192">
        <v>73</v>
      </c>
      <c r="F3192">
        <v>206</v>
      </c>
      <c r="G3192" t="s">
        <v>162</v>
      </c>
      <c r="H3192">
        <v>2020</v>
      </c>
      <c r="I3192" t="s">
        <v>33</v>
      </c>
      <c r="J3192">
        <v>14</v>
      </c>
      <c r="K3192">
        <v>3</v>
      </c>
      <c r="L3192">
        <v>1</v>
      </c>
      <c r="M3192">
        <v>0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35</v>
      </c>
      <c r="T3192">
        <v>28</v>
      </c>
      <c r="U3192" s="5">
        <f>IF(Merge1[[#This Row],[team_defense_snaps]]=0, "", Merge1[[#This Row],[defense_snaps]] / Merge1[[#This Row],[team_defense_snaps]])</f>
        <v>0.41791044776119401</v>
      </c>
      <c r="V3192">
        <v>67</v>
      </c>
      <c r="W3192">
        <v>7</v>
      </c>
      <c r="X3192" s="5" t="s">
        <v>261</v>
      </c>
      <c r="Y3192">
        <v>2</v>
      </c>
      <c r="Z3192">
        <v>0</v>
      </c>
      <c r="AA3192" t="s">
        <v>25</v>
      </c>
      <c r="AB3192" t="s">
        <v>26</v>
      </c>
      <c r="AC3192" t="s">
        <v>27</v>
      </c>
      <c r="AD3192" t="s">
        <v>28</v>
      </c>
      <c r="AE3192" t="s">
        <v>25</v>
      </c>
      <c r="AF31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3192" t="s">
        <v>942</v>
      </c>
      <c r="AH3192">
        <v>59.5</v>
      </c>
      <c r="AI3192" t="s">
        <v>939</v>
      </c>
      <c r="AJ3192">
        <v>5</v>
      </c>
      <c r="AK31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MIN(AJ3192/8, 1) +
  Merge1[[#This Row],[index_defensive_effort]],
  2
)</f>
        <v>1.23</v>
      </c>
    </row>
    <row r="3193" spans="1:37" x14ac:dyDescent="0.25">
      <c r="A3193" t="s">
        <v>842</v>
      </c>
      <c r="B3193" t="s">
        <v>843</v>
      </c>
      <c r="C3193">
        <v>25</v>
      </c>
      <c r="D3193" t="s">
        <v>22</v>
      </c>
      <c r="E3193">
        <v>73</v>
      </c>
      <c r="F3193">
        <v>206</v>
      </c>
      <c r="G3193" t="s">
        <v>162</v>
      </c>
      <c r="H3193">
        <v>2020</v>
      </c>
      <c r="I3193" t="s">
        <v>33</v>
      </c>
      <c r="J3193">
        <v>15</v>
      </c>
      <c r="K3193">
        <v>2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18</v>
      </c>
      <c r="T3193">
        <v>13</v>
      </c>
      <c r="U3193" s="5">
        <f>IF(Merge1[[#This Row],[team_defense_snaps]]=0, "", Merge1[[#This Row],[defense_snaps]] / Merge1[[#This Row],[team_defense_snaps]])</f>
        <v>0.19117647058823528</v>
      </c>
      <c r="V3193">
        <v>68</v>
      </c>
      <c r="W3193">
        <v>5</v>
      </c>
      <c r="X3193" s="5" t="s">
        <v>59</v>
      </c>
      <c r="Y3193">
        <v>2</v>
      </c>
      <c r="Z3193">
        <v>0</v>
      </c>
      <c r="AA3193" t="s">
        <v>25</v>
      </c>
      <c r="AB3193" t="s">
        <v>26</v>
      </c>
      <c r="AC3193" t="s">
        <v>27</v>
      </c>
      <c r="AD3193" t="s">
        <v>28</v>
      </c>
      <c r="AE3193" t="s">
        <v>25</v>
      </c>
      <c r="AF31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0.1111111111111111</v>
      </c>
      <c r="AG3193" t="s">
        <v>942</v>
      </c>
      <c r="AH3193">
        <v>53.5</v>
      </c>
      <c r="AI3193" t="s">
        <v>939</v>
      </c>
      <c r="AJ3193">
        <v>6</v>
      </c>
      <c r="AK31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MIN(AJ3193/8, 1) +
  Merge1[[#This Row],[index_defensive_effort]],
  2
)</f>
        <v>1.36</v>
      </c>
    </row>
    <row r="3194" spans="1:37" x14ac:dyDescent="0.25">
      <c r="A3194" t="s">
        <v>842</v>
      </c>
      <c r="B3194" t="s">
        <v>843</v>
      </c>
      <c r="C3194">
        <v>25</v>
      </c>
      <c r="D3194" t="s">
        <v>22</v>
      </c>
      <c r="E3194">
        <v>73</v>
      </c>
      <c r="F3194">
        <v>206</v>
      </c>
      <c r="G3194" t="s">
        <v>162</v>
      </c>
      <c r="H3194">
        <v>2020</v>
      </c>
      <c r="I3194" t="s">
        <v>33</v>
      </c>
      <c r="J3194">
        <v>16</v>
      </c>
      <c r="K3194">
        <v>7</v>
      </c>
      <c r="L3194">
        <v>3</v>
      </c>
      <c r="M3194">
        <v>0</v>
      </c>
      <c r="N3194">
        <v>3</v>
      </c>
      <c r="O3194">
        <v>0</v>
      </c>
      <c r="P3194">
        <v>0</v>
      </c>
      <c r="Q3194">
        <v>0</v>
      </c>
      <c r="R3194">
        <v>0</v>
      </c>
      <c r="S3194">
        <v>81</v>
      </c>
      <c r="T3194">
        <v>77</v>
      </c>
      <c r="U3194" s="5">
        <f>IF(Merge1[[#This Row],[team_defense_snaps]]=0, "", Merge1[[#This Row],[defense_snaps]] / Merge1[[#This Row],[team_defense_snaps]])</f>
        <v>0.96250000000000002</v>
      </c>
      <c r="V3194">
        <v>80</v>
      </c>
      <c r="W3194">
        <v>4</v>
      </c>
      <c r="X3194" s="5" t="s">
        <v>209</v>
      </c>
      <c r="Y3194">
        <v>2</v>
      </c>
      <c r="Z3194">
        <v>0</v>
      </c>
      <c r="AA3194" t="s">
        <v>25</v>
      </c>
      <c r="AB3194" t="s">
        <v>26</v>
      </c>
      <c r="AC3194" t="s">
        <v>27</v>
      </c>
      <c r="AD3194" t="s">
        <v>42</v>
      </c>
      <c r="AE3194" t="s">
        <v>25</v>
      </c>
      <c r="AF31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0.10493827160493827</v>
      </c>
      <c r="AG3194" t="s">
        <v>942</v>
      </c>
      <c r="AH3194">
        <v>56.5</v>
      </c>
      <c r="AI3194" t="s">
        <v>939</v>
      </c>
      <c r="AJ3194">
        <v>7</v>
      </c>
      <c r="AK31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MIN(AJ3194/8, 1) +
  Merge1[[#This Row],[index_defensive_effort]],
  2
)</f>
        <v>1.48</v>
      </c>
    </row>
    <row r="3195" spans="1:37" x14ac:dyDescent="0.25">
      <c r="A3195" t="s">
        <v>842</v>
      </c>
      <c r="B3195" t="s">
        <v>843</v>
      </c>
      <c r="C3195">
        <v>25</v>
      </c>
      <c r="D3195" t="s">
        <v>22</v>
      </c>
      <c r="E3195">
        <v>73</v>
      </c>
      <c r="F3195">
        <v>206</v>
      </c>
      <c r="G3195" t="s">
        <v>162</v>
      </c>
      <c r="H3195">
        <v>2020</v>
      </c>
      <c r="I3195" t="s">
        <v>33</v>
      </c>
      <c r="J3195">
        <v>17</v>
      </c>
      <c r="K3195">
        <v>11</v>
      </c>
      <c r="L3195">
        <v>3</v>
      </c>
      <c r="M3195">
        <v>2</v>
      </c>
      <c r="N3195">
        <v>5</v>
      </c>
      <c r="O3195">
        <v>4</v>
      </c>
      <c r="P3195">
        <v>4</v>
      </c>
      <c r="Q3195">
        <v>0</v>
      </c>
      <c r="R3195">
        <v>1</v>
      </c>
      <c r="S3195">
        <v>87</v>
      </c>
      <c r="T3195">
        <v>80</v>
      </c>
      <c r="U3195" s="5">
        <f>IF(Merge1[[#This Row],[team_defense_snaps]]=0, "", Merge1[[#This Row],[defense_snaps]] / Merge1[[#This Row],[team_defense_snaps]])</f>
        <v>1</v>
      </c>
      <c r="V3195">
        <v>80</v>
      </c>
      <c r="W3195">
        <v>7</v>
      </c>
      <c r="X3195" s="5" t="s">
        <v>132</v>
      </c>
      <c r="Y3195">
        <v>2</v>
      </c>
      <c r="Z3195">
        <v>0</v>
      </c>
      <c r="AA3195" t="s">
        <v>25</v>
      </c>
      <c r="AB3195" t="s">
        <v>26</v>
      </c>
      <c r="AC3195" t="s">
        <v>27</v>
      </c>
      <c r="AD3195" t="s">
        <v>42</v>
      </c>
      <c r="AE3195" t="s">
        <v>25</v>
      </c>
      <c r="AF31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0.40804597701149425</v>
      </c>
      <c r="AG3195" t="s">
        <v>942</v>
      </c>
      <c r="AH3195">
        <v>49</v>
      </c>
      <c r="AI3195" t="s">
        <v>939</v>
      </c>
      <c r="AJ3195">
        <v>8</v>
      </c>
      <c r="AK31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MIN(AJ3195/8, 1) +
  Merge1[[#This Row],[index_defensive_effort]],
  2
)</f>
        <v>1.91</v>
      </c>
    </row>
    <row r="3196" spans="1:37" x14ac:dyDescent="0.25">
      <c r="A3196" t="s">
        <v>792</v>
      </c>
      <c r="B3196" t="s">
        <v>793</v>
      </c>
      <c r="C3196">
        <v>32</v>
      </c>
      <c r="D3196" t="s">
        <v>56</v>
      </c>
      <c r="E3196">
        <v>72</v>
      </c>
      <c r="F3196">
        <v>188</v>
      </c>
      <c r="G3196" t="s">
        <v>162</v>
      </c>
      <c r="H3196">
        <v>2020</v>
      </c>
      <c r="I3196" t="s">
        <v>33</v>
      </c>
      <c r="J3196">
        <v>16</v>
      </c>
      <c r="K3196">
        <v>5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40</v>
      </c>
      <c r="T3196">
        <v>39</v>
      </c>
      <c r="U3196" s="5">
        <f>IF(Merge1[[#This Row],[team_defense_snaps]]=0, "", Merge1[[#This Row],[defense_snaps]] / Merge1[[#This Row],[team_defense_snaps]])</f>
        <v>0.48749999999999999</v>
      </c>
      <c r="V3196">
        <v>80</v>
      </c>
      <c r="W3196">
        <v>1</v>
      </c>
      <c r="X3196" s="5" t="s">
        <v>303</v>
      </c>
      <c r="Y3196">
        <v>10</v>
      </c>
      <c r="Z3196">
        <v>0</v>
      </c>
      <c r="AA3196" t="s">
        <v>25</v>
      </c>
      <c r="AB3196" t="s">
        <v>26</v>
      </c>
      <c r="AC3196" t="s">
        <v>27</v>
      </c>
      <c r="AD3196" t="s">
        <v>28</v>
      </c>
      <c r="AE3196" t="s">
        <v>25</v>
      </c>
      <c r="AF31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3196" t="s">
        <v>942</v>
      </c>
      <c r="AH3196">
        <v>47.5</v>
      </c>
      <c r="AI3196" t="s">
        <v>939</v>
      </c>
      <c r="AJ3196">
        <v>1</v>
      </c>
      <c r="AK31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MIN(AJ3196/8, 1) +
  Merge1[[#This Row],[index_defensive_effort]],
  2
)</f>
        <v>0.85</v>
      </c>
    </row>
    <row r="3197" spans="1:37" x14ac:dyDescent="0.25">
      <c r="A3197" t="s">
        <v>874</v>
      </c>
      <c r="B3197" t="s">
        <v>875</v>
      </c>
      <c r="C3197">
        <v>37</v>
      </c>
      <c r="D3197" t="s">
        <v>56</v>
      </c>
      <c r="E3197">
        <v>71</v>
      </c>
      <c r="F3197">
        <v>191</v>
      </c>
      <c r="G3197" t="s">
        <v>32</v>
      </c>
      <c r="H3197">
        <v>2020</v>
      </c>
      <c r="I3197" t="s">
        <v>33</v>
      </c>
      <c r="J3197">
        <v>10</v>
      </c>
      <c r="K3197">
        <v>1</v>
      </c>
      <c r="L3197">
        <v>1</v>
      </c>
      <c r="M3197">
        <v>1</v>
      </c>
      <c r="N3197">
        <v>2</v>
      </c>
      <c r="O3197">
        <v>0</v>
      </c>
      <c r="P3197">
        <v>0</v>
      </c>
      <c r="Q3197">
        <v>0</v>
      </c>
      <c r="R3197">
        <v>0</v>
      </c>
      <c r="S3197">
        <v>14</v>
      </c>
      <c r="T3197">
        <v>14</v>
      </c>
      <c r="U3197" s="5">
        <f>IF(Merge1[[#This Row],[team_defense_snaps]]=0, "", Merge1[[#This Row],[defense_snaps]] / Merge1[[#This Row],[team_defense_snaps]])</f>
        <v>0.2413793103448276</v>
      </c>
      <c r="V3197">
        <v>58</v>
      </c>
      <c r="W3197">
        <v>0</v>
      </c>
      <c r="X3197" s="5">
        <v>0</v>
      </c>
      <c r="Y3197">
        <v>14</v>
      </c>
      <c r="Z3197">
        <v>0</v>
      </c>
      <c r="AA3197" t="s">
        <v>25</v>
      </c>
      <c r="AB3197" t="s">
        <v>26</v>
      </c>
      <c r="AC3197" t="s">
        <v>27</v>
      </c>
      <c r="AD3197" t="s">
        <v>42</v>
      </c>
      <c r="AE3197" t="s">
        <v>25</v>
      </c>
      <c r="AF31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0.14285714285714285</v>
      </c>
      <c r="AG3197" t="s">
        <v>941</v>
      </c>
      <c r="AH3197">
        <v>58.5</v>
      </c>
      <c r="AI3197" t="s">
        <v>939</v>
      </c>
      <c r="AJ3197">
        <v>1</v>
      </c>
      <c r="AK31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MIN(AJ3197/8, 1) +
  Merge1[[#This Row],[index_defensive_effort]],
  2
)</f>
        <v>0.87</v>
      </c>
    </row>
    <row r="3198" spans="1:37" x14ac:dyDescent="0.25">
      <c r="A3198" t="s">
        <v>874</v>
      </c>
      <c r="B3198" t="s">
        <v>875</v>
      </c>
      <c r="C3198">
        <v>37</v>
      </c>
      <c r="D3198" t="s">
        <v>56</v>
      </c>
      <c r="E3198">
        <v>71</v>
      </c>
      <c r="F3198">
        <v>191</v>
      </c>
      <c r="G3198" t="s">
        <v>32</v>
      </c>
      <c r="H3198">
        <v>2020</v>
      </c>
      <c r="I3198" t="s">
        <v>33</v>
      </c>
      <c r="J3198">
        <v>12</v>
      </c>
      <c r="K3198">
        <v>4</v>
      </c>
      <c r="L3198">
        <v>1</v>
      </c>
      <c r="M3198">
        <v>1</v>
      </c>
      <c r="N3198">
        <v>2</v>
      </c>
      <c r="O3198">
        <v>0</v>
      </c>
      <c r="P3198">
        <v>2</v>
      </c>
      <c r="Q3198">
        <v>0</v>
      </c>
      <c r="R3198">
        <v>1</v>
      </c>
      <c r="S3198">
        <v>45</v>
      </c>
      <c r="T3198">
        <v>45</v>
      </c>
      <c r="U3198" s="5">
        <f>IF(Merge1[[#This Row],[team_defense_snaps]]=0, "", Merge1[[#This Row],[defense_snaps]] / Merge1[[#This Row],[team_defense_snaps]])</f>
        <v>0.60810810810810811</v>
      </c>
      <c r="V3198">
        <v>74</v>
      </c>
      <c r="W3198">
        <v>0</v>
      </c>
      <c r="X3198" s="5">
        <v>0</v>
      </c>
      <c r="Y3198">
        <v>14</v>
      </c>
      <c r="Z3198">
        <v>0</v>
      </c>
      <c r="AA3198" t="s">
        <v>25</v>
      </c>
      <c r="AB3198" t="s">
        <v>36</v>
      </c>
      <c r="AC3198" t="s">
        <v>188</v>
      </c>
      <c r="AD3198" t="s">
        <v>42</v>
      </c>
      <c r="AE3198" t="s">
        <v>25</v>
      </c>
      <c r="AF31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0.24444444444444444</v>
      </c>
      <c r="AG3198" t="s">
        <v>941</v>
      </c>
      <c r="AH3198">
        <v>55.5</v>
      </c>
      <c r="AI3198" t="s">
        <v>939</v>
      </c>
      <c r="AJ3198">
        <v>1</v>
      </c>
      <c r="AK31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MIN(AJ3198/8, 1) +
  Merge1[[#This Row],[index_defensive_effort]],
  2
)</f>
        <v>0.97</v>
      </c>
    </row>
    <row r="3199" spans="1:37" x14ac:dyDescent="0.25">
      <c r="A3199" t="s">
        <v>874</v>
      </c>
      <c r="B3199" t="s">
        <v>875</v>
      </c>
      <c r="C3199">
        <v>37</v>
      </c>
      <c r="D3199" t="s">
        <v>56</v>
      </c>
      <c r="E3199">
        <v>71</v>
      </c>
      <c r="F3199">
        <v>191</v>
      </c>
      <c r="G3199" t="s">
        <v>32</v>
      </c>
      <c r="H3199">
        <v>2020</v>
      </c>
      <c r="I3199" t="s">
        <v>33</v>
      </c>
      <c r="J3199">
        <v>15</v>
      </c>
      <c r="K3199">
        <v>3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43</v>
      </c>
      <c r="T3199">
        <v>43</v>
      </c>
      <c r="U3199" s="5">
        <f>IF(Merge1[[#This Row],[team_defense_snaps]]=0, "", Merge1[[#This Row],[defense_snaps]] / Merge1[[#This Row],[team_defense_snaps]])</f>
        <v>0.74137931034482762</v>
      </c>
      <c r="V3199">
        <v>58</v>
      </c>
      <c r="W3199">
        <v>0</v>
      </c>
      <c r="X3199" s="5">
        <v>0</v>
      </c>
      <c r="Y3199">
        <v>14</v>
      </c>
      <c r="Z3199">
        <v>0</v>
      </c>
      <c r="AA3199" t="s">
        <v>25</v>
      </c>
      <c r="AB3199" t="s">
        <v>26</v>
      </c>
      <c r="AC3199" t="s">
        <v>27</v>
      </c>
      <c r="AD3199" t="s">
        <v>42</v>
      </c>
      <c r="AE3199" t="s">
        <v>25</v>
      </c>
      <c r="AF31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6.9767441860465115E-2</v>
      </c>
      <c r="AG3199" t="s">
        <v>941</v>
      </c>
      <c r="AH3199">
        <v>51</v>
      </c>
      <c r="AI3199" t="s">
        <v>939</v>
      </c>
      <c r="AJ3199">
        <v>1</v>
      </c>
      <c r="AK31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MIN(AJ3199/8, 1) +
  Merge1[[#This Row],[index_defensive_effort]],
  2
)</f>
        <v>0.79</v>
      </c>
    </row>
    <row r="3200" spans="1:37" x14ac:dyDescent="0.25">
      <c r="A3200" t="s">
        <v>874</v>
      </c>
      <c r="B3200" t="s">
        <v>875</v>
      </c>
      <c r="C3200">
        <v>37</v>
      </c>
      <c r="D3200" t="s">
        <v>56</v>
      </c>
      <c r="E3200">
        <v>71</v>
      </c>
      <c r="F3200">
        <v>191</v>
      </c>
      <c r="G3200" t="s">
        <v>32</v>
      </c>
      <c r="H3200">
        <v>2020</v>
      </c>
      <c r="I3200" t="s">
        <v>33</v>
      </c>
      <c r="J3200">
        <v>16</v>
      </c>
      <c r="K3200">
        <v>3</v>
      </c>
      <c r="L3200">
        <v>1</v>
      </c>
      <c r="M3200">
        <v>0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55</v>
      </c>
      <c r="T3200">
        <v>55</v>
      </c>
      <c r="U3200" s="5">
        <f>IF(Merge1[[#This Row],[team_defense_snaps]]=0, "", Merge1[[#This Row],[defense_snaps]] / Merge1[[#This Row],[team_defense_snaps]])</f>
        <v>0.859375</v>
      </c>
      <c r="V3200">
        <v>64</v>
      </c>
      <c r="W3200">
        <v>0</v>
      </c>
      <c r="X3200" s="5">
        <v>0</v>
      </c>
      <c r="Y3200">
        <v>14</v>
      </c>
      <c r="Z3200">
        <v>0</v>
      </c>
      <c r="AA3200" t="s">
        <v>25</v>
      </c>
      <c r="AB3200" t="s">
        <v>36</v>
      </c>
      <c r="AC3200" t="s">
        <v>147</v>
      </c>
      <c r="AD3200" t="s">
        <v>42</v>
      </c>
      <c r="AE3200" t="s">
        <v>25</v>
      </c>
      <c r="AF32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6.363636363636363E-2</v>
      </c>
      <c r="AG3200" t="s">
        <v>941</v>
      </c>
      <c r="AH3200">
        <v>49.5</v>
      </c>
      <c r="AI3200" t="s">
        <v>939</v>
      </c>
      <c r="AJ3200">
        <v>2</v>
      </c>
      <c r="AK32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MIN(AJ3200/8, 1) +
  Merge1[[#This Row],[index_defensive_effort]],
  2
)</f>
        <v>0.91</v>
      </c>
    </row>
    <row r="3201" spans="1:37" x14ac:dyDescent="0.25">
      <c r="A3201" t="s">
        <v>874</v>
      </c>
      <c r="B3201" t="s">
        <v>875</v>
      </c>
      <c r="C3201">
        <v>37</v>
      </c>
      <c r="D3201" t="s">
        <v>56</v>
      </c>
      <c r="E3201">
        <v>71</v>
      </c>
      <c r="F3201">
        <v>191</v>
      </c>
      <c r="G3201" t="s">
        <v>32</v>
      </c>
      <c r="H3201">
        <v>2020</v>
      </c>
      <c r="I3201" t="s">
        <v>24</v>
      </c>
      <c r="J3201">
        <v>19</v>
      </c>
      <c r="K3201">
        <v>2</v>
      </c>
      <c r="L3201">
        <v>1</v>
      </c>
      <c r="M3201">
        <v>0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12</v>
      </c>
      <c r="T3201">
        <v>12</v>
      </c>
      <c r="U3201" s="5">
        <f>IF(Merge1[[#This Row],[team_defense_snaps]]=0, "", Merge1[[#This Row],[defense_snaps]] / Merge1[[#This Row],[team_defense_snaps]])</f>
        <v>0.21052631578947367</v>
      </c>
      <c r="V3201">
        <v>57</v>
      </c>
      <c r="W3201">
        <v>0</v>
      </c>
      <c r="X3201" s="5">
        <v>0</v>
      </c>
      <c r="Y3201">
        <v>14</v>
      </c>
      <c r="Z3201">
        <v>0</v>
      </c>
      <c r="AA3201" t="s">
        <v>25</v>
      </c>
      <c r="AB3201" t="s">
        <v>26</v>
      </c>
      <c r="AC3201" t="s">
        <v>27</v>
      </c>
      <c r="AD3201" t="s">
        <v>42</v>
      </c>
      <c r="AE3201" t="s">
        <v>25</v>
      </c>
      <c r="AF32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0.20833333333333334</v>
      </c>
      <c r="AG3201" t="s">
        <v>941</v>
      </c>
      <c r="AH3201">
        <v>52</v>
      </c>
      <c r="AI3201" t="s">
        <v>939</v>
      </c>
      <c r="AJ3201">
        <v>1</v>
      </c>
      <c r="AK32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MIN(AJ3201/8, 1) +
  Merge1[[#This Row],[index_defensive_effort]],
  2
)</f>
        <v>1.1299999999999999</v>
      </c>
    </row>
    <row r="3202" spans="1:37" x14ac:dyDescent="0.25">
      <c r="A3202" t="s">
        <v>830</v>
      </c>
      <c r="B3202" t="s">
        <v>831</v>
      </c>
      <c r="C3202">
        <v>23</v>
      </c>
      <c r="D3202" t="s">
        <v>56</v>
      </c>
      <c r="E3202">
        <v>74</v>
      </c>
      <c r="F3202">
        <v>194</v>
      </c>
      <c r="G3202" t="s">
        <v>166</v>
      </c>
      <c r="H3202">
        <v>2020</v>
      </c>
      <c r="I3202" t="s">
        <v>33</v>
      </c>
      <c r="J3202">
        <v>1</v>
      </c>
      <c r="K3202">
        <v>2</v>
      </c>
      <c r="L3202">
        <v>2</v>
      </c>
      <c r="M3202">
        <v>0</v>
      </c>
      <c r="N3202">
        <v>2</v>
      </c>
      <c r="O3202">
        <v>0</v>
      </c>
      <c r="P3202">
        <v>0</v>
      </c>
      <c r="Q3202">
        <v>0</v>
      </c>
      <c r="R3202">
        <v>0</v>
      </c>
      <c r="S3202">
        <v>73</v>
      </c>
      <c r="T3202">
        <v>63</v>
      </c>
      <c r="U3202" s="5">
        <f>IF(Merge1[[#This Row],[team_defense_snaps]]=0, "", Merge1[[#This Row],[defense_snaps]] / Merge1[[#This Row],[team_defense_snaps]])</f>
        <v>0.94029850746268662</v>
      </c>
      <c r="V3202">
        <v>67</v>
      </c>
      <c r="W3202">
        <v>10</v>
      </c>
      <c r="X3202" s="5" t="s">
        <v>334</v>
      </c>
      <c r="Y3202">
        <v>1</v>
      </c>
      <c r="Z3202">
        <v>0</v>
      </c>
      <c r="AA3202" t="s">
        <v>25</v>
      </c>
      <c r="AB3202" t="s">
        <v>26</v>
      </c>
      <c r="AC3202" t="s">
        <v>27</v>
      </c>
      <c r="AD3202" t="s">
        <v>42</v>
      </c>
      <c r="AE3202" t="s">
        <v>25</v>
      </c>
      <c r="AF32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4.1095890410958902E-2</v>
      </c>
      <c r="AG3202" t="s">
        <v>941</v>
      </c>
      <c r="AH3202">
        <v>77</v>
      </c>
      <c r="AI3202" t="s">
        <v>939</v>
      </c>
      <c r="AJ3202">
        <v>1</v>
      </c>
      <c r="AK32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MIN(AJ3202/8, 1) +
  Merge1[[#This Row],[index_defensive_effort]],
  2
)</f>
        <v>0.56999999999999995</v>
      </c>
    </row>
    <row r="3203" spans="1:37" x14ac:dyDescent="0.25">
      <c r="A3203" t="s">
        <v>830</v>
      </c>
      <c r="B3203" t="s">
        <v>831</v>
      </c>
      <c r="C3203">
        <v>23</v>
      </c>
      <c r="D3203" t="s">
        <v>56</v>
      </c>
      <c r="E3203">
        <v>74</v>
      </c>
      <c r="F3203">
        <v>194</v>
      </c>
      <c r="G3203" t="s">
        <v>166</v>
      </c>
      <c r="H3203">
        <v>2020</v>
      </c>
      <c r="I3203" t="s">
        <v>33</v>
      </c>
      <c r="J3203">
        <v>2</v>
      </c>
      <c r="K3203">
        <v>3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60</v>
      </c>
      <c r="T3203">
        <v>53</v>
      </c>
      <c r="U3203" s="5">
        <f>IF(Merge1[[#This Row],[team_defense_snaps]]=0, "", Merge1[[#This Row],[defense_snaps]] / Merge1[[#This Row],[team_defense_snaps]])</f>
        <v>0.8833333333333333</v>
      </c>
      <c r="V3203">
        <v>60</v>
      </c>
      <c r="W3203">
        <v>7</v>
      </c>
      <c r="X3203" s="5" t="s">
        <v>137</v>
      </c>
      <c r="Y3203">
        <v>1</v>
      </c>
      <c r="Z3203">
        <v>0</v>
      </c>
      <c r="AA3203" t="s">
        <v>25</v>
      </c>
      <c r="AB3203" t="s">
        <v>26</v>
      </c>
      <c r="AC3203" t="s">
        <v>27</v>
      </c>
      <c r="AD3203" t="s">
        <v>42</v>
      </c>
      <c r="AE3203" t="s">
        <v>25</v>
      </c>
      <c r="AF32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3203" t="s">
        <v>941</v>
      </c>
      <c r="AH3203">
        <v>72.5</v>
      </c>
      <c r="AI3203" t="s">
        <v>939</v>
      </c>
      <c r="AJ3203">
        <v>2</v>
      </c>
      <c r="AK32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MIN(AJ3203/8, 1) +
  Merge1[[#This Row],[index_defensive_effort]],
  2
)</f>
        <v>0.7</v>
      </c>
    </row>
    <row r="3204" spans="1:37" x14ac:dyDescent="0.25">
      <c r="A3204" t="s">
        <v>830</v>
      </c>
      <c r="B3204" t="s">
        <v>831</v>
      </c>
      <c r="C3204">
        <v>23</v>
      </c>
      <c r="D3204" t="s">
        <v>56</v>
      </c>
      <c r="E3204">
        <v>74</v>
      </c>
      <c r="F3204">
        <v>194</v>
      </c>
      <c r="G3204" t="s">
        <v>166</v>
      </c>
      <c r="H3204">
        <v>2020</v>
      </c>
      <c r="I3204" t="s">
        <v>33</v>
      </c>
      <c r="J3204">
        <v>3</v>
      </c>
      <c r="K3204">
        <v>0</v>
      </c>
      <c r="L3204">
        <v>2</v>
      </c>
      <c r="M3204">
        <v>2</v>
      </c>
      <c r="N3204">
        <v>4</v>
      </c>
      <c r="O3204">
        <v>0</v>
      </c>
      <c r="P3204">
        <v>0</v>
      </c>
      <c r="Q3204">
        <v>0</v>
      </c>
      <c r="R3204">
        <v>0</v>
      </c>
      <c r="S3204">
        <v>66</v>
      </c>
      <c r="T3204">
        <v>55</v>
      </c>
      <c r="U3204" s="5">
        <f>IF(Merge1[[#This Row],[team_defense_snaps]]=0, "", Merge1[[#This Row],[defense_snaps]] / Merge1[[#This Row],[team_defense_snaps]])</f>
        <v>0.79710144927536231</v>
      </c>
      <c r="V3204">
        <v>69</v>
      </c>
      <c r="W3204">
        <v>11</v>
      </c>
      <c r="X3204" s="5" t="s">
        <v>70</v>
      </c>
      <c r="Y3204">
        <v>1</v>
      </c>
      <c r="Z3204">
        <v>0</v>
      </c>
      <c r="AA3204" t="s">
        <v>25</v>
      </c>
      <c r="AB3204" t="s">
        <v>26</v>
      </c>
      <c r="AC3204" t="s">
        <v>27</v>
      </c>
      <c r="AD3204" t="s">
        <v>42</v>
      </c>
      <c r="AE3204" t="s">
        <v>25</v>
      </c>
      <c r="AF32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3.0303030303030304E-2</v>
      </c>
      <c r="AG3204" t="s">
        <v>941</v>
      </c>
      <c r="AH3204">
        <v>89</v>
      </c>
      <c r="AI3204" t="s">
        <v>939</v>
      </c>
      <c r="AJ3204">
        <v>3</v>
      </c>
      <c r="AK32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MIN(AJ3204/8, 1) +
  Merge1[[#This Row],[index_defensive_effort]],
  2
)</f>
        <v>0.81</v>
      </c>
    </row>
    <row r="3205" spans="1:37" x14ac:dyDescent="0.25">
      <c r="A3205" t="s">
        <v>830</v>
      </c>
      <c r="B3205" t="s">
        <v>831</v>
      </c>
      <c r="C3205">
        <v>23</v>
      </c>
      <c r="D3205" t="s">
        <v>56</v>
      </c>
      <c r="E3205">
        <v>74</v>
      </c>
      <c r="F3205">
        <v>194</v>
      </c>
      <c r="G3205" t="s">
        <v>166</v>
      </c>
      <c r="H3205">
        <v>2020</v>
      </c>
      <c r="I3205" t="s">
        <v>33</v>
      </c>
      <c r="J3205">
        <v>4</v>
      </c>
      <c r="K3205">
        <v>6</v>
      </c>
      <c r="L3205">
        <v>1</v>
      </c>
      <c r="M3205">
        <v>0</v>
      </c>
      <c r="N3205">
        <v>1</v>
      </c>
      <c r="O3205">
        <v>0</v>
      </c>
      <c r="P3205">
        <v>1</v>
      </c>
      <c r="Q3205">
        <v>0</v>
      </c>
      <c r="R3205">
        <v>0</v>
      </c>
      <c r="S3205">
        <v>69</v>
      </c>
      <c r="T3205">
        <v>60</v>
      </c>
      <c r="U3205" s="5">
        <f>IF(Merge1[[#This Row],[team_defense_snaps]]=0, "", Merge1[[#This Row],[defense_snaps]] / Merge1[[#This Row],[team_defense_snaps]])</f>
        <v>0.967741935483871</v>
      </c>
      <c r="V3205">
        <v>62</v>
      </c>
      <c r="W3205">
        <v>9</v>
      </c>
      <c r="X3205" s="5" t="s">
        <v>70</v>
      </c>
      <c r="Y3205">
        <v>1</v>
      </c>
      <c r="Z3205">
        <v>0</v>
      </c>
      <c r="AA3205" t="s">
        <v>25</v>
      </c>
      <c r="AB3205" t="s">
        <v>26</v>
      </c>
      <c r="AC3205" t="s">
        <v>27</v>
      </c>
      <c r="AD3205" t="s">
        <v>42</v>
      </c>
      <c r="AE3205" t="s">
        <v>25</v>
      </c>
      <c r="AF32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0.12318840579710146</v>
      </c>
      <c r="AG3205" t="s">
        <v>941</v>
      </c>
      <c r="AH3205">
        <v>84.5</v>
      </c>
      <c r="AI3205" t="s">
        <v>939</v>
      </c>
      <c r="AJ3205">
        <v>4</v>
      </c>
      <c r="AK32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MIN(AJ3205/8, 1) +
  Merge1[[#This Row],[index_defensive_effort]],
  2
)</f>
        <v>1.02</v>
      </c>
    </row>
    <row r="3206" spans="1:37" x14ac:dyDescent="0.25">
      <c r="A3206" t="s">
        <v>830</v>
      </c>
      <c r="B3206" t="s">
        <v>831</v>
      </c>
      <c r="C3206">
        <v>23</v>
      </c>
      <c r="D3206" t="s">
        <v>56</v>
      </c>
      <c r="E3206">
        <v>74</v>
      </c>
      <c r="F3206">
        <v>194</v>
      </c>
      <c r="G3206" t="s">
        <v>166</v>
      </c>
      <c r="H3206">
        <v>2020</v>
      </c>
      <c r="I3206" t="s">
        <v>33</v>
      </c>
      <c r="J3206">
        <v>5</v>
      </c>
      <c r="K3206">
        <v>3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73</v>
      </c>
      <c r="T3206">
        <v>65</v>
      </c>
      <c r="U3206" s="5">
        <f>IF(Merge1[[#This Row],[team_defense_snaps]]=0, "", Merge1[[#This Row],[defense_snaps]] / Merge1[[#This Row],[team_defense_snaps]])</f>
        <v>0.8783783783783784</v>
      </c>
      <c r="V3206">
        <v>74</v>
      </c>
      <c r="W3206">
        <v>8</v>
      </c>
      <c r="X3206" s="5" t="s">
        <v>137</v>
      </c>
      <c r="Y3206">
        <v>1</v>
      </c>
      <c r="Z3206">
        <v>0</v>
      </c>
      <c r="AA3206" t="s">
        <v>25</v>
      </c>
      <c r="AB3206" t="s">
        <v>26</v>
      </c>
      <c r="AC3206" t="s">
        <v>27</v>
      </c>
      <c r="AD3206" t="s">
        <v>42</v>
      </c>
      <c r="AE3206" t="s">
        <v>25</v>
      </c>
      <c r="AF32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4.1095890410958902E-2</v>
      </c>
      <c r="AG3206" t="s">
        <v>941</v>
      </c>
      <c r="AH3206">
        <v>93.5</v>
      </c>
      <c r="AI3206" t="s">
        <v>939</v>
      </c>
      <c r="AJ3206">
        <v>5</v>
      </c>
      <c r="AK32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MIN(AJ3206/8, 1) +
  Merge1[[#This Row],[index_defensive_effort]],
  2
)</f>
        <v>1.07</v>
      </c>
    </row>
    <row r="3207" spans="1:37" x14ac:dyDescent="0.25">
      <c r="A3207" t="s">
        <v>830</v>
      </c>
      <c r="B3207" t="s">
        <v>831</v>
      </c>
      <c r="C3207">
        <v>23</v>
      </c>
      <c r="D3207" t="s">
        <v>56</v>
      </c>
      <c r="E3207">
        <v>74</v>
      </c>
      <c r="F3207">
        <v>194</v>
      </c>
      <c r="G3207" t="s">
        <v>166</v>
      </c>
      <c r="H3207">
        <v>2020</v>
      </c>
      <c r="I3207" t="s">
        <v>33</v>
      </c>
      <c r="J3207">
        <v>7</v>
      </c>
      <c r="K3207">
        <v>8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84</v>
      </c>
      <c r="T3207">
        <v>72</v>
      </c>
      <c r="U3207" s="5">
        <f>IF(Merge1[[#This Row],[team_defense_snaps]]=0, "", Merge1[[#This Row],[defense_snaps]] / Merge1[[#This Row],[team_defense_snaps]])</f>
        <v>1</v>
      </c>
      <c r="V3207">
        <v>72</v>
      </c>
      <c r="W3207">
        <v>12</v>
      </c>
      <c r="X3207" s="5" t="s">
        <v>57</v>
      </c>
      <c r="Y3207">
        <v>1</v>
      </c>
      <c r="Z3207">
        <v>0</v>
      </c>
      <c r="AA3207" t="s">
        <v>25</v>
      </c>
      <c r="AB3207" t="s">
        <v>26</v>
      </c>
      <c r="AC3207" t="s">
        <v>27</v>
      </c>
      <c r="AD3207" t="s">
        <v>42</v>
      </c>
      <c r="AE3207" t="s">
        <v>25</v>
      </c>
      <c r="AF32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9.5238095238095233E-2</v>
      </c>
      <c r="AG3207" t="s">
        <v>941</v>
      </c>
      <c r="AH3207">
        <v>81.5</v>
      </c>
      <c r="AI3207" t="s">
        <v>939</v>
      </c>
      <c r="AJ3207">
        <v>1</v>
      </c>
      <c r="AK32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MIN(AJ3207/8, 1) +
  Merge1[[#This Row],[index_defensive_effort]],
  2
)</f>
        <v>0.62</v>
      </c>
    </row>
    <row r="3208" spans="1:37" x14ac:dyDescent="0.25">
      <c r="A3208" t="s">
        <v>830</v>
      </c>
      <c r="B3208" t="s">
        <v>831</v>
      </c>
      <c r="C3208">
        <v>23</v>
      </c>
      <c r="D3208" t="s">
        <v>56</v>
      </c>
      <c r="E3208">
        <v>74</v>
      </c>
      <c r="F3208">
        <v>194</v>
      </c>
      <c r="G3208" t="s">
        <v>166</v>
      </c>
      <c r="H3208">
        <v>2020</v>
      </c>
      <c r="I3208" t="s">
        <v>33</v>
      </c>
      <c r="J3208">
        <v>8</v>
      </c>
      <c r="K3208">
        <v>2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57</v>
      </c>
      <c r="T3208">
        <v>49</v>
      </c>
      <c r="U3208" s="5">
        <f>IF(Merge1[[#This Row],[team_defense_snaps]]=0, "", Merge1[[#This Row],[defense_snaps]] / Merge1[[#This Row],[team_defense_snaps]])</f>
        <v>1</v>
      </c>
      <c r="V3208">
        <v>49</v>
      </c>
      <c r="W3208">
        <v>8</v>
      </c>
      <c r="X3208" s="5" t="s">
        <v>243</v>
      </c>
      <c r="Y3208">
        <v>1</v>
      </c>
      <c r="Z3208">
        <v>0</v>
      </c>
      <c r="AA3208" t="s">
        <v>25</v>
      </c>
      <c r="AB3208" t="s">
        <v>26</v>
      </c>
      <c r="AC3208" t="s">
        <v>27</v>
      </c>
      <c r="AD3208" t="s">
        <v>42</v>
      </c>
      <c r="AE3208" t="s">
        <v>25</v>
      </c>
      <c r="AF32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3.5087719298245612E-2</v>
      </c>
      <c r="AG3208" t="s">
        <v>941</v>
      </c>
      <c r="AH3208">
        <v>74</v>
      </c>
      <c r="AI3208" t="s">
        <v>939</v>
      </c>
      <c r="AJ3208">
        <v>2</v>
      </c>
      <c r="AK32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MIN(AJ3208/8, 1) +
  Merge1[[#This Row],[index_defensive_effort]],
  2
)</f>
        <v>0.69</v>
      </c>
    </row>
    <row r="3209" spans="1:37" x14ac:dyDescent="0.25">
      <c r="A3209" t="s">
        <v>830</v>
      </c>
      <c r="B3209" t="s">
        <v>831</v>
      </c>
      <c r="C3209">
        <v>23</v>
      </c>
      <c r="D3209" t="s">
        <v>56</v>
      </c>
      <c r="E3209">
        <v>74</v>
      </c>
      <c r="F3209">
        <v>194</v>
      </c>
      <c r="G3209" t="s">
        <v>166</v>
      </c>
      <c r="H3209">
        <v>2020</v>
      </c>
      <c r="I3209" t="s">
        <v>33</v>
      </c>
      <c r="J3209">
        <v>10</v>
      </c>
      <c r="K3209">
        <v>5</v>
      </c>
      <c r="L3209">
        <v>2</v>
      </c>
      <c r="M3209">
        <v>1</v>
      </c>
      <c r="N3209">
        <v>3</v>
      </c>
      <c r="O3209">
        <v>0</v>
      </c>
      <c r="P3209">
        <v>0</v>
      </c>
      <c r="Q3209">
        <v>0</v>
      </c>
      <c r="R3209">
        <v>0</v>
      </c>
      <c r="S3209">
        <v>67</v>
      </c>
      <c r="T3209">
        <v>65</v>
      </c>
      <c r="U3209" s="5">
        <f>IF(Merge1[[#This Row],[team_defense_snaps]]=0, "", Merge1[[#This Row],[defense_snaps]] / Merge1[[#This Row],[team_defense_snaps]])</f>
        <v>0.91549295774647887</v>
      </c>
      <c r="V3209">
        <v>71</v>
      </c>
      <c r="W3209">
        <v>2</v>
      </c>
      <c r="X3209" s="5" t="s">
        <v>208</v>
      </c>
      <c r="Y3209">
        <v>1</v>
      </c>
      <c r="Z3209">
        <v>0</v>
      </c>
      <c r="AA3209" t="s">
        <v>25</v>
      </c>
      <c r="AB3209" t="s">
        <v>26</v>
      </c>
      <c r="AC3209" t="s">
        <v>27</v>
      </c>
      <c r="AD3209" t="s">
        <v>42</v>
      </c>
      <c r="AE3209" t="s">
        <v>25</v>
      </c>
      <c r="AF32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9.7014925373134331E-2</v>
      </c>
      <c r="AG3209" t="s">
        <v>941</v>
      </c>
      <c r="AH3209">
        <v>95</v>
      </c>
      <c r="AI3209" t="s">
        <v>939</v>
      </c>
      <c r="AJ3209">
        <v>1</v>
      </c>
      <c r="AK32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MIN(AJ3209/8, 1) +
  Merge1[[#This Row],[index_defensive_effort]],
  2
)</f>
        <v>0.62</v>
      </c>
    </row>
    <row r="3210" spans="1:37" x14ac:dyDescent="0.25">
      <c r="A3210" t="s">
        <v>830</v>
      </c>
      <c r="B3210" t="s">
        <v>831</v>
      </c>
      <c r="C3210">
        <v>23</v>
      </c>
      <c r="D3210" t="s">
        <v>56</v>
      </c>
      <c r="E3210">
        <v>74</v>
      </c>
      <c r="F3210">
        <v>194</v>
      </c>
      <c r="G3210" t="s">
        <v>166</v>
      </c>
      <c r="H3210">
        <v>2020</v>
      </c>
      <c r="I3210" t="s">
        <v>33</v>
      </c>
      <c r="J3210">
        <v>11</v>
      </c>
      <c r="K3210">
        <v>7</v>
      </c>
      <c r="L3210">
        <v>1</v>
      </c>
      <c r="M3210">
        <v>1</v>
      </c>
      <c r="N3210">
        <v>2</v>
      </c>
      <c r="O3210">
        <v>0</v>
      </c>
      <c r="P3210">
        <v>0</v>
      </c>
      <c r="Q3210">
        <v>2</v>
      </c>
      <c r="R3210">
        <v>0</v>
      </c>
      <c r="S3210">
        <v>83</v>
      </c>
      <c r="T3210">
        <v>78</v>
      </c>
      <c r="U3210" s="5">
        <f>IF(Merge1[[#This Row],[team_defense_snaps]]=0, "", Merge1[[#This Row],[defense_snaps]] / Merge1[[#This Row],[team_defense_snaps]])</f>
        <v>1</v>
      </c>
      <c r="V3210">
        <v>78</v>
      </c>
      <c r="W3210">
        <v>5</v>
      </c>
      <c r="X3210" s="5" t="s">
        <v>59</v>
      </c>
      <c r="Y3210">
        <v>1</v>
      </c>
      <c r="Z3210">
        <v>0</v>
      </c>
      <c r="AA3210" t="s">
        <v>25</v>
      </c>
      <c r="AB3210" t="s">
        <v>26</v>
      </c>
      <c r="AC3210" t="s">
        <v>27</v>
      </c>
      <c r="AD3210" t="s">
        <v>42</v>
      </c>
      <c r="AE3210" t="s">
        <v>25</v>
      </c>
      <c r="AF32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0.19277108433734941</v>
      </c>
      <c r="AG3210" t="s">
        <v>941</v>
      </c>
      <c r="AH3210">
        <v>78.5</v>
      </c>
      <c r="AI3210" t="s">
        <v>939</v>
      </c>
      <c r="AJ3210">
        <v>2</v>
      </c>
      <c r="AK32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MIN(AJ3210/8, 1) +
  Merge1[[#This Row],[index_defensive_effort]],
  2
)</f>
        <v>0.84</v>
      </c>
    </row>
    <row r="3211" spans="1:37" x14ac:dyDescent="0.25">
      <c r="A3211" t="s">
        <v>830</v>
      </c>
      <c r="B3211" t="s">
        <v>831</v>
      </c>
      <c r="C3211">
        <v>23</v>
      </c>
      <c r="D3211" t="s">
        <v>56</v>
      </c>
      <c r="E3211">
        <v>74</v>
      </c>
      <c r="F3211">
        <v>194</v>
      </c>
      <c r="G3211" t="s">
        <v>166</v>
      </c>
      <c r="H3211">
        <v>2020</v>
      </c>
      <c r="I3211" t="s">
        <v>33</v>
      </c>
      <c r="J3211">
        <v>12</v>
      </c>
      <c r="K3211">
        <v>1</v>
      </c>
      <c r="L3211">
        <v>2</v>
      </c>
      <c r="M3211">
        <v>0</v>
      </c>
      <c r="N3211">
        <v>2</v>
      </c>
      <c r="O3211">
        <v>0</v>
      </c>
      <c r="P3211">
        <v>0</v>
      </c>
      <c r="Q3211">
        <v>0</v>
      </c>
      <c r="R3211">
        <v>0</v>
      </c>
      <c r="S3211">
        <v>65</v>
      </c>
      <c r="T3211">
        <v>62</v>
      </c>
      <c r="U3211" s="5">
        <f>IF(Merge1[[#This Row],[team_defense_snaps]]=0, "", Merge1[[#This Row],[defense_snaps]] / Merge1[[#This Row],[team_defense_snaps]])</f>
        <v>0.77500000000000002</v>
      </c>
      <c r="V3211">
        <v>80</v>
      </c>
      <c r="W3211">
        <v>3</v>
      </c>
      <c r="X3211" s="5" t="s">
        <v>250</v>
      </c>
      <c r="Y3211">
        <v>1</v>
      </c>
      <c r="Z3211">
        <v>0</v>
      </c>
      <c r="AA3211" t="s">
        <v>25</v>
      </c>
      <c r="AB3211" t="s">
        <v>26</v>
      </c>
      <c r="AC3211" t="s">
        <v>27</v>
      </c>
      <c r="AD3211" t="s">
        <v>42</v>
      </c>
      <c r="AE3211" t="s">
        <v>25</v>
      </c>
      <c r="AF32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3.0769230769230771E-2</v>
      </c>
      <c r="AG3211" t="s">
        <v>941</v>
      </c>
      <c r="AH3211">
        <v>92</v>
      </c>
      <c r="AI3211" t="s">
        <v>939</v>
      </c>
      <c r="AJ3211">
        <v>3</v>
      </c>
      <c r="AK32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MIN(AJ3211/8, 1) +
  Merge1[[#This Row],[index_defensive_effort]],
  2
)</f>
        <v>0.81</v>
      </c>
    </row>
    <row r="3212" spans="1:37" x14ac:dyDescent="0.25">
      <c r="A3212" t="s">
        <v>830</v>
      </c>
      <c r="B3212" t="s">
        <v>831</v>
      </c>
      <c r="C3212">
        <v>23</v>
      </c>
      <c r="D3212" t="s">
        <v>56</v>
      </c>
      <c r="E3212">
        <v>74</v>
      </c>
      <c r="F3212">
        <v>194</v>
      </c>
      <c r="G3212" t="s">
        <v>166</v>
      </c>
      <c r="H3212">
        <v>2020</v>
      </c>
      <c r="I3212" t="s">
        <v>33</v>
      </c>
      <c r="J3212">
        <v>13</v>
      </c>
      <c r="K3212">
        <v>3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2</v>
      </c>
      <c r="R3212">
        <v>0</v>
      </c>
      <c r="S3212">
        <v>66</v>
      </c>
      <c r="T3212">
        <v>62</v>
      </c>
      <c r="U3212" s="5">
        <f>IF(Merge1[[#This Row],[team_defense_snaps]]=0, "", Merge1[[#This Row],[defense_snaps]] / Merge1[[#This Row],[team_defense_snaps]])</f>
        <v>0.92537313432835822</v>
      </c>
      <c r="V3212">
        <v>67</v>
      </c>
      <c r="W3212">
        <v>4</v>
      </c>
      <c r="X3212" s="5" t="s">
        <v>168</v>
      </c>
      <c r="Y3212">
        <v>1</v>
      </c>
      <c r="Z3212">
        <v>0</v>
      </c>
      <c r="AA3212" t="s">
        <v>25</v>
      </c>
      <c r="AB3212" t="s">
        <v>36</v>
      </c>
      <c r="AC3212" t="s">
        <v>188</v>
      </c>
      <c r="AD3212" t="s">
        <v>42</v>
      </c>
      <c r="AE3212" t="s">
        <v>25</v>
      </c>
      <c r="AF32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AG3212" t="s">
        <v>941</v>
      </c>
      <c r="AH3212">
        <v>86</v>
      </c>
      <c r="AI3212" t="s">
        <v>939</v>
      </c>
      <c r="AJ3212">
        <v>4</v>
      </c>
      <c r="AK32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MIN(AJ3212/8, 1) +
  Merge1[[#This Row],[index_defensive_effort]],
  2
)</f>
        <v>1.07</v>
      </c>
    </row>
    <row r="3213" spans="1:37" x14ac:dyDescent="0.25">
      <c r="A3213" t="s">
        <v>830</v>
      </c>
      <c r="B3213" t="s">
        <v>831</v>
      </c>
      <c r="C3213">
        <v>23</v>
      </c>
      <c r="D3213" t="s">
        <v>56</v>
      </c>
      <c r="E3213">
        <v>74</v>
      </c>
      <c r="F3213">
        <v>194</v>
      </c>
      <c r="G3213" t="s">
        <v>166</v>
      </c>
      <c r="H3213">
        <v>2020</v>
      </c>
      <c r="I3213" t="s">
        <v>33</v>
      </c>
      <c r="J3213">
        <v>14</v>
      </c>
      <c r="K3213">
        <v>3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72</v>
      </c>
      <c r="T3213">
        <v>61</v>
      </c>
      <c r="U3213" s="5">
        <f>IF(Merge1[[#This Row],[team_defense_snaps]]=0, "", Merge1[[#This Row],[defense_snaps]] / Merge1[[#This Row],[team_defense_snaps]])</f>
        <v>1</v>
      </c>
      <c r="V3213">
        <v>61</v>
      </c>
      <c r="W3213">
        <v>11</v>
      </c>
      <c r="X3213" s="5" t="s">
        <v>158</v>
      </c>
      <c r="Y3213">
        <v>1</v>
      </c>
      <c r="Z3213">
        <v>0</v>
      </c>
      <c r="AA3213" t="s">
        <v>25</v>
      </c>
      <c r="AB3213" t="s">
        <v>26</v>
      </c>
      <c r="AC3213" t="s">
        <v>27</v>
      </c>
      <c r="AD3213" t="s">
        <v>42</v>
      </c>
      <c r="AE3213" t="s">
        <v>25</v>
      </c>
      <c r="AF32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3213" t="s">
        <v>941</v>
      </c>
      <c r="AH3213">
        <v>90.5</v>
      </c>
      <c r="AI3213" t="s">
        <v>939</v>
      </c>
      <c r="AJ3213">
        <v>5</v>
      </c>
      <c r="AK32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MIN(AJ3213/8, 1) +
  Merge1[[#This Row],[index_defensive_effort]],
  2
)</f>
        <v>1.07</v>
      </c>
    </row>
    <row r="3214" spans="1:37" x14ac:dyDescent="0.25">
      <c r="A3214" t="s">
        <v>830</v>
      </c>
      <c r="B3214" t="s">
        <v>831</v>
      </c>
      <c r="C3214">
        <v>23</v>
      </c>
      <c r="D3214" t="s">
        <v>56</v>
      </c>
      <c r="E3214">
        <v>74</v>
      </c>
      <c r="F3214">
        <v>194</v>
      </c>
      <c r="G3214" t="s">
        <v>166</v>
      </c>
      <c r="H3214">
        <v>2020</v>
      </c>
      <c r="I3214" t="s">
        <v>33</v>
      </c>
      <c r="J3214">
        <v>15</v>
      </c>
      <c r="K3214">
        <v>9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68</v>
      </c>
      <c r="T3214">
        <v>62</v>
      </c>
      <c r="U3214" s="5">
        <f>IF(Merge1[[#This Row],[team_defense_snaps]]=0, "", Merge1[[#This Row],[defense_snaps]] / Merge1[[#This Row],[team_defense_snaps]])</f>
        <v>0.93939393939393945</v>
      </c>
      <c r="V3214">
        <v>66</v>
      </c>
      <c r="W3214">
        <v>6</v>
      </c>
      <c r="X3214" s="5" t="s">
        <v>293</v>
      </c>
      <c r="Y3214">
        <v>1</v>
      </c>
      <c r="Z3214">
        <v>0</v>
      </c>
      <c r="AA3214" t="s">
        <v>25</v>
      </c>
      <c r="AB3214" t="s">
        <v>26</v>
      </c>
      <c r="AC3214" t="s">
        <v>27</v>
      </c>
      <c r="AD3214" t="s">
        <v>42</v>
      </c>
      <c r="AE3214" t="s">
        <v>25</v>
      </c>
      <c r="AF32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0.13235294117647059</v>
      </c>
      <c r="AG3214" t="s">
        <v>941</v>
      </c>
      <c r="AH3214">
        <v>75.5</v>
      </c>
      <c r="AI3214" t="s">
        <v>939</v>
      </c>
      <c r="AJ3214">
        <v>6</v>
      </c>
      <c r="AK32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MIN(AJ3214/8, 1) +
  Merge1[[#This Row],[index_defensive_effort]],
  2
)</f>
        <v>1.28</v>
      </c>
    </row>
    <row r="3215" spans="1:37" x14ac:dyDescent="0.25">
      <c r="A3215" t="s">
        <v>830</v>
      </c>
      <c r="B3215" t="s">
        <v>831</v>
      </c>
      <c r="C3215">
        <v>23</v>
      </c>
      <c r="D3215" t="s">
        <v>56</v>
      </c>
      <c r="E3215">
        <v>74</v>
      </c>
      <c r="F3215">
        <v>194</v>
      </c>
      <c r="G3215" t="s">
        <v>166</v>
      </c>
      <c r="H3215">
        <v>2020</v>
      </c>
      <c r="I3215" t="s">
        <v>33</v>
      </c>
      <c r="J3215">
        <v>16</v>
      </c>
      <c r="K3215">
        <v>2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59</v>
      </c>
      <c r="T3215">
        <v>52</v>
      </c>
      <c r="U3215" s="5">
        <f>IF(Merge1[[#This Row],[team_defense_snaps]]=0, "", Merge1[[#This Row],[defense_snaps]] / Merge1[[#This Row],[team_defense_snaps]])</f>
        <v>0.8125</v>
      </c>
      <c r="V3215">
        <v>64</v>
      </c>
      <c r="W3215">
        <v>7</v>
      </c>
      <c r="X3215" s="5" t="s">
        <v>59</v>
      </c>
      <c r="Y3215">
        <v>1</v>
      </c>
      <c r="Z3215">
        <v>0</v>
      </c>
      <c r="AA3215" t="s">
        <v>25</v>
      </c>
      <c r="AB3215" t="s">
        <v>26</v>
      </c>
      <c r="AC3215" t="s">
        <v>27</v>
      </c>
      <c r="AD3215" t="s">
        <v>42</v>
      </c>
      <c r="AE3215" t="s">
        <v>25</v>
      </c>
      <c r="AF32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3.3898305084745763E-2</v>
      </c>
      <c r="AG3215" t="s">
        <v>941</v>
      </c>
      <c r="AH3215">
        <v>71</v>
      </c>
      <c r="AI3215" t="s">
        <v>939</v>
      </c>
      <c r="AJ3215">
        <v>7</v>
      </c>
      <c r="AK32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MIN(AJ3215/8, 1) +
  Merge1[[#This Row],[index_defensive_effort]],
  2
)</f>
        <v>1.31</v>
      </c>
    </row>
    <row r="3216" spans="1:37" x14ac:dyDescent="0.25">
      <c r="A3216" t="s">
        <v>830</v>
      </c>
      <c r="B3216" t="s">
        <v>831</v>
      </c>
      <c r="C3216">
        <v>23</v>
      </c>
      <c r="D3216" t="s">
        <v>56</v>
      </c>
      <c r="E3216">
        <v>74</v>
      </c>
      <c r="F3216">
        <v>194</v>
      </c>
      <c r="G3216" t="s">
        <v>166</v>
      </c>
      <c r="H3216">
        <v>2020</v>
      </c>
      <c r="I3216" t="s">
        <v>33</v>
      </c>
      <c r="J3216">
        <v>17</v>
      </c>
      <c r="K3216">
        <v>3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51</v>
      </c>
      <c r="T3216">
        <v>46</v>
      </c>
      <c r="U3216" s="5">
        <f>IF(Merge1[[#This Row],[team_defense_snaps]]=0, "", Merge1[[#This Row],[defense_snaps]] / Merge1[[#This Row],[team_defense_snaps]])</f>
        <v>0.56097560975609762</v>
      </c>
      <c r="V3216">
        <v>82</v>
      </c>
      <c r="W3216">
        <v>5</v>
      </c>
      <c r="X3216" s="5" t="s">
        <v>168</v>
      </c>
      <c r="Y3216">
        <v>1</v>
      </c>
      <c r="Z3216">
        <v>0</v>
      </c>
      <c r="AA3216" t="s">
        <v>25</v>
      </c>
      <c r="AB3216" t="s">
        <v>26</v>
      </c>
      <c r="AC3216" t="s">
        <v>27</v>
      </c>
      <c r="AD3216" t="s">
        <v>42</v>
      </c>
      <c r="AE3216" t="s">
        <v>25</v>
      </c>
      <c r="AF32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AG3216" t="s">
        <v>941</v>
      </c>
      <c r="AH3216">
        <v>80</v>
      </c>
      <c r="AI3216" t="s">
        <v>939</v>
      </c>
      <c r="AJ3216">
        <v>8</v>
      </c>
      <c r="AK32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MIN(AJ3216/8, 1) +
  Merge1[[#This Row],[index_defensive_effort]],
  2
)</f>
        <v>1.46</v>
      </c>
    </row>
    <row r="3217" spans="1:37" x14ac:dyDescent="0.25">
      <c r="A3217" t="s">
        <v>790</v>
      </c>
      <c r="B3217" t="s">
        <v>791</v>
      </c>
      <c r="C3217">
        <v>28</v>
      </c>
      <c r="D3217" t="s">
        <v>22</v>
      </c>
      <c r="E3217">
        <v>73</v>
      </c>
      <c r="F3217">
        <v>205</v>
      </c>
      <c r="G3217" t="s">
        <v>259</v>
      </c>
      <c r="H3217">
        <v>2020</v>
      </c>
      <c r="I3217" t="s">
        <v>33</v>
      </c>
      <c r="J3217">
        <v>1</v>
      </c>
      <c r="K3217">
        <v>5</v>
      </c>
      <c r="L3217">
        <v>1</v>
      </c>
      <c r="M3217">
        <v>0</v>
      </c>
      <c r="N3217">
        <v>1</v>
      </c>
      <c r="O3217">
        <v>0</v>
      </c>
      <c r="P3217">
        <v>0</v>
      </c>
      <c r="Q3217">
        <v>0</v>
      </c>
      <c r="R3217">
        <v>2</v>
      </c>
      <c r="S3217">
        <v>63</v>
      </c>
      <c r="T3217">
        <v>63</v>
      </c>
      <c r="U3217" s="5">
        <f>IF(Merge1[[#This Row],[team_defense_snaps]]=0, "", Merge1[[#This Row],[defense_snaps]] / Merge1[[#This Row],[team_defense_snaps]])</f>
        <v>1</v>
      </c>
      <c r="V3217">
        <v>63</v>
      </c>
      <c r="W3217">
        <v>0</v>
      </c>
      <c r="X3217" s="5" t="s">
        <v>29</v>
      </c>
      <c r="Y3217">
        <v>6</v>
      </c>
      <c r="Z3217">
        <v>0</v>
      </c>
      <c r="AA3217" t="s">
        <v>25</v>
      </c>
      <c r="AB3217" t="s">
        <v>26</v>
      </c>
      <c r="AC3217" t="s">
        <v>27</v>
      </c>
      <c r="AD3217" t="s">
        <v>42</v>
      </c>
      <c r="AE3217" t="s">
        <v>25</v>
      </c>
      <c r="AF32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0.15079365079365079</v>
      </c>
      <c r="AG3217" t="s">
        <v>942</v>
      </c>
      <c r="AH3217">
        <v>72</v>
      </c>
      <c r="AI3217" t="s">
        <v>939</v>
      </c>
      <c r="AJ3217">
        <v>1</v>
      </c>
      <c r="AK32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MIN(AJ3217/8, 1) +
  Merge1[[#This Row],[index_defensive_effort]],
  2
)</f>
        <v>0.88</v>
      </c>
    </row>
    <row r="3218" spans="1:37" x14ac:dyDescent="0.25">
      <c r="A3218" t="s">
        <v>790</v>
      </c>
      <c r="B3218" t="s">
        <v>791</v>
      </c>
      <c r="C3218">
        <v>28</v>
      </c>
      <c r="D3218" t="s">
        <v>22</v>
      </c>
      <c r="E3218">
        <v>73</v>
      </c>
      <c r="F3218">
        <v>205</v>
      </c>
      <c r="G3218" t="s">
        <v>259</v>
      </c>
      <c r="H3218">
        <v>2020</v>
      </c>
      <c r="I3218" t="s">
        <v>33</v>
      </c>
      <c r="J3218">
        <v>2</v>
      </c>
      <c r="K3218">
        <v>3</v>
      </c>
      <c r="L3218">
        <v>2</v>
      </c>
      <c r="M3218">
        <v>0</v>
      </c>
      <c r="N3218">
        <v>2</v>
      </c>
      <c r="O3218">
        <v>0</v>
      </c>
      <c r="P3218">
        <v>0</v>
      </c>
      <c r="Q3218">
        <v>0</v>
      </c>
      <c r="R3218">
        <v>0</v>
      </c>
      <c r="S3218">
        <v>60</v>
      </c>
      <c r="T3218">
        <v>60</v>
      </c>
      <c r="U3218" s="5">
        <f>IF(Merge1[[#This Row],[team_defense_snaps]]=0, "", Merge1[[#This Row],[defense_snaps]] / Merge1[[#This Row],[team_defense_snaps]])</f>
        <v>0.98360655737704916</v>
      </c>
      <c r="V3218">
        <v>61</v>
      </c>
      <c r="W3218">
        <v>0</v>
      </c>
      <c r="X3218" s="5" t="s">
        <v>29</v>
      </c>
      <c r="Y3218">
        <v>6</v>
      </c>
      <c r="Z3218">
        <v>0</v>
      </c>
      <c r="AA3218" t="s">
        <v>25</v>
      </c>
      <c r="AB3218" t="s">
        <v>26</v>
      </c>
      <c r="AC3218" t="s">
        <v>27</v>
      </c>
      <c r="AD3218" t="s">
        <v>42</v>
      </c>
      <c r="AE3218" t="s">
        <v>25</v>
      </c>
      <c r="AF32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AG3218" t="s">
        <v>942</v>
      </c>
      <c r="AH3218">
        <v>54</v>
      </c>
      <c r="AI3218" t="s">
        <v>939</v>
      </c>
      <c r="AJ3218">
        <v>2</v>
      </c>
      <c r="AK32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MIN(AJ3218/8, 1) +
  Merge1[[#This Row],[index_defensive_effort]],
  2
)</f>
        <v>0.92</v>
      </c>
    </row>
    <row r="3219" spans="1:37" x14ac:dyDescent="0.25">
      <c r="A3219" t="s">
        <v>790</v>
      </c>
      <c r="B3219" t="s">
        <v>791</v>
      </c>
      <c r="C3219">
        <v>28</v>
      </c>
      <c r="D3219" t="s">
        <v>22</v>
      </c>
      <c r="E3219">
        <v>73</v>
      </c>
      <c r="F3219">
        <v>205</v>
      </c>
      <c r="G3219" t="s">
        <v>259</v>
      </c>
      <c r="H3219">
        <v>2020</v>
      </c>
      <c r="I3219" t="s">
        <v>33</v>
      </c>
      <c r="J3219">
        <v>3</v>
      </c>
      <c r="K3219">
        <v>3</v>
      </c>
      <c r="L3219">
        <v>4</v>
      </c>
      <c r="M3219">
        <v>2</v>
      </c>
      <c r="N3219">
        <v>6</v>
      </c>
      <c r="O3219">
        <v>0</v>
      </c>
      <c r="P3219">
        <v>2</v>
      </c>
      <c r="Q3219">
        <v>0</v>
      </c>
      <c r="R3219">
        <v>1</v>
      </c>
      <c r="S3219">
        <v>79</v>
      </c>
      <c r="T3219">
        <v>78</v>
      </c>
      <c r="U3219" s="5">
        <f>IF(Merge1[[#This Row],[team_defense_snaps]]=0, "", Merge1[[#This Row],[defense_snaps]] / Merge1[[#This Row],[team_defense_snaps]])</f>
        <v>1</v>
      </c>
      <c r="V3219">
        <v>78</v>
      </c>
      <c r="W3219">
        <v>1</v>
      </c>
      <c r="X3219" s="5" t="s">
        <v>193</v>
      </c>
      <c r="Y3219">
        <v>6</v>
      </c>
      <c r="Z3219">
        <v>0</v>
      </c>
      <c r="AA3219" t="s">
        <v>25</v>
      </c>
      <c r="AB3219" t="s">
        <v>26</v>
      </c>
      <c r="AC3219" t="s">
        <v>27</v>
      </c>
      <c r="AD3219" t="s">
        <v>42</v>
      </c>
      <c r="AE3219" t="s">
        <v>25</v>
      </c>
      <c r="AF32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0.15189873417721519</v>
      </c>
      <c r="AG3219" t="s">
        <v>942</v>
      </c>
      <c r="AH3219">
        <v>67.5</v>
      </c>
      <c r="AI3219" t="s">
        <v>939</v>
      </c>
      <c r="AJ3219">
        <v>3</v>
      </c>
      <c r="AK32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MIN(AJ3219/8, 1) +
  Merge1[[#This Row],[index_defensive_effort]],
  2
)</f>
        <v>1.1299999999999999</v>
      </c>
    </row>
    <row r="3220" spans="1:37" x14ac:dyDescent="0.25">
      <c r="A3220" t="s">
        <v>790</v>
      </c>
      <c r="B3220" t="s">
        <v>791</v>
      </c>
      <c r="C3220">
        <v>28</v>
      </c>
      <c r="D3220" t="s">
        <v>22</v>
      </c>
      <c r="E3220">
        <v>73</v>
      </c>
      <c r="F3220">
        <v>205</v>
      </c>
      <c r="G3220" t="s">
        <v>259</v>
      </c>
      <c r="H3220">
        <v>2020</v>
      </c>
      <c r="I3220" t="s">
        <v>33</v>
      </c>
      <c r="J3220">
        <v>4</v>
      </c>
      <c r="K3220">
        <v>3</v>
      </c>
      <c r="L3220">
        <v>1</v>
      </c>
      <c r="M3220">
        <v>0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60</v>
      </c>
      <c r="T3220">
        <v>57</v>
      </c>
      <c r="U3220" s="5">
        <f>IF(Merge1[[#This Row],[team_defense_snaps]]=0, "", Merge1[[#This Row],[defense_snaps]] / Merge1[[#This Row],[team_defense_snaps]])</f>
        <v>1</v>
      </c>
      <c r="V3220">
        <v>57</v>
      </c>
      <c r="W3220">
        <v>3</v>
      </c>
      <c r="X3220" s="5" t="s">
        <v>251</v>
      </c>
      <c r="Y3220">
        <v>6</v>
      </c>
      <c r="Z3220">
        <v>0</v>
      </c>
      <c r="AA3220" t="s">
        <v>25</v>
      </c>
      <c r="AB3220" t="s">
        <v>26</v>
      </c>
      <c r="AC3220" t="s">
        <v>27</v>
      </c>
      <c r="AD3220" t="s">
        <v>42</v>
      </c>
      <c r="AE3220" t="s">
        <v>25</v>
      </c>
      <c r="AF32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5.8333333333333334E-2</v>
      </c>
      <c r="AG3220" t="s">
        <v>942</v>
      </c>
      <c r="AH3220">
        <v>60</v>
      </c>
      <c r="AI3220" t="s">
        <v>939</v>
      </c>
      <c r="AJ3220">
        <v>4</v>
      </c>
      <c r="AK32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MIN(AJ3220/8, 1) +
  Merge1[[#This Row],[index_defensive_effort]],
  2
)</f>
        <v>1.1599999999999999</v>
      </c>
    </row>
    <row r="3221" spans="1:37" x14ac:dyDescent="0.25">
      <c r="A3221" t="s">
        <v>790</v>
      </c>
      <c r="B3221" t="s">
        <v>791</v>
      </c>
      <c r="C3221">
        <v>28</v>
      </c>
      <c r="D3221" t="s">
        <v>22</v>
      </c>
      <c r="E3221">
        <v>73</v>
      </c>
      <c r="F3221">
        <v>205</v>
      </c>
      <c r="G3221" t="s">
        <v>259</v>
      </c>
      <c r="H3221">
        <v>2020</v>
      </c>
      <c r="I3221" t="s">
        <v>33</v>
      </c>
      <c r="J3221">
        <v>5</v>
      </c>
      <c r="K3221">
        <v>2</v>
      </c>
      <c r="L3221">
        <v>2</v>
      </c>
      <c r="M3221">
        <v>0</v>
      </c>
      <c r="N3221">
        <v>2</v>
      </c>
      <c r="O3221">
        <v>0</v>
      </c>
      <c r="P3221">
        <v>0</v>
      </c>
      <c r="Q3221">
        <v>0</v>
      </c>
      <c r="R3221">
        <v>0</v>
      </c>
      <c r="S3221">
        <v>65</v>
      </c>
      <c r="T3221">
        <v>65</v>
      </c>
      <c r="U3221" s="5">
        <f>IF(Merge1[[#This Row],[team_defense_snaps]]=0, "", Merge1[[#This Row],[defense_snaps]] / Merge1[[#This Row],[team_defense_snaps]])</f>
        <v>1</v>
      </c>
      <c r="V3221">
        <v>65</v>
      </c>
      <c r="W3221">
        <v>0</v>
      </c>
      <c r="X3221" s="5" t="s">
        <v>29</v>
      </c>
      <c r="Y3221">
        <v>6</v>
      </c>
      <c r="Z3221">
        <v>0</v>
      </c>
      <c r="AA3221" t="s">
        <v>25</v>
      </c>
      <c r="AB3221" t="s">
        <v>26</v>
      </c>
      <c r="AC3221" t="s">
        <v>27</v>
      </c>
      <c r="AD3221" t="s">
        <v>42</v>
      </c>
      <c r="AE3221" t="s">
        <v>25</v>
      </c>
      <c r="AF32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4.6153846153846156E-2</v>
      </c>
      <c r="AG3221" t="s">
        <v>942</v>
      </c>
      <c r="AH3221">
        <v>58.5</v>
      </c>
      <c r="AI3221" t="s">
        <v>939</v>
      </c>
      <c r="AJ3221">
        <v>5</v>
      </c>
      <c r="AK32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MIN(AJ3221/8, 1) +
  Merge1[[#This Row],[index_defensive_effort]],
  2
)</f>
        <v>1.27</v>
      </c>
    </row>
    <row r="3222" spans="1:37" x14ac:dyDescent="0.25">
      <c r="A3222" t="s">
        <v>790</v>
      </c>
      <c r="B3222" t="s">
        <v>791</v>
      </c>
      <c r="C3222">
        <v>28</v>
      </c>
      <c r="D3222" t="s">
        <v>22</v>
      </c>
      <c r="E3222">
        <v>73</v>
      </c>
      <c r="F3222">
        <v>205</v>
      </c>
      <c r="G3222" t="s">
        <v>259</v>
      </c>
      <c r="H3222">
        <v>2020</v>
      </c>
      <c r="I3222" t="s">
        <v>33</v>
      </c>
      <c r="J3222">
        <v>6</v>
      </c>
      <c r="K3222">
        <v>4</v>
      </c>
      <c r="L3222">
        <v>4</v>
      </c>
      <c r="M3222">
        <v>1</v>
      </c>
      <c r="N3222">
        <v>5</v>
      </c>
      <c r="O3222">
        <v>0</v>
      </c>
      <c r="P3222">
        <v>2</v>
      </c>
      <c r="Q3222">
        <v>0</v>
      </c>
      <c r="R3222">
        <v>0</v>
      </c>
      <c r="S3222">
        <v>73</v>
      </c>
      <c r="T3222">
        <v>66</v>
      </c>
      <c r="U3222" s="5">
        <f>IF(Merge1[[#This Row],[team_defense_snaps]]=0, "", Merge1[[#This Row],[defense_snaps]] / Merge1[[#This Row],[team_defense_snaps]])</f>
        <v>0.9850746268656716</v>
      </c>
      <c r="V3222">
        <v>67</v>
      </c>
      <c r="W3222">
        <v>7</v>
      </c>
      <c r="X3222" s="5" t="s">
        <v>136</v>
      </c>
      <c r="Y3222">
        <v>6</v>
      </c>
      <c r="Z3222">
        <v>0</v>
      </c>
      <c r="AA3222" t="s">
        <v>25</v>
      </c>
      <c r="AB3222" t="s">
        <v>26</v>
      </c>
      <c r="AC3222" t="s">
        <v>27</v>
      </c>
      <c r="AD3222" t="s">
        <v>42</v>
      </c>
      <c r="AE3222" t="s">
        <v>25</v>
      </c>
      <c r="AF32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0.14383561643835616</v>
      </c>
      <c r="AG3222" t="s">
        <v>942</v>
      </c>
      <c r="AH3222">
        <v>55.5</v>
      </c>
      <c r="AI3222" t="s">
        <v>939</v>
      </c>
      <c r="AJ3222">
        <v>6</v>
      </c>
      <c r="AK32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MIN(AJ3222/8, 1) +
  Merge1[[#This Row],[index_defensive_effort]],
  2
)</f>
        <v>1.49</v>
      </c>
    </row>
    <row r="3223" spans="1:37" x14ac:dyDescent="0.25">
      <c r="A3223" t="s">
        <v>790</v>
      </c>
      <c r="B3223" t="s">
        <v>791</v>
      </c>
      <c r="C3223">
        <v>28</v>
      </c>
      <c r="D3223" t="s">
        <v>22</v>
      </c>
      <c r="E3223">
        <v>73</v>
      </c>
      <c r="F3223">
        <v>205</v>
      </c>
      <c r="G3223" t="s">
        <v>259</v>
      </c>
      <c r="H3223">
        <v>2020</v>
      </c>
      <c r="I3223" t="s">
        <v>33</v>
      </c>
      <c r="J3223">
        <v>7</v>
      </c>
      <c r="K3223">
        <v>4</v>
      </c>
      <c r="L3223">
        <v>3</v>
      </c>
      <c r="M3223">
        <v>1</v>
      </c>
      <c r="N3223">
        <v>4</v>
      </c>
      <c r="O3223">
        <v>0</v>
      </c>
      <c r="P3223">
        <v>0</v>
      </c>
      <c r="Q3223">
        <v>0</v>
      </c>
      <c r="R3223">
        <v>0</v>
      </c>
      <c r="S3223">
        <v>75</v>
      </c>
      <c r="T3223">
        <v>70</v>
      </c>
      <c r="U3223" s="5">
        <f>IF(Merge1[[#This Row],[team_defense_snaps]]=0, "", Merge1[[#This Row],[defense_snaps]] / Merge1[[#This Row],[team_defense_snaps]])</f>
        <v>1</v>
      </c>
      <c r="V3223">
        <v>70</v>
      </c>
      <c r="W3223">
        <v>5</v>
      </c>
      <c r="X3223" s="5" t="s">
        <v>132</v>
      </c>
      <c r="Y3223">
        <v>6</v>
      </c>
      <c r="Z3223">
        <v>0</v>
      </c>
      <c r="AA3223" t="s">
        <v>25</v>
      </c>
      <c r="AB3223" t="s">
        <v>26</v>
      </c>
      <c r="AC3223" t="s">
        <v>27</v>
      </c>
      <c r="AD3223" t="s">
        <v>42</v>
      </c>
      <c r="AE3223" t="s">
        <v>25</v>
      </c>
      <c r="AF32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0.08</v>
      </c>
      <c r="AG3223" t="s">
        <v>942</v>
      </c>
      <c r="AH3223">
        <v>73.5</v>
      </c>
      <c r="AI3223" t="s">
        <v>939</v>
      </c>
      <c r="AJ3223">
        <v>7</v>
      </c>
      <c r="AK32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MIN(AJ3223/8, 1) +
  Merge1[[#This Row],[index_defensive_effort]],
  2
)</f>
        <v>1.56</v>
      </c>
    </row>
    <row r="3224" spans="1:37" x14ac:dyDescent="0.25">
      <c r="A3224" t="s">
        <v>790</v>
      </c>
      <c r="B3224" t="s">
        <v>791</v>
      </c>
      <c r="C3224">
        <v>28</v>
      </c>
      <c r="D3224" t="s">
        <v>22</v>
      </c>
      <c r="E3224">
        <v>73</v>
      </c>
      <c r="F3224">
        <v>205</v>
      </c>
      <c r="G3224" t="s">
        <v>259</v>
      </c>
      <c r="H3224">
        <v>2020</v>
      </c>
      <c r="I3224" t="s">
        <v>33</v>
      </c>
      <c r="J3224">
        <v>8</v>
      </c>
      <c r="K3224">
        <v>7</v>
      </c>
      <c r="L3224">
        <v>2</v>
      </c>
      <c r="M3224">
        <v>0</v>
      </c>
      <c r="N3224">
        <v>2</v>
      </c>
      <c r="O3224">
        <v>0</v>
      </c>
      <c r="P3224">
        <v>0</v>
      </c>
      <c r="Q3224">
        <v>0</v>
      </c>
      <c r="R3224">
        <v>0</v>
      </c>
      <c r="S3224">
        <v>76</v>
      </c>
      <c r="T3224">
        <v>70</v>
      </c>
      <c r="U3224" s="5">
        <f>IF(Merge1[[#This Row],[team_defense_snaps]]=0, "", Merge1[[#This Row],[defense_snaps]] / Merge1[[#This Row],[team_defense_snaps]])</f>
        <v>0.9859154929577465</v>
      </c>
      <c r="V3224">
        <v>71</v>
      </c>
      <c r="W3224">
        <v>6</v>
      </c>
      <c r="X3224" s="5" t="s">
        <v>137</v>
      </c>
      <c r="Y3224">
        <v>6</v>
      </c>
      <c r="Z3224">
        <v>0</v>
      </c>
      <c r="AA3224" t="s">
        <v>25</v>
      </c>
      <c r="AB3224" t="s">
        <v>26</v>
      </c>
      <c r="AC3224" t="s">
        <v>27</v>
      </c>
      <c r="AD3224" t="s">
        <v>42</v>
      </c>
      <c r="AE3224" t="s">
        <v>25</v>
      </c>
      <c r="AF32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0.10526315789473684</v>
      </c>
      <c r="AG3224" t="s">
        <v>942</v>
      </c>
      <c r="AH3224">
        <v>51</v>
      </c>
      <c r="AI3224" t="s">
        <v>939</v>
      </c>
      <c r="AJ3224">
        <v>8</v>
      </c>
      <c r="AK32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MIN(AJ3224/8, 1) +
  Merge1[[#This Row],[index_defensive_effort]],
  2
)</f>
        <v>1.71</v>
      </c>
    </row>
    <row r="3225" spans="1:37" x14ac:dyDescent="0.25">
      <c r="A3225" t="s">
        <v>790</v>
      </c>
      <c r="B3225" t="s">
        <v>791</v>
      </c>
      <c r="C3225">
        <v>28</v>
      </c>
      <c r="D3225" t="s">
        <v>22</v>
      </c>
      <c r="E3225">
        <v>73</v>
      </c>
      <c r="F3225">
        <v>205</v>
      </c>
      <c r="G3225" t="s">
        <v>259</v>
      </c>
      <c r="H3225">
        <v>2020</v>
      </c>
      <c r="I3225" t="s">
        <v>33</v>
      </c>
      <c r="J3225">
        <v>9</v>
      </c>
      <c r="K3225">
        <v>2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69</v>
      </c>
      <c r="T3225">
        <v>62</v>
      </c>
      <c r="U3225" s="5">
        <f>IF(Merge1[[#This Row],[team_defense_snaps]]=0, "", Merge1[[#This Row],[defense_snaps]] / Merge1[[#This Row],[team_defense_snaps]])</f>
        <v>1</v>
      </c>
      <c r="V3225">
        <v>62</v>
      </c>
      <c r="W3225">
        <v>7</v>
      </c>
      <c r="X3225" s="5" t="s">
        <v>132</v>
      </c>
      <c r="Y3225">
        <v>6</v>
      </c>
      <c r="Z3225">
        <v>0</v>
      </c>
      <c r="AA3225" t="s">
        <v>25</v>
      </c>
      <c r="AB3225" t="s">
        <v>26</v>
      </c>
      <c r="AC3225" t="s">
        <v>27</v>
      </c>
      <c r="AD3225" t="s">
        <v>42</v>
      </c>
      <c r="AE3225" t="s">
        <v>25</v>
      </c>
      <c r="AF32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2.8985507246376812E-2</v>
      </c>
      <c r="AG3225" t="s">
        <v>942</v>
      </c>
      <c r="AH3225">
        <v>63</v>
      </c>
      <c r="AI3225" t="s">
        <v>939</v>
      </c>
      <c r="AJ3225">
        <v>9</v>
      </c>
      <c r="AK32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MIN(AJ3225/8, 1) +
  Merge1[[#This Row],[index_defensive_effort]],
  2
)</f>
        <v>1.63</v>
      </c>
    </row>
    <row r="3226" spans="1:37" x14ac:dyDescent="0.25">
      <c r="A3226" t="s">
        <v>790</v>
      </c>
      <c r="B3226" t="s">
        <v>791</v>
      </c>
      <c r="C3226">
        <v>28</v>
      </c>
      <c r="D3226" t="s">
        <v>22</v>
      </c>
      <c r="E3226">
        <v>73</v>
      </c>
      <c r="F3226">
        <v>205</v>
      </c>
      <c r="G3226" t="s">
        <v>259</v>
      </c>
      <c r="H3226">
        <v>2020</v>
      </c>
      <c r="I3226" t="s">
        <v>33</v>
      </c>
      <c r="J3226">
        <v>10</v>
      </c>
      <c r="K3226">
        <v>2</v>
      </c>
      <c r="L3226">
        <v>3</v>
      </c>
      <c r="M3226">
        <v>0</v>
      </c>
      <c r="N3226">
        <v>3</v>
      </c>
      <c r="O3226">
        <v>0</v>
      </c>
      <c r="P3226">
        <v>0</v>
      </c>
      <c r="Q3226">
        <v>0</v>
      </c>
      <c r="R3226">
        <v>0</v>
      </c>
      <c r="S3226">
        <v>78</v>
      </c>
      <c r="T3226">
        <v>70</v>
      </c>
      <c r="U3226" s="5">
        <f>IF(Merge1[[#This Row],[team_defense_snaps]]=0, "", Merge1[[#This Row],[defense_snaps]] / Merge1[[#This Row],[team_defense_snaps]])</f>
        <v>0.875</v>
      </c>
      <c r="V3226">
        <v>80</v>
      </c>
      <c r="W3226">
        <v>8</v>
      </c>
      <c r="X3226" s="5" t="s">
        <v>135</v>
      </c>
      <c r="Y3226">
        <v>6</v>
      </c>
      <c r="Z3226">
        <v>0</v>
      </c>
      <c r="AA3226" t="s">
        <v>25</v>
      </c>
      <c r="AB3226" t="s">
        <v>26</v>
      </c>
      <c r="AC3226" t="s">
        <v>27</v>
      </c>
      <c r="AD3226" t="s">
        <v>42</v>
      </c>
      <c r="AE3226" t="s">
        <v>25</v>
      </c>
      <c r="AF32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4.4871794871794872E-2</v>
      </c>
      <c r="AG3226" t="s">
        <v>942</v>
      </c>
      <c r="AH3226">
        <v>61.5</v>
      </c>
      <c r="AI3226" t="s">
        <v>939</v>
      </c>
      <c r="AJ3226">
        <v>10</v>
      </c>
      <c r="AK32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MIN(AJ3226/8, 1) +
  Merge1[[#This Row],[index_defensive_effort]],
  2
)</f>
        <v>1.64</v>
      </c>
    </row>
    <row r="3227" spans="1:37" x14ac:dyDescent="0.25">
      <c r="A3227" t="s">
        <v>790</v>
      </c>
      <c r="B3227" t="s">
        <v>791</v>
      </c>
      <c r="C3227">
        <v>28</v>
      </c>
      <c r="D3227" t="s">
        <v>22</v>
      </c>
      <c r="E3227">
        <v>73</v>
      </c>
      <c r="F3227">
        <v>205</v>
      </c>
      <c r="G3227" t="s">
        <v>259</v>
      </c>
      <c r="H3227">
        <v>2020</v>
      </c>
      <c r="I3227" t="s">
        <v>33</v>
      </c>
      <c r="J3227">
        <v>11</v>
      </c>
      <c r="K3227">
        <v>6</v>
      </c>
      <c r="L3227">
        <v>2</v>
      </c>
      <c r="M3227">
        <v>0</v>
      </c>
      <c r="N3227">
        <v>2</v>
      </c>
      <c r="O3227">
        <v>0</v>
      </c>
      <c r="P3227">
        <v>0</v>
      </c>
      <c r="Q3227">
        <v>0</v>
      </c>
      <c r="R3227">
        <v>0</v>
      </c>
      <c r="S3227">
        <v>58</v>
      </c>
      <c r="T3227">
        <v>54</v>
      </c>
      <c r="U3227" s="5">
        <f>IF(Merge1[[#This Row],[team_defense_snaps]]=0, "", Merge1[[#This Row],[defense_snaps]] / Merge1[[#This Row],[team_defense_snaps]])</f>
        <v>0.94736842105263153</v>
      </c>
      <c r="V3227">
        <v>57</v>
      </c>
      <c r="W3227">
        <v>4</v>
      </c>
      <c r="X3227" s="5" t="s">
        <v>181</v>
      </c>
      <c r="Y3227">
        <v>6</v>
      </c>
      <c r="Z3227">
        <v>0</v>
      </c>
      <c r="AA3227" t="s">
        <v>25</v>
      </c>
      <c r="AB3227" t="s">
        <v>26</v>
      </c>
      <c r="AC3227" t="s">
        <v>27</v>
      </c>
      <c r="AD3227" t="s">
        <v>42</v>
      </c>
      <c r="AE3227" t="s">
        <v>25</v>
      </c>
      <c r="AF32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0.1206896551724138</v>
      </c>
      <c r="AG3227" t="s">
        <v>942</v>
      </c>
      <c r="AH3227">
        <v>52.5</v>
      </c>
      <c r="AI3227" t="s">
        <v>939</v>
      </c>
      <c r="AJ3227">
        <v>11</v>
      </c>
      <c r="AK32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MIN(AJ3227/8, 1) +
  Merge1[[#This Row],[index_defensive_effort]],
  2
)</f>
        <v>1.72</v>
      </c>
    </row>
    <row r="3228" spans="1:37" x14ac:dyDescent="0.25">
      <c r="A3228" t="s">
        <v>790</v>
      </c>
      <c r="B3228" t="s">
        <v>791</v>
      </c>
      <c r="C3228">
        <v>28</v>
      </c>
      <c r="D3228" t="s">
        <v>22</v>
      </c>
      <c r="E3228">
        <v>73</v>
      </c>
      <c r="F3228">
        <v>205</v>
      </c>
      <c r="G3228" t="s">
        <v>259</v>
      </c>
      <c r="H3228">
        <v>2020</v>
      </c>
      <c r="I3228" t="s">
        <v>33</v>
      </c>
      <c r="J3228">
        <v>12</v>
      </c>
      <c r="K3228">
        <v>3</v>
      </c>
      <c r="L3228">
        <v>2</v>
      </c>
      <c r="M3228">
        <v>0</v>
      </c>
      <c r="N3228">
        <v>2</v>
      </c>
      <c r="O3228">
        <v>0</v>
      </c>
      <c r="P3228">
        <v>0</v>
      </c>
      <c r="Q3228">
        <v>0</v>
      </c>
      <c r="R3228">
        <v>0</v>
      </c>
      <c r="S3228">
        <v>79</v>
      </c>
      <c r="T3228">
        <v>73</v>
      </c>
      <c r="U3228" s="5">
        <f>IF(Merge1[[#This Row],[team_defense_snaps]]=0, "", Merge1[[#This Row],[defense_snaps]] / Merge1[[#This Row],[team_defense_snaps]])</f>
        <v>1</v>
      </c>
      <c r="V3228">
        <v>73</v>
      </c>
      <c r="W3228">
        <v>6</v>
      </c>
      <c r="X3228" s="5" t="s">
        <v>293</v>
      </c>
      <c r="Y3228">
        <v>6</v>
      </c>
      <c r="Z3228">
        <v>0</v>
      </c>
      <c r="AA3228" t="s">
        <v>25</v>
      </c>
      <c r="AB3228" t="s">
        <v>26</v>
      </c>
      <c r="AC3228" t="s">
        <v>27</v>
      </c>
      <c r="AD3228" t="s">
        <v>42</v>
      </c>
      <c r="AE3228" t="s">
        <v>25</v>
      </c>
      <c r="AF32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5.0632911392405063E-2</v>
      </c>
      <c r="AG3228" t="s">
        <v>942</v>
      </c>
      <c r="AH3228">
        <v>66</v>
      </c>
      <c r="AI3228" t="s">
        <v>939</v>
      </c>
      <c r="AJ3228">
        <v>12</v>
      </c>
      <c r="AK32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MIN(AJ3228/8, 1) +
  Merge1[[#This Row],[index_defensive_effort]],
  2
)</f>
        <v>1.65</v>
      </c>
    </row>
    <row r="3229" spans="1:37" x14ac:dyDescent="0.25">
      <c r="A3229" t="s">
        <v>790</v>
      </c>
      <c r="B3229" t="s">
        <v>791</v>
      </c>
      <c r="C3229">
        <v>28</v>
      </c>
      <c r="D3229" t="s">
        <v>22</v>
      </c>
      <c r="E3229">
        <v>73</v>
      </c>
      <c r="F3229">
        <v>205</v>
      </c>
      <c r="G3229" t="s">
        <v>259</v>
      </c>
      <c r="H3229">
        <v>2020</v>
      </c>
      <c r="I3229" t="s">
        <v>33</v>
      </c>
      <c r="J3229">
        <v>14</v>
      </c>
      <c r="K3229">
        <v>4</v>
      </c>
      <c r="L3229">
        <v>2</v>
      </c>
      <c r="M3229">
        <v>0</v>
      </c>
      <c r="N3229">
        <v>2</v>
      </c>
      <c r="O3229">
        <v>0</v>
      </c>
      <c r="P3229">
        <v>1</v>
      </c>
      <c r="Q3229">
        <v>0</v>
      </c>
      <c r="R3229">
        <v>0</v>
      </c>
      <c r="S3229">
        <v>66</v>
      </c>
      <c r="T3229">
        <v>59</v>
      </c>
      <c r="U3229" s="5">
        <f>IF(Merge1[[#This Row],[team_defense_snaps]]=0, "", Merge1[[#This Row],[defense_snaps]] / Merge1[[#This Row],[team_defense_snaps]])</f>
        <v>0.95161290322580649</v>
      </c>
      <c r="V3229">
        <v>62</v>
      </c>
      <c r="W3229">
        <v>7</v>
      </c>
      <c r="X3229" s="5" t="s">
        <v>132</v>
      </c>
      <c r="Y3229">
        <v>6</v>
      </c>
      <c r="Z3229">
        <v>0</v>
      </c>
      <c r="AA3229" t="s">
        <v>25</v>
      </c>
      <c r="AB3229" t="s">
        <v>36</v>
      </c>
      <c r="AC3229" t="s">
        <v>147</v>
      </c>
      <c r="AD3229" t="s">
        <v>42</v>
      </c>
      <c r="AE3229" t="s">
        <v>25</v>
      </c>
      <c r="AF32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0.10606060606060606</v>
      </c>
      <c r="AG3229" t="s">
        <v>942</v>
      </c>
      <c r="AH3229">
        <v>75</v>
      </c>
      <c r="AI3229" t="s">
        <v>939</v>
      </c>
      <c r="AJ3229">
        <v>1</v>
      </c>
      <c r="AK32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MIN(AJ3229/8, 1) +
  Merge1[[#This Row],[index_defensive_effort]],
  2
)</f>
        <v>0.83</v>
      </c>
    </row>
    <row r="3230" spans="1:37" x14ac:dyDescent="0.25">
      <c r="A3230" t="s">
        <v>790</v>
      </c>
      <c r="B3230" t="s">
        <v>791</v>
      </c>
      <c r="C3230">
        <v>28</v>
      </c>
      <c r="D3230" t="s">
        <v>22</v>
      </c>
      <c r="E3230">
        <v>73</v>
      </c>
      <c r="F3230">
        <v>205</v>
      </c>
      <c r="G3230" t="s">
        <v>259</v>
      </c>
      <c r="H3230">
        <v>2020</v>
      </c>
      <c r="I3230" t="s">
        <v>33</v>
      </c>
      <c r="J3230">
        <v>15</v>
      </c>
      <c r="K3230">
        <v>3</v>
      </c>
      <c r="L3230">
        <v>3</v>
      </c>
      <c r="M3230">
        <v>0</v>
      </c>
      <c r="N3230">
        <v>3</v>
      </c>
      <c r="O3230">
        <v>0</v>
      </c>
      <c r="P3230">
        <v>0</v>
      </c>
      <c r="Q3230">
        <v>0</v>
      </c>
      <c r="R3230">
        <v>0</v>
      </c>
      <c r="S3230">
        <v>66</v>
      </c>
      <c r="T3230">
        <v>62</v>
      </c>
      <c r="U3230" s="5">
        <f>IF(Merge1[[#This Row],[team_defense_snaps]]=0, "", Merge1[[#This Row],[defense_snaps]] / Merge1[[#This Row],[team_defense_snaps]])</f>
        <v>1</v>
      </c>
      <c r="V3230">
        <v>62</v>
      </c>
      <c r="W3230">
        <v>4</v>
      </c>
      <c r="X3230" s="5" t="s">
        <v>212</v>
      </c>
      <c r="Y3230">
        <v>6</v>
      </c>
      <c r="Z3230">
        <v>0</v>
      </c>
      <c r="AA3230" t="s">
        <v>25</v>
      </c>
      <c r="AB3230" t="s">
        <v>36</v>
      </c>
      <c r="AC3230" t="s">
        <v>147</v>
      </c>
      <c r="AD3230" t="s">
        <v>42</v>
      </c>
      <c r="AE3230" t="s">
        <v>25</v>
      </c>
      <c r="AF32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6.8181818181818177E-2</v>
      </c>
      <c r="AG3230" t="s">
        <v>942</v>
      </c>
      <c r="AH3230">
        <v>64.5</v>
      </c>
      <c r="AI3230" t="s">
        <v>939</v>
      </c>
      <c r="AJ3230">
        <v>2</v>
      </c>
      <c r="AK32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MIN(AJ3230/8, 1) +
  Merge1[[#This Row],[index_defensive_effort]],
  2
)</f>
        <v>0.92</v>
      </c>
    </row>
    <row r="3231" spans="1:37" x14ac:dyDescent="0.25">
      <c r="A3231" t="s">
        <v>790</v>
      </c>
      <c r="B3231" t="s">
        <v>791</v>
      </c>
      <c r="C3231">
        <v>28</v>
      </c>
      <c r="D3231" t="s">
        <v>22</v>
      </c>
      <c r="E3231">
        <v>73</v>
      </c>
      <c r="F3231">
        <v>205</v>
      </c>
      <c r="G3231" t="s">
        <v>259</v>
      </c>
      <c r="H3231">
        <v>2020</v>
      </c>
      <c r="I3231" t="s">
        <v>33</v>
      </c>
      <c r="J3231">
        <v>16</v>
      </c>
      <c r="K3231">
        <v>7</v>
      </c>
      <c r="L3231">
        <v>1</v>
      </c>
      <c r="M3231">
        <v>0</v>
      </c>
      <c r="N3231">
        <v>1</v>
      </c>
      <c r="O3231">
        <v>0</v>
      </c>
      <c r="P3231">
        <v>0</v>
      </c>
      <c r="Q3231">
        <v>2</v>
      </c>
      <c r="R3231">
        <v>0</v>
      </c>
      <c r="S3231">
        <v>75</v>
      </c>
      <c r="T3231">
        <v>71</v>
      </c>
      <c r="U3231" s="5">
        <f>IF(Merge1[[#This Row],[team_defense_snaps]]=0, "", Merge1[[#This Row],[defense_snaps]] / Merge1[[#This Row],[team_defense_snaps]])</f>
        <v>1</v>
      </c>
      <c r="V3231">
        <v>71</v>
      </c>
      <c r="W3231">
        <v>4</v>
      </c>
      <c r="X3231" s="5" t="s">
        <v>181</v>
      </c>
      <c r="Y3231">
        <v>6</v>
      </c>
      <c r="Z3231">
        <v>0</v>
      </c>
      <c r="AA3231" t="s">
        <v>25</v>
      </c>
      <c r="AB3231" t="s">
        <v>26</v>
      </c>
      <c r="AC3231" t="s">
        <v>27</v>
      </c>
      <c r="AD3231" t="s">
        <v>42</v>
      </c>
      <c r="AE3231" t="s">
        <v>25</v>
      </c>
      <c r="AF32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0.20666666666666667</v>
      </c>
      <c r="AG3231" t="s">
        <v>942</v>
      </c>
      <c r="AH3231">
        <v>69</v>
      </c>
      <c r="AI3231" t="s">
        <v>939</v>
      </c>
      <c r="AJ3231">
        <v>3</v>
      </c>
      <c r="AK32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MIN(AJ3231/8, 1) +
  Merge1[[#This Row],[index_defensive_effort]],
  2
)</f>
        <v>1.18</v>
      </c>
    </row>
    <row r="3232" spans="1:37" x14ac:dyDescent="0.25">
      <c r="A3232" t="s">
        <v>790</v>
      </c>
      <c r="B3232" t="s">
        <v>791</v>
      </c>
      <c r="C3232">
        <v>28</v>
      </c>
      <c r="D3232" t="s">
        <v>22</v>
      </c>
      <c r="E3232">
        <v>73</v>
      </c>
      <c r="F3232">
        <v>205</v>
      </c>
      <c r="G3232" t="s">
        <v>259</v>
      </c>
      <c r="H3232">
        <v>2020</v>
      </c>
      <c r="I3232" t="s">
        <v>33</v>
      </c>
      <c r="J3232">
        <v>17</v>
      </c>
      <c r="K3232">
        <v>7</v>
      </c>
      <c r="L3232">
        <v>6</v>
      </c>
      <c r="M3232">
        <v>0</v>
      </c>
      <c r="N3232">
        <v>6</v>
      </c>
      <c r="O3232">
        <v>4</v>
      </c>
      <c r="P3232">
        <v>4</v>
      </c>
      <c r="Q3232">
        <v>0</v>
      </c>
      <c r="R3232">
        <v>0</v>
      </c>
      <c r="S3232">
        <v>64</v>
      </c>
      <c r="T3232">
        <v>57</v>
      </c>
      <c r="U3232" s="5">
        <f>IF(Merge1[[#This Row],[team_defense_snaps]]=0, "", Merge1[[#This Row],[defense_snaps]] / Merge1[[#This Row],[team_defense_snaps]])</f>
        <v>0.890625</v>
      </c>
      <c r="V3232">
        <v>64</v>
      </c>
      <c r="W3232">
        <v>7</v>
      </c>
      <c r="X3232" s="5" t="s">
        <v>138</v>
      </c>
      <c r="Y3232">
        <v>6</v>
      </c>
      <c r="Z3232">
        <v>0</v>
      </c>
      <c r="AA3232" t="s">
        <v>25</v>
      </c>
      <c r="AB3232" t="s">
        <v>26</v>
      </c>
      <c r="AC3232" t="s">
        <v>27</v>
      </c>
      <c r="AD3232" t="s">
        <v>42</v>
      </c>
      <c r="AE3232" t="s">
        <v>25</v>
      </c>
      <c r="AF32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0.46875</v>
      </c>
      <c r="AG3232" t="s">
        <v>942</v>
      </c>
      <c r="AH3232">
        <v>70.5</v>
      </c>
      <c r="AI3232" t="s">
        <v>939</v>
      </c>
      <c r="AJ3232">
        <v>4</v>
      </c>
      <c r="AK32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MIN(AJ3232/8, 1) +
  Merge1[[#This Row],[index_defensive_effort]],
  2
)</f>
        <v>1.57</v>
      </c>
    </row>
    <row r="3233" spans="1:37" x14ac:dyDescent="0.25">
      <c r="A3233" t="s">
        <v>808</v>
      </c>
      <c r="B3233" t="s">
        <v>809</v>
      </c>
      <c r="C3233">
        <v>25</v>
      </c>
      <c r="D3233" t="s">
        <v>56</v>
      </c>
      <c r="E3233">
        <v>75</v>
      </c>
      <c r="F3233">
        <v>203</v>
      </c>
      <c r="G3233" t="s">
        <v>330</v>
      </c>
      <c r="H3233">
        <v>2020</v>
      </c>
      <c r="I3233" t="s">
        <v>33</v>
      </c>
      <c r="J3233">
        <v>1</v>
      </c>
      <c r="K3233">
        <v>1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29</v>
      </c>
      <c r="T3233">
        <v>11</v>
      </c>
      <c r="U3233" s="5">
        <f>IF(Merge1[[#This Row],[team_defense_snaps]]=0, "", Merge1[[#This Row],[defense_snaps]] / Merge1[[#This Row],[team_defense_snaps]])</f>
        <v>0.13750000000000001</v>
      </c>
      <c r="V3233">
        <v>80</v>
      </c>
      <c r="W3233">
        <v>18</v>
      </c>
      <c r="X3233" s="5" t="s">
        <v>256</v>
      </c>
      <c r="Y3233">
        <v>2</v>
      </c>
      <c r="Z3233">
        <v>0</v>
      </c>
      <c r="AA3233" t="s">
        <v>25</v>
      </c>
      <c r="AB3233" t="s">
        <v>26</v>
      </c>
      <c r="AC3233" t="s">
        <v>27</v>
      </c>
      <c r="AD3233" t="s">
        <v>28</v>
      </c>
      <c r="AE3233" t="s">
        <v>25</v>
      </c>
      <c r="AF32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3.4482758620689655E-2</v>
      </c>
      <c r="AG3233" t="s">
        <v>942</v>
      </c>
      <c r="AH3233">
        <v>65.5</v>
      </c>
      <c r="AI3233" t="s">
        <v>939</v>
      </c>
      <c r="AJ3233">
        <v>1</v>
      </c>
      <c r="AK32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MIN(AJ3233/8, 1) +
  Merge1[[#This Row],[index_defensive_effort]],
  2
)</f>
        <v>0.56000000000000005</v>
      </c>
    </row>
    <row r="3234" spans="1:37" x14ac:dyDescent="0.25">
      <c r="A3234" t="s">
        <v>808</v>
      </c>
      <c r="B3234" t="s">
        <v>809</v>
      </c>
      <c r="C3234">
        <v>25</v>
      </c>
      <c r="D3234" t="s">
        <v>56</v>
      </c>
      <c r="E3234">
        <v>75</v>
      </c>
      <c r="F3234">
        <v>203</v>
      </c>
      <c r="G3234" t="s">
        <v>330</v>
      </c>
      <c r="H3234">
        <v>2020</v>
      </c>
      <c r="I3234" t="s">
        <v>33</v>
      </c>
      <c r="J3234">
        <v>2</v>
      </c>
      <c r="K3234">
        <v>0</v>
      </c>
      <c r="L3234">
        <v>1</v>
      </c>
      <c r="M3234">
        <v>0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30</v>
      </c>
      <c r="T3234">
        <v>13</v>
      </c>
      <c r="U3234" s="5">
        <f>IF(Merge1[[#This Row],[team_defense_snaps]]=0, "", Merge1[[#This Row],[defense_snaps]] / Merge1[[#This Row],[team_defense_snaps]])</f>
        <v>0.18055555555555555</v>
      </c>
      <c r="V3234">
        <v>72</v>
      </c>
      <c r="W3234">
        <v>17</v>
      </c>
      <c r="X3234" s="5" t="s">
        <v>125</v>
      </c>
      <c r="Y3234">
        <v>2</v>
      </c>
      <c r="Z3234">
        <v>0</v>
      </c>
      <c r="AA3234" t="s">
        <v>25</v>
      </c>
      <c r="AB3234" t="s">
        <v>26</v>
      </c>
      <c r="AC3234" t="s">
        <v>27</v>
      </c>
      <c r="AD3234" t="s">
        <v>28</v>
      </c>
      <c r="AE3234" t="s">
        <v>25</v>
      </c>
      <c r="AF32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1.6666666666666666E-2</v>
      </c>
      <c r="AG3234" t="s">
        <v>942</v>
      </c>
      <c r="AH3234">
        <v>68.5</v>
      </c>
      <c r="AI3234" t="s">
        <v>939</v>
      </c>
      <c r="AJ3234">
        <v>2</v>
      </c>
      <c r="AK32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MIN(AJ3234/8, 1) +
  Merge1[[#This Row],[index_defensive_effort]],
  2
)</f>
        <v>0.67</v>
      </c>
    </row>
    <row r="3235" spans="1:37" x14ac:dyDescent="0.25">
      <c r="A3235" t="s">
        <v>808</v>
      </c>
      <c r="B3235" t="s">
        <v>809</v>
      </c>
      <c r="C3235">
        <v>25</v>
      </c>
      <c r="D3235" t="s">
        <v>56</v>
      </c>
      <c r="E3235">
        <v>75</v>
      </c>
      <c r="F3235">
        <v>203</v>
      </c>
      <c r="G3235" t="s">
        <v>330</v>
      </c>
      <c r="H3235">
        <v>2020</v>
      </c>
      <c r="I3235" t="s">
        <v>33</v>
      </c>
      <c r="J3235">
        <v>3</v>
      </c>
      <c r="K3235">
        <v>4</v>
      </c>
      <c r="L3235">
        <v>1</v>
      </c>
      <c r="M3235">
        <v>0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94</v>
      </c>
      <c r="T3235">
        <v>80</v>
      </c>
      <c r="U3235" s="5">
        <f>IF(Merge1[[#This Row],[team_defense_snaps]]=0, "", Merge1[[#This Row],[defense_snaps]] / Merge1[[#This Row],[team_defense_snaps]])</f>
        <v>0.96385542168674698</v>
      </c>
      <c r="V3235">
        <v>83</v>
      </c>
      <c r="W3235">
        <v>14</v>
      </c>
      <c r="X3235" s="5" t="s">
        <v>131</v>
      </c>
      <c r="Y3235">
        <v>2</v>
      </c>
      <c r="Z3235">
        <v>0</v>
      </c>
      <c r="AA3235" t="s">
        <v>25</v>
      </c>
      <c r="AB3235" t="s">
        <v>26</v>
      </c>
      <c r="AC3235" t="s">
        <v>27</v>
      </c>
      <c r="AD3235" t="s">
        <v>42</v>
      </c>
      <c r="AE3235" t="s">
        <v>25</v>
      </c>
      <c r="AF32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4.7872340425531915E-2</v>
      </c>
      <c r="AG3235" t="s">
        <v>942</v>
      </c>
      <c r="AH3235">
        <v>59.5</v>
      </c>
      <c r="AI3235" t="s">
        <v>939</v>
      </c>
      <c r="AJ3235">
        <v>3</v>
      </c>
      <c r="AK32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MIN(AJ3235/8, 1) +
  Merge1[[#This Row],[index_defensive_effort]],
  2
)</f>
        <v>0.82</v>
      </c>
    </row>
    <row r="3236" spans="1:37" x14ac:dyDescent="0.25">
      <c r="A3236" t="s">
        <v>808</v>
      </c>
      <c r="B3236" t="s">
        <v>809</v>
      </c>
      <c r="C3236">
        <v>25</v>
      </c>
      <c r="D3236" t="s">
        <v>56</v>
      </c>
      <c r="E3236">
        <v>75</v>
      </c>
      <c r="F3236">
        <v>203</v>
      </c>
      <c r="G3236" t="s">
        <v>330</v>
      </c>
      <c r="H3236">
        <v>2020</v>
      </c>
      <c r="I3236" t="s">
        <v>33</v>
      </c>
      <c r="J3236">
        <v>4</v>
      </c>
      <c r="K3236">
        <v>4</v>
      </c>
      <c r="L3236">
        <v>3</v>
      </c>
      <c r="M3236">
        <v>0</v>
      </c>
      <c r="N3236">
        <v>3</v>
      </c>
      <c r="O3236">
        <v>0</v>
      </c>
      <c r="P3236">
        <v>0</v>
      </c>
      <c r="Q3236">
        <v>0</v>
      </c>
      <c r="R3236">
        <v>0</v>
      </c>
      <c r="S3236">
        <v>80</v>
      </c>
      <c r="T3236">
        <v>71</v>
      </c>
      <c r="U3236" s="5">
        <f>IF(Merge1[[#This Row],[team_defense_snaps]]=0, "", Merge1[[#This Row],[defense_snaps]] / Merge1[[#This Row],[team_defense_snaps]])</f>
        <v>1</v>
      </c>
      <c r="V3236">
        <v>71</v>
      </c>
      <c r="W3236">
        <v>9</v>
      </c>
      <c r="X3236" s="5" t="s">
        <v>70</v>
      </c>
      <c r="Y3236">
        <v>2</v>
      </c>
      <c r="Z3236">
        <v>0</v>
      </c>
      <c r="AA3236" t="s">
        <v>25</v>
      </c>
      <c r="AB3236" t="s">
        <v>26</v>
      </c>
      <c r="AC3236" t="s">
        <v>27</v>
      </c>
      <c r="AD3236" t="s">
        <v>42</v>
      </c>
      <c r="AE3236" t="s">
        <v>25</v>
      </c>
      <c r="AF32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6.8750000000000006E-2</v>
      </c>
      <c r="AG3236" t="s">
        <v>942</v>
      </c>
      <c r="AH3236">
        <v>58</v>
      </c>
      <c r="AI3236" t="s">
        <v>939</v>
      </c>
      <c r="AJ3236">
        <v>4</v>
      </c>
      <c r="AK32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MIN(AJ3236/8, 1) +
  Merge1[[#This Row],[index_defensive_effort]],
  2
)</f>
        <v>0.97</v>
      </c>
    </row>
    <row r="3237" spans="1:37" x14ac:dyDescent="0.25">
      <c r="A3237" t="s">
        <v>808</v>
      </c>
      <c r="B3237" t="s">
        <v>809</v>
      </c>
      <c r="C3237">
        <v>25</v>
      </c>
      <c r="D3237" t="s">
        <v>56</v>
      </c>
      <c r="E3237">
        <v>75</v>
      </c>
      <c r="F3237">
        <v>203</v>
      </c>
      <c r="G3237" t="s">
        <v>330</v>
      </c>
      <c r="H3237">
        <v>2020</v>
      </c>
      <c r="I3237" t="s">
        <v>33</v>
      </c>
      <c r="J3237">
        <v>5</v>
      </c>
      <c r="K3237">
        <v>3</v>
      </c>
      <c r="L3237">
        <v>1</v>
      </c>
      <c r="M3237">
        <v>0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27</v>
      </c>
      <c r="T3237">
        <v>18</v>
      </c>
      <c r="U3237" s="5">
        <f>IF(Merge1[[#This Row],[team_defense_snaps]]=0, "", Merge1[[#This Row],[defense_snaps]] / Merge1[[#This Row],[team_defense_snaps]])</f>
        <v>0.20454545454545456</v>
      </c>
      <c r="V3237">
        <v>88</v>
      </c>
      <c r="W3237">
        <v>9</v>
      </c>
      <c r="X3237" s="5" t="s">
        <v>134</v>
      </c>
      <c r="Y3237">
        <v>2</v>
      </c>
      <c r="Z3237">
        <v>0</v>
      </c>
      <c r="AA3237" t="s">
        <v>25</v>
      </c>
      <c r="AB3237" t="s">
        <v>26</v>
      </c>
      <c r="AC3237" t="s">
        <v>27</v>
      </c>
      <c r="AD3237" t="s">
        <v>28</v>
      </c>
      <c r="AE3237" t="s">
        <v>25</v>
      </c>
      <c r="AF32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0.12962962962962962</v>
      </c>
      <c r="AG3237" t="s">
        <v>942</v>
      </c>
      <c r="AH3237">
        <v>61</v>
      </c>
      <c r="AI3237" t="s">
        <v>939</v>
      </c>
      <c r="AJ3237">
        <v>5</v>
      </c>
      <c r="AK32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MIN(AJ3237/8, 1) +
  Merge1[[#This Row],[index_defensive_effort]],
  2
)</f>
        <v>1.1499999999999999</v>
      </c>
    </row>
    <row r="3238" spans="1:37" x14ac:dyDescent="0.25">
      <c r="A3238" t="s">
        <v>808</v>
      </c>
      <c r="B3238" t="s">
        <v>809</v>
      </c>
      <c r="C3238">
        <v>25</v>
      </c>
      <c r="D3238" t="s">
        <v>56</v>
      </c>
      <c r="E3238">
        <v>75</v>
      </c>
      <c r="F3238">
        <v>203</v>
      </c>
      <c r="G3238" t="s">
        <v>330</v>
      </c>
      <c r="H3238">
        <v>2020</v>
      </c>
      <c r="I3238" t="s">
        <v>33</v>
      </c>
      <c r="J3238">
        <v>7</v>
      </c>
      <c r="K3238">
        <v>4</v>
      </c>
      <c r="L3238">
        <v>1</v>
      </c>
      <c r="M3238">
        <v>0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65</v>
      </c>
      <c r="T3238">
        <v>46</v>
      </c>
      <c r="U3238" s="5">
        <f>IF(Merge1[[#This Row],[team_defense_snaps]]=0, "", Merge1[[#This Row],[defense_snaps]] / Merge1[[#This Row],[team_defense_snaps]])</f>
        <v>0.54761904761904767</v>
      </c>
      <c r="V3238">
        <v>84</v>
      </c>
      <c r="W3238">
        <v>19</v>
      </c>
      <c r="X3238" s="5" t="s">
        <v>189</v>
      </c>
      <c r="Y3238">
        <v>2</v>
      </c>
      <c r="Z3238">
        <v>0</v>
      </c>
      <c r="AA3238" t="s">
        <v>25</v>
      </c>
      <c r="AB3238" t="s">
        <v>26</v>
      </c>
      <c r="AC3238" t="s">
        <v>27</v>
      </c>
      <c r="AD3238" t="s">
        <v>28</v>
      </c>
      <c r="AE3238" t="s">
        <v>25</v>
      </c>
      <c r="AF32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6.9230769230769235E-2</v>
      </c>
      <c r="AG3238" t="s">
        <v>942</v>
      </c>
      <c r="AH3238">
        <v>67</v>
      </c>
      <c r="AI3238" t="s">
        <v>939</v>
      </c>
      <c r="AJ3238">
        <v>1</v>
      </c>
      <c r="AK32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MIN(AJ3238/8, 1) +
  Merge1[[#This Row],[index_defensive_effort]],
  2
)</f>
        <v>0.59</v>
      </c>
    </row>
    <row r="3239" spans="1:37" x14ac:dyDescent="0.25">
      <c r="A3239" t="s">
        <v>808</v>
      </c>
      <c r="B3239" t="s">
        <v>809</v>
      </c>
      <c r="C3239">
        <v>25</v>
      </c>
      <c r="D3239" t="s">
        <v>56</v>
      </c>
      <c r="E3239">
        <v>75</v>
      </c>
      <c r="F3239">
        <v>203</v>
      </c>
      <c r="G3239" t="s">
        <v>330</v>
      </c>
      <c r="H3239">
        <v>2020</v>
      </c>
      <c r="I3239" t="s">
        <v>33</v>
      </c>
      <c r="J3239">
        <v>8</v>
      </c>
      <c r="K3239">
        <v>4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2</v>
      </c>
      <c r="S3239">
        <v>72</v>
      </c>
      <c r="T3239">
        <v>68</v>
      </c>
      <c r="U3239" s="5">
        <f>IF(Merge1[[#This Row],[team_defense_snaps]]=0, "", Merge1[[#This Row],[defense_snaps]] / Merge1[[#This Row],[team_defense_snaps]])</f>
        <v>0.95774647887323938</v>
      </c>
      <c r="V3239">
        <v>71</v>
      </c>
      <c r="W3239">
        <v>4</v>
      </c>
      <c r="X3239" s="5" t="s">
        <v>212</v>
      </c>
      <c r="Y3239">
        <v>2</v>
      </c>
      <c r="Z3239">
        <v>0</v>
      </c>
      <c r="AA3239" t="s">
        <v>25</v>
      </c>
      <c r="AB3239" t="s">
        <v>26</v>
      </c>
      <c r="AC3239" t="s">
        <v>27</v>
      </c>
      <c r="AD3239" t="s">
        <v>42</v>
      </c>
      <c r="AE3239" t="s">
        <v>25</v>
      </c>
      <c r="AF32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0.1111111111111111</v>
      </c>
      <c r="AG3239" t="s">
        <v>942</v>
      </c>
      <c r="AH3239">
        <v>64</v>
      </c>
      <c r="AI3239" t="s">
        <v>939</v>
      </c>
      <c r="AJ3239">
        <v>2</v>
      </c>
      <c r="AK32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MIN(AJ3239/8, 1) +
  Merge1[[#This Row],[index_defensive_effort]],
  2
)</f>
        <v>0.76</v>
      </c>
    </row>
    <row r="3240" spans="1:37" x14ac:dyDescent="0.25">
      <c r="A3240" t="s">
        <v>808</v>
      </c>
      <c r="B3240" t="s">
        <v>809</v>
      </c>
      <c r="C3240">
        <v>25</v>
      </c>
      <c r="D3240" t="s">
        <v>56</v>
      </c>
      <c r="E3240">
        <v>75</v>
      </c>
      <c r="F3240">
        <v>203</v>
      </c>
      <c r="G3240" t="s">
        <v>330</v>
      </c>
      <c r="H3240">
        <v>2020</v>
      </c>
      <c r="I3240" t="s">
        <v>33</v>
      </c>
      <c r="J3240">
        <v>9</v>
      </c>
      <c r="K3240">
        <v>6</v>
      </c>
      <c r="L3240">
        <v>1</v>
      </c>
      <c r="M3240">
        <v>0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74</v>
      </c>
      <c r="T3240">
        <v>63</v>
      </c>
      <c r="U3240" s="5">
        <f>IF(Merge1[[#This Row],[team_defense_snaps]]=0, "", Merge1[[#This Row],[defense_snaps]] / Merge1[[#This Row],[team_defense_snaps]])</f>
        <v>0.84</v>
      </c>
      <c r="V3240">
        <v>75</v>
      </c>
      <c r="W3240">
        <v>11</v>
      </c>
      <c r="X3240" s="5" t="s">
        <v>108</v>
      </c>
      <c r="Y3240">
        <v>2</v>
      </c>
      <c r="Z3240">
        <v>0</v>
      </c>
      <c r="AA3240" t="s">
        <v>25</v>
      </c>
      <c r="AB3240" t="s">
        <v>26</v>
      </c>
      <c r="AC3240" t="s">
        <v>27</v>
      </c>
      <c r="AD3240" t="s">
        <v>42</v>
      </c>
      <c r="AE3240" t="s">
        <v>25</v>
      </c>
      <c r="AF32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8.7837837837837843E-2</v>
      </c>
      <c r="AG3240" t="s">
        <v>942</v>
      </c>
      <c r="AH3240">
        <v>70</v>
      </c>
      <c r="AI3240" t="s">
        <v>939</v>
      </c>
      <c r="AJ3240">
        <v>3</v>
      </c>
      <c r="AK32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MIN(AJ3240/8, 1) +
  Merge1[[#This Row],[index_defensive_effort]],
  2
)</f>
        <v>0.86</v>
      </c>
    </row>
    <row r="3241" spans="1:37" x14ac:dyDescent="0.25">
      <c r="A3241" t="s">
        <v>808</v>
      </c>
      <c r="B3241" t="s">
        <v>809</v>
      </c>
      <c r="C3241">
        <v>25</v>
      </c>
      <c r="D3241" t="s">
        <v>56</v>
      </c>
      <c r="E3241">
        <v>75</v>
      </c>
      <c r="F3241">
        <v>203</v>
      </c>
      <c r="G3241" t="s">
        <v>330</v>
      </c>
      <c r="H3241">
        <v>2020</v>
      </c>
      <c r="I3241" t="s">
        <v>33</v>
      </c>
      <c r="J3241">
        <v>10</v>
      </c>
      <c r="K3241">
        <v>5</v>
      </c>
      <c r="L3241">
        <v>1</v>
      </c>
      <c r="M3241">
        <v>0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77</v>
      </c>
      <c r="T3241">
        <v>70</v>
      </c>
      <c r="U3241" s="5">
        <f>IF(Merge1[[#This Row],[team_defense_snaps]]=0, "", Merge1[[#This Row],[defense_snaps]] / Merge1[[#This Row],[team_defense_snaps]])</f>
        <v>1</v>
      </c>
      <c r="V3241">
        <v>70</v>
      </c>
      <c r="W3241">
        <v>7</v>
      </c>
      <c r="X3241" s="5" t="s">
        <v>113</v>
      </c>
      <c r="Y3241">
        <v>2</v>
      </c>
      <c r="Z3241">
        <v>0</v>
      </c>
      <c r="AA3241" t="s">
        <v>25</v>
      </c>
      <c r="AB3241" t="s">
        <v>26</v>
      </c>
      <c r="AC3241" t="s">
        <v>27</v>
      </c>
      <c r="AD3241" t="s">
        <v>42</v>
      </c>
      <c r="AE3241" t="s">
        <v>25</v>
      </c>
      <c r="AF32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3241" t="s">
        <v>942</v>
      </c>
      <c r="AH3241">
        <v>55</v>
      </c>
      <c r="AI3241" t="s">
        <v>939</v>
      </c>
      <c r="AJ3241">
        <v>4</v>
      </c>
      <c r="AK32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MIN(AJ3241/8, 1) +
  Merge1[[#This Row],[index_defensive_effort]],
  2
)</f>
        <v>0.97</v>
      </c>
    </row>
    <row r="3242" spans="1:37" x14ac:dyDescent="0.25">
      <c r="A3242" t="s">
        <v>808</v>
      </c>
      <c r="B3242" t="s">
        <v>809</v>
      </c>
      <c r="C3242">
        <v>25</v>
      </c>
      <c r="D3242" t="s">
        <v>56</v>
      </c>
      <c r="E3242">
        <v>75</v>
      </c>
      <c r="F3242">
        <v>203</v>
      </c>
      <c r="G3242" t="s">
        <v>330</v>
      </c>
      <c r="H3242">
        <v>2020</v>
      </c>
      <c r="I3242" t="s">
        <v>33</v>
      </c>
      <c r="J3242">
        <v>11</v>
      </c>
      <c r="K3242">
        <v>3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72</v>
      </c>
      <c r="T3242">
        <v>67</v>
      </c>
      <c r="U3242" s="5">
        <f>IF(Merge1[[#This Row],[team_defense_snaps]]=0, "", Merge1[[#This Row],[defense_snaps]] / Merge1[[#This Row],[team_defense_snaps]])</f>
        <v>1</v>
      </c>
      <c r="V3242">
        <v>67</v>
      </c>
      <c r="W3242">
        <v>5</v>
      </c>
      <c r="X3242" s="5" t="s">
        <v>59</v>
      </c>
      <c r="Y3242">
        <v>2</v>
      </c>
      <c r="Z3242">
        <v>0</v>
      </c>
      <c r="AA3242" t="s">
        <v>25</v>
      </c>
      <c r="AB3242" t="s">
        <v>26</v>
      </c>
      <c r="AC3242" t="s">
        <v>27</v>
      </c>
      <c r="AD3242" t="s">
        <v>42</v>
      </c>
      <c r="AE3242" t="s">
        <v>25</v>
      </c>
      <c r="AF32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3242" t="s">
        <v>942</v>
      </c>
      <c r="AH3242">
        <v>56.5</v>
      </c>
      <c r="AI3242" t="s">
        <v>939</v>
      </c>
      <c r="AJ3242">
        <v>5</v>
      </c>
      <c r="AK32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MIN(AJ3242/8, 1) +
  Merge1[[#This Row],[index_defensive_effort]],
  2
)</f>
        <v>1.07</v>
      </c>
    </row>
    <row r="3243" spans="1:37" x14ac:dyDescent="0.25">
      <c r="A3243" t="s">
        <v>808</v>
      </c>
      <c r="B3243" t="s">
        <v>809</v>
      </c>
      <c r="C3243">
        <v>25</v>
      </c>
      <c r="D3243" t="s">
        <v>56</v>
      </c>
      <c r="E3243">
        <v>75</v>
      </c>
      <c r="F3243">
        <v>203</v>
      </c>
      <c r="G3243" t="s">
        <v>330</v>
      </c>
      <c r="H3243">
        <v>2020</v>
      </c>
      <c r="I3243" t="s">
        <v>33</v>
      </c>
      <c r="J3243">
        <v>12</v>
      </c>
      <c r="K3243">
        <v>4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79</v>
      </c>
      <c r="T3243">
        <v>71</v>
      </c>
      <c r="U3243" s="5">
        <f>IF(Merge1[[#This Row],[team_defense_snaps]]=0, "", Merge1[[#This Row],[defense_snaps]] / Merge1[[#This Row],[team_defense_snaps]])</f>
        <v>1</v>
      </c>
      <c r="V3243">
        <v>71</v>
      </c>
      <c r="W3243">
        <v>8</v>
      </c>
      <c r="X3243" s="5" t="s">
        <v>108</v>
      </c>
      <c r="Y3243">
        <v>2</v>
      </c>
      <c r="Z3243">
        <v>0</v>
      </c>
      <c r="AA3243" t="s">
        <v>25</v>
      </c>
      <c r="AB3243" t="s">
        <v>26</v>
      </c>
      <c r="AC3243" t="s">
        <v>27</v>
      </c>
      <c r="AD3243" t="s">
        <v>42</v>
      </c>
      <c r="AE3243" t="s">
        <v>25</v>
      </c>
      <c r="AF32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5.0632911392405063E-2</v>
      </c>
      <c r="AG3243" t="s">
        <v>942</v>
      </c>
      <c r="AH3243">
        <v>53.5</v>
      </c>
      <c r="AI3243" t="s">
        <v>939</v>
      </c>
      <c r="AJ3243">
        <v>6</v>
      </c>
      <c r="AK32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MIN(AJ3243/8, 1) +
  Merge1[[#This Row],[index_defensive_effort]],
  2
)</f>
        <v>1.2</v>
      </c>
    </row>
    <row r="3244" spans="1:37" x14ac:dyDescent="0.25">
      <c r="A3244" t="s">
        <v>814</v>
      </c>
      <c r="B3244" t="s">
        <v>815</v>
      </c>
      <c r="C3244">
        <v>24</v>
      </c>
      <c r="D3244" t="s">
        <v>56</v>
      </c>
      <c r="E3244">
        <v>71</v>
      </c>
      <c r="F3244">
        <v>185</v>
      </c>
      <c r="G3244" t="s">
        <v>180</v>
      </c>
      <c r="H3244">
        <v>2020</v>
      </c>
      <c r="I3244" t="s">
        <v>33</v>
      </c>
      <c r="J3244">
        <v>1</v>
      </c>
      <c r="K3244">
        <v>4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76</v>
      </c>
      <c r="T3244">
        <v>73</v>
      </c>
      <c r="U3244" s="5">
        <f>IF(Merge1[[#This Row],[team_defense_snaps]]=0, "", Merge1[[#This Row],[defense_snaps]] / Merge1[[#This Row],[team_defense_snaps]])</f>
        <v>0.98648648648648651</v>
      </c>
      <c r="V3244">
        <v>74</v>
      </c>
      <c r="W3244">
        <v>3</v>
      </c>
      <c r="X3244" s="5" t="s">
        <v>251</v>
      </c>
      <c r="Y3244">
        <v>2</v>
      </c>
      <c r="Z3244">
        <v>0</v>
      </c>
      <c r="AA3244" t="s">
        <v>25</v>
      </c>
      <c r="AB3244" t="s">
        <v>26</v>
      </c>
      <c r="AC3244" t="s">
        <v>27</v>
      </c>
      <c r="AD3244" t="s">
        <v>42</v>
      </c>
      <c r="AE3244" t="s">
        <v>25</v>
      </c>
      <c r="AF32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5.2631578947368418E-2</v>
      </c>
      <c r="AG3244" t="s">
        <v>941</v>
      </c>
      <c r="AH3244">
        <v>68</v>
      </c>
      <c r="AI3244" t="s">
        <v>939</v>
      </c>
      <c r="AJ3244">
        <v>1</v>
      </c>
      <c r="AK32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MIN(AJ3244/8, 1) +
  Merge1[[#This Row],[index_defensive_effort]],
  2
)</f>
        <v>0.57999999999999996</v>
      </c>
    </row>
    <row r="3245" spans="1:37" x14ac:dyDescent="0.25">
      <c r="A3245" t="s">
        <v>814</v>
      </c>
      <c r="B3245" t="s">
        <v>815</v>
      </c>
      <c r="C3245">
        <v>24</v>
      </c>
      <c r="D3245" t="s">
        <v>56</v>
      </c>
      <c r="E3245">
        <v>71</v>
      </c>
      <c r="F3245">
        <v>185</v>
      </c>
      <c r="G3245" t="s">
        <v>180</v>
      </c>
      <c r="H3245">
        <v>2020</v>
      </c>
      <c r="I3245" t="s">
        <v>33</v>
      </c>
      <c r="J3245">
        <v>2</v>
      </c>
      <c r="K3245">
        <v>1</v>
      </c>
      <c r="L3245">
        <v>1</v>
      </c>
      <c r="M3245">
        <v>1</v>
      </c>
      <c r="N3245">
        <v>2</v>
      </c>
      <c r="O3245">
        <v>0</v>
      </c>
      <c r="P3245">
        <v>0</v>
      </c>
      <c r="Q3245">
        <v>0</v>
      </c>
      <c r="R3245">
        <v>0</v>
      </c>
      <c r="S3245">
        <v>64</v>
      </c>
      <c r="T3245">
        <v>62</v>
      </c>
      <c r="U3245" s="5">
        <f>IF(Merge1[[#This Row],[team_defense_snaps]]=0, "", Merge1[[#This Row],[defense_snaps]] / Merge1[[#This Row],[team_defense_snaps]])</f>
        <v>1</v>
      </c>
      <c r="V3245">
        <v>62</v>
      </c>
      <c r="W3245">
        <v>2</v>
      </c>
      <c r="X3245" s="5" t="s">
        <v>208</v>
      </c>
      <c r="Y3245">
        <v>2</v>
      </c>
      <c r="Z3245">
        <v>0</v>
      </c>
      <c r="AA3245" t="s">
        <v>25</v>
      </c>
      <c r="AB3245" t="s">
        <v>26</v>
      </c>
      <c r="AC3245" t="s">
        <v>27</v>
      </c>
      <c r="AD3245" t="s">
        <v>42</v>
      </c>
      <c r="AE3245" t="s">
        <v>25</v>
      </c>
      <c r="AF32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3.125E-2</v>
      </c>
      <c r="AG3245" t="s">
        <v>941</v>
      </c>
      <c r="AH3245">
        <v>65</v>
      </c>
      <c r="AI3245" t="s">
        <v>939</v>
      </c>
      <c r="AJ3245">
        <v>2</v>
      </c>
      <c r="AK32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MIN(AJ3245/8, 1) +
  Merge1[[#This Row],[index_defensive_effort]],
  2
)</f>
        <v>0.68</v>
      </c>
    </row>
    <row r="3246" spans="1:37" x14ac:dyDescent="0.25">
      <c r="A3246" t="s">
        <v>814</v>
      </c>
      <c r="B3246" t="s">
        <v>815</v>
      </c>
      <c r="C3246">
        <v>24</v>
      </c>
      <c r="D3246" t="s">
        <v>56</v>
      </c>
      <c r="E3246">
        <v>71</v>
      </c>
      <c r="F3246">
        <v>185</v>
      </c>
      <c r="G3246" t="s">
        <v>180</v>
      </c>
      <c r="H3246">
        <v>2020</v>
      </c>
      <c r="I3246" t="s">
        <v>33</v>
      </c>
      <c r="J3246">
        <v>3</v>
      </c>
      <c r="K3246">
        <v>5</v>
      </c>
      <c r="L3246">
        <v>0</v>
      </c>
      <c r="M3246">
        <v>0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60</v>
      </c>
      <c r="T3246">
        <v>59</v>
      </c>
      <c r="U3246" s="5">
        <f>IF(Merge1[[#This Row],[team_defense_snaps]]=0, "", Merge1[[#This Row],[defense_snaps]] / Merge1[[#This Row],[team_defense_snaps]])</f>
        <v>0.95161290322580649</v>
      </c>
      <c r="V3246">
        <v>62</v>
      </c>
      <c r="W3246">
        <v>1</v>
      </c>
      <c r="X3246" s="5" t="s">
        <v>193</v>
      </c>
      <c r="Y3246">
        <v>2</v>
      </c>
      <c r="Z3246">
        <v>0</v>
      </c>
      <c r="AA3246" t="s">
        <v>25</v>
      </c>
      <c r="AB3246" t="s">
        <v>26</v>
      </c>
      <c r="AC3246" t="s">
        <v>27</v>
      </c>
      <c r="AD3246" t="s">
        <v>42</v>
      </c>
      <c r="AE3246" t="s">
        <v>25</v>
      </c>
      <c r="AF32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0.11666666666666667</v>
      </c>
      <c r="AG3246" t="s">
        <v>941</v>
      </c>
      <c r="AH3246">
        <v>69.5</v>
      </c>
      <c r="AI3246" t="s">
        <v>939</v>
      </c>
      <c r="AJ3246">
        <v>3</v>
      </c>
      <c r="AK32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MIN(AJ3246/8, 1) +
  Merge1[[#This Row],[index_defensive_effort]],
  2
)</f>
        <v>0.89</v>
      </c>
    </row>
    <row r="3247" spans="1:37" x14ac:dyDescent="0.25">
      <c r="A3247" t="s">
        <v>814</v>
      </c>
      <c r="B3247" t="s">
        <v>815</v>
      </c>
      <c r="C3247">
        <v>24</v>
      </c>
      <c r="D3247" t="s">
        <v>56</v>
      </c>
      <c r="E3247">
        <v>71</v>
      </c>
      <c r="F3247">
        <v>185</v>
      </c>
      <c r="G3247" t="s">
        <v>180</v>
      </c>
      <c r="H3247">
        <v>2020</v>
      </c>
      <c r="I3247" t="s">
        <v>33</v>
      </c>
      <c r="J3247">
        <v>4</v>
      </c>
      <c r="K3247">
        <v>2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74</v>
      </c>
      <c r="T3247">
        <v>71</v>
      </c>
      <c r="U3247" s="5">
        <f>IF(Merge1[[#This Row],[team_defense_snaps]]=0, "", Merge1[[#This Row],[defense_snaps]] / Merge1[[#This Row],[team_defense_snaps]])</f>
        <v>0.94666666666666666</v>
      </c>
      <c r="V3247">
        <v>75</v>
      </c>
      <c r="W3247">
        <v>3</v>
      </c>
      <c r="X3247" s="5" t="s">
        <v>38</v>
      </c>
      <c r="Y3247">
        <v>2</v>
      </c>
      <c r="Z3247">
        <v>0</v>
      </c>
      <c r="AA3247" t="s">
        <v>25</v>
      </c>
      <c r="AB3247" t="s">
        <v>26</v>
      </c>
      <c r="AC3247" t="s">
        <v>27</v>
      </c>
      <c r="AD3247" t="s">
        <v>42</v>
      </c>
      <c r="AE3247" t="s">
        <v>25</v>
      </c>
      <c r="AF32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2.7027027027027029E-2</v>
      </c>
      <c r="AG3247" t="s">
        <v>941</v>
      </c>
      <c r="AH3247">
        <v>71</v>
      </c>
      <c r="AI3247" t="s">
        <v>939</v>
      </c>
      <c r="AJ3247">
        <v>4</v>
      </c>
      <c r="AK32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MIN(AJ3247/8, 1) +
  Merge1[[#This Row],[index_defensive_effort]],
  2
)</f>
        <v>0.93</v>
      </c>
    </row>
    <row r="3248" spans="1:37" x14ac:dyDescent="0.25">
      <c r="A3248" t="s">
        <v>814</v>
      </c>
      <c r="B3248" t="s">
        <v>815</v>
      </c>
      <c r="C3248">
        <v>24</v>
      </c>
      <c r="D3248" t="s">
        <v>56</v>
      </c>
      <c r="E3248">
        <v>71</v>
      </c>
      <c r="F3248">
        <v>185</v>
      </c>
      <c r="G3248" t="s">
        <v>180</v>
      </c>
      <c r="H3248">
        <v>2020</v>
      </c>
      <c r="I3248" t="s">
        <v>33</v>
      </c>
      <c r="J3248">
        <v>5</v>
      </c>
      <c r="K3248">
        <v>6</v>
      </c>
      <c r="L3248">
        <v>0</v>
      </c>
      <c r="M3248">
        <v>0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59</v>
      </c>
      <c r="T3248">
        <v>57</v>
      </c>
      <c r="U3248" s="5">
        <f>IF(Merge1[[#This Row],[team_defense_snaps]]=0, "", Merge1[[#This Row],[defense_snaps]] / Merge1[[#This Row],[team_defense_snaps]])</f>
        <v>0.98275862068965514</v>
      </c>
      <c r="V3248">
        <v>58</v>
      </c>
      <c r="W3248">
        <v>2</v>
      </c>
      <c r="X3248" s="5" t="s">
        <v>167</v>
      </c>
      <c r="Y3248">
        <v>2</v>
      </c>
      <c r="Z3248">
        <v>0</v>
      </c>
      <c r="AA3248" t="s">
        <v>25</v>
      </c>
      <c r="AB3248" t="s">
        <v>26</v>
      </c>
      <c r="AC3248" t="s">
        <v>27</v>
      </c>
      <c r="AD3248" t="s">
        <v>42</v>
      </c>
      <c r="AE3248" t="s">
        <v>25</v>
      </c>
      <c r="AF32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0.13559322033898305</v>
      </c>
      <c r="AG3248" t="s">
        <v>941</v>
      </c>
      <c r="AH3248">
        <v>66.5</v>
      </c>
      <c r="AI3248" t="s">
        <v>939</v>
      </c>
      <c r="AJ3248">
        <v>5</v>
      </c>
      <c r="AK32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MIN(AJ3248/8, 1) +
  Merge1[[#This Row],[index_defensive_effort]],
  2
)</f>
        <v>1.1599999999999999</v>
      </c>
    </row>
    <row r="3249" spans="1:37" x14ac:dyDescent="0.25">
      <c r="A3249" t="s">
        <v>814</v>
      </c>
      <c r="B3249" t="s">
        <v>815</v>
      </c>
      <c r="C3249">
        <v>24</v>
      </c>
      <c r="D3249" t="s">
        <v>56</v>
      </c>
      <c r="E3249">
        <v>71</v>
      </c>
      <c r="F3249">
        <v>185</v>
      </c>
      <c r="G3249" t="s">
        <v>180</v>
      </c>
      <c r="H3249">
        <v>2020</v>
      </c>
      <c r="I3249" t="s">
        <v>33</v>
      </c>
      <c r="J3249">
        <v>6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54</v>
      </c>
      <c r="T3249">
        <v>44</v>
      </c>
      <c r="U3249" s="5">
        <f>IF(Merge1[[#This Row],[team_defense_snaps]]=0, "", Merge1[[#This Row],[defense_snaps]] / Merge1[[#This Row],[team_defense_snaps]])</f>
        <v>0.5714285714285714</v>
      </c>
      <c r="V3249">
        <v>77</v>
      </c>
      <c r="W3249">
        <v>10</v>
      </c>
      <c r="X3249" s="5" t="s">
        <v>158</v>
      </c>
      <c r="Y3249">
        <v>2</v>
      </c>
      <c r="Z3249">
        <v>0</v>
      </c>
      <c r="AA3249" t="s">
        <v>25</v>
      </c>
      <c r="AB3249" t="s">
        <v>26</v>
      </c>
      <c r="AC3249" t="s">
        <v>27</v>
      </c>
      <c r="AD3249" t="s">
        <v>28</v>
      </c>
      <c r="AE3249" t="s">
        <v>25</v>
      </c>
      <c r="AF32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249" t="s">
        <v>941</v>
      </c>
      <c r="AH3249">
        <v>77</v>
      </c>
      <c r="AI3249" t="s">
        <v>939</v>
      </c>
      <c r="AJ3249">
        <v>6</v>
      </c>
      <c r="AK32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MIN(AJ3249/8, 1) +
  Merge1[[#This Row],[index_defensive_effort]],
  2
)</f>
        <v>1.1499999999999999</v>
      </c>
    </row>
    <row r="3250" spans="1:37" x14ac:dyDescent="0.25">
      <c r="A3250" t="s">
        <v>814</v>
      </c>
      <c r="B3250" t="s">
        <v>815</v>
      </c>
      <c r="C3250">
        <v>24</v>
      </c>
      <c r="D3250" t="s">
        <v>56</v>
      </c>
      <c r="E3250">
        <v>71</v>
      </c>
      <c r="F3250">
        <v>185</v>
      </c>
      <c r="G3250" t="s">
        <v>180</v>
      </c>
      <c r="H3250">
        <v>2020</v>
      </c>
      <c r="I3250" t="s">
        <v>33</v>
      </c>
      <c r="J3250">
        <v>7</v>
      </c>
      <c r="K3250">
        <v>3</v>
      </c>
      <c r="L3250">
        <v>2</v>
      </c>
      <c r="M3250">
        <v>1</v>
      </c>
      <c r="N3250">
        <v>3</v>
      </c>
      <c r="O3250">
        <v>0</v>
      </c>
      <c r="P3250">
        <v>0</v>
      </c>
      <c r="Q3250">
        <v>0</v>
      </c>
      <c r="R3250">
        <v>0</v>
      </c>
      <c r="S3250">
        <v>82</v>
      </c>
      <c r="T3250">
        <v>77</v>
      </c>
      <c r="U3250" s="5">
        <f>IF(Merge1[[#This Row],[team_defense_snaps]]=0, "", Merge1[[#This Row],[defense_snaps]] / Merge1[[#This Row],[team_defense_snaps]])</f>
        <v>0.77</v>
      </c>
      <c r="V3250">
        <v>100</v>
      </c>
      <c r="W3250">
        <v>5</v>
      </c>
      <c r="X3250" s="5" t="s">
        <v>124</v>
      </c>
      <c r="Y3250">
        <v>2</v>
      </c>
      <c r="Z3250">
        <v>0</v>
      </c>
      <c r="AA3250" t="s">
        <v>25</v>
      </c>
      <c r="AB3250" t="s">
        <v>26</v>
      </c>
      <c r="AC3250" t="s">
        <v>27</v>
      </c>
      <c r="AD3250" t="s">
        <v>28</v>
      </c>
      <c r="AE3250" t="s">
        <v>25</v>
      </c>
      <c r="AF32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5.4878048780487805E-2</v>
      </c>
      <c r="AG3250" t="s">
        <v>941</v>
      </c>
      <c r="AH3250">
        <v>86</v>
      </c>
      <c r="AI3250" t="s">
        <v>939</v>
      </c>
      <c r="AJ3250">
        <v>7</v>
      </c>
      <c r="AK32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MIN(AJ3250/8, 1) +
  Merge1[[#This Row],[index_defensive_effort]],
  2
)</f>
        <v>1.33</v>
      </c>
    </row>
    <row r="3251" spans="1:37" x14ac:dyDescent="0.25">
      <c r="A3251" t="s">
        <v>814</v>
      </c>
      <c r="B3251" t="s">
        <v>815</v>
      </c>
      <c r="C3251">
        <v>24</v>
      </c>
      <c r="D3251" t="s">
        <v>56</v>
      </c>
      <c r="E3251">
        <v>71</v>
      </c>
      <c r="F3251">
        <v>185</v>
      </c>
      <c r="G3251" t="s">
        <v>180</v>
      </c>
      <c r="H3251">
        <v>2020</v>
      </c>
      <c r="I3251" t="s">
        <v>33</v>
      </c>
      <c r="J3251">
        <v>9</v>
      </c>
      <c r="K3251">
        <v>8</v>
      </c>
      <c r="L3251">
        <v>0</v>
      </c>
      <c r="M3251">
        <v>0</v>
      </c>
      <c r="N3251">
        <v>0</v>
      </c>
      <c r="O3251">
        <v>4</v>
      </c>
      <c r="P3251">
        <v>4</v>
      </c>
      <c r="Q3251">
        <v>0</v>
      </c>
      <c r="R3251">
        <v>0</v>
      </c>
      <c r="S3251">
        <v>36</v>
      </c>
      <c r="T3251">
        <v>31</v>
      </c>
      <c r="U3251" s="5">
        <f>IF(Merge1[[#This Row],[team_defense_snaps]]=0, "", Merge1[[#This Row],[defense_snaps]] / Merge1[[#This Row],[team_defense_snaps]])</f>
        <v>0.47692307692307695</v>
      </c>
      <c r="V3251">
        <v>65</v>
      </c>
      <c r="W3251">
        <v>5</v>
      </c>
      <c r="X3251" s="5" t="s">
        <v>124</v>
      </c>
      <c r="Y3251">
        <v>2</v>
      </c>
      <c r="Z3251">
        <v>0</v>
      </c>
      <c r="AA3251" t="s">
        <v>25</v>
      </c>
      <c r="AB3251" t="s">
        <v>26</v>
      </c>
      <c r="AC3251" t="s">
        <v>27</v>
      </c>
      <c r="AD3251" t="s">
        <v>28</v>
      </c>
      <c r="AE3251" t="s">
        <v>25</v>
      </c>
      <c r="AF32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0.77777777777777779</v>
      </c>
      <c r="AG3251" t="s">
        <v>941</v>
      </c>
      <c r="AH3251">
        <v>83</v>
      </c>
      <c r="AI3251" t="s">
        <v>939</v>
      </c>
      <c r="AJ3251">
        <v>1</v>
      </c>
      <c r="AK32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MIN(AJ3251/8, 1) +
  Merge1[[#This Row],[index_defensive_effort]],
  2
)</f>
        <v>1.3</v>
      </c>
    </row>
    <row r="3252" spans="1:37" x14ac:dyDescent="0.25">
      <c r="A3252" t="s">
        <v>814</v>
      </c>
      <c r="B3252" t="s">
        <v>815</v>
      </c>
      <c r="C3252">
        <v>24</v>
      </c>
      <c r="D3252" t="s">
        <v>56</v>
      </c>
      <c r="E3252">
        <v>71</v>
      </c>
      <c r="F3252">
        <v>185</v>
      </c>
      <c r="G3252" t="s">
        <v>180</v>
      </c>
      <c r="H3252">
        <v>2020</v>
      </c>
      <c r="I3252" t="s">
        <v>33</v>
      </c>
      <c r="J3252">
        <v>10</v>
      </c>
      <c r="K3252">
        <v>4</v>
      </c>
      <c r="L3252">
        <v>3</v>
      </c>
      <c r="M3252">
        <v>1</v>
      </c>
      <c r="N3252">
        <v>4</v>
      </c>
      <c r="O3252">
        <v>0</v>
      </c>
      <c r="P3252">
        <v>0</v>
      </c>
      <c r="Q3252">
        <v>0</v>
      </c>
      <c r="R3252">
        <v>0</v>
      </c>
      <c r="S3252">
        <v>50</v>
      </c>
      <c r="T3252">
        <v>42</v>
      </c>
      <c r="U3252" s="5">
        <f>IF(Merge1[[#This Row],[team_defense_snaps]]=0, "", Merge1[[#This Row],[defense_snaps]] / Merge1[[#This Row],[team_defense_snaps]])</f>
        <v>0.62686567164179108</v>
      </c>
      <c r="V3252">
        <v>67</v>
      </c>
      <c r="W3252">
        <v>8</v>
      </c>
      <c r="X3252" s="5" t="s">
        <v>136</v>
      </c>
      <c r="Y3252">
        <v>2</v>
      </c>
      <c r="Z3252">
        <v>0</v>
      </c>
      <c r="AA3252" t="s">
        <v>25</v>
      </c>
      <c r="AB3252" t="s">
        <v>26</v>
      </c>
      <c r="AC3252" t="s">
        <v>27</v>
      </c>
      <c r="AD3252" t="s">
        <v>28</v>
      </c>
      <c r="AE3252" t="s">
        <v>25</v>
      </c>
      <c r="AF32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</v>
      </c>
      <c r="AG3252" t="s">
        <v>941</v>
      </c>
      <c r="AH3252">
        <v>84.5</v>
      </c>
      <c r="AI3252" t="s">
        <v>939</v>
      </c>
      <c r="AJ3252">
        <v>2</v>
      </c>
      <c r="AK32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MIN(AJ3252/8, 1) +
  Merge1[[#This Row],[index_defensive_effort]],
  2
)</f>
        <v>0.77</v>
      </c>
    </row>
    <row r="3253" spans="1:37" x14ac:dyDescent="0.25">
      <c r="A3253" t="s">
        <v>814</v>
      </c>
      <c r="B3253" t="s">
        <v>815</v>
      </c>
      <c r="C3253">
        <v>24</v>
      </c>
      <c r="D3253" t="s">
        <v>56</v>
      </c>
      <c r="E3253">
        <v>71</v>
      </c>
      <c r="F3253">
        <v>185</v>
      </c>
      <c r="G3253" t="s">
        <v>180</v>
      </c>
      <c r="H3253">
        <v>2020</v>
      </c>
      <c r="I3253" t="s">
        <v>33</v>
      </c>
      <c r="J3253">
        <v>11</v>
      </c>
      <c r="K3253">
        <v>7</v>
      </c>
      <c r="L3253">
        <v>0</v>
      </c>
      <c r="M3253">
        <v>0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77</v>
      </c>
      <c r="T3253">
        <v>74</v>
      </c>
      <c r="U3253" s="5">
        <f>IF(Merge1[[#This Row],[team_defense_snaps]]=0, "", Merge1[[#This Row],[defense_snaps]] / Merge1[[#This Row],[team_defense_snaps]])</f>
        <v>0.92500000000000004</v>
      </c>
      <c r="V3253">
        <v>80</v>
      </c>
      <c r="W3253">
        <v>3</v>
      </c>
      <c r="X3253" s="5" t="s">
        <v>251</v>
      </c>
      <c r="Y3253">
        <v>2</v>
      </c>
      <c r="Z3253">
        <v>0</v>
      </c>
      <c r="AA3253" t="s">
        <v>25</v>
      </c>
      <c r="AB3253" t="s">
        <v>26</v>
      </c>
      <c r="AC3253" t="s">
        <v>27</v>
      </c>
      <c r="AD3253" t="s">
        <v>42</v>
      </c>
      <c r="AE3253" t="s">
        <v>25</v>
      </c>
      <c r="AF32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0.11688311688311688</v>
      </c>
      <c r="AG3253" t="s">
        <v>941</v>
      </c>
      <c r="AH3253">
        <v>63.5</v>
      </c>
      <c r="AI3253" t="s">
        <v>939</v>
      </c>
      <c r="AJ3253">
        <v>3</v>
      </c>
      <c r="AK32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MIN(AJ3253/8, 1) +
  Merge1[[#This Row],[index_defensive_effort]],
  2
)</f>
        <v>0.89</v>
      </c>
    </row>
    <row r="3254" spans="1:37" x14ac:dyDescent="0.25">
      <c r="A3254" t="s">
        <v>814</v>
      </c>
      <c r="B3254" t="s">
        <v>815</v>
      </c>
      <c r="C3254">
        <v>24</v>
      </c>
      <c r="D3254" t="s">
        <v>56</v>
      </c>
      <c r="E3254">
        <v>71</v>
      </c>
      <c r="F3254">
        <v>185</v>
      </c>
      <c r="G3254" t="s">
        <v>180</v>
      </c>
      <c r="H3254">
        <v>2020</v>
      </c>
      <c r="I3254" t="s">
        <v>33</v>
      </c>
      <c r="J3254">
        <v>12</v>
      </c>
      <c r="K3254">
        <v>2</v>
      </c>
      <c r="L3254">
        <v>2</v>
      </c>
      <c r="M3254">
        <v>0</v>
      </c>
      <c r="N3254">
        <v>2</v>
      </c>
      <c r="O3254">
        <v>0</v>
      </c>
      <c r="P3254">
        <v>0</v>
      </c>
      <c r="Q3254">
        <v>0</v>
      </c>
      <c r="R3254">
        <v>0</v>
      </c>
      <c r="S3254">
        <v>66</v>
      </c>
      <c r="T3254">
        <v>65</v>
      </c>
      <c r="U3254" s="5">
        <f>IF(Merge1[[#This Row],[team_defense_snaps]]=0, "", Merge1[[#This Row],[defense_snaps]] / Merge1[[#This Row],[team_defense_snaps]])</f>
        <v>0.97014925373134331</v>
      </c>
      <c r="V3254">
        <v>67</v>
      </c>
      <c r="W3254">
        <v>1</v>
      </c>
      <c r="X3254" s="5" t="s">
        <v>193</v>
      </c>
      <c r="Y3254">
        <v>2</v>
      </c>
      <c r="Z3254">
        <v>0</v>
      </c>
      <c r="AA3254" t="s">
        <v>25</v>
      </c>
      <c r="AB3254" t="s">
        <v>26</v>
      </c>
      <c r="AC3254" t="s">
        <v>27</v>
      </c>
      <c r="AD3254" t="s">
        <v>42</v>
      </c>
      <c r="AE3254" t="s">
        <v>25</v>
      </c>
      <c r="AF32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G3254" t="s">
        <v>941</v>
      </c>
      <c r="AH3254">
        <v>81.5</v>
      </c>
      <c r="AI3254" t="s">
        <v>939</v>
      </c>
      <c r="AJ3254">
        <v>4</v>
      </c>
      <c r="AK32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MIN(AJ3254/8, 1) +
  Merge1[[#This Row],[index_defensive_effort]],
  2
)</f>
        <v>0.95</v>
      </c>
    </row>
    <row r="3255" spans="1:37" x14ac:dyDescent="0.25">
      <c r="A3255" t="s">
        <v>814</v>
      </c>
      <c r="B3255" t="s">
        <v>815</v>
      </c>
      <c r="C3255">
        <v>24</v>
      </c>
      <c r="D3255" t="s">
        <v>56</v>
      </c>
      <c r="E3255">
        <v>71</v>
      </c>
      <c r="F3255">
        <v>185</v>
      </c>
      <c r="G3255" t="s">
        <v>180</v>
      </c>
      <c r="H3255">
        <v>2020</v>
      </c>
      <c r="I3255" t="s">
        <v>33</v>
      </c>
      <c r="J3255">
        <v>13</v>
      </c>
      <c r="K3255">
        <v>9</v>
      </c>
      <c r="L3255">
        <v>1</v>
      </c>
      <c r="M3255">
        <v>0</v>
      </c>
      <c r="N3255">
        <v>1</v>
      </c>
      <c r="O3255">
        <v>0</v>
      </c>
      <c r="P3255">
        <v>3</v>
      </c>
      <c r="Q3255">
        <v>0</v>
      </c>
      <c r="R3255">
        <v>0</v>
      </c>
      <c r="S3255">
        <v>91</v>
      </c>
      <c r="T3255">
        <v>91</v>
      </c>
      <c r="U3255" s="5">
        <f>IF(Merge1[[#This Row],[team_defense_snaps]]=0, "", Merge1[[#This Row],[defense_snaps]] / Merge1[[#This Row],[team_defense_snaps]])</f>
        <v>0.98913043478260865</v>
      </c>
      <c r="V3255">
        <v>92</v>
      </c>
      <c r="W3255">
        <v>0</v>
      </c>
      <c r="X3255" s="5" t="s">
        <v>29</v>
      </c>
      <c r="Y3255">
        <v>2</v>
      </c>
      <c r="Z3255">
        <v>0</v>
      </c>
      <c r="AA3255" t="s">
        <v>25</v>
      </c>
      <c r="AB3255" t="s">
        <v>26</v>
      </c>
      <c r="AC3255" t="s">
        <v>27</v>
      </c>
      <c r="AD3255" t="s">
        <v>42</v>
      </c>
      <c r="AE3255" t="s">
        <v>25</v>
      </c>
      <c r="AF32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0.17032967032967034</v>
      </c>
      <c r="AG3255" t="s">
        <v>941</v>
      </c>
      <c r="AH3255">
        <v>72.5</v>
      </c>
      <c r="AI3255" t="s">
        <v>939</v>
      </c>
      <c r="AJ3255">
        <v>5</v>
      </c>
      <c r="AK32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MIN(AJ3255/8, 1) +
  Merge1[[#This Row],[index_defensive_effort]],
  2
)</f>
        <v>1.2</v>
      </c>
    </row>
    <row r="3256" spans="1:37" x14ac:dyDescent="0.25">
      <c r="A3256" t="s">
        <v>814</v>
      </c>
      <c r="B3256" t="s">
        <v>815</v>
      </c>
      <c r="C3256">
        <v>24</v>
      </c>
      <c r="D3256" t="s">
        <v>56</v>
      </c>
      <c r="E3256">
        <v>71</v>
      </c>
      <c r="F3256">
        <v>185</v>
      </c>
      <c r="G3256" t="s">
        <v>180</v>
      </c>
      <c r="H3256">
        <v>2020</v>
      </c>
      <c r="I3256" t="s">
        <v>33</v>
      </c>
      <c r="J3256">
        <v>14</v>
      </c>
      <c r="K3256">
        <v>7</v>
      </c>
      <c r="L3256">
        <v>2</v>
      </c>
      <c r="M3256">
        <v>0</v>
      </c>
      <c r="N3256">
        <v>2</v>
      </c>
      <c r="O3256">
        <v>0</v>
      </c>
      <c r="P3256">
        <v>3</v>
      </c>
      <c r="Q3256">
        <v>0</v>
      </c>
      <c r="R3256">
        <v>0</v>
      </c>
      <c r="S3256">
        <v>66</v>
      </c>
      <c r="T3256">
        <v>66</v>
      </c>
      <c r="U3256" s="5">
        <f>IF(Merge1[[#This Row],[team_defense_snaps]]=0, "", Merge1[[#This Row],[defense_snaps]] / Merge1[[#This Row],[team_defense_snaps]])</f>
        <v>0.9850746268656716</v>
      </c>
      <c r="V3256">
        <v>67</v>
      </c>
      <c r="W3256">
        <v>0</v>
      </c>
      <c r="X3256" s="5" t="s">
        <v>29</v>
      </c>
      <c r="Y3256">
        <v>2</v>
      </c>
      <c r="Z3256">
        <v>0</v>
      </c>
      <c r="AA3256" t="s">
        <v>25</v>
      </c>
      <c r="AB3256" t="s">
        <v>26</v>
      </c>
      <c r="AC3256" t="s">
        <v>27</v>
      </c>
      <c r="AD3256" t="s">
        <v>42</v>
      </c>
      <c r="AE3256" t="s">
        <v>25</v>
      </c>
      <c r="AF32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0.21212121212121213</v>
      </c>
      <c r="AG3256" t="s">
        <v>941</v>
      </c>
      <c r="AH3256">
        <v>78.5</v>
      </c>
      <c r="AI3256" t="s">
        <v>939</v>
      </c>
      <c r="AJ3256">
        <v>6</v>
      </c>
      <c r="AK32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MIN(AJ3256/8, 1) +
  Merge1[[#This Row],[index_defensive_effort]],
  2
)</f>
        <v>1.36</v>
      </c>
    </row>
    <row r="3257" spans="1:37" x14ac:dyDescent="0.25">
      <c r="A3257" t="s">
        <v>814</v>
      </c>
      <c r="B3257" t="s">
        <v>815</v>
      </c>
      <c r="C3257">
        <v>24</v>
      </c>
      <c r="D3257" t="s">
        <v>56</v>
      </c>
      <c r="E3257">
        <v>71</v>
      </c>
      <c r="F3257">
        <v>185</v>
      </c>
      <c r="G3257" t="s">
        <v>180</v>
      </c>
      <c r="H3257">
        <v>2020</v>
      </c>
      <c r="I3257" t="s">
        <v>33</v>
      </c>
      <c r="J3257">
        <v>15</v>
      </c>
      <c r="K3257">
        <v>2</v>
      </c>
      <c r="L3257">
        <v>1</v>
      </c>
      <c r="M3257">
        <v>0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66</v>
      </c>
      <c r="T3257">
        <v>66</v>
      </c>
      <c r="U3257" s="5">
        <f>IF(Merge1[[#This Row],[team_defense_snaps]]=0, "", Merge1[[#This Row],[defense_snaps]] / Merge1[[#This Row],[team_defense_snaps]])</f>
        <v>0.9850746268656716</v>
      </c>
      <c r="V3257">
        <v>67</v>
      </c>
      <c r="W3257">
        <v>0</v>
      </c>
      <c r="X3257" s="5" t="s">
        <v>29</v>
      </c>
      <c r="Y3257">
        <v>2</v>
      </c>
      <c r="Z3257">
        <v>0</v>
      </c>
      <c r="AA3257" t="s">
        <v>25</v>
      </c>
      <c r="AB3257" t="s">
        <v>36</v>
      </c>
      <c r="AC3257" t="s">
        <v>188</v>
      </c>
      <c r="AD3257" t="s">
        <v>42</v>
      </c>
      <c r="AE3257" t="s">
        <v>25</v>
      </c>
      <c r="AF32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3.787878787878788E-2</v>
      </c>
      <c r="AG3257" t="s">
        <v>941</v>
      </c>
      <c r="AH3257">
        <v>62</v>
      </c>
      <c r="AI3257" t="s">
        <v>939</v>
      </c>
      <c r="AJ3257">
        <v>7</v>
      </c>
      <c r="AK32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MIN(AJ3257/8, 1) +
  Merge1[[#This Row],[index_defensive_effort]],
  2
)</f>
        <v>1.31</v>
      </c>
    </row>
    <row r="3258" spans="1:37" x14ac:dyDescent="0.25">
      <c r="A3258" t="s">
        <v>814</v>
      </c>
      <c r="B3258" t="s">
        <v>815</v>
      </c>
      <c r="C3258">
        <v>24</v>
      </c>
      <c r="D3258" t="s">
        <v>56</v>
      </c>
      <c r="E3258">
        <v>71</v>
      </c>
      <c r="F3258">
        <v>185</v>
      </c>
      <c r="G3258" t="s">
        <v>180</v>
      </c>
      <c r="H3258">
        <v>2020</v>
      </c>
      <c r="I3258" t="s">
        <v>33</v>
      </c>
      <c r="J3258">
        <v>16</v>
      </c>
      <c r="K3258">
        <v>2</v>
      </c>
      <c r="L3258">
        <v>1</v>
      </c>
      <c r="M3258">
        <v>0</v>
      </c>
      <c r="N3258">
        <v>1</v>
      </c>
      <c r="O3258">
        <v>0</v>
      </c>
      <c r="P3258">
        <v>1</v>
      </c>
      <c r="Q3258">
        <v>0</v>
      </c>
      <c r="R3258">
        <v>0</v>
      </c>
      <c r="S3258">
        <v>71</v>
      </c>
      <c r="T3258">
        <v>71</v>
      </c>
      <c r="U3258" s="5">
        <f>IF(Merge1[[#This Row],[team_defense_snaps]]=0, "", Merge1[[#This Row],[defense_snaps]] / Merge1[[#This Row],[team_defense_snaps]])</f>
        <v>0.98611111111111116</v>
      </c>
      <c r="V3258">
        <v>72</v>
      </c>
      <c r="W3258">
        <v>0</v>
      </c>
      <c r="X3258" s="5" t="s">
        <v>29</v>
      </c>
      <c r="Y3258">
        <v>2</v>
      </c>
      <c r="Z3258">
        <v>0</v>
      </c>
      <c r="AA3258" t="s">
        <v>25</v>
      </c>
      <c r="AB3258" t="s">
        <v>26</v>
      </c>
      <c r="AC3258" t="s">
        <v>27</v>
      </c>
      <c r="AD3258" t="s">
        <v>42</v>
      </c>
      <c r="AE3258" t="s">
        <v>25</v>
      </c>
      <c r="AF32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6.3380281690140844E-2</v>
      </c>
      <c r="AG3258" t="s">
        <v>941</v>
      </c>
      <c r="AH3258">
        <v>80</v>
      </c>
      <c r="AI3258" t="s">
        <v>939</v>
      </c>
      <c r="AJ3258">
        <v>8</v>
      </c>
      <c r="AK32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MIN(AJ3258/8, 1) +
  Merge1[[#This Row],[index_defensive_effort]],
  2
)</f>
        <v>1.46</v>
      </c>
    </row>
    <row r="3259" spans="1:37" x14ac:dyDescent="0.25">
      <c r="A3259" t="s">
        <v>814</v>
      </c>
      <c r="B3259" t="s">
        <v>815</v>
      </c>
      <c r="C3259">
        <v>24</v>
      </c>
      <c r="D3259" t="s">
        <v>56</v>
      </c>
      <c r="E3259">
        <v>71</v>
      </c>
      <c r="F3259">
        <v>185</v>
      </c>
      <c r="G3259" t="s">
        <v>180</v>
      </c>
      <c r="H3259">
        <v>2020</v>
      </c>
      <c r="I3259" t="s">
        <v>33</v>
      </c>
      <c r="J3259">
        <v>17</v>
      </c>
      <c r="K3259">
        <v>4</v>
      </c>
      <c r="L3259">
        <v>4</v>
      </c>
      <c r="M3259">
        <v>3</v>
      </c>
      <c r="N3259">
        <v>7</v>
      </c>
      <c r="O3259">
        <v>0</v>
      </c>
      <c r="P3259">
        <v>0</v>
      </c>
      <c r="Q3259">
        <v>0</v>
      </c>
      <c r="R3259">
        <v>0</v>
      </c>
      <c r="S3259">
        <v>67</v>
      </c>
      <c r="T3259">
        <v>67</v>
      </c>
      <c r="U3259" s="5">
        <f>IF(Merge1[[#This Row],[team_defense_snaps]]=0, "", Merge1[[#This Row],[defense_snaps]] / Merge1[[#This Row],[team_defense_snaps]])</f>
        <v>0.98529411764705888</v>
      </c>
      <c r="V3259">
        <v>68</v>
      </c>
      <c r="W3259">
        <v>0</v>
      </c>
      <c r="X3259" s="5" t="s">
        <v>29</v>
      </c>
      <c r="Y3259">
        <v>2</v>
      </c>
      <c r="Z3259">
        <v>0</v>
      </c>
      <c r="AA3259" t="s">
        <v>25</v>
      </c>
      <c r="AB3259" t="s">
        <v>26</v>
      </c>
      <c r="AC3259" t="s">
        <v>27</v>
      </c>
      <c r="AD3259" t="s">
        <v>42</v>
      </c>
      <c r="AE3259" t="s">
        <v>25</v>
      </c>
      <c r="AF32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0.11194029850746269</v>
      </c>
      <c r="AG3259" t="s">
        <v>941</v>
      </c>
      <c r="AH3259">
        <v>74</v>
      </c>
      <c r="AI3259" t="s">
        <v>939</v>
      </c>
      <c r="AJ3259">
        <v>9</v>
      </c>
      <c r="AK32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MIN(AJ3259/8, 1) +
  Merge1[[#This Row],[index_defensive_effort]],
  2
)</f>
        <v>1.51</v>
      </c>
    </row>
    <row r="3260" spans="1:37" x14ac:dyDescent="0.25">
      <c r="A3260" t="s">
        <v>844</v>
      </c>
      <c r="B3260" t="s">
        <v>845</v>
      </c>
      <c r="C3260">
        <v>25</v>
      </c>
      <c r="D3260" t="s">
        <v>56</v>
      </c>
      <c r="E3260">
        <v>71</v>
      </c>
      <c r="F3260">
        <v>192</v>
      </c>
      <c r="G3260" t="s">
        <v>339</v>
      </c>
      <c r="H3260">
        <v>2020</v>
      </c>
      <c r="I3260" t="s">
        <v>33</v>
      </c>
      <c r="J3260">
        <v>1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47</v>
      </c>
      <c r="T3260">
        <v>44</v>
      </c>
      <c r="U3260" s="5">
        <f>IF(Merge1[[#This Row],[team_defense_snaps]]=0, "", Merge1[[#This Row],[defense_snaps]] / Merge1[[#This Row],[team_defense_snaps]])</f>
        <v>0.7857142857142857</v>
      </c>
      <c r="V3260">
        <v>56</v>
      </c>
      <c r="W3260">
        <v>3</v>
      </c>
      <c r="X3260" s="5" t="s">
        <v>251</v>
      </c>
      <c r="Y3260">
        <v>3</v>
      </c>
      <c r="Z3260">
        <v>0</v>
      </c>
      <c r="AA3260" t="s">
        <v>25</v>
      </c>
      <c r="AB3260" t="s">
        <v>26</v>
      </c>
      <c r="AC3260" t="s">
        <v>27</v>
      </c>
      <c r="AD3260" t="s">
        <v>42</v>
      </c>
      <c r="AE3260" t="s">
        <v>25</v>
      </c>
      <c r="AF32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260" t="s">
        <v>942</v>
      </c>
      <c r="AH3260">
        <v>50</v>
      </c>
      <c r="AI3260" t="s">
        <v>939</v>
      </c>
      <c r="AJ3260">
        <v>1</v>
      </c>
      <c r="AK32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MIN(AJ3260/8, 1) +
  Merge1[[#This Row],[index_defensive_effort]],
  2
)</f>
        <v>0.53</v>
      </c>
    </row>
    <row r="3261" spans="1:37" x14ac:dyDescent="0.25">
      <c r="A3261" t="s">
        <v>844</v>
      </c>
      <c r="B3261" t="s">
        <v>845</v>
      </c>
      <c r="C3261">
        <v>25</v>
      </c>
      <c r="D3261" t="s">
        <v>56</v>
      </c>
      <c r="E3261">
        <v>71</v>
      </c>
      <c r="F3261">
        <v>192</v>
      </c>
      <c r="G3261" t="s">
        <v>339</v>
      </c>
      <c r="H3261">
        <v>2020</v>
      </c>
      <c r="I3261" t="s">
        <v>33</v>
      </c>
      <c r="J3261">
        <v>2</v>
      </c>
      <c r="K3261">
        <v>3</v>
      </c>
      <c r="L3261">
        <v>1</v>
      </c>
      <c r="M3261">
        <v>1</v>
      </c>
      <c r="N3261">
        <v>2</v>
      </c>
      <c r="O3261">
        <v>0</v>
      </c>
      <c r="P3261">
        <v>0</v>
      </c>
      <c r="Q3261">
        <v>0</v>
      </c>
      <c r="R3261">
        <v>0</v>
      </c>
      <c r="S3261">
        <v>76</v>
      </c>
      <c r="T3261">
        <v>72</v>
      </c>
      <c r="U3261" s="5">
        <f>IF(Merge1[[#This Row],[team_defense_snaps]]=0, "", Merge1[[#This Row],[defense_snaps]] / Merge1[[#This Row],[team_defense_snaps]])</f>
        <v>0.96</v>
      </c>
      <c r="V3261">
        <v>75</v>
      </c>
      <c r="W3261">
        <v>4</v>
      </c>
      <c r="X3261" s="5" t="s">
        <v>209</v>
      </c>
      <c r="Y3261">
        <v>3</v>
      </c>
      <c r="Z3261">
        <v>0</v>
      </c>
      <c r="AA3261" t="s">
        <v>25</v>
      </c>
      <c r="AB3261" t="s">
        <v>26</v>
      </c>
      <c r="AC3261" t="s">
        <v>27</v>
      </c>
      <c r="AD3261" t="s">
        <v>42</v>
      </c>
      <c r="AE3261" t="s">
        <v>25</v>
      </c>
      <c r="AF32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5.2631578947368418E-2</v>
      </c>
      <c r="AG3261" t="s">
        <v>942</v>
      </c>
      <c r="AH3261">
        <v>51.5</v>
      </c>
      <c r="AI3261" t="s">
        <v>939</v>
      </c>
      <c r="AJ3261">
        <v>2</v>
      </c>
      <c r="AK32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MIN(AJ3261/8, 1) +
  Merge1[[#This Row],[index_defensive_effort]],
  2
)</f>
        <v>0.7</v>
      </c>
    </row>
    <row r="3262" spans="1:37" x14ac:dyDescent="0.25">
      <c r="A3262" t="s">
        <v>844</v>
      </c>
      <c r="B3262" t="s">
        <v>845</v>
      </c>
      <c r="C3262">
        <v>25</v>
      </c>
      <c r="D3262" t="s">
        <v>56</v>
      </c>
      <c r="E3262">
        <v>71</v>
      </c>
      <c r="F3262">
        <v>192</v>
      </c>
      <c r="G3262" t="s">
        <v>339</v>
      </c>
      <c r="H3262">
        <v>2020</v>
      </c>
      <c r="I3262" t="s">
        <v>33</v>
      </c>
      <c r="J3262">
        <v>3</v>
      </c>
      <c r="K3262">
        <v>1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74</v>
      </c>
      <c r="T3262">
        <v>69</v>
      </c>
      <c r="U3262" s="5">
        <f>IF(Merge1[[#This Row],[team_defense_snaps]]=0, "", Merge1[[#This Row],[defense_snaps]] / Merge1[[#This Row],[team_defense_snaps]])</f>
        <v>1</v>
      </c>
      <c r="V3262">
        <v>69</v>
      </c>
      <c r="W3262">
        <v>5</v>
      </c>
      <c r="X3262" s="5" t="s">
        <v>293</v>
      </c>
      <c r="Y3262">
        <v>3</v>
      </c>
      <c r="Z3262">
        <v>0</v>
      </c>
      <c r="AA3262" t="s">
        <v>25</v>
      </c>
      <c r="AB3262" t="s">
        <v>26</v>
      </c>
      <c r="AC3262" t="s">
        <v>27</v>
      </c>
      <c r="AD3262" t="s">
        <v>42</v>
      </c>
      <c r="AE3262" t="s">
        <v>25</v>
      </c>
      <c r="AF32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1.3513513513513514E-2</v>
      </c>
      <c r="AG3262" t="s">
        <v>942</v>
      </c>
      <c r="AH3262">
        <v>68</v>
      </c>
      <c r="AI3262" t="s">
        <v>939</v>
      </c>
      <c r="AJ3262">
        <v>3</v>
      </c>
      <c r="AK32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MIN(AJ3262/8, 1) +
  Merge1[[#This Row],[index_defensive_effort]],
  2
)</f>
        <v>0.79</v>
      </c>
    </row>
    <row r="3263" spans="1:37" x14ac:dyDescent="0.25">
      <c r="A3263" t="s">
        <v>844</v>
      </c>
      <c r="B3263" t="s">
        <v>845</v>
      </c>
      <c r="C3263">
        <v>25</v>
      </c>
      <c r="D3263" t="s">
        <v>56</v>
      </c>
      <c r="E3263">
        <v>71</v>
      </c>
      <c r="F3263">
        <v>192</v>
      </c>
      <c r="G3263" t="s">
        <v>339</v>
      </c>
      <c r="H3263">
        <v>2020</v>
      </c>
      <c r="I3263" t="s">
        <v>33</v>
      </c>
      <c r="J3263">
        <v>4</v>
      </c>
      <c r="K3263">
        <v>6</v>
      </c>
      <c r="L3263">
        <v>2</v>
      </c>
      <c r="M3263">
        <v>0</v>
      </c>
      <c r="N3263">
        <v>2</v>
      </c>
      <c r="O3263">
        <v>0</v>
      </c>
      <c r="P3263">
        <v>0</v>
      </c>
      <c r="Q3263">
        <v>0</v>
      </c>
      <c r="R3263">
        <v>0</v>
      </c>
      <c r="S3263">
        <v>79</v>
      </c>
      <c r="T3263">
        <v>74</v>
      </c>
      <c r="U3263" s="5">
        <f>IF(Merge1[[#This Row],[team_defense_snaps]]=0, "", Merge1[[#This Row],[defense_snaps]] / Merge1[[#This Row],[team_defense_snaps]])</f>
        <v>0.98666666666666669</v>
      </c>
      <c r="V3263">
        <v>75</v>
      </c>
      <c r="W3263">
        <v>5</v>
      </c>
      <c r="X3263" s="5" t="s">
        <v>59</v>
      </c>
      <c r="Y3263">
        <v>3</v>
      </c>
      <c r="Z3263">
        <v>0</v>
      </c>
      <c r="AA3263" t="s">
        <v>25</v>
      </c>
      <c r="AB3263" t="s">
        <v>26</v>
      </c>
      <c r="AC3263" t="s">
        <v>27</v>
      </c>
      <c r="AD3263" t="s">
        <v>42</v>
      </c>
      <c r="AE3263" t="s">
        <v>25</v>
      </c>
      <c r="AF32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8.8607594936708861E-2</v>
      </c>
      <c r="AG3263" t="s">
        <v>942</v>
      </c>
      <c r="AH3263">
        <v>56</v>
      </c>
      <c r="AI3263" t="s">
        <v>939</v>
      </c>
      <c r="AJ3263">
        <v>4</v>
      </c>
      <c r="AK32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MIN(AJ3263/8, 1) +
  Merge1[[#This Row],[index_defensive_effort]],
  2
)</f>
        <v>0.99</v>
      </c>
    </row>
    <row r="3264" spans="1:37" x14ac:dyDescent="0.25">
      <c r="A3264" t="s">
        <v>844</v>
      </c>
      <c r="B3264" t="s">
        <v>845</v>
      </c>
      <c r="C3264">
        <v>25</v>
      </c>
      <c r="D3264" t="s">
        <v>56</v>
      </c>
      <c r="E3264">
        <v>71</v>
      </c>
      <c r="F3264">
        <v>192</v>
      </c>
      <c r="G3264" t="s">
        <v>339</v>
      </c>
      <c r="H3264">
        <v>2020</v>
      </c>
      <c r="I3264" t="s">
        <v>33</v>
      </c>
      <c r="J3264">
        <v>6</v>
      </c>
      <c r="K3264">
        <v>4</v>
      </c>
      <c r="L3264">
        <v>1</v>
      </c>
      <c r="M3264">
        <v>1</v>
      </c>
      <c r="N3264">
        <v>2</v>
      </c>
      <c r="O3264">
        <v>0</v>
      </c>
      <c r="P3264">
        <v>0</v>
      </c>
      <c r="Q3264">
        <v>0</v>
      </c>
      <c r="R3264">
        <v>0</v>
      </c>
      <c r="S3264">
        <v>73</v>
      </c>
      <c r="T3264">
        <v>73</v>
      </c>
      <c r="U3264" s="5">
        <f>IF(Merge1[[#This Row],[team_defense_snaps]]=0, "", Merge1[[#This Row],[defense_snaps]] / Merge1[[#This Row],[team_defense_snaps]])</f>
        <v>0.97333333333333338</v>
      </c>
      <c r="V3264">
        <v>75</v>
      </c>
      <c r="W3264">
        <v>0</v>
      </c>
      <c r="X3264" s="5" t="s">
        <v>29</v>
      </c>
      <c r="Y3264">
        <v>3</v>
      </c>
      <c r="Z3264">
        <v>0</v>
      </c>
      <c r="AA3264" t="s">
        <v>25</v>
      </c>
      <c r="AB3264" t="s">
        <v>36</v>
      </c>
      <c r="AC3264" t="s">
        <v>163</v>
      </c>
      <c r="AD3264" t="s">
        <v>42</v>
      </c>
      <c r="AE3264" t="s">
        <v>25</v>
      </c>
      <c r="AF32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6.8493150684931503E-2</v>
      </c>
      <c r="AG3264" t="s">
        <v>942</v>
      </c>
      <c r="AH3264">
        <v>59</v>
      </c>
      <c r="AI3264" t="s">
        <v>939</v>
      </c>
      <c r="AJ3264">
        <v>1</v>
      </c>
      <c r="AK32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MIN(AJ3264/8, 1) +
  Merge1[[#This Row],[index_defensive_effort]],
  2
)</f>
        <v>0.59</v>
      </c>
    </row>
    <row r="3265" spans="1:37" x14ac:dyDescent="0.25">
      <c r="A3265" t="s">
        <v>844</v>
      </c>
      <c r="B3265" t="s">
        <v>845</v>
      </c>
      <c r="C3265">
        <v>25</v>
      </c>
      <c r="D3265" t="s">
        <v>56</v>
      </c>
      <c r="E3265">
        <v>71</v>
      </c>
      <c r="F3265">
        <v>192</v>
      </c>
      <c r="G3265" t="s">
        <v>339</v>
      </c>
      <c r="H3265">
        <v>2020</v>
      </c>
      <c r="I3265" t="s">
        <v>33</v>
      </c>
      <c r="J3265">
        <v>7</v>
      </c>
      <c r="K3265">
        <v>2</v>
      </c>
      <c r="L3265">
        <v>4</v>
      </c>
      <c r="M3265">
        <v>0</v>
      </c>
      <c r="N3265">
        <v>4</v>
      </c>
      <c r="O3265">
        <v>3</v>
      </c>
      <c r="P3265">
        <v>3</v>
      </c>
      <c r="Q3265">
        <v>0</v>
      </c>
      <c r="R3265">
        <v>0</v>
      </c>
      <c r="S3265">
        <v>57</v>
      </c>
      <c r="T3265">
        <v>57</v>
      </c>
      <c r="U3265" s="5">
        <f>IF(Merge1[[#This Row],[team_defense_snaps]]=0, "", Merge1[[#This Row],[defense_snaps]] / Merge1[[#This Row],[team_defense_snaps]])</f>
        <v>1</v>
      </c>
      <c r="V3265">
        <v>57</v>
      </c>
      <c r="W3265">
        <v>0</v>
      </c>
      <c r="X3265" s="5" t="s">
        <v>29</v>
      </c>
      <c r="Y3265">
        <v>3</v>
      </c>
      <c r="Z3265">
        <v>0</v>
      </c>
      <c r="AA3265" t="s">
        <v>25</v>
      </c>
      <c r="AB3265" t="s">
        <v>36</v>
      </c>
      <c r="AC3265" t="s">
        <v>163</v>
      </c>
      <c r="AD3265" t="s">
        <v>42</v>
      </c>
      <c r="AE3265" t="s">
        <v>25</v>
      </c>
      <c r="AF32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0.33333333333333331</v>
      </c>
      <c r="AG3265" t="s">
        <v>942</v>
      </c>
      <c r="AH3265">
        <v>45.5</v>
      </c>
      <c r="AI3265" t="s">
        <v>939</v>
      </c>
      <c r="AJ3265">
        <v>2</v>
      </c>
      <c r="AK32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MIN(AJ3265/8, 1) +
  Merge1[[#This Row],[index_defensive_effort]],
  2
)</f>
        <v>0.98</v>
      </c>
    </row>
    <row r="3266" spans="1:37" x14ac:dyDescent="0.25">
      <c r="A3266" t="s">
        <v>844</v>
      </c>
      <c r="B3266" t="s">
        <v>845</v>
      </c>
      <c r="C3266">
        <v>25</v>
      </c>
      <c r="D3266" t="s">
        <v>56</v>
      </c>
      <c r="E3266">
        <v>71</v>
      </c>
      <c r="F3266">
        <v>192</v>
      </c>
      <c r="G3266" t="s">
        <v>339</v>
      </c>
      <c r="H3266">
        <v>2020</v>
      </c>
      <c r="I3266" t="s">
        <v>33</v>
      </c>
      <c r="J3266">
        <v>8</v>
      </c>
      <c r="K3266">
        <v>3</v>
      </c>
      <c r="L3266">
        <v>1</v>
      </c>
      <c r="M3266">
        <v>1</v>
      </c>
      <c r="N3266">
        <v>2</v>
      </c>
      <c r="O3266">
        <v>0</v>
      </c>
      <c r="P3266">
        <v>0</v>
      </c>
      <c r="Q3266">
        <v>0</v>
      </c>
      <c r="R3266">
        <v>0</v>
      </c>
      <c r="S3266">
        <v>66</v>
      </c>
      <c r="T3266">
        <v>65</v>
      </c>
      <c r="U3266" s="5">
        <f>IF(Merge1[[#This Row],[team_defense_snaps]]=0, "", Merge1[[#This Row],[defense_snaps]] / Merge1[[#This Row],[team_defense_snaps]])</f>
        <v>1</v>
      </c>
      <c r="V3266">
        <v>65</v>
      </c>
      <c r="W3266">
        <v>1</v>
      </c>
      <c r="X3266" s="5" t="s">
        <v>193</v>
      </c>
      <c r="Y3266">
        <v>3</v>
      </c>
      <c r="Z3266">
        <v>0</v>
      </c>
      <c r="AA3266" t="s">
        <v>25</v>
      </c>
      <c r="AB3266" t="s">
        <v>26</v>
      </c>
      <c r="AC3266" t="s">
        <v>27</v>
      </c>
      <c r="AD3266" t="s">
        <v>42</v>
      </c>
      <c r="AE3266" t="s">
        <v>25</v>
      </c>
      <c r="AF32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6.0606060606060608E-2</v>
      </c>
      <c r="AG3266" t="s">
        <v>942</v>
      </c>
      <c r="AH3266">
        <v>48</v>
      </c>
      <c r="AI3266" t="s">
        <v>939</v>
      </c>
      <c r="AJ3266">
        <v>3</v>
      </c>
      <c r="AK32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MIN(AJ3266/8, 1) +
  Merge1[[#This Row],[index_defensive_effort]],
  2
)</f>
        <v>0.84</v>
      </c>
    </row>
    <row r="3267" spans="1:37" x14ac:dyDescent="0.25">
      <c r="A3267" t="s">
        <v>844</v>
      </c>
      <c r="B3267" t="s">
        <v>845</v>
      </c>
      <c r="C3267">
        <v>25</v>
      </c>
      <c r="D3267" t="s">
        <v>56</v>
      </c>
      <c r="E3267">
        <v>71</v>
      </c>
      <c r="F3267">
        <v>192</v>
      </c>
      <c r="G3267" t="s">
        <v>339</v>
      </c>
      <c r="H3267">
        <v>2020</v>
      </c>
      <c r="I3267" t="s">
        <v>33</v>
      </c>
      <c r="J3267">
        <v>9</v>
      </c>
      <c r="K3267">
        <v>7</v>
      </c>
      <c r="L3267">
        <v>3</v>
      </c>
      <c r="M3267">
        <v>3</v>
      </c>
      <c r="N3267">
        <v>6</v>
      </c>
      <c r="O3267">
        <v>0</v>
      </c>
      <c r="P3267">
        <v>0</v>
      </c>
      <c r="Q3267">
        <v>2</v>
      </c>
      <c r="R3267">
        <v>0</v>
      </c>
      <c r="S3267">
        <v>61</v>
      </c>
      <c r="T3267">
        <v>61</v>
      </c>
      <c r="U3267" s="5">
        <f>IF(Merge1[[#This Row],[team_defense_snaps]]=0, "", Merge1[[#This Row],[defense_snaps]] / Merge1[[#This Row],[team_defense_snaps]])</f>
        <v>0.91044776119402981</v>
      </c>
      <c r="V3267">
        <v>67</v>
      </c>
      <c r="W3267">
        <v>0</v>
      </c>
      <c r="X3267" s="5" t="s">
        <v>29</v>
      </c>
      <c r="Y3267">
        <v>3</v>
      </c>
      <c r="Z3267">
        <v>0</v>
      </c>
      <c r="AA3267" t="s">
        <v>25</v>
      </c>
      <c r="AB3267" t="s">
        <v>26</v>
      </c>
      <c r="AC3267" t="s">
        <v>27</v>
      </c>
      <c r="AD3267" t="s">
        <v>42</v>
      </c>
      <c r="AE3267" t="s">
        <v>25</v>
      </c>
      <c r="AF32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0.29508196721311475</v>
      </c>
      <c r="AG3267" t="s">
        <v>942</v>
      </c>
      <c r="AH3267">
        <v>48</v>
      </c>
      <c r="AI3267" t="s">
        <v>939</v>
      </c>
      <c r="AJ3267">
        <v>4</v>
      </c>
      <c r="AK32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MIN(AJ3267/8, 1) +
  Merge1[[#This Row],[index_defensive_effort]],
  2
)</f>
        <v>1.2</v>
      </c>
    </row>
    <row r="3268" spans="1:37" x14ac:dyDescent="0.25">
      <c r="A3268" t="s">
        <v>844</v>
      </c>
      <c r="B3268" t="s">
        <v>845</v>
      </c>
      <c r="C3268">
        <v>25</v>
      </c>
      <c r="D3268" t="s">
        <v>56</v>
      </c>
      <c r="E3268">
        <v>71</v>
      </c>
      <c r="F3268">
        <v>192</v>
      </c>
      <c r="G3268" t="s">
        <v>339</v>
      </c>
      <c r="H3268">
        <v>2020</v>
      </c>
      <c r="I3268" t="s">
        <v>33</v>
      </c>
      <c r="J3268">
        <v>10</v>
      </c>
      <c r="K3268">
        <v>3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76</v>
      </c>
      <c r="T3268">
        <v>73</v>
      </c>
      <c r="U3268" s="5">
        <f>IF(Merge1[[#This Row],[team_defense_snaps]]=0, "", Merge1[[#This Row],[defense_snaps]] / Merge1[[#This Row],[team_defense_snaps]])</f>
        <v>0.97333333333333338</v>
      </c>
      <c r="V3268">
        <v>75</v>
      </c>
      <c r="W3268">
        <v>3</v>
      </c>
      <c r="X3268" s="5" t="s">
        <v>250</v>
      </c>
      <c r="Y3268">
        <v>3</v>
      </c>
      <c r="Z3268">
        <v>0</v>
      </c>
      <c r="AA3268" t="s">
        <v>25</v>
      </c>
      <c r="AB3268" t="s">
        <v>26</v>
      </c>
      <c r="AC3268" t="s">
        <v>27</v>
      </c>
      <c r="AD3268" t="s">
        <v>42</v>
      </c>
      <c r="AE3268" t="s">
        <v>25</v>
      </c>
      <c r="AF32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3.9473684210526314E-2</v>
      </c>
      <c r="AG3268" t="s">
        <v>942</v>
      </c>
      <c r="AH3268">
        <v>60.5</v>
      </c>
      <c r="AI3268" t="s">
        <v>939</v>
      </c>
      <c r="AJ3268">
        <v>5</v>
      </c>
      <c r="AK32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MIN(AJ3268/8, 1) +
  Merge1[[#This Row],[index_defensive_effort]],
  2
)</f>
        <v>1.06</v>
      </c>
    </row>
    <row r="3269" spans="1:37" x14ac:dyDescent="0.25">
      <c r="A3269" t="s">
        <v>844</v>
      </c>
      <c r="B3269" t="s">
        <v>845</v>
      </c>
      <c r="C3269">
        <v>25</v>
      </c>
      <c r="D3269" t="s">
        <v>56</v>
      </c>
      <c r="E3269">
        <v>71</v>
      </c>
      <c r="F3269">
        <v>192</v>
      </c>
      <c r="G3269" t="s">
        <v>339</v>
      </c>
      <c r="H3269">
        <v>2020</v>
      </c>
      <c r="I3269" t="s">
        <v>33</v>
      </c>
      <c r="J3269">
        <v>12</v>
      </c>
      <c r="K3269">
        <v>6</v>
      </c>
      <c r="L3269">
        <v>4</v>
      </c>
      <c r="M3269">
        <v>0</v>
      </c>
      <c r="N3269">
        <v>4</v>
      </c>
      <c r="O3269">
        <v>0</v>
      </c>
      <c r="P3269">
        <v>0</v>
      </c>
      <c r="Q3269">
        <v>2</v>
      </c>
      <c r="R3269">
        <v>0</v>
      </c>
      <c r="S3269">
        <v>85</v>
      </c>
      <c r="T3269">
        <v>82</v>
      </c>
      <c r="U3269" s="5">
        <f>IF(Merge1[[#This Row],[team_defense_snaps]]=0, "", Merge1[[#This Row],[defense_snaps]] / Merge1[[#This Row],[team_defense_snaps]])</f>
        <v>0.98795180722891562</v>
      </c>
      <c r="V3269">
        <v>83</v>
      </c>
      <c r="W3269">
        <v>3</v>
      </c>
      <c r="X3269" s="5" t="s">
        <v>35</v>
      </c>
      <c r="Y3269">
        <v>3</v>
      </c>
      <c r="Z3269">
        <v>0</v>
      </c>
      <c r="AA3269" t="s">
        <v>25</v>
      </c>
      <c r="AB3269" t="s">
        <v>26</v>
      </c>
      <c r="AC3269" t="s">
        <v>27</v>
      </c>
      <c r="AD3269" t="s">
        <v>42</v>
      </c>
      <c r="AE3269" t="s">
        <v>25</v>
      </c>
      <c r="AF32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0.18823529411764706</v>
      </c>
      <c r="AG3269" t="s">
        <v>942</v>
      </c>
      <c r="AH3269">
        <v>48</v>
      </c>
      <c r="AI3269" t="s">
        <v>939</v>
      </c>
      <c r="AJ3269">
        <v>1</v>
      </c>
      <c r="AK32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MIN(AJ3269/8, 1) +
  Merge1[[#This Row],[index_defensive_effort]],
  2
)</f>
        <v>0.71</v>
      </c>
    </row>
    <row r="3270" spans="1:37" x14ac:dyDescent="0.25">
      <c r="A3270" t="s">
        <v>844</v>
      </c>
      <c r="B3270" t="s">
        <v>845</v>
      </c>
      <c r="C3270">
        <v>25</v>
      </c>
      <c r="D3270" t="s">
        <v>56</v>
      </c>
      <c r="E3270">
        <v>71</v>
      </c>
      <c r="F3270">
        <v>192</v>
      </c>
      <c r="G3270" t="s">
        <v>339</v>
      </c>
      <c r="H3270">
        <v>2020</v>
      </c>
      <c r="I3270" t="s">
        <v>33</v>
      </c>
      <c r="J3270">
        <v>13</v>
      </c>
      <c r="K3270">
        <v>4</v>
      </c>
      <c r="L3270">
        <v>2</v>
      </c>
      <c r="M3270">
        <v>1</v>
      </c>
      <c r="N3270">
        <v>3</v>
      </c>
      <c r="O3270">
        <v>0</v>
      </c>
      <c r="P3270">
        <v>0</v>
      </c>
      <c r="Q3270">
        <v>2</v>
      </c>
      <c r="R3270">
        <v>0</v>
      </c>
      <c r="S3270">
        <v>64</v>
      </c>
      <c r="T3270">
        <v>60</v>
      </c>
      <c r="U3270" s="5">
        <f>IF(Merge1[[#This Row],[team_defense_snaps]]=0, "", Merge1[[#This Row],[defense_snaps]] / Merge1[[#This Row],[team_defense_snaps]])</f>
        <v>0.98360655737704916</v>
      </c>
      <c r="V3270">
        <v>61</v>
      </c>
      <c r="W3270">
        <v>4</v>
      </c>
      <c r="X3270" s="5" t="s">
        <v>124</v>
      </c>
      <c r="Y3270">
        <v>3</v>
      </c>
      <c r="Z3270">
        <v>0</v>
      </c>
      <c r="AA3270" t="s">
        <v>25</v>
      </c>
      <c r="AB3270" t="s">
        <v>26</v>
      </c>
      <c r="AC3270" t="s">
        <v>27</v>
      </c>
      <c r="AD3270" t="s">
        <v>42</v>
      </c>
      <c r="AE3270" t="s">
        <v>25</v>
      </c>
      <c r="AF32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0.2109375</v>
      </c>
      <c r="AG3270" t="s">
        <v>942</v>
      </c>
      <c r="AH3270">
        <v>54.5</v>
      </c>
      <c r="AI3270" t="s">
        <v>939</v>
      </c>
      <c r="AJ3270">
        <v>2</v>
      </c>
      <c r="AK32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MIN(AJ3270/8, 1) +
  Merge1[[#This Row],[index_defensive_effort]],
  2
)</f>
        <v>0.86</v>
      </c>
    </row>
    <row r="3271" spans="1:37" x14ac:dyDescent="0.25">
      <c r="A3271" t="s">
        <v>844</v>
      </c>
      <c r="B3271" t="s">
        <v>845</v>
      </c>
      <c r="C3271">
        <v>25</v>
      </c>
      <c r="D3271" t="s">
        <v>56</v>
      </c>
      <c r="E3271">
        <v>71</v>
      </c>
      <c r="F3271">
        <v>192</v>
      </c>
      <c r="G3271" t="s">
        <v>339</v>
      </c>
      <c r="H3271">
        <v>2020</v>
      </c>
      <c r="I3271" t="s">
        <v>33</v>
      </c>
      <c r="J3271">
        <v>14</v>
      </c>
      <c r="K3271">
        <v>3</v>
      </c>
      <c r="L3271">
        <v>1</v>
      </c>
      <c r="M3271">
        <v>0</v>
      </c>
      <c r="N3271">
        <v>1</v>
      </c>
      <c r="O3271">
        <v>0</v>
      </c>
      <c r="P3271">
        <v>2</v>
      </c>
      <c r="Q3271">
        <v>0</v>
      </c>
      <c r="R3271">
        <v>0</v>
      </c>
      <c r="S3271">
        <v>59</v>
      </c>
      <c r="T3271">
        <v>57</v>
      </c>
      <c r="U3271" s="5">
        <f>IF(Merge1[[#This Row],[team_defense_snaps]]=0, "", Merge1[[#This Row],[defense_snaps]] / Merge1[[#This Row],[team_defense_snaps]])</f>
        <v>1</v>
      </c>
      <c r="V3271">
        <v>57</v>
      </c>
      <c r="W3271">
        <v>2</v>
      </c>
      <c r="X3271" s="5" t="s">
        <v>208</v>
      </c>
      <c r="Y3271">
        <v>3</v>
      </c>
      <c r="Z3271">
        <v>0</v>
      </c>
      <c r="AA3271" t="s">
        <v>25</v>
      </c>
      <c r="AB3271" t="s">
        <v>26</v>
      </c>
      <c r="AC3271" t="s">
        <v>27</v>
      </c>
      <c r="AD3271" t="s">
        <v>42</v>
      </c>
      <c r="AE3271" t="s">
        <v>25</v>
      </c>
      <c r="AF32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0.1271186440677966</v>
      </c>
      <c r="AG3271" t="s">
        <v>942</v>
      </c>
      <c r="AH3271">
        <v>57.5</v>
      </c>
      <c r="AI3271" t="s">
        <v>939</v>
      </c>
      <c r="AJ3271">
        <v>3</v>
      </c>
      <c r="AK32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MIN(AJ3271/8, 1) +
  Merge1[[#This Row],[index_defensive_effort]],
  2
)</f>
        <v>0.9</v>
      </c>
    </row>
    <row r="3272" spans="1:37" x14ac:dyDescent="0.25">
      <c r="A3272" t="s">
        <v>844</v>
      </c>
      <c r="B3272" t="s">
        <v>845</v>
      </c>
      <c r="C3272">
        <v>25</v>
      </c>
      <c r="D3272" t="s">
        <v>56</v>
      </c>
      <c r="E3272">
        <v>71</v>
      </c>
      <c r="F3272">
        <v>192</v>
      </c>
      <c r="G3272" t="s">
        <v>339</v>
      </c>
      <c r="H3272">
        <v>2020</v>
      </c>
      <c r="I3272" t="s">
        <v>33</v>
      </c>
      <c r="J3272">
        <v>15</v>
      </c>
      <c r="K3272">
        <v>6</v>
      </c>
      <c r="L3272">
        <v>0</v>
      </c>
      <c r="M3272">
        <v>0</v>
      </c>
      <c r="N3272">
        <v>0</v>
      </c>
      <c r="O3272">
        <v>3</v>
      </c>
      <c r="P3272">
        <v>3</v>
      </c>
      <c r="Q3272">
        <v>0</v>
      </c>
      <c r="R3272">
        <v>4</v>
      </c>
      <c r="S3272">
        <v>50</v>
      </c>
      <c r="T3272">
        <v>47</v>
      </c>
      <c r="U3272" s="5">
        <f>IF(Merge1[[#This Row],[team_defense_snaps]]=0, "", Merge1[[#This Row],[defense_snaps]] / Merge1[[#This Row],[team_defense_snaps]])</f>
        <v>0.72307692307692306</v>
      </c>
      <c r="V3272">
        <v>65</v>
      </c>
      <c r="W3272">
        <v>3</v>
      </c>
      <c r="X3272" s="5" t="s">
        <v>250</v>
      </c>
      <c r="Y3272">
        <v>3</v>
      </c>
      <c r="Z3272">
        <v>0</v>
      </c>
      <c r="AA3272" t="s">
        <v>25</v>
      </c>
      <c r="AB3272" t="s">
        <v>26</v>
      </c>
      <c r="AC3272" t="s">
        <v>27</v>
      </c>
      <c r="AD3272" t="s">
        <v>42</v>
      </c>
      <c r="AE3272" t="s">
        <v>25</v>
      </c>
      <c r="AF32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0.57999999999999996</v>
      </c>
      <c r="AG3272" t="s">
        <v>942</v>
      </c>
      <c r="AH3272">
        <v>47</v>
      </c>
      <c r="AI3272" t="s">
        <v>939</v>
      </c>
      <c r="AJ3272">
        <v>4</v>
      </c>
      <c r="AK32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MIN(AJ3272/8, 1) +
  Merge1[[#This Row],[index_defensive_effort]],
  2
)</f>
        <v>1.48</v>
      </c>
    </row>
    <row r="3273" spans="1:37" x14ac:dyDescent="0.25">
      <c r="A3273" t="s">
        <v>844</v>
      </c>
      <c r="B3273" t="s">
        <v>845</v>
      </c>
      <c r="C3273">
        <v>25</v>
      </c>
      <c r="D3273" t="s">
        <v>56</v>
      </c>
      <c r="E3273">
        <v>71</v>
      </c>
      <c r="F3273">
        <v>192</v>
      </c>
      <c r="G3273" t="s">
        <v>339</v>
      </c>
      <c r="H3273">
        <v>2020</v>
      </c>
      <c r="I3273" t="s">
        <v>33</v>
      </c>
      <c r="J3273">
        <v>16</v>
      </c>
      <c r="K3273">
        <v>2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48</v>
      </c>
      <c r="T3273">
        <v>44</v>
      </c>
      <c r="U3273" s="5">
        <f>IF(Merge1[[#This Row],[team_defense_snaps]]=0, "", Merge1[[#This Row],[defense_snaps]] / Merge1[[#This Row],[team_defense_snaps]])</f>
        <v>0.88</v>
      </c>
      <c r="V3273">
        <v>50</v>
      </c>
      <c r="W3273">
        <v>4</v>
      </c>
      <c r="X3273" s="5" t="s">
        <v>212</v>
      </c>
      <c r="Y3273">
        <v>3</v>
      </c>
      <c r="Z3273">
        <v>0</v>
      </c>
      <c r="AA3273" t="s">
        <v>25</v>
      </c>
      <c r="AB3273" t="s">
        <v>26</v>
      </c>
      <c r="AC3273" t="s">
        <v>27</v>
      </c>
      <c r="AD3273" t="s">
        <v>42</v>
      </c>
      <c r="AE3273" t="s">
        <v>25</v>
      </c>
      <c r="AF32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3273" t="s">
        <v>942</v>
      </c>
      <c r="AH3273">
        <v>48.5</v>
      </c>
      <c r="AI3273" t="s">
        <v>939</v>
      </c>
      <c r="AJ3273">
        <v>5</v>
      </c>
      <c r="AK32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MIN(AJ3273/8, 1) +
  Merge1[[#This Row],[index_defensive_effort]],
  2
)</f>
        <v>1.07</v>
      </c>
    </row>
    <row r="3274" spans="1:37" x14ac:dyDescent="0.25">
      <c r="A3274" t="s">
        <v>844</v>
      </c>
      <c r="B3274" t="s">
        <v>845</v>
      </c>
      <c r="C3274">
        <v>25</v>
      </c>
      <c r="D3274" t="s">
        <v>56</v>
      </c>
      <c r="E3274">
        <v>71</v>
      </c>
      <c r="F3274">
        <v>192</v>
      </c>
      <c r="G3274" t="s">
        <v>339</v>
      </c>
      <c r="H3274">
        <v>2020</v>
      </c>
      <c r="I3274" t="s">
        <v>24</v>
      </c>
      <c r="J3274">
        <v>18</v>
      </c>
      <c r="K3274">
        <v>5</v>
      </c>
      <c r="L3274">
        <v>2</v>
      </c>
      <c r="M3274">
        <v>1</v>
      </c>
      <c r="N3274">
        <v>3</v>
      </c>
      <c r="O3274">
        <v>0</v>
      </c>
      <c r="P3274">
        <v>0</v>
      </c>
      <c r="Q3274">
        <v>0</v>
      </c>
      <c r="R3274">
        <v>0</v>
      </c>
      <c r="S3274">
        <v>84</v>
      </c>
      <c r="T3274">
        <v>79</v>
      </c>
      <c r="U3274" s="5">
        <f>IF(Merge1[[#This Row],[team_defense_snaps]]=0, "", Merge1[[#This Row],[defense_snaps]] / Merge1[[#This Row],[team_defense_snaps]])</f>
        <v>1</v>
      </c>
      <c r="V3274">
        <v>79</v>
      </c>
      <c r="W3274">
        <v>5</v>
      </c>
      <c r="X3274" s="5" t="s">
        <v>59</v>
      </c>
      <c r="Y3274">
        <v>3</v>
      </c>
      <c r="Z3274">
        <v>0</v>
      </c>
      <c r="AA3274" t="s">
        <v>25</v>
      </c>
      <c r="AB3274" t="s">
        <v>26</v>
      </c>
      <c r="AC3274" t="s">
        <v>27</v>
      </c>
      <c r="AD3274" t="s">
        <v>42</v>
      </c>
      <c r="AE3274" t="s">
        <v>25</v>
      </c>
      <c r="AF32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7.7380952380952384E-2</v>
      </c>
      <c r="AG3274" t="s">
        <v>942</v>
      </c>
      <c r="AH3274">
        <v>63.5</v>
      </c>
      <c r="AI3274" t="s">
        <v>939</v>
      </c>
      <c r="AJ3274">
        <v>1</v>
      </c>
      <c r="AK32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MIN(AJ3274/8, 1) +
  Merge1[[#This Row],[index_defensive_effort]],
  2
)</f>
        <v>0.8</v>
      </c>
    </row>
    <row r="3275" spans="1:37" x14ac:dyDescent="0.25">
      <c r="A3275" t="s">
        <v>844</v>
      </c>
      <c r="B3275" t="s">
        <v>845</v>
      </c>
      <c r="C3275">
        <v>25</v>
      </c>
      <c r="D3275" t="s">
        <v>56</v>
      </c>
      <c r="E3275">
        <v>71</v>
      </c>
      <c r="F3275">
        <v>192</v>
      </c>
      <c r="G3275" t="s">
        <v>339</v>
      </c>
      <c r="H3275">
        <v>2020</v>
      </c>
      <c r="I3275" t="s">
        <v>24</v>
      </c>
      <c r="J3275">
        <v>19</v>
      </c>
      <c r="K3275">
        <v>6</v>
      </c>
      <c r="L3275">
        <v>1</v>
      </c>
      <c r="M3275">
        <v>0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79</v>
      </c>
      <c r="T3275">
        <v>76</v>
      </c>
      <c r="U3275" s="5">
        <f>IF(Merge1[[#This Row],[team_defense_snaps]]=0, "", Merge1[[#This Row],[defense_snaps]] / Merge1[[#This Row],[team_defense_snaps]])</f>
        <v>1</v>
      </c>
      <c r="V3275">
        <v>76</v>
      </c>
      <c r="W3275">
        <v>3</v>
      </c>
      <c r="X3275" s="5" t="s">
        <v>251</v>
      </c>
      <c r="Y3275">
        <v>3</v>
      </c>
      <c r="Z3275">
        <v>0</v>
      </c>
      <c r="AA3275" t="s">
        <v>25</v>
      </c>
      <c r="AB3275" t="s">
        <v>26</v>
      </c>
      <c r="AC3275" t="s">
        <v>27</v>
      </c>
      <c r="AD3275" t="s">
        <v>42</v>
      </c>
      <c r="AE3275" t="s">
        <v>25</v>
      </c>
      <c r="AF32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8.2278481012658222E-2</v>
      </c>
      <c r="AG3275" t="s">
        <v>942</v>
      </c>
      <c r="AH3275">
        <v>65</v>
      </c>
      <c r="AI3275" t="s">
        <v>939</v>
      </c>
      <c r="AJ3275">
        <v>2</v>
      </c>
      <c r="AK32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MIN(AJ3275/8, 1) +
  Merge1[[#This Row],[index_defensive_effort]],
  2
)</f>
        <v>0.93</v>
      </c>
    </row>
    <row r="3276" spans="1:37" x14ac:dyDescent="0.25">
      <c r="A3276" t="s">
        <v>844</v>
      </c>
      <c r="B3276" t="s">
        <v>845</v>
      </c>
      <c r="C3276">
        <v>25</v>
      </c>
      <c r="D3276" t="s">
        <v>56</v>
      </c>
      <c r="E3276">
        <v>71</v>
      </c>
      <c r="F3276">
        <v>192</v>
      </c>
      <c r="G3276" t="s">
        <v>339</v>
      </c>
      <c r="H3276">
        <v>2020</v>
      </c>
      <c r="I3276" t="s">
        <v>24</v>
      </c>
      <c r="J3276">
        <v>20</v>
      </c>
      <c r="K3276">
        <v>4</v>
      </c>
      <c r="L3276">
        <v>3</v>
      </c>
      <c r="M3276">
        <v>0</v>
      </c>
      <c r="N3276">
        <v>3</v>
      </c>
      <c r="O3276">
        <v>0</v>
      </c>
      <c r="P3276">
        <v>0</v>
      </c>
      <c r="Q3276">
        <v>0</v>
      </c>
      <c r="R3276">
        <v>0</v>
      </c>
      <c r="S3276">
        <v>71</v>
      </c>
      <c r="T3276">
        <v>65</v>
      </c>
      <c r="U3276" s="5">
        <f>IF(Merge1[[#This Row],[team_defense_snaps]]=0, "", Merge1[[#This Row],[defense_snaps]] / Merge1[[#This Row],[team_defense_snaps]])</f>
        <v>1</v>
      </c>
      <c r="V3276">
        <v>65</v>
      </c>
      <c r="W3276">
        <v>6</v>
      </c>
      <c r="X3276" s="5" t="s">
        <v>293</v>
      </c>
      <c r="Y3276">
        <v>3</v>
      </c>
      <c r="Z3276">
        <v>0</v>
      </c>
      <c r="AA3276" t="s">
        <v>25</v>
      </c>
      <c r="AB3276" t="s">
        <v>26</v>
      </c>
      <c r="AC3276" t="s">
        <v>27</v>
      </c>
      <c r="AD3276" t="s">
        <v>42</v>
      </c>
      <c r="AE3276" t="s">
        <v>25</v>
      </c>
      <c r="AF32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7.746478873239436E-2</v>
      </c>
      <c r="AG3276" t="s">
        <v>942</v>
      </c>
      <c r="AH3276">
        <v>66.5</v>
      </c>
      <c r="AI3276" t="s">
        <v>939</v>
      </c>
      <c r="AJ3276">
        <v>3</v>
      </c>
      <c r="AK32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MIN(AJ3276/8, 1) +
  Merge1[[#This Row],[index_defensive_effort]],
  2
)</f>
        <v>1.05</v>
      </c>
    </row>
    <row r="3277" spans="1:37" x14ac:dyDescent="0.25">
      <c r="A3277" t="s">
        <v>804</v>
      </c>
      <c r="B3277" t="s">
        <v>805</v>
      </c>
      <c r="C3277">
        <v>22</v>
      </c>
      <c r="D3277" t="s">
        <v>56</v>
      </c>
      <c r="E3277">
        <v>74</v>
      </c>
      <c r="F3277">
        <v>195</v>
      </c>
      <c r="G3277" t="s">
        <v>78</v>
      </c>
      <c r="H3277">
        <v>2020</v>
      </c>
      <c r="I3277" t="s">
        <v>33</v>
      </c>
      <c r="J3277">
        <v>1</v>
      </c>
      <c r="K3277">
        <v>2</v>
      </c>
      <c r="L3277">
        <v>1</v>
      </c>
      <c r="M3277">
        <v>0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79</v>
      </c>
      <c r="T3277">
        <v>73</v>
      </c>
      <c r="U3277" s="5">
        <f>IF(Merge1[[#This Row],[team_defense_snaps]]=0, "", Merge1[[#This Row],[defense_snaps]] / Merge1[[#This Row],[team_defense_snaps]])</f>
        <v>1</v>
      </c>
      <c r="V3277">
        <v>73</v>
      </c>
      <c r="W3277">
        <v>6</v>
      </c>
      <c r="X3277" s="5" t="s">
        <v>133</v>
      </c>
      <c r="Y3277">
        <v>0</v>
      </c>
      <c r="Z3277">
        <v>0</v>
      </c>
      <c r="AA3277" t="s">
        <v>25</v>
      </c>
      <c r="AB3277" t="s">
        <v>26</v>
      </c>
      <c r="AC3277" t="s">
        <v>27</v>
      </c>
      <c r="AD3277" t="s">
        <v>42</v>
      </c>
      <c r="AE3277" t="s">
        <v>25</v>
      </c>
      <c r="AF32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3.1645569620253167E-2</v>
      </c>
      <c r="AG3277" t="s">
        <v>942</v>
      </c>
      <c r="AH3277">
        <v>79</v>
      </c>
      <c r="AI3277" t="s">
        <v>939</v>
      </c>
      <c r="AJ3277">
        <v>1</v>
      </c>
      <c r="AK32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MIN(AJ3277/8, 1) +
  Merge1[[#This Row],[index_defensive_effort]],
  2
)</f>
        <v>0.56000000000000005</v>
      </c>
    </row>
    <row r="3278" spans="1:37" x14ac:dyDescent="0.25">
      <c r="A3278" t="s">
        <v>804</v>
      </c>
      <c r="B3278" t="s">
        <v>805</v>
      </c>
      <c r="C3278">
        <v>22</v>
      </c>
      <c r="D3278" t="s">
        <v>56</v>
      </c>
      <c r="E3278">
        <v>74</v>
      </c>
      <c r="F3278">
        <v>195</v>
      </c>
      <c r="G3278" t="s">
        <v>78</v>
      </c>
      <c r="H3278">
        <v>2020</v>
      </c>
      <c r="I3278" t="s">
        <v>33</v>
      </c>
      <c r="J3278">
        <v>2</v>
      </c>
      <c r="K3278">
        <v>6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82</v>
      </c>
      <c r="T3278">
        <v>75</v>
      </c>
      <c r="U3278" s="5">
        <f>IF(Merge1[[#This Row],[team_defense_snaps]]=0, "", Merge1[[#This Row],[defense_snaps]] / Merge1[[#This Row],[team_defense_snaps]])</f>
        <v>0.98684210526315785</v>
      </c>
      <c r="V3278">
        <v>76</v>
      </c>
      <c r="W3278">
        <v>7</v>
      </c>
      <c r="X3278" s="5" t="s">
        <v>59</v>
      </c>
      <c r="Y3278">
        <v>0</v>
      </c>
      <c r="Z3278">
        <v>0</v>
      </c>
      <c r="AA3278" t="s">
        <v>25</v>
      </c>
      <c r="AB3278" t="s">
        <v>26</v>
      </c>
      <c r="AC3278" t="s">
        <v>27</v>
      </c>
      <c r="AD3278" t="s">
        <v>42</v>
      </c>
      <c r="AE3278" t="s">
        <v>25</v>
      </c>
      <c r="AF32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7.3170731707317069E-2</v>
      </c>
      <c r="AG3278" t="s">
        <v>942</v>
      </c>
      <c r="AH3278">
        <v>74.5</v>
      </c>
      <c r="AI3278" t="s">
        <v>939</v>
      </c>
      <c r="AJ3278">
        <v>2</v>
      </c>
      <c r="AK32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MIN(AJ3278/8, 1) +
  Merge1[[#This Row],[index_defensive_effort]],
  2
)</f>
        <v>0.72</v>
      </c>
    </row>
    <row r="3279" spans="1:37" x14ac:dyDescent="0.25">
      <c r="A3279" t="s">
        <v>804</v>
      </c>
      <c r="B3279" t="s">
        <v>805</v>
      </c>
      <c r="C3279">
        <v>22</v>
      </c>
      <c r="D3279" t="s">
        <v>56</v>
      </c>
      <c r="E3279">
        <v>74</v>
      </c>
      <c r="F3279">
        <v>195</v>
      </c>
      <c r="G3279" t="s">
        <v>78</v>
      </c>
      <c r="H3279">
        <v>2020</v>
      </c>
      <c r="I3279" t="s">
        <v>33</v>
      </c>
      <c r="J3279">
        <v>3</v>
      </c>
      <c r="K3279">
        <v>8</v>
      </c>
      <c r="L3279">
        <v>1</v>
      </c>
      <c r="M3279">
        <v>1</v>
      </c>
      <c r="N3279">
        <v>2</v>
      </c>
      <c r="O3279">
        <v>0</v>
      </c>
      <c r="P3279">
        <v>0</v>
      </c>
      <c r="Q3279">
        <v>0</v>
      </c>
      <c r="R3279">
        <v>2</v>
      </c>
      <c r="S3279">
        <v>77</v>
      </c>
      <c r="T3279">
        <v>76</v>
      </c>
      <c r="U3279" s="5">
        <f>IF(Merge1[[#This Row],[team_defense_snaps]]=0, "", Merge1[[#This Row],[defense_snaps]] / Merge1[[#This Row],[team_defense_snaps]])</f>
        <v>1</v>
      </c>
      <c r="V3279">
        <v>76</v>
      </c>
      <c r="W3279">
        <v>1</v>
      </c>
      <c r="X3279" s="5" t="s">
        <v>303</v>
      </c>
      <c r="Y3279">
        <v>0</v>
      </c>
      <c r="Z3279">
        <v>0</v>
      </c>
      <c r="AA3279" t="s">
        <v>25</v>
      </c>
      <c r="AB3279" t="s">
        <v>26</v>
      </c>
      <c r="AC3279" t="s">
        <v>27</v>
      </c>
      <c r="AD3279" t="s">
        <v>42</v>
      </c>
      <c r="AE3279" t="s">
        <v>25</v>
      </c>
      <c r="AF32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0.16883116883116883</v>
      </c>
      <c r="AG3279" t="s">
        <v>942</v>
      </c>
      <c r="AH3279">
        <v>82</v>
      </c>
      <c r="AI3279" t="s">
        <v>939</v>
      </c>
      <c r="AJ3279">
        <v>3</v>
      </c>
      <c r="AK32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MIN(AJ3279/8, 1) +
  Merge1[[#This Row],[index_defensive_effort]],
  2
)</f>
        <v>0.94</v>
      </c>
    </row>
    <row r="3280" spans="1:37" x14ac:dyDescent="0.25">
      <c r="A3280" t="s">
        <v>804</v>
      </c>
      <c r="B3280" t="s">
        <v>805</v>
      </c>
      <c r="C3280">
        <v>22</v>
      </c>
      <c r="D3280" t="s">
        <v>56</v>
      </c>
      <c r="E3280">
        <v>74</v>
      </c>
      <c r="F3280">
        <v>195</v>
      </c>
      <c r="G3280" t="s">
        <v>78</v>
      </c>
      <c r="H3280">
        <v>2020</v>
      </c>
      <c r="I3280" t="s">
        <v>33</v>
      </c>
      <c r="J3280">
        <v>4</v>
      </c>
      <c r="K3280">
        <v>5</v>
      </c>
      <c r="L3280">
        <v>4</v>
      </c>
      <c r="M3280">
        <v>0</v>
      </c>
      <c r="N3280">
        <v>4</v>
      </c>
      <c r="O3280">
        <v>2</v>
      </c>
      <c r="P3280">
        <v>0</v>
      </c>
      <c r="Q3280">
        <v>0</v>
      </c>
      <c r="R3280">
        <v>0</v>
      </c>
      <c r="S3280">
        <v>76</v>
      </c>
      <c r="T3280">
        <v>75</v>
      </c>
      <c r="U3280" s="5">
        <f>IF(Merge1[[#This Row],[team_defense_snaps]]=0, "", Merge1[[#This Row],[defense_snaps]] / Merge1[[#This Row],[team_defense_snaps]])</f>
        <v>0.98684210526315785</v>
      </c>
      <c r="V3280">
        <v>76</v>
      </c>
      <c r="W3280">
        <v>1</v>
      </c>
      <c r="X3280" s="5" t="s">
        <v>303</v>
      </c>
      <c r="Y3280">
        <v>0</v>
      </c>
      <c r="Z3280">
        <v>0</v>
      </c>
      <c r="AA3280" t="s">
        <v>25</v>
      </c>
      <c r="AB3280" t="s">
        <v>36</v>
      </c>
      <c r="AC3280" t="s">
        <v>362</v>
      </c>
      <c r="AD3280" t="s">
        <v>42</v>
      </c>
      <c r="AE3280" t="s">
        <v>25</v>
      </c>
      <c r="AF32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0.17105263157894737</v>
      </c>
      <c r="AG3280" t="s">
        <v>942</v>
      </c>
      <c r="AH3280">
        <v>83.5</v>
      </c>
      <c r="AI3280" t="s">
        <v>939</v>
      </c>
      <c r="AJ3280">
        <v>4</v>
      </c>
      <c r="AK32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MIN(AJ3280/8, 1) +
  Merge1[[#This Row],[index_defensive_effort]],
  2
)</f>
        <v>1.07</v>
      </c>
    </row>
    <row r="3281" spans="1:37" x14ac:dyDescent="0.25">
      <c r="A3281" t="s">
        <v>804</v>
      </c>
      <c r="B3281" t="s">
        <v>805</v>
      </c>
      <c r="C3281">
        <v>22</v>
      </c>
      <c r="D3281" t="s">
        <v>56</v>
      </c>
      <c r="E3281">
        <v>74</v>
      </c>
      <c r="F3281">
        <v>195</v>
      </c>
      <c r="G3281" t="s">
        <v>78</v>
      </c>
      <c r="H3281">
        <v>2020</v>
      </c>
      <c r="I3281" t="s">
        <v>33</v>
      </c>
      <c r="J3281">
        <v>5</v>
      </c>
      <c r="K3281">
        <v>3</v>
      </c>
      <c r="L3281">
        <v>0</v>
      </c>
      <c r="M3281">
        <v>0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50</v>
      </c>
      <c r="T3281">
        <v>50</v>
      </c>
      <c r="U3281" s="5">
        <f>IF(Merge1[[#This Row],[team_defense_snaps]]=0, "", Merge1[[#This Row],[defense_snaps]] / Merge1[[#This Row],[team_defense_snaps]])</f>
        <v>0.72463768115942029</v>
      </c>
      <c r="V3281">
        <v>69</v>
      </c>
      <c r="W3281">
        <v>0</v>
      </c>
      <c r="X3281" s="5" t="s">
        <v>29</v>
      </c>
      <c r="Y3281">
        <v>0</v>
      </c>
      <c r="Z3281">
        <v>0</v>
      </c>
      <c r="AA3281" t="s">
        <v>25</v>
      </c>
      <c r="AB3281" t="s">
        <v>26</v>
      </c>
      <c r="AC3281" t="s">
        <v>27</v>
      </c>
      <c r="AD3281" t="s">
        <v>42</v>
      </c>
      <c r="AE3281" t="s">
        <v>25</v>
      </c>
      <c r="AF32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3281" t="s">
        <v>942</v>
      </c>
      <c r="AH3281">
        <v>77.5</v>
      </c>
      <c r="AI3281" t="s">
        <v>939</v>
      </c>
      <c r="AJ3281">
        <v>5</v>
      </c>
      <c r="AK32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MIN(AJ3281/8, 1) +
  Merge1[[#This Row],[index_defensive_effort]],
  2
)</f>
        <v>1.1299999999999999</v>
      </c>
    </row>
    <row r="3282" spans="1:37" x14ac:dyDescent="0.25">
      <c r="A3282" t="s">
        <v>804</v>
      </c>
      <c r="B3282" t="s">
        <v>805</v>
      </c>
      <c r="C3282">
        <v>22</v>
      </c>
      <c r="D3282" t="s">
        <v>56</v>
      </c>
      <c r="E3282">
        <v>74</v>
      </c>
      <c r="F3282">
        <v>195</v>
      </c>
      <c r="G3282" t="s">
        <v>78</v>
      </c>
      <c r="H3282">
        <v>2020</v>
      </c>
      <c r="I3282" t="s">
        <v>33</v>
      </c>
      <c r="J3282">
        <v>6</v>
      </c>
      <c r="K3282">
        <v>2</v>
      </c>
      <c r="L3282">
        <v>1</v>
      </c>
      <c r="M3282">
        <v>0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60</v>
      </c>
      <c r="T3282">
        <v>60</v>
      </c>
      <c r="U3282" s="5">
        <f>IF(Merge1[[#This Row],[team_defense_snaps]]=0, "", Merge1[[#This Row],[defense_snaps]] / Merge1[[#This Row],[team_defense_snaps]])</f>
        <v>0.967741935483871</v>
      </c>
      <c r="V3282">
        <v>62</v>
      </c>
      <c r="W3282">
        <v>0</v>
      </c>
      <c r="X3282" s="5" t="s">
        <v>29</v>
      </c>
      <c r="Y3282">
        <v>0</v>
      </c>
      <c r="Z3282">
        <v>0</v>
      </c>
      <c r="AA3282" t="s">
        <v>25</v>
      </c>
      <c r="AB3282" t="s">
        <v>26</v>
      </c>
      <c r="AC3282" t="s">
        <v>27</v>
      </c>
      <c r="AD3282" t="s">
        <v>42</v>
      </c>
      <c r="AE3282" t="s">
        <v>25</v>
      </c>
      <c r="AF32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3282" t="s">
        <v>942</v>
      </c>
      <c r="AH3282">
        <v>80.5</v>
      </c>
      <c r="AI3282" t="s">
        <v>939</v>
      </c>
      <c r="AJ3282">
        <v>6</v>
      </c>
      <c r="AK32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MIN(AJ3282/8, 1) +
  Merge1[[#This Row],[index_defensive_effort]],
  2
)</f>
        <v>1.19</v>
      </c>
    </row>
    <row r="3283" spans="1:37" x14ac:dyDescent="0.25">
      <c r="A3283" t="s">
        <v>804</v>
      </c>
      <c r="B3283" t="s">
        <v>805</v>
      </c>
      <c r="C3283">
        <v>22</v>
      </c>
      <c r="D3283" t="s">
        <v>56</v>
      </c>
      <c r="E3283">
        <v>74</v>
      </c>
      <c r="F3283">
        <v>195</v>
      </c>
      <c r="G3283" t="s">
        <v>78</v>
      </c>
      <c r="H3283">
        <v>2020</v>
      </c>
      <c r="I3283" t="s">
        <v>33</v>
      </c>
      <c r="J3283">
        <v>7</v>
      </c>
      <c r="K3283">
        <v>2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61</v>
      </c>
      <c r="T3283">
        <v>61</v>
      </c>
      <c r="U3283" s="5">
        <f>IF(Merge1[[#This Row],[team_defense_snaps]]=0, "", Merge1[[#This Row],[defense_snaps]] / Merge1[[#This Row],[team_defense_snaps]])</f>
        <v>0.88405797101449279</v>
      </c>
      <c r="V3283">
        <v>69</v>
      </c>
      <c r="W3283">
        <v>0</v>
      </c>
      <c r="X3283" s="5" t="s">
        <v>29</v>
      </c>
      <c r="Y3283">
        <v>0</v>
      </c>
      <c r="Z3283">
        <v>0</v>
      </c>
      <c r="AA3283" t="s">
        <v>25</v>
      </c>
      <c r="AB3283" t="s">
        <v>26</v>
      </c>
      <c r="AC3283" t="s">
        <v>27</v>
      </c>
      <c r="AD3283" t="s">
        <v>42</v>
      </c>
      <c r="AE3283" t="s">
        <v>25</v>
      </c>
      <c r="AF32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3.2786885245901641E-2</v>
      </c>
      <c r="AG3283" t="s">
        <v>942</v>
      </c>
      <c r="AH3283">
        <v>73</v>
      </c>
      <c r="AI3283" t="s">
        <v>939</v>
      </c>
      <c r="AJ3283">
        <v>7</v>
      </c>
      <c r="AK32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MIN(AJ3283/8, 1) +
  Merge1[[#This Row],[index_defensive_effort]],
  2
)</f>
        <v>1.31</v>
      </c>
    </row>
    <row r="3284" spans="1:37" x14ac:dyDescent="0.25">
      <c r="A3284" t="s">
        <v>804</v>
      </c>
      <c r="B3284" t="s">
        <v>805</v>
      </c>
      <c r="C3284">
        <v>22</v>
      </c>
      <c r="D3284" t="s">
        <v>56</v>
      </c>
      <c r="E3284">
        <v>74</v>
      </c>
      <c r="F3284">
        <v>195</v>
      </c>
      <c r="G3284" t="s">
        <v>78</v>
      </c>
      <c r="H3284">
        <v>2020</v>
      </c>
      <c r="I3284" t="s">
        <v>33</v>
      </c>
      <c r="J3284">
        <v>8</v>
      </c>
      <c r="K3284">
        <v>8</v>
      </c>
      <c r="L3284">
        <v>1</v>
      </c>
      <c r="M3284">
        <v>0</v>
      </c>
      <c r="N3284">
        <v>1</v>
      </c>
      <c r="O3284">
        <v>0</v>
      </c>
      <c r="P3284">
        <v>0</v>
      </c>
      <c r="Q3284">
        <v>4</v>
      </c>
      <c r="R3284">
        <v>0</v>
      </c>
      <c r="S3284">
        <v>63</v>
      </c>
      <c r="T3284">
        <v>63</v>
      </c>
      <c r="U3284" s="5">
        <f>IF(Merge1[[#This Row],[team_defense_snaps]]=0, "", Merge1[[#This Row],[defense_snaps]] / Merge1[[#This Row],[team_defense_snaps]])</f>
        <v>0.984375</v>
      </c>
      <c r="V3284">
        <v>64</v>
      </c>
      <c r="W3284">
        <v>0</v>
      </c>
      <c r="X3284" s="5" t="s">
        <v>29</v>
      </c>
      <c r="Y3284">
        <v>0</v>
      </c>
      <c r="Z3284">
        <v>0</v>
      </c>
      <c r="AA3284" t="s">
        <v>25</v>
      </c>
      <c r="AB3284" t="s">
        <v>26</v>
      </c>
      <c r="AC3284" t="s">
        <v>27</v>
      </c>
      <c r="AD3284" t="s">
        <v>42</v>
      </c>
      <c r="AE3284" t="s">
        <v>25</v>
      </c>
      <c r="AF32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0.3888888888888889</v>
      </c>
      <c r="AG3284" t="s">
        <v>942</v>
      </c>
      <c r="AH3284">
        <v>85</v>
      </c>
      <c r="AI3284" t="s">
        <v>939</v>
      </c>
      <c r="AJ3284">
        <v>8</v>
      </c>
      <c r="AK32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MIN(AJ3284/8, 1) +
  Merge1[[#This Row],[index_defensive_effort]],
  2
)</f>
        <v>1.79</v>
      </c>
    </row>
    <row r="3285" spans="1:37" x14ac:dyDescent="0.25">
      <c r="A3285" t="s">
        <v>804</v>
      </c>
      <c r="B3285" t="s">
        <v>805</v>
      </c>
      <c r="C3285">
        <v>22</v>
      </c>
      <c r="D3285" t="s">
        <v>56</v>
      </c>
      <c r="E3285">
        <v>74</v>
      </c>
      <c r="F3285">
        <v>195</v>
      </c>
      <c r="G3285" t="s">
        <v>78</v>
      </c>
      <c r="H3285">
        <v>2020</v>
      </c>
      <c r="I3285" t="s">
        <v>33</v>
      </c>
      <c r="J3285">
        <v>9</v>
      </c>
      <c r="K3285">
        <v>7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53</v>
      </c>
      <c r="T3285">
        <v>53</v>
      </c>
      <c r="U3285" s="5">
        <f>IF(Merge1[[#This Row],[team_defense_snaps]]=0, "", Merge1[[#This Row],[defense_snaps]] / Merge1[[#This Row],[team_defense_snaps]])</f>
        <v>0.76811594202898548</v>
      </c>
      <c r="V3285">
        <v>69</v>
      </c>
      <c r="W3285">
        <v>0</v>
      </c>
      <c r="X3285" s="5" t="s">
        <v>29</v>
      </c>
      <c r="Y3285">
        <v>0</v>
      </c>
      <c r="Z3285">
        <v>0</v>
      </c>
      <c r="AA3285" t="s">
        <v>25</v>
      </c>
      <c r="AB3285" t="s">
        <v>26</v>
      </c>
      <c r="AC3285" t="s">
        <v>27</v>
      </c>
      <c r="AD3285" t="s">
        <v>42</v>
      </c>
      <c r="AE3285" t="s">
        <v>25</v>
      </c>
      <c r="AF32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0.13207547169811321</v>
      </c>
      <c r="AG3285" t="s">
        <v>942</v>
      </c>
      <c r="AH3285">
        <v>62.5</v>
      </c>
      <c r="AI3285" t="s">
        <v>939</v>
      </c>
      <c r="AJ3285">
        <v>9</v>
      </c>
      <c r="AK32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MIN(AJ3285/8, 1) +
  Merge1[[#This Row],[index_defensive_effort]],
  2
)</f>
        <v>1.53</v>
      </c>
    </row>
    <row r="3286" spans="1:37" x14ac:dyDescent="0.25">
      <c r="A3286" t="s">
        <v>804</v>
      </c>
      <c r="B3286" t="s">
        <v>805</v>
      </c>
      <c r="C3286">
        <v>22</v>
      </c>
      <c r="D3286" t="s">
        <v>56</v>
      </c>
      <c r="E3286">
        <v>74</v>
      </c>
      <c r="F3286">
        <v>195</v>
      </c>
      <c r="G3286" t="s">
        <v>78</v>
      </c>
      <c r="H3286">
        <v>2020</v>
      </c>
      <c r="I3286" t="s">
        <v>33</v>
      </c>
      <c r="J3286">
        <v>15</v>
      </c>
      <c r="K3286">
        <v>4</v>
      </c>
      <c r="L3286">
        <v>2</v>
      </c>
      <c r="M3286">
        <v>0</v>
      </c>
      <c r="N3286">
        <v>2</v>
      </c>
      <c r="O3286">
        <v>0</v>
      </c>
      <c r="P3286">
        <v>0</v>
      </c>
      <c r="Q3286">
        <v>0</v>
      </c>
      <c r="R3286">
        <v>0</v>
      </c>
      <c r="S3286">
        <v>43</v>
      </c>
      <c r="T3286">
        <v>43</v>
      </c>
      <c r="U3286" s="5">
        <f>IF(Merge1[[#This Row],[team_defense_snaps]]=0, "", Merge1[[#This Row],[defense_snaps]] / Merge1[[#This Row],[team_defense_snaps]])</f>
        <v>0.51190476190476186</v>
      </c>
      <c r="V3286">
        <v>84</v>
      </c>
      <c r="W3286">
        <v>0</v>
      </c>
      <c r="X3286" s="5" t="s">
        <v>29</v>
      </c>
      <c r="Y3286">
        <v>0</v>
      </c>
      <c r="Z3286">
        <v>0</v>
      </c>
      <c r="AA3286" t="s">
        <v>25</v>
      </c>
      <c r="AB3286" t="s">
        <v>62</v>
      </c>
      <c r="AC3286" t="s">
        <v>27</v>
      </c>
      <c r="AD3286" t="s">
        <v>28</v>
      </c>
      <c r="AE3286" t="s">
        <v>25</v>
      </c>
      <c r="AF32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0.11627906976744186</v>
      </c>
      <c r="AG3286" t="s">
        <v>942</v>
      </c>
      <c r="AH3286">
        <v>61</v>
      </c>
      <c r="AI3286" t="s">
        <v>938</v>
      </c>
      <c r="AJ3286">
        <v>1</v>
      </c>
      <c r="AK32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MIN(AJ3286/8, 1) +
  Merge1[[#This Row],[index_defensive_effort]],
  2
)</f>
        <v>0.64</v>
      </c>
    </row>
    <row r="3287" spans="1:37" x14ac:dyDescent="0.25">
      <c r="A3287" t="s">
        <v>804</v>
      </c>
      <c r="B3287" t="s">
        <v>805</v>
      </c>
      <c r="C3287">
        <v>22</v>
      </c>
      <c r="D3287" t="s">
        <v>56</v>
      </c>
      <c r="E3287">
        <v>74</v>
      </c>
      <c r="F3287">
        <v>195</v>
      </c>
      <c r="G3287" t="s">
        <v>78</v>
      </c>
      <c r="H3287">
        <v>2020</v>
      </c>
      <c r="I3287" t="s">
        <v>33</v>
      </c>
      <c r="J3287">
        <v>16</v>
      </c>
      <c r="K3287">
        <v>3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2</v>
      </c>
      <c r="R3287">
        <v>0</v>
      </c>
      <c r="S3287">
        <v>73</v>
      </c>
      <c r="T3287">
        <v>73</v>
      </c>
      <c r="U3287" s="5">
        <f>IF(Merge1[[#This Row],[team_defense_snaps]]=0, "", Merge1[[#This Row],[defense_snaps]] / Merge1[[#This Row],[team_defense_snaps]])</f>
        <v>1</v>
      </c>
      <c r="V3287">
        <v>73</v>
      </c>
      <c r="W3287">
        <v>0</v>
      </c>
      <c r="X3287" s="5" t="s">
        <v>29</v>
      </c>
      <c r="Y3287">
        <v>0</v>
      </c>
      <c r="Z3287">
        <v>0</v>
      </c>
      <c r="AA3287" t="s">
        <v>25</v>
      </c>
      <c r="AB3287" t="s">
        <v>26</v>
      </c>
      <c r="AC3287" t="s">
        <v>27</v>
      </c>
      <c r="AD3287" t="s">
        <v>42</v>
      </c>
      <c r="AE3287" t="s">
        <v>25</v>
      </c>
      <c r="AF32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0.15068493150684931</v>
      </c>
      <c r="AG3287" t="s">
        <v>942</v>
      </c>
      <c r="AH3287">
        <v>76</v>
      </c>
      <c r="AI3287" t="s">
        <v>939</v>
      </c>
      <c r="AJ3287">
        <v>2</v>
      </c>
      <c r="AK32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MIN(AJ3287/8, 1) +
  Merge1[[#This Row],[index_defensive_effort]],
  2
)</f>
        <v>0.8</v>
      </c>
    </row>
    <row r="3288" spans="1:37" x14ac:dyDescent="0.25">
      <c r="A3288" t="s">
        <v>804</v>
      </c>
      <c r="B3288" t="s">
        <v>805</v>
      </c>
      <c r="C3288">
        <v>22</v>
      </c>
      <c r="D3288" t="s">
        <v>56</v>
      </c>
      <c r="E3288">
        <v>74</v>
      </c>
      <c r="F3288">
        <v>195</v>
      </c>
      <c r="G3288" t="s">
        <v>78</v>
      </c>
      <c r="H3288">
        <v>2020</v>
      </c>
      <c r="I3288" t="s">
        <v>33</v>
      </c>
      <c r="J3288">
        <v>17</v>
      </c>
      <c r="K3288">
        <v>4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56</v>
      </c>
      <c r="T3288">
        <v>56</v>
      </c>
      <c r="U3288" s="5">
        <f>IF(Merge1[[#This Row],[team_defense_snaps]]=0, "", Merge1[[#This Row],[defense_snaps]] / Merge1[[#This Row],[team_defense_snaps]])</f>
        <v>0.94915254237288138</v>
      </c>
      <c r="V3288">
        <v>59</v>
      </c>
      <c r="W3288">
        <v>0</v>
      </c>
      <c r="X3288" s="5" t="s">
        <v>29</v>
      </c>
      <c r="Y3288">
        <v>0</v>
      </c>
      <c r="Z3288">
        <v>0</v>
      </c>
      <c r="AA3288" t="s">
        <v>25</v>
      </c>
      <c r="AB3288" t="s">
        <v>26</v>
      </c>
      <c r="AC3288" t="s">
        <v>27</v>
      </c>
      <c r="AD3288" t="s">
        <v>42</v>
      </c>
      <c r="AE3288" t="s">
        <v>25</v>
      </c>
      <c r="AF32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3288" t="s">
        <v>942</v>
      </c>
      <c r="AH3288">
        <v>64</v>
      </c>
      <c r="AI3288" t="s">
        <v>939</v>
      </c>
      <c r="AJ3288">
        <v>3</v>
      </c>
      <c r="AK32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MIN(AJ3288/8, 1) +
  Merge1[[#This Row],[index_defensive_effort]],
  2
)</f>
        <v>0.85</v>
      </c>
    </row>
    <row r="3289" spans="1:37" x14ac:dyDescent="0.25">
      <c r="A3289" t="s">
        <v>886</v>
      </c>
      <c r="B3289" t="s">
        <v>887</v>
      </c>
      <c r="C3289">
        <v>27</v>
      </c>
      <c r="D3289" t="s">
        <v>56</v>
      </c>
      <c r="E3289">
        <v>71</v>
      </c>
      <c r="F3289">
        <v>191</v>
      </c>
      <c r="G3289" t="s">
        <v>150</v>
      </c>
      <c r="H3289">
        <v>2020</v>
      </c>
      <c r="I3289" t="s">
        <v>33</v>
      </c>
      <c r="J3289">
        <v>3</v>
      </c>
      <c r="K3289">
        <v>2</v>
      </c>
      <c r="L3289">
        <v>1</v>
      </c>
      <c r="M3289">
        <v>0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32</v>
      </c>
      <c r="T3289">
        <v>32</v>
      </c>
      <c r="U3289" s="5">
        <f>IF(Merge1[[#This Row],[team_defense_snaps]]=0, "", Merge1[[#This Row],[defense_snaps]] / Merge1[[#This Row],[team_defense_snaps]])</f>
        <v>0.43835616438356162</v>
      </c>
      <c r="V3289">
        <v>73</v>
      </c>
      <c r="W3289">
        <v>0</v>
      </c>
      <c r="X3289" s="5">
        <v>0</v>
      </c>
      <c r="Y3289">
        <v>4</v>
      </c>
      <c r="Z3289">
        <v>0</v>
      </c>
      <c r="AA3289" t="s">
        <v>25</v>
      </c>
      <c r="AB3289" t="s">
        <v>26</v>
      </c>
      <c r="AC3289" t="s">
        <v>27</v>
      </c>
      <c r="AD3289" t="s">
        <v>42</v>
      </c>
      <c r="AE3289" t="s">
        <v>25</v>
      </c>
      <c r="AF32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7.8125E-2</v>
      </c>
      <c r="AG3289" t="s">
        <v>943</v>
      </c>
      <c r="AH3289">
        <v>70</v>
      </c>
      <c r="AI3289" t="s">
        <v>939</v>
      </c>
      <c r="AJ3289">
        <v>1</v>
      </c>
      <c r="AK32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MIN(AJ3289/8, 1) +
  Merge1[[#This Row],[index_defensive_effort]],
  2
)</f>
        <v>0.7</v>
      </c>
    </row>
    <row r="3290" spans="1:37" x14ac:dyDescent="0.25">
      <c r="A3290" t="s">
        <v>788</v>
      </c>
      <c r="B3290" t="s">
        <v>789</v>
      </c>
      <c r="C3290">
        <v>25</v>
      </c>
      <c r="D3290" t="s">
        <v>56</v>
      </c>
      <c r="E3290">
        <v>73</v>
      </c>
      <c r="F3290">
        <v>205</v>
      </c>
      <c r="G3290" t="s">
        <v>286</v>
      </c>
      <c r="H3290">
        <v>2020</v>
      </c>
      <c r="I3290" t="s">
        <v>33</v>
      </c>
      <c r="J3290">
        <v>1</v>
      </c>
      <c r="K3290">
        <v>4</v>
      </c>
      <c r="L3290">
        <v>4</v>
      </c>
      <c r="M3290">
        <v>1</v>
      </c>
      <c r="N3290">
        <v>5</v>
      </c>
      <c r="O3290">
        <v>0</v>
      </c>
      <c r="P3290">
        <v>0</v>
      </c>
      <c r="Q3290">
        <v>0</v>
      </c>
      <c r="R3290">
        <v>0</v>
      </c>
      <c r="S3290">
        <v>74</v>
      </c>
      <c r="T3290">
        <v>68</v>
      </c>
      <c r="U3290" s="5">
        <f>IF(Merge1[[#This Row],[team_defense_snaps]]=0, "", Merge1[[#This Row],[defense_snaps]] / Merge1[[#This Row],[team_defense_snaps]])</f>
        <v>0.98550724637681164</v>
      </c>
      <c r="V3290">
        <v>69</v>
      </c>
      <c r="W3290">
        <v>6</v>
      </c>
      <c r="X3290" s="5" t="s">
        <v>181</v>
      </c>
      <c r="Y3290">
        <v>2</v>
      </c>
      <c r="Z3290">
        <v>0</v>
      </c>
      <c r="AA3290" t="s">
        <v>25</v>
      </c>
      <c r="AB3290" t="s">
        <v>26</v>
      </c>
      <c r="AC3290" t="s">
        <v>27</v>
      </c>
      <c r="AD3290" t="s">
        <v>42</v>
      </c>
      <c r="AE3290" t="s">
        <v>25</v>
      </c>
      <c r="AF32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8.7837837837837843E-2</v>
      </c>
      <c r="AG3290" t="s">
        <v>941</v>
      </c>
      <c r="AH3290">
        <v>74</v>
      </c>
      <c r="AI3290" t="s">
        <v>939</v>
      </c>
      <c r="AJ3290">
        <v>1</v>
      </c>
      <c r="AK32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MIN(AJ3290/8, 1) +
  Merge1[[#This Row],[index_defensive_effort]],
  2
)</f>
        <v>0.71</v>
      </c>
    </row>
    <row r="3291" spans="1:37" x14ac:dyDescent="0.25">
      <c r="A3291" t="s">
        <v>788</v>
      </c>
      <c r="B3291" t="s">
        <v>789</v>
      </c>
      <c r="C3291">
        <v>25</v>
      </c>
      <c r="D3291" t="s">
        <v>56</v>
      </c>
      <c r="E3291">
        <v>73</v>
      </c>
      <c r="F3291">
        <v>205</v>
      </c>
      <c r="G3291" t="s">
        <v>286</v>
      </c>
      <c r="H3291">
        <v>2020</v>
      </c>
      <c r="I3291" t="s">
        <v>33</v>
      </c>
      <c r="J3291">
        <v>1</v>
      </c>
      <c r="K3291">
        <v>4</v>
      </c>
      <c r="L3291">
        <v>4</v>
      </c>
      <c r="M3291">
        <v>1</v>
      </c>
      <c r="N3291">
        <v>5</v>
      </c>
      <c r="O3291">
        <v>0</v>
      </c>
      <c r="P3291">
        <v>0</v>
      </c>
      <c r="Q3291">
        <v>0</v>
      </c>
      <c r="R3291">
        <v>0</v>
      </c>
      <c r="S3291">
        <v>74</v>
      </c>
      <c r="T3291">
        <v>68</v>
      </c>
      <c r="U3291" s="5">
        <f>IF(Merge1[[#This Row],[team_defense_snaps]]=0, "", Merge1[[#This Row],[defense_snaps]] / Merge1[[#This Row],[team_defense_snaps]])</f>
        <v>0.98550724637681164</v>
      </c>
      <c r="V3291">
        <v>69</v>
      </c>
      <c r="W3291">
        <v>6</v>
      </c>
      <c r="X3291" s="5" t="s">
        <v>181</v>
      </c>
      <c r="Y3291">
        <v>2</v>
      </c>
      <c r="Z3291">
        <v>0</v>
      </c>
      <c r="AA3291" t="s">
        <v>25</v>
      </c>
      <c r="AB3291" t="s">
        <v>26</v>
      </c>
      <c r="AC3291" t="s">
        <v>27</v>
      </c>
      <c r="AD3291" t="s">
        <v>42</v>
      </c>
      <c r="AE3291" t="s">
        <v>25</v>
      </c>
      <c r="AF32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8.7837837837837843E-2</v>
      </c>
      <c r="AG3291" t="s">
        <v>941</v>
      </c>
      <c r="AH3291">
        <v>68</v>
      </c>
      <c r="AI3291" t="s">
        <v>939</v>
      </c>
      <c r="AJ3291">
        <v>1</v>
      </c>
      <c r="AK32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MIN(AJ3291/8, 1) +
  Merge1[[#This Row],[index_defensive_effort]],
  2
)</f>
        <v>0.71</v>
      </c>
    </row>
    <row r="3292" spans="1:37" x14ac:dyDescent="0.25">
      <c r="A3292" t="s">
        <v>788</v>
      </c>
      <c r="B3292" t="s">
        <v>789</v>
      </c>
      <c r="C3292">
        <v>25</v>
      </c>
      <c r="D3292" t="s">
        <v>56</v>
      </c>
      <c r="E3292">
        <v>73</v>
      </c>
      <c r="F3292">
        <v>205</v>
      </c>
      <c r="G3292" t="s">
        <v>286</v>
      </c>
      <c r="H3292">
        <v>2020</v>
      </c>
      <c r="I3292" t="s">
        <v>33</v>
      </c>
      <c r="J3292">
        <v>2</v>
      </c>
      <c r="K3292">
        <v>4</v>
      </c>
      <c r="L3292">
        <v>1</v>
      </c>
      <c r="M3292">
        <v>0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81</v>
      </c>
      <c r="T3292">
        <v>77</v>
      </c>
      <c r="U3292" s="5">
        <f>IF(Merge1[[#This Row],[team_defense_snaps]]=0, "", Merge1[[#This Row],[defense_snaps]] / Merge1[[#This Row],[team_defense_snaps]])</f>
        <v>1</v>
      </c>
      <c r="V3292">
        <v>77</v>
      </c>
      <c r="W3292">
        <v>4</v>
      </c>
      <c r="X3292" s="5" t="s">
        <v>212</v>
      </c>
      <c r="Y3292">
        <v>2</v>
      </c>
      <c r="Z3292">
        <v>0</v>
      </c>
      <c r="AA3292" t="s">
        <v>25</v>
      </c>
      <c r="AB3292" t="s">
        <v>26</v>
      </c>
      <c r="AC3292" t="s">
        <v>27</v>
      </c>
      <c r="AD3292" t="s">
        <v>42</v>
      </c>
      <c r="AE3292" t="s">
        <v>25</v>
      </c>
      <c r="AF32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3292" t="s">
        <v>941</v>
      </c>
      <c r="AH3292">
        <v>60.5</v>
      </c>
      <c r="AI3292" t="s">
        <v>939</v>
      </c>
      <c r="AJ3292">
        <v>2</v>
      </c>
      <c r="AK32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MIN(AJ3292/8, 1) +
  Merge1[[#This Row],[index_defensive_effort]],
  2
)</f>
        <v>0.81</v>
      </c>
    </row>
    <row r="3293" spans="1:37" x14ac:dyDescent="0.25">
      <c r="A3293" t="s">
        <v>788</v>
      </c>
      <c r="B3293" t="s">
        <v>789</v>
      </c>
      <c r="C3293">
        <v>25</v>
      </c>
      <c r="D3293" t="s">
        <v>56</v>
      </c>
      <c r="E3293">
        <v>73</v>
      </c>
      <c r="F3293">
        <v>205</v>
      </c>
      <c r="G3293" t="s">
        <v>286</v>
      </c>
      <c r="H3293">
        <v>2020</v>
      </c>
      <c r="I3293" t="s">
        <v>33</v>
      </c>
      <c r="J3293">
        <v>2</v>
      </c>
      <c r="K3293">
        <v>4</v>
      </c>
      <c r="L3293">
        <v>1</v>
      </c>
      <c r="M3293">
        <v>0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81</v>
      </c>
      <c r="T3293">
        <v>77</v>
      </c>
      <c r="U3293" s="5">
        <f>IF(Merge1[[#This Row],[team_defense_snaps]]=0, "", Merge1[[#This Row],[defense_snaps]] / Merge1[[#This Row],[team_defense_snaps]])</f>
        <v>1</v>
      </c>
      <c r="V3293">
        <v>77</v>
      </c>
      <c r="W3293">
        <v>4</v>
      </c>
      <c r="X3293" s="5" t="s">
        <v>212</v>
      </c>
      <c r="Y3293">
        <v>2</v>
      </c>
      <c r="Z3293">
        <v>0</v>
      </c>
      <c r="AA3293" t="s">
        <v>25</v>
      </c>
      <c r="AB3293" t="s">
        <v>26</v>
      </c>
      <c r="AC3293" t="s">
        <v>27</v>
      </c>
      <c r="AD3293" t="s">
        <v>42</v>
      </c>
      <c r="AE3293" t="s">
        <v>25</v>
      </c>
      <c r="AF32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3293" t="s">
        <v>941</v>
      </c>
      <c r="AH3293">
        <v>72.5</v>
      </c>
      <c r="AI3293" t="s">
        <v>939</v>
      </c>
      <c r="AJ3293">
        <v>1</v>
      </c>
      <c r="AK32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MIN(AJ3293/8, 1) +
  Merge1[[#This Row],[index_defensive_effort]],
  2
)</f>
        <v>0.68</v>
      </c>
    </row>
    <row r="3294" spans="1:37" x14ac:dyDescent="0.25">
      <c r="A3294" t="s">
        <v>788</v>
      </c>
      <c r="B3294" t="s">
        <v>789</v>
      </c>
      <c r="C3294">
        <v>25</v>
      </c>
      <c r="D3294" t="s">
        <v>56</v>
      </c>
      <c r="E3294">
        <v>73</v>
      </c>
      <c r="F3294">
        <v>205</v>
      </c>
      <c r="G3294" t="s">
        <v>286</v>
      </c>
      <c r="H3294">
        <v>2020</v>
      </c>
      <c r="I3294" t="s">
        <v>33</v>
      </c>
      <c r="J3294">
        <v>3</v>
      </c>
      <c r="K3294">
        <v>4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67</v>
      </c>
      <c r="T3294">
        <v>63</v>
      </c>
      <c r="U3294" s="5">
        <f>IF(Merge1[[#This Row],[team_defense_snaps]]=0, "", Merge1[[#This Row],[defense_snaps]] / Merge1[[#This Row],[team_defense_snaps]])</f>
        <v>0.984375</v>
      </c>
      <c r="V3294">
        <v>64</v>
      </c>
      <c r="W3294">
        <v>4</v>
      </c>
      <c r="X3294" s="5" t="s">
        <v>212</v>
      </c>
      <c r="Y3294">
        <v>2</v>
      </c>
      <c r="Z3294">
        <v>0</v>
      </c>
      <c r="AA3294" t="s">
        <v>25</v>
      </c>
      <c r="AB3294" t="s">
        <v>26</v>
      </c>
      <c r="AC3294" t="s">
        <v>27</v>
      </c>
      <c r="AD3294" t="s">
        <v>42</v>
      </c>
      <c r="AE3294" t="s">
        <v>25</v>
      </c>
      <c r="AF32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5.9701492537313432E-2</v>
      </c>
      <c r="AG3294" t="s">
        <v>941</v>
      </c>
      <c r="AH3294">
        <v>69.5</v>
      </c>
      <c r="AI3294" t="s">
        <v>939</v>
      </c>
      <c r="AJ3294">
        <v>2</v>
      </c>
      <c r="AK32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MIN(AJ3294/8, 1) +
  Merge1[[#This Row],[index_defensive_effort]],
  2
)</f>
        <v>0.81</v>
      </c>
    </row>
    <row r="3295" spans="1:37" x14ac:dyDescent="0.25">
      <c r="A3295" t="s">
        <v>788</v>
      </c>
      <c r="B3295" t="s">
        <v>789</v>
      </c>
      <c r="C3295">
        <v>25</v>
      </c>
      <c r="D3295" t="s">
        <v>56</v>
      </c>
      <c r="E3295">
        <v>73</v>
      </c>
      <c r="F3295">
        <v>205</v>
      </c>
      <c r="G3295" t="s">
        <v>286</v>
      </c>
      <c r="H3295">
        <v>2020</v>
      </c>
      <c r="I3295" t="s">
        <v>33</v>
      </c>
      <c r="J3295">
        <v>3</v>
      </c>
      <c r="K3295">
        <v>4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67</v>
      </c>
      <c r="T3295">
        <v>63</v>
      </c>
      <c r="U3295" s="5">
        <f>IF(Merge1[[#This Row],[team_defense_snaps]]=0, "", Merge1[[#This Row],[defense_snaps]] / Merge1[[#This Row],[team_defense_snaps]])</f>
        <v>0.984375</v>
      </c>
      <c r="V3295">
        <v>64</v>
      </c>
      <c r="W3295">
        <v>4</v>
      </c>
      <c r="X3295" s="5" t="s">
        <v>212</v>
      </c>
      <c r="Y3295">
        <v>2</v>
      </c>
      <c r="Z3295">
        <v>0</v>
      </c>
      <c r="AA3295" t="s">
        <v>25</v>
      </c>
      <c r="AB3295" t="s">
        <v>26</v>
      </c>
      <c r="AC3295" t="s">
        <v>27</v>
      </c>
      <c r="AD3295" t="s">
        <v>42</v>
      </c>
      <c r="AE3295" t="s">
        <v>25</v>
      </c>
      <c r="AF32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5.9701492537313432E-2</v>
      </c>
      <c r="AG3295" t="s">
        <v>941</v>
      </c>
      <c r="AH3295">
        <v>57.5</v>
      </c>
      <c r="AI3295" t="s">
        <v>939</v>
      </c>
      <c r="AJ3295">
        <v>1</v>
      </c>
      <c r="AK32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MIN(AJ3295/8, 1) +
  Merge1[[#This Row],[index_defensive_effort]],
  2
)</f>
        <v>0.68</v>
      </c>
    </row>
    <row r="3296" spans="1:37" x14ac:dyDescent="0.25">
      <c r="A3296" t="s">
        <v>788</v>
      </c>
      <c r="B3296" t="s">
        <v>789</v>
      </c>
      <c r="C3296">
        <v>25</v>
      </c>
      <c r="D3296" t="s">
        <v>56</v>
      </c>
      <c r="E3296">
        <v>73</v>
      </c>
      <c r="F3296">
        <v>205</v>
      </c>
      <c r="G3296" t="s">
        <v>286</v>
      </c>
      <c r="H3296">
        <v>2020</v>
      </c>
      <c r="I3296" t="s">
        <v>33</v>
      </c>
      <c r="J3296">
        <v>4</v>
      </c>
      <c r="K3296">
        <v>1</v>
      </c>
      <c r="L3296">
        <v>1</v>
      </c>
      <c r="M3296">
        <v>0</v>
      </c>
      <c r="N3296">
        <v>1</v>
      </c>
      <c r="O3296">
        <v>0</v>
      </c>
      <c r="P3296">
        <v>1</v>
      </c>
      <c r="Q3296">
        <v>0</v>
      </c>
      <c r="R3296">
        <v>0</v>
      </c>
      <c r="S3296">
        <v>63</v>
      </c>
      <c r="T3296">
        <v>57</v>
      </c>
      <c r="U3296" s="5">
        <f>IF(Merge1[[#This Row],[team_defense_snaps]]=0, "", Merge1[[#This Row],[defense_snaps]] / Merge1[[#This Row],[team_defense_snaps]])</f>
        <v>1</v>
      </c>
      <c r="V3296">
        <v>57</v>
      </c>
      <c r="W3296">
        <v>6</v>
      </c>
      <c r="X3296" s="5" t="s">
        <v>139</v>
      </c>
      <c r="Y3296">
        <v>2</v>
      </c>
      <c r="Z3296">
        <v>0</v>
      </c>
      <c r="AA3296" t="s">
        <v>25</v>
      </c>
      <c r="AB3296" t="s">
        <v>26</v>
      </c>
      <c r="AC3296" t="s">
        <v>27</v>
      </c>
      <c r="AD3296" t="s">
        <v>42</v>
      </c>
      <c r="AE3296" t="s">
        <v>25</v>
      </c>
      <c r="AF32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3296" t="s">
        <v>941</v>
      </c>
      <c r="AH3296">
        <v>59</v>
      </c>
      <c r="AI3296" t="s">
        <v>939</v>
      </c>
      <c r="AJ3296">
        <v>2</v>
      </c>
      <c r="AK32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MIN(AJ3296/8, 1) +
  Merge1[[#This Row],[index_defensive_effort]],
  2
)</f>
        <v>0.81</v>
      </c>
    </row>
    <row r="3297" spans="1:37" x14ac:dyDescent="0.25">
      <c r="A3297" t="s">
        <v>788</v>
      </c>
      <c r="B3297" t="s">
        <v>789</v>
      </c>
      <c r="C3297">
        <v>25</v>
      </c>
      <c r="D3297" t="s">
        <v>56</v>
      </c>
      <c r="E3297">
        <v>73</v>
      </c>
      <c r="F3297">
        <v>205</v>
      </c>
      <c r="G3297" t="s">
        <v>286</v>
      </c>
      <c r="H3297">
        <v>2020</v>
      </c>
      <c r="I3297" t="s">
        <v>33</v>
      </c>
      <c r="J3297">
        <v>4</v>
      </c>
      <c r="K3297">
        <v>1</v>
      </c>
      <c r="L3297">
        <v>1</v>
      </c>
      <c r="M3297">
        <v>0</v>
      </c>
      <c r="N3297">
        <v>1</v>
      </c>
      <c r="O3297">
        <v>0</v>
      </c>
      <c r="P3297">
        <v>1</v>
      </c>
      <c r="Q3297">
        <v>0</v>
      </c>
      <c r="R3297">
        <v>0</v>
      </c>
      <c r="S3297">
        <v>63</v>
      </c>
      <c r="T3297">
        <v>57</v>
      </c>
      <c r="U3297" s="5">
        <f>IF(Merge1[[#This Row],[team_defense_snaps]]=0, "", Merge1[[#This Row],[defense_snaps]] / Merge1[[#This Row],[team_defense_snaps]])</f>
        <v>1</v>
      </c>
      <c r="V3297">
        <v>57</v>
      </c>
      <c r="W3297">
        <v>6</v>
      </c>
      <c r="X3297" s="5" t="s">
        <v>139</v>
      </c>
      <c r="Y3297">
        <v>2</v>
      </c>
      <c r="Z3297">
        <v>0</v>
      </c>
      <c r="AA3297" t="s">
        <v>25</v>
      </c>
      <c r="AB3297" t="s">
        <v>26</v>
      </c>
      <c r="AC3297" t="s">
        <v>27</v>
      </c>
      <c r="AD3297" t="s">
        <v>42</v>
      </c>
      <c r="AE3297" t="s">
        <v>25</v>
      </c>
      <c r="AF32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3297" t="s">
        <v>941</v>
      </c>
      <c r="AH3297">
        <v>71</v>
      </c>
      <c r="AI3297" t="s">
        <v>939</v>
      </c>
      <c r="AJ3297">
        <v>1</v>
      </c>
      <c r="AK32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MIN(AJ3297/8, 1) +
  Merge1[[#This Row],[index_defensive_effort]],
  2
)</f>
        <v>0.68</v>
      </c>
    </row>
    <row r="3298" spans="1:37" x14ac:dyDescent="0.25">
      <c r="A3298" t="s">
        <v>788</v>
      </c>
      <c r="B3298" t="s">
        <v>789</v>
      </c>
      <c r="C3298">
        <v>25</v>
      </c>
      <c r="D3298" t="s">
        <v>56</v>
      </c>
      <c r="E3298">
        <v>73</v>
      </c>
      <c r="F3298">
        <v>205</v>
      </c>
      <c r="G3298" t="s">
        <v>286</v>
      </c>
      <c r="H3298">
        <v>2020</v>
      </c>
      <c r="I3298" t="s">
        <v>33</v>
      </c>
      <c r="J3298">
        <v>5</v>
      </c>
      <c r="K3298">
        <v>4</v>
      </c>
      <c r="L3298">
        <v>1</v>
      </c>
      <c r="M3298">
        <v>0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49</v>
      </c>
      <c r="T3298">
        <v>47</v>
      </c>
      <c r="U3298" s="5">
        <f>IF(Merge1[[#This Row],[team_defense_snaps]]=0, "", Merge1[[#This Row],[defense_snaps]] / Merge1[[#This Row],[team_defense_snaps]])</f>
        <v>0.69117647058823528</v>
      </c>
      <c r="V3298">
        <v>68</v>
      </c>
      <c r="W3298">
        <v>2</v>
      </c>
      <c r="X3298" s="5" t="s">
        <v>208</v>
      </c>
      <c r="Y3298">
        <v>2</v>
      </c>
      <c r="Z3298">
        <v>0</v>
      </c>
      <c r="AA3298" t="s">
        <v>25</v>
      </c>
      <c r="AB3298" t="s">
        <v>26</v>
      </c>
      <c r="AC3298" t="s">
        <v>27</v>
      </c>
      <c r="AD3298" t="s">
        <v>42</v>
      </c>
      <c r="AE3298" t="s">
        <v>25</v>
      </c>
      <c r="AF32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9.1836734693877556E-2</v>
      </c>
      <c r="AG3298" t="s">
        <v>941</v>
      </c>
      <c r="AH3298">
        <v>74</v>
      </c>
      <c r="AI3298" t="s">
        <v>939</v>
      </c>
      <c r="AJ3298">
        <v>2</v>
      </c>
      <c r="AK32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MIN(AJ3298/8, 1) +
  Merge1[[#This Row],[index_defensive_effort]],
  2
)</f>
        <v>0.84</v>
      </c>
    </row>
    <row r="3299" spans="1:37" x14ac:dyDescent="0.25">
      <c r="A3299" t="s">
        <v>788</v>
      </c>
      <c r="B3299" t="s">
        <v>789</v>
      </c>
      <c r="C3299">
        <v>25</v>
      </c>
      <c r="D3299" t="s">
        <v>56</v>
      </c>
      <c r="E3299">
        <v>73</v>
      </c>
      <c r="F3299">
        <v>205</v>
      </c>
      <c r="G3299" t="s">
        <v>286</v>
      </c>
      <c r="H3299">
        <v>2020</v>
      </c>
      <c r="I3299" t="s">
        <v>33</v>
      </c>
      <c r="J3299">
        <v>5</v>
      </c>
      <c r="K3299">
        <v>4</v>
      </c>
      <c r="L3299">
        <v>1</v>
      </c>
      <c r="M3299">
        <v>0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49</v>
      </c>
      <c r="T3299">
        <v>47</v>
      </c>
      <c r="U3299" s="5">
        <f>IF(Merge1[[#This Row],[team_defense_snaps]]=0, "", Merge1[[#This Row],[defense_snaps]] / Merge1[[#This Row],[team_defense_snaps]])</f>
        <v>0.69117647058823528</v>
      </c>
      <c r="V3299">
        <v>68</v>
      </c>
      <c r="W3299">
        <v>2</v>
      </c>
      <c r="X3299" s="5" t="s">
        <v>208</v>
      </c>
      <c r="Y3299">
        <v>2</v>
      </c>
      <c r="Z3299">
        <v>0</v>
      </c>
      <c r="AA3299" t="s">
        <v>25</v>
      </c>
      <c r="AB3299" t="s">
        <v>26</v>
      </c>
      <c r="AC3299" t="s">
        <v>27</v>
      </c>
      <c r="AD3299" t="s">
        <v>42</v>
      </c>
      <c r="AE3299" t="s">
        <v>25</v>
      </c>
      <c r="AF32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9.1836734693877556E-2</v>
      </c>
      <c r="AG3299" t="s">
        <v>941</v>
      </c>
      <c r="AH3299">
        <v>57.5</v>
      </c>
      <c r="AI3299" t="s">
        <v>939</v>
      </c>
      <c r="AJ3299">
        <v>1</v>
      </c>
      <c r="AK32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MIN(AJ3299/8, 1) +
  Merge1[[#This Row],[index_defensive_effort]],
  2
)</f>
        <v>0.72</v>
      </c>
    </row>
    <row r="3300" spans="1:37" x14ac:dyDescent="0.25">
      <c r="A3300" t="s">
        <v>788</v>
      </c>
      <c r="B3300" t="s">
        <v>789</v>
      </c>
      <c r="C3300">
        <v>25</v>
      </c>
      <c r="D3300" t="s">
        <v>56</v>
      </c>
      <c r="E3300">
        <v>73</v>
      </c>
      <c r="F3300">
        <v>205</v>
      </c>
      <c r="G3300" t="s">
        <v>286</v>
      </c>
      <c r="H3300">
        <v>2020</v>
      </c>
      <c r="I3300" t="s">
        <v>33</v>
      </c>
      <c r="J3300">
        <v>10</v>
      </c>
      <c r="K3300">
        <v>1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43</v>
      </c>
      <c r="T3300">
        <v>27</v>
      </c>
      <c r="U3300" s="5">
        <f>IF(Merge1[[#This Row],[team_defense_snaps]]=0, "", Merge1[[#This Row],[defense_snaps]] / Merge1[[#This Row],[team_defense_snaps]])</f>
        <v>0.4576271186440678</v>
      </c>
      <c r="V3300">
        <v>59</v>
      </c>
      <c r="W3300">
        <v>16</v>
      </c>
      <c r="X3300" s="5" t="s">
        <v>53</v>
      </c>
      <c r="Y3300">
        <v>2</v>
      </c>
      <c r="Z3300">
        <v>0</v>
      </c>
      <c r="AA3300" t="s">
        <v>25</v>
      </c>
      <c r="AB3300" t="s">
        <v>26</v>
      </c>
      <c r="AC3300" t="s">
        <v>27</v>
      </c>
      <c r="AD3300" t="s">
        <v>28</v>
      </c>
      <c r="AE3300" t="s">
        <v>25</v>
      </c>
      <c r="AF33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2.3255813953488372E-2</v>
      </c>
      <c r="AG3300" t="s">
        <v>941</v>
      </c>
      <c r="AH3300">
        <v>68</v>
      </c>
      <c r="AI3300" t="s">
        <v>939</v>
      </c>
      <c r="AJ3300">
        <v>1</v>
      </c>
      <c r="AK33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MIN(AJ3300/8, 1) +
  Merge1[[#This Row],[index_defensive_effort]],
  2
)</f>
        <v>0.65</v>
      </c>
    </row>
    <row r="3301" spans="1:37" x14ac:dyDescent="0.25">
      <c r="A3301" t="s">
        <v>788</v>
      </c>
      <c r="B3301" t="s">
        <v>789</v>
      </c>
      <c r="C3301">
        <v>25</v>
      </c>
      <c r="D3301" t="s">
        <v>56</v>
      </c>
      <c r="E3301">
        <v>73</v>
      </c>
      <c r="F3301">
        <v>205</v>
      </c>
      <c r="G3301" t="s">
        <v>286</v>
      </c>
      <c r="H3301">
        <v>2020</v>
      </c>
      <c r="I3301" t="s">
        <v>33</v>
      </c>
      <c r="J3301">
        <v>10</v>
      </c>
      <c r="K3301">
        <v>1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43</v>
      </c>
      <c r="T3301">
        <v>27</v>
      </c>
      <c r="U3301" s="5">
        <f>IF(Merge1[[#This Row],[team_defense_snaps]]=0, "", Merge1[[#This Row],[defense_snaps]] / Merge1[[#This Row],[team_defense_snaps]])</f>
        <v>0.4576271186440678</v>
      </c>
      <c r="V3301">
        <v>59</v>
      </c>
      <c r="W3301">
        <v>16</v>
      </c>
      <c r="X3301" s="5" t="s">
        <v>53</v>
      </c>
      <c r="Y3301">
        <v>2</v>
      </c>
      <c r="Z3301">
        <v>0</v>
      </c>
      <c r="AA3301" t="s">
        <v>25</v>
      </c>
      <c r="AB3301" t="s">
        <v>26</v>
      </c>
      <c r="AC3301" t="s">
        <v>27</v>
      </c>
      <c r="AD3301" t="s">
        <v>28</v>
      </c>
      <c r="AE3301" t="s">
        <v>25</v>
      </c>
      <c r="AF33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2.3255813953488372E-2</v>
      </c>
      <c r="AG3301" t="s">
        <v>941</v>
      </c>
      <c r="AH3301">
        <v>72.5</v>
      </c>
      <c r="AI3301" t="s">
        <v>939</v>
      </c>
      <c r="AJ3301">
        <v>1</v>
      </c>
      <c r="AK33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MIN(AJ3301/8, 1) +
  Merge1[[#This Row],[index_defensive_effort]],
  2
)</f>
        <v>0.65</v>
      </c>
    </row>
    <row r="3302" spans="1:37" x14ac:dyDescent="0.25">
      <c r="A3302" t="s">
        <v>788</v>
      </c>
      <c r="B3302" t="s">
        <v>789</v>
      </c>
      <c r="C3302">
        <v>25</v>
      </c>
      <c r="D3302" t="s">
        <v>56</v>
      </c>
      <c r="E3302">
        <v>73</v>
      </c>
      <c r="F3302">
        <v>205</v>
      </c>
      <c r="G3302" t="s">
        <v>286</v>
      </c>
      <c r="H3302">
        <v>2020</v>
      </c>
      <c r="I3302" t="s">
        <v>33</v>
      </c>
      <c r="J3302">
        <v>11</v>
      </c>
      <c r="K3302">
        <v>2</v>
      </c>
      <c r="L3302">
        <v>1</v>
      </c>
      <c r="M3302">
        <v>0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73</v>
      </c>
      <c r="T3302">
        <v>68</v>
      </c>
      <c r="U3302" s="5">
        <f>IF(Merge1[[#This Row],[team_defense_snaps]]=0, "", Merge1[[#This Row],[defense_snaps]] / Merge1[[#This Row],[team_defense_snaps]])</f>
        <v>0.98550724637681164</v>
      </c>
      <c r="V3302">
        <v>69</v>
      </c>
      <c r="W3302">
        <v>5</v>
      </c>
      <c r="X3302" s="5" t="s">
        <v>59</v>
      </c>
      <c r="Y3302">
        <v>2</v>
      </c>
      <c r="Z3302">
        <v>0</v>
      </c>
      <c r="AA3302" t="s">
        <v>25</v>
      </c>
      <c r="AB3302" t="s">
        <v>26</v>
      </c>
      <c r="AC3302" t="s">
        <v>27</v>
      </c>
      <c r="AD3302" t="s">
        <v>42</v>
      </c>
      <c r="AE3302" t="s">
        <v>25</v>
      </c>
      <c r="AF33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3.4246575342465752E-2</v>
      </c>
      <c r="AG3302" t="s">
        <v>941</v>
      </c>
      <c r="AH3302">
        <v>71</v>
      </c>
      <c r="AI3302" t="s">
        <v>939</v>
      </c>
      <c r="AJ3302">
        <v>2</v>
      </c>
      <c r="AK33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MIN(AJ3302/8, 1) +
  Merge1[[#This Row],[index_defensive_effort]],
  2
)</f>
        <v>0.78</v>
      </c>
    </row>
    <row r="3303" spans="1:37" x14ac:dyDescent="0.25">
      <c r="A3303" t="s">
        <v>788</v>
      </c>
      <c r="B3303" t="s">
        <v>789</v>
      </c>
      <c r="C3303">
        <v>25</v>
      </c>
      <c r="D3303" t="s">
        <v>56</v>
      </c>
      <c r="E3303">
        <v>73</v>
      </c>
      <c r="F3303">
        <v>205</v>
      </c>
      <c r="G3303" t="s">
        <v>286</v>
      </c>
      <c r="H3303">
        <v>2020</v>
      </c>
      <c r="I3303" t="s">
        <v>33</v>
      </c>
      <c r="J3303">
        <v>11</v>
      </c>
      <c r="K3303">
        <v>2</v>
      </c>
      <c r="L3303">
        <v>1</v>
      </c>
      <c r="M3303">
        <v>0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73</v>
      </c>
      <c r="T3303">
        <v>68</v>
      </c>
      <c r="U3303" s="5">
        <f>IF(Merge1[[#This Row],[team_defense_snaps]]=0, "", Merge1[[#This Row],[defense_snaps]] / Merge1[[#This Row],[team_defense_snaps]])</f>
        <v>0.98550724637681164</v>
      </c>
      <c r="V3303">
        <v>69</v>
      </c>
      <c r="W3303">
        <v>5</v>
      </c>
      <c r="X3303" s="5" t="s">
        <v>59</v>
      </c>
      <c r="Y3303">
        <v>2</v>
      </c>
      <c r="Z3303">
        <v>0</v>
      </c>
      <c r="AA3303" t="s">
        <v>25</v>
      </c>
      <c r="AB3303" t="s">
        <v>26</v>
      </c>
      <c r="AC3303" t="s">
        <v>27</v>
      </c>
      <c r="AD3303" t="s">
        <v>42</v>
      </c>
      <c r="AE3303" t="s">
        <v>25</v>
      </c>
      <c r="AF33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3.4246575342465752E-2</v>
      </c>
      <c r="AG3303" t="s">
        <v>941</v>
      </c>
      <c r="AH3303">
        <v>60.5</v>
      </c>
      <c r="AI3303" t="s">
        <v>939</v>
      </c>
      <c r="AJ3303">
        <v>1</v>
      </c>
      <c r="AK33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MIN(AJ3303/8, 1) +
  Merge1[[#This Row],[index_defensive_effort]],
  2
)</f>
        <v>0.66</v>
      </c>
    </row>
    <row r="3304" spans="1:37" x14ac:dyDescent="0.25">
      <c r="A3304" t="s">
        <v>788</v>
      </c>
      <c r="B3304" t="s">
        <v>789</v>
      </c>
      <c r="C3304">
        <v>25</v>
      </c>
      <c r="D3304" t="s">
        <v>56</v>
      </c>
      <c r="E3304">
        <v>73</v>
      </c>
      <c r="F3304">
        <v>205</v>
      </c>
      <c r="G3304" t="s">
        <v>286</v>
      </c>
      <c r="H3304">
        <v>2020</v>
      </c>
      <c r="I3304" t="s">
        <v>33</v>
      </c>
      <c r="J3304">
        <v>12</v>
      </c>
      <c r="K3304">
        <v>3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38</v>
      </c>
      <c r="T3304">
        <v>30</v>
      </c>
      <c r="U3304" s="5">
        <f>IF(Merge1[[#This Row],[team_defense_snaps]]=0, "", Merge1[[#This Row],[defense_snaps]] / Merge1[[#This Row],[team_defense_snaps]])</f>
        <v>0.50847457627118642</v>
      </c>
      <c r="V3304">
        <v>59</v>
      </c>
      <c r="W3304">
        <v>8</v>
      </c>
      <c r="X3304" s="5" t="s">
        <v>261</v>
      </c>
      <c r="Y3304">
        <v>2</v>
      </c>
      <c r="Z3304">
        <v>0</v>
      </c>
      <c r="AA3304" t="s">
        <v>25</v>
      </c>
      <c r="AB3304" t="s">
        <v>26</v>
      </c>
      <c r="AC3304" t="s">
        <v>27</v>
      </c>
      <c r="AD3304" t="s">
        <v>42</v>
      </c>
      <c r="AE3304" t="s">
        <v>25</v>
      </c>
      <c r="AF33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7.8947368421052627E-2</v>
      </c>
      <c r="AG3304" t="s">
        <v>941</v>
      </c>
      <c r="AH3304">
        <v>69.5</v>
      </c>
      <c r="AI3304" t="s">
        <v>939</v>
      </c>
      <c r="AJ3304">
        <v>2</v>
      </c>
      <c r="AK33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MIN(AJ3304/8, 1) +
  Merge1[[#This Row],[index_defensive_effort]],
  2
)</f>
        <v>0.83</v>
      </c>
    </row>
    <row r="3305" spans="1:37" x14ac:dyDescent="0.25">
      <c r="A3305" t="s">
        <v>788</v>
      </c>
      <c r="B3305" t="s">
        <v>789</v>
      </c>
      <c r="C3305">
        <v>25</v>
      </c>
      <c r="D3305" t="s">
        <v>56</v>
      </c>
      <c r="E3305">
        <v>73</v>
      </c>
      <c r="F3305">
        <v>205</v>
      </c>
      <c r="G3305" t="s">
        <v>286</v>
      </c>
      <c r="H3305">
        <v>2020</v>
      </c>
      <c r="I3305" t="s">
        <v>33</v>
      </c>
      <c r="J3305">
        <v>12</v>
      </c>
      <c r="K3305">
        <v>3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38</v>
      </c>
      <c r="T3305">
        <v>30</v>
      </c>
      <c r="U3305" s="5">
        <f>IF(Merge1[[#This Row],[team_defense_snaps]]=0, "", Merge1[[#This Row],[defense_snaps]] / Merge1[[#This Row],[team_defense_snaps]])</f>
        <v>0.50847457627118642</v>
      </c>
      <c r="V3305">
        <v>59</v>
      </c>
      <c r="W3305">
        <v>8</v>
      </c>
      <c r="X3305" s="5" t="s">
        <v>261</v>
      </c>
      <c r="Y3305">
        <v>2</v>
      </c>
      <c r="Z3305">
        <v>0</v>
      </c>
      <c r="AA3305" t="s">
        <v>25</v>
      </c>
      <c r="AB3305" t="s">
        <v>26</v>
      </c>
      <c r="AC3305" t="s">
        <v>27</v>
      </c>
      <c r="AD3305" t="s">
        <v>42</v>
      </c>
      <c r="AE3305" t="s">
        <v>25</v>
      </c>
      <c r="AF33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7.8947368421052627E-2</v>
      </c>
      <c r="AG3305" t="s">
        <v>941</v>
      </c>
      <c r="AH3305">
        <v>59</v>
      </c>
      <c r="AI3305" t="s">
        <v>939</v>
      </c>
      <c r="AJ3305">
        <v>1</v>
      </c>
      <c r="AK33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MIN(AJ3305/8, 1) +
  Merge1[[#This Row],[index_defensive_effort]],
  2
)</f>
        <v>0.7</v>
      </c>
    </row>
    <row r="3306" spans="1:37" x14ac:dyDescent="0.25">
      <c r="A3306" t="s">
        <v>816</v>
      </c>
      <c r="B3306" t="s">
        <v>817</v>
      </c>
      <c r="C3306">
        <v>29</v>
      </c>
      <c r="D3306" t="s">
        <v>56</v>
      </c>
      <c r="E3306">
        <v>70</v>
      </c>
      <c r="F3306">
        <v>182</v>
      </c>
      <c r="G3306" t="s">
        <v>355</v>
      </c>
      <c r="H3306">
        <v>2020</v>
      </c>
      <c r="I3306" t="s">
        <v>33</v>
      </c>
      <c r="J3306">
        <v>1</v>
      </c>
      <c r="K3306">
        <v>5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71</v>
      </c>
      <c r="T3306">
        <v>70</v>
      </c>
      <c r="U3306" s="5">
        <f>IF(Merge1[[#This Row],[team_defense_snaps]]=0, "", Merge1[[#This Row],[defense_snaps]] / Merge1[[#This Row],[team_defense_snaps]])</f>
        <v>0.97222222222222221</v>
      </c>
      <c r="V3306">
        <v>72</v>
      </c>
      <c r="W3306">
        <v>1</v>
      </c>
      <c r="X3306" s="5" t="s">
        <v>193</v>
      </c>
      <c r="Y3306">
        <v>5</v>
      </c>
      <c r="Z3306">
        <v>0</v>
      </c>
      <c r="AA3306" t="s">
        <v>25</v>
      </c>
      <c r="AB3306" t="s">
        <v>26</v>
      </c>
      <c r="AC3306" t="s">
        <v>27</v>
      </c>
      <c r="AD3306" t="s">
        <v>42</v>
      </c>
      <c r="AE3306" t="s">
        <v>25</v>
      </c>
      <c r="AF33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7.0422535211267609E-2</v>
      </c>
      <c r="AH3306">
        <v>56.5</v>
      </c>
      <c r="AI3306" t="s">
        <v>939</v>
      </c>
      <c r="AJ3306">
        <v>1</v>
      </c>
      <c r="AK33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MIN(AJ3306/8, 1) +
  Merge1[[#This Row],[index_defensive_effort]],
  2
)</f>
        <v>0.7</v>
      </c>
    </row>
    <row r="3307" spans="1:37" x14ac:dyDescent="0.25">
      <c r="A3307" t="s">
        <v>816</v>
      </c>
      <c r="B3307" t="s">
        <v>817</v>
      </c>
      <c r="C3307">
        <v>29</v>
      </c>
      <c r="D3307" t="s">
        <v>56</v>
      </c>
      <c r="E3307">
        <v>70</v>
      </c>
      <c r="F3307">
        <v>182</v>
      </c>
      <c r="G3307" t="s">
        <v>355</v>
      </c>
      <c r="H3307">
        <v>2020</v>
      </c>
      <c r="I3307" t="s">
        <v>33</v>
      </c>
      <c r="J3307">
        <v>2</v>
      </c>
      <c r="K3307">
        <v>9</v>
      </c>
      <c r="L3307">
        <v>1</v>
      </c>
      <c r="M3307">
        <v>0</v>
      </c>
      <c r="N3307">
        <v>1</v>
      </c>
      <c r="O3307">
        <v>0</v>
      </c>
      <c r="P3307">
        <v>0</v>
      </c>
      <c r="Q3307">
        <v>2</v>
      </c>
      <c r="R3307">
        <v>0</v>
      </c>
      <c r="S3307">
        <v>72</v>
      </c>
      <c r="T3307">
        <v>71</v>
      </c>
      <c r="U3307" s="5">
        <f>IF(Merge1[[#This Row],[team_defense_snaps]]=0, "", Merge1[[#This Row],[defense_snaps]] / Merge1[[#This Row],[team_defense_snaps]])</f>
        <v>1</v>
      </c>
      <c r="V3307">
        <v>71</v>
      </c>
      <c r="W3307">
        <v>1</v>
      </c>
      <c r="X3307" s="5" t="s">
        <v>193</v>
      </c>
      <c r="Y3307">
        <v>5</v>
      </c>
      <c r="Z3307">
        <v>0</v>
      </c>
      <c r="AA3307" t="s">
        <v>25</v>
      </c>
      <c r="AB3307" t="s">
        <v>26</v>
      </c>
      <c r="AC3307" t="s">
        <v>27</v>
      </c>
      <c r="AD3307" t="s">
        <v>42</v>
      </c>
      <c r="AE3307" t="s">
        <v>25</v>
      </c>
      <c r="AF33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0.24305555555555555</v>
      </c>
      <c r="AH3307">
        <v>47.5</v>
      </c>
      <c r="AI3307" t="s">
        <v>939</v>
      </c>
      <c r="AJ3307">
        <v>2</v>
      </c>
      <c r="AK33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MIN(AJ3307/8, 1) +
  Merge1[[#This Row],[index_defensive_effort]],
  2
)</f>
        <v>0.99</v>
      </c>
    </row>
    <row r="3308" spans="1:37" x14ac:dyDescent="0.25">
      <c r="A3308" t="s">
        <v>816</v>
      </c>
      <c r="B3308" t="s">
        <v>817</v>
      </c>
      <c r="C3308">
        <v>29</v>
      </c>
      <c r="D3308" t="s">
        <v>56</v>
      </c>
      <c r="E3308">
        <v>70</v>
      </c>
      <c r="F3308">
        <v>182</v>
      </c>
      <c r="G3308" t="s">
        <v>355</v>
      </c>
      <c r="H3308">
        <v>2020</v>
      </c>
      <c r="I3308" t="s">
        <v>33</v>
      </c>
      <c r="J3308">
        <v>3</v>
      </c>
      <c r="K3308">
        <v>3</v>
      </c>
      <c r="L3308">
        <v>5</v>
      </c>
      <c r="M3308">
        <v>2</v>
      </c>
      <c r="N3308">
        <v>7</v>
      </c>
      <c r="O3308">
        <v>0</v>
      </c>
      <c r="P3308">
        <v>1</v>
      </c>
      <c r="Q3308">
        <v>0</v>
      </c>
      <c r="R3308">
        <v>0</v>
      </c>
      <c r="S3308">
        <v>63</v>
      </c>
      <c r="T3308">
        <v>61</v>
      </c>
      <c r="U3308" s="5">
        <f>IF(Merge1[[#This Row],[team_defense_snaps]]=0, "", Merge1[[#This Row],[defense_snaps]] / Merge1[[#This Row],[team_defense_snaps]])</f>
        <v>0.953125</v>
      </c>
      <c r="V3308">
        <v>64</v>
      </c>
      <c r="W3308">
        <v>2</v>
      </c>
      <c r="X3308" s="5" t="s">
        <v>167</v>
      </c>
      <c r="Y3308">
        <v>5</v>
      </c>
      <c r="Z3308">
        <v>0</v>
      </c>
      <c r="AA3308" t="s">
        <v>25</v>
      </c>
      <c r="AB3308" t="s">
        <v>26</v>
      </c>
      <c r="AC3308" t="s">
        <v>27</v>
      </c>
      <c r="AD3308" t="s">
        <v>42</v>
      </c>
      <c r="AE3308" t="s">
        <v>25</v>
      </c>
      <c r="AF33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0.13492063492063491</v>
      </c>
      <c r="AH3308">
        <v>50</v>
      </c>
      <c r="AI3308" t="s">
        <v>939</v>
      </c>
      <c r="AJ3308">
        <v>3</v>
      </c>
      <c r="AK33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MIN(AJ3308/8, 1) +
  Merge1[[#This Row],[index_defensive_effort]],
  2
)</f>
        <v>1.01</v>
      </c>
    </row>
    <row r="3309" spans="1:37" x14ac:dyDescent="0.25">
      <c r="A3309" t="s">
        <v>816</v>
      </c>
      <c r="B3309" t="s">
        <v>817</v>
      </c>
      <c r="C3309">
        <v>29</v>
      </c>
      <c r="D3309" t="s">
        <v>56</v>
      </c>
      <c r="E3309">
        <v>70</v>
      </c>
      <c r="F3309">
        <v>182</v>
      </c>
      <c r="G3309" t="s">
        <v>355</v>
      </c>
      <c r="H3309">
        <v>2020</v>
      </c>
      <c r="I3309" t="s">
        <v>33</v>
      </c>
      <c r="J3309">
        <v>4</v>
      </c>
      <c r="K3309">
        <v>6</v>
      </c>
      <c r="L3309">
        <v>1</v>
      </c>
      <c r="M3309">
        <v>1</v>
      </c>
      <c r="N3309">
        <v>2</v>
      </c>
      <c r="O3309">
        <v>0</v>
      </c>
      <c r="P3309">
        <v>2</v>
      </c>
      <c r="Q3309">
        <v>0</v>
      </c>
      <c r="R3309">
        <v>0</v>
      </c>
      <c r="S3309">
        <v>68</v>
      </c>
      <c r="T3309">
        <v>66</v>
      </c>
      <c r="U3309" s="5">
        <f>IF(Merge1[[#This Row],[team_defense_snaps]]=0, "", Merge1[[#This Row],[defense_snaps]] / Merge1[[#This Row],[team_defense_snaps]])</f>
        <v>0.97058823529411764</v>
      </c>
      <c r="V3309">
        <v>68</v>
      </c>
      <c r="W3309">
        <v>2</v>
      </c>
      <c r="X3309" s="5" t="s">
        <v>250</v>
      </c>
      <c r="Y3309">
        <v>5</v>
      </c>
      <c r="Z3309">
        <v>0</v>
      </c>
      <c r="AA3309" t="s">
        <v>25</v>
      </c>
      <c r="AB3309" t="s">
        <v>26</v>
      </c>
      <c r="AC3309" t="s">
        <v>27</v>
      </c>
      <c r="AD3309" t="s">
        <v>42</v>
      </c>
      <c r="AE3309" t="s">
        <v>25</v>
      </c>
      <c r="AF33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0.16176470588235295</v>
      </c>
      <c r="AH3309">
        <v>46</v>
      </c>
      <c r="AI3309" t="s">
        <v>939</v>
      </c>
      <c r="AJ3309">
        <v>4</v>
      </c>
      <c r="AK33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MIN(AJ3309/8, 1) +
  Merge1[[#This Row],[index_defensive_effort]],
  2
)</f>
        <v>1.1599999999999999</v>
      </c>
    </row>
    <row r="3310" spans="1:37" x14ac:dyDescent="0.25">
      <c r="A3310" t="s">
        <v>816</v>
      </c>
      <c r="B3310" t="s">
        <v>817</v>
      </c>
      <c r="C3310">
        <v>29</v>
      </c>
      <c r="D3310" t="s">
        <v>56</v>
      </c>
      <c r="E3310">
        <v>70</v>
      </c>
      <c r="F3310">
        <v>182</v>
      </c>
      <c r="G3310" t="s">
        <v>355</v>
      </c>
      <c r="H3310">
        <v>2020</v>
      </c>
      <c r="I3310" t="s">
        <v>33</v>
      </c>
      <c r="J3310">
        <v>5</v>
      </c>
      <c r="K3310">
        <v>0</v>
      </c>
      <c r="L3310">
        <v>1</v>
      </c>
      <c r="M3310">
        <v>0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39</v>
      </c>
      <c r="T3310">
        <v>38</v>
      </c>
      <c r="U3310" s="5">
        <f>IF(Merge1[[#This Row],[team_defense_snaps]]=0, "", Merge1[[#This Row],[defense_snaps]] / Merge1[[#This Row],[team_defense_snaps]])</f>
        <v>0.70370370370370372</v>
      </c>
      <c r="V3310">
        <v>54</v>
      </c>
      <c r="W3310">
        <v>1</v>
      </c>
      <c r="X3310" s="5" t="s">
        <v>303</v>
      </c>
      <c r="Y3310">
        <v>5</v>
      </c>
      <c r="Z3310">
        <v>0</v>
      </c>
      <c r="AA3310" t="s">
        <v>25</v>
      </c>
      <c r="AB3310" t="s">
        <v>36</v>
      </c>
      <c r="AC3310" t="s">
        <v>63</v>
      </c>
      <c r="AD3310" t="s">
        <v>42</v>
      </c>
      <c r="AE3310" t="s">
        <v>25</v>
      </c>
      <c r="AF33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1.282051282051282E-2</v>
      </c>
      <c r="AH3310">
        <v>50.5</v>
      </c>
      <c r="AI3310" t="s">
        <v>939</v>
      </c>
      <c r="AJ3310">
        <v>5</v>
      </c>
      <c r="AK33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MIN(AJ3310/8, 1) +
  Merge1[[#This Row],[index_defensive_effort]],
  2
)</f>
        <v>1.1399999999999999</v>
      </c>
    </row>
    <row r="3311" spans="1:37" x14ac:dyDescent="0.25">
      <c r="A3311" t="s">
        <v>816</v>
      </c>
      <c r="B3311" t="s">
        <v>817</v>
      </c>
      <c r="C3311">
        <v>29</v>
      </c>
      <c r="D3311" t="s">
        <v>56</v>
      </c>
      <c r="E3311">
        <v>70</v>
      </c>
      <c r="F3311">
        <v>182</v>
      </c>
      <c r="G3311" t="s">
        <v>355</v>
      </c>
      <c r="H3311">
        <v>2020</v>
      </c>
      <c r="I3311" t="s">
        <v>33</v>
      </c>
      <c r="J3311">
        <v>6</v>
      </c>
      <c r="K3311">
        <v>4</v>
      </c>
      <c r="L3311">
        <v>2</v>
      </c>
      <c r="M3311">
        <v>0</v>
      </c>
      <c r="N3311">
        <v>2</v>
      </c>
      <c r="O3311">
        <v>0</v>
      </c>
      <c r="P3311">
        <v>0</v>
      </c>
      <c r="Q3311">
        <v>0</v>
      </c>
      <c r="R3311">
        <v>0</v>
      </c>
      <c r="S3311">
        <v>72</v>
      </c>
      <c r="T3311">
        <v>72</v>
      </c>
      <c r="U3311" s="5">
        <f>IF(Merge1[[#This Row],[team_defense_snaps]]=0, "", Merge1[[#This Row],[defense_snaps]] / Merge1[[#This Row],[team_defense_snaps]])</f>
        <v>0.96</v>
      </c>
      <c r="V3311">
        <v>75</v>
      </c>
      <c r="W3311">
        <v>0</v>
      </c>
      <c r="X3311" s="5" t="s">
        <v>29</v>
      </c>
      <c r="Y3311">
        <v>5</v>
      </c>
      <c r="Z3311">
        <v>0</v>
      </c>
      <c r="AA3311" t="s">
        <v>25</v>
      </c>
      <c r="AB3311" t="s">
        <v>26</v>
      </c>
      <c r="AC3311" t="s">
        <v>27</v>
      </c>
      <c r="AD3311" t="s">
        <v>42</v>
      </c>
      <c r="AE3311" t="s">
        <v>25</v>
      </c>
      <c r="AF33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6.9444444444444448E-2</v>
      </c>
      <c r="AH3311">
        <v>67</v>
      </c>
      <c r="AI3311" t="s">
        <v>939</v>
      </c>
      <c r="AJ3311">
        <v>6</v>
      </c>
      <c r="AK33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MIN(AJ3311/8, 1) +
  Merge1[[#This Row],[index_defensive_effort]],
  2
)</f>
        <v>1.32</v>
      </c>
    </row>
    <row r="3312" spans="1:37" x14ac:dyDescent="0.25">
      <c r="A3312" t="s">
        <v>816</v>
      </c>
      <c r="B3312" t="s">
        <v>817</v>
      </c>
      <c r="C3312">
        <v>29</v>
      </c>
      <c r="D3312" t="s">
        <v>56</v>
      </c>
      <c r="E3312">
        <v>70</v>
      </c>
      <c r="F3312">
        <v>182</v>
      </c>
      <c r="G3312" t="s">
        <v>355</v>
      </c>
      <c r="H3312">
        <v>2020</v>
      </c>
      <c r="I3312" t="s">
        <v>33</v>
      </c>
      <c r="J3312">
        <v>7</v>
      </c>
      <c r="K3312">
        <v>4</v>
      </c>
      <c r="L3312">
        <v>3</v>
      </c>
      <c r="M3312">
        <v>0</v>
      </c>
      <c r="N3312">
        <v>3</v>
      </c>
      <c r="O3312">
        <v>0</v>
      </c>
      <c r="P3312">
        <v>1</v>
      </c>
      <c r="Q3312">
        <v>1</v>
      </c>
      <c r="R3312">
        <v>0</v>
      </c>
      <c r="S3312">
        <v>63</v>
      </c>
      <c r="T3312">
        <v>63</v>
      </c>
      <c r="U3312" s="5">
        <f>IF(Merge1[[#This Row],[team_defense_snaps]]=0, "", Merge1[[#This Row],[defense_snaps]] / Merge1[[#This Row],[team_defense_snaps]])</f>
        <v>1</v>
      </c>
      <c r="V3312">
        <v>63</v>
      </c>
      <c r="W3312">
        <v>0</v>
      </c>
      <c r="X3312" s="5" t="s">
        <v>29</v>
      </c>
      <c r="Y3312">
        <v>5</v>
      </c>
      <c r="Z3312">
        <v>0</v>
      </c>
      <c r="AA3312" t="s">
        <v>25</v>
      </c>
      <c r="AB3312" t="s">
        <v>26</v>
      </c>
      <c r="AC3312" t="s">
        <v>27</v>
      </c>
      <c r="AD3312" t="s">
        <v>42</v>
      </c>
      <c r="AE3312" t="s">
        <v>25</v>
      </c>
      <c r="AF33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0.18253968253968253</v>
      </c>
      <c r="AH3312">
        <v>50</v>
      </c>
      <c r="AI3312" t="s">
        <v>939</v>
      </c>
      <c r="AJ3312">
        <v>7</v>
      </c>
      <c r="AK33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MIN(AJ3312/8, 1) +
  Merge1[[#This Row],[index_defensive_effort]],
  2
)</f>
        <v>1.56</v>
      </c>
    </row>
    <row r="3313" spans="1:37" x14ac:dyDescent="0.25">
      <c r="A3313" t="s">
        <v>816</v>
      </c>
      <c r="B3313" t="s">
        <v>817</v>
      </c>
      <c r="C3313">
        <v>29</v>
      </c>
      <c r="D3313" t="s">
        <v>56</v>
      </c>
      <c r="E3313">
        <v>70</v>
      </c>
      <c r="F3313">
        <v>182</v>
      </c>
      <c r="G3313" t="s">
        <v>355</v>
      </c>
      <c r="H3313">
        <v>2020</v>
      </c>
      <c r="I3313" t="s">
        <v>33</v>
      </c>
      <c r="J3313">
        <v>8</v>
      </c>
      <c r="K3313">
        <v>3</v>
      </c>
      <c r="L3313">
        <v>2</v>
      </c>
      <c r="M3313">
        <v>0</v>
      </c>
      <c r="N3313">
        <v>2</v>
      </c>
      <c r="O3313">
        <v>0</v>
      </c>
      <c r="P3313">
        <v>0</v>
      </c>
      <c r="Q3313">
        <v>0</v>
      </c>
      <c r="R3313">
        <v>0</v>
      </c>
      <c r="S3313">
        <v>51</v>
      </c>
      <c r="T3313">
        <v>48</v>
      </c>
      <c r="U3313" s="5">
        <f>IF(Merge1[[#This Row],[team_defense_snaps]]=0, "", Merge1[[#This Row],[defense_snaps]] / Merge1[[#This Row],[team_defense_snaps]])</f>
        <v>0.96</v>
      </c>
      <c r="V3313">
        <v>50</v>
      </c>
      <c r="W3313">
        <v>3</v>
      </c>
      <c r="X3313" s="5" t="s">
        <v>250</v>
      </c>
      <c r="Y3313">
        <v>5</v>
      </c>
      <c r="Z3313">
        <v>0</v>
      </c>
      <c r="AA3313" t="s">
        <v>25</v>
      </c>
      <c r="AB3313" t="s">
        <v>26</v>
      </c>
      <c r="AC3313" t="s">
        <v>27</v>
      </c>
      <c r="AD3313" t="s">
        <v>42</v>
      </c>
      <c r="AE3313" t="s">
        <v>25</v>
      </c>
      <c r="AF33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7.8431372549019607E-2</v>
      </c>
      <c r="AH3313">
        <v>55</v>
      </c>
      <c r="AI3313" t="s">
        <v>939</v>
      </c>
      <c r="AJ3313">
        <v>8</v>
      </c>
      <c r="AK33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MIN(AJ3313/8, 1) +
  Merge1[[#This Row],[index_defensive_effort]],
  2
)</f>
        <v>1.58</v>
      </c>
    </row>
    <row r="3314" spans="1:37" x14ac:dyDescent="0.25">
      <c r="A3314" t="s">
        <v>816</v>
      </c>
      <c r="B3314" t="s">
        <v>817</v>
      </c>
      <c r="C3314">
        <v>29</v>
      </c>
      <c r="D3314" t="s">
        <v>56</v>
      </c>
      <c r="E3314">
        <v>70</v>
      </c>
      <c r="F3314">
        <v>182</v>
      </c>
      <c r="G3314" t="s">
        <v>355</v>
      </c>
      <c r="H3314">
        <v>2020</v>
      </c>
      <c r="I3314" t="s">
        <v>33</v>
      </c>
      <c r="J3314">
        <v>10</v>
      </c>
      <c r="K3314">
        <v>3</v>
      </c>
      <c r="L3314">
        <v>1</v>
      </c>
      <c r="M3314">
        <v>1</v>
      </c>
      <c r="N3314">
        <v>2</v>
      </c>
      <c r="O3314">
        <v>0</v>
      </c>
      <c r="P3314">
        <v>0</v>
      </c>
      <c r="Q3314">
        <v>0</v>
      </c>
      <c r="R3314">
        <v>0</v>
      </c>
      <c r="S3314">
        <v>65</v>
      </c>
      <c r="T3314">
        <v>65</v>
      </c>
      <c r="U3314" s="5">
        <f>IF(Merge1[[#This Row],[team_defense_snaps]]=0, "", Merge1[[#This Row],[defense_snaps]] / Merge1[[#This Row],[team_defense_snaps]])</f>
        <v>0.97014925373134331</v>
      </c>
      <c r="V3314">
        <v>67</v>
      </c>
      <c r="W3314">
        <v>0</v>
      </c>
      <c r="X3314" s="5" t="s">
        <v>29</v>
      </c>
      <c r="Y3314">
        <v>5</v>
      </c>
      <c r="Z3314">
        <v>0</v>
      </c>
      <c r="AA3314" t="s">
        <v>25</v>
      </c>
      <c r="AB3314" t="s">
        <v>26</v>
      </c>
      <c r="AC3314" t="s">
        <v>27</v>
      </c>
      <c r="AD3314" t="s">
        <v>42</v>
      </c>
      <c r="AE3314" t="s">
        <v>25</v>
      </c>
      <c r="AF33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6.1538461538461542E-2</v>
      </c>
      <c r="AH3314">
        <v>64</v>
      </c>
      <c r="AI3314" t="s">
        <v>939</v>
      </c>
      <c r="AJ3314">
        <v>1</v>
      </c>
      <c r="AK33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MIN(AJ3314/8, 1) +
  Merge1[[#This Row],[index_defensive_effort]],
  2
)</f>
        <v>0.69</v>
      </c>
    </row>
    <row r="3315" spans="1:37" x14ac:dyDescent="0.25">
      <c r="A3315" t="s">
        <v>816</v>
      </c>
      <c r="B3315" t="s">
        <v>817</v>
      </c>
      <c r="C3315">
        <v>29</v>
      </c>
      <c r="D3315" t="s">
        <v>56</v>
      </c>
      <c r="E3315">
        <v>70</v>
      </c>
      <c r="F3315">
        <v>182</v>
      </c>
      <c r="G3315" t="s">
        <v>355</v>
      </c>
      <c r="H3315">
        <v>2020</v>
      </c>
      <c r="I3315" t="s">
        <v>33</v>
      </c>
      <c r="J3315">
        <v>11</v>
      </c>
      <c r="K3315">
        <v>4</v>
      </c>
      <c r="L3315">
        <v>2</v>
      </c>
      <c r="M3315">
        <v>1</v>
      </c>
      <c r="N3315">
        <v>3</v>
      </c>
      <c r="O3315">
        <v>0</v>
      </c>
      <c r="P3315">
        <v>0</v>
      </c>
      <c r="Q3315">
        <v>0</v>
      </c>
      <c r="R3315">
        <v>0</v>
      </c>
      <c r="S3315">
        <v>62</v>
      </c>
      <c r="T3315">
        <v>62</v>
      </c>
      <c r="U3315" s="5">
        <f>IF(Merge1[[#This Row],[team_defense_snaps]]=0, "", Merge1[[#This Row],[defense_snaps]] / Merge1[[#This Row],[team_defense_snaps]])</f>
        <v>0.88571428571428568</v>
      </c>
      <c r="V3315">
        <v>70</v>
      </c>
      <c r="W3315">
        <v>0</v>
      </c>
      <c r="X3315" s="5" t="s">
        <v>29</v>
      </c>
      <c r="Y3315">
        <v>5</v>
      </c>
      <c r="Z3315">
        <v>0</v>
      </c>
      <c r="AA3315" t="s">
        <v>25</v>
      </c>
      <c r="AB3315" t="s">
        <v>26</v>
      </c>
      <c r="AC3315" t="s">
        <v>27</v>
      </c>
      <c r="AD3315" t="s">
        <v>42</v>
      </c>
      <c r="AE3315" t="s">
        <v>25</v>
      </c>
      <c r="AF33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8.8709677419354843E-2</v>
      </c>
      <c r="AH3315">
        <v>61</v>
      </c>
      <c r="AI3315" t="s">
        <v>939</v>
      </c>
      <c r="AJ3315">
        <v>2</v>
      </c>
      <c r="AK33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MIN(AJ3315/8, 1) +
  Merge1[[#This Row],[index_defensive_effort]],
  2
)</f>
        <v>0.84</v>
      </c>
    </row>
    <row r="3316" spans="1:37" x14ac:dyDescent="0.25">
      <c r="A3316" t="s">
        <v>816</v>
      </c>
      <c r="B3316" t="s">
        <v>817</v>
      </c>
      <c r="C3316">
        <v>29</v>
      </c>
      <c r="D3316" t="s">
        <v>56</v>
      </c>
      <c r="E3316">
        <v>70</v>
      </c>
      <c r="F3316">
        <v>182</v>
      </c>
      <c r="G3316" t="s">
        <v>355</v>
      </c>
      <c r="H3316">
        <v>2020</v>
      </c>
      <c r="I3316" t="s">
        <v>33</v>
      </c>
      <c r="J3316">
        <v>12</v>
      </c>
      <c r="K3316">
        <v>6</v>
      </c>
      <c r="L3316">
        <v>1</v>
      </c>
      <c r="M3316">
        <v>0</v>
      </c>
      <c r="N3316">
        <v>1</v>
      </c>
      <c r="O3316">
        <v>0</v>
      </c>
      <c r="P3316">
        <v>1</v>
      </c>
      <c r="Q3316">
        <v>0</v>
      </c>
      <c r="R3316">
        <v>2</v>
      </c>
      <c r="S3316">
        <v>65</v>
      </c>
      <c r="T3316">
        <v>65</v>
      </c>
      <c r="U3316" s="5">
        <f>IF(Merge1[[#This Row],[team_defense_snaps]]=0, "", Merge1[[#This Row],[defense_snaps]] / Merge1[[#This Row],[team_defense_snaps]])</f>
        <v>0.90277777777777779</v>
      </c>
      <c r="V3316">
        <v>72</v>
      </c>
      <c r="W3316">
        <v>0</v>
      </c>
      <c r="X3316" s="5" t="s">
        <v>29</v>
      </c>
      <c r="Y3316">
        <v>5</v>
      </c>
      <c r="Z3316">
        <v>0</v>
      </c>
      <c r="AA3316" t="s">
        <v>25</v>
      </c>
      <c r="AB3316" t="s">
        <v>26</v>
      </c>
      <c r="AC3316" t="s">
        <v>27</v>
      </c>
      <c r="AD3316" t="s">
        <v>42</v>
      </c>
      <c r="AE3316" t="s">
        <v>25</v>
      </c>
      <c r="AF33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0.19230769230769232</v>
      </c>
      <c r="AH3316">
        <v>49</v>
      </c>
      <c r="AI3316" t="s">
        <v>939</v>
      </c>
      <c r="AJ3316">
        <v>3</v>
      </c>
      <c r="AK33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MIN(AJ3316/8, 1) +
  Merge1[[#This Row],[index_defensive_effort]],
  2
)</f>
        <v>1.07</v>
      </c>
    </row>
    <row r="3317" spans="1:37" x14ac:dyDescent="0.25">
      <c r="A3317" t="s">
        <v>816</v>
      </c>
      <c r="B3317" t="s">
        <v>817</v>
      </c>
      <c r="C3317">
        <v>29</v>
      </c>
      <c r="D3317" t="s">
        <v>56</v>
      </c>
      <c r="E3317">
        <v>70</v>
      </c>
      <c r="F3317">
        <v>182</v>
      </c>
      <c r="G3317" t="s">
        <v>355</v>
      </c>
      <c r="H3317">
        <v>2020</v>
      </c>
      <c r="I3317" t="s">
        <v>33</v>
      </c>
      <c r="J3317">
        <v>13</v>
      </c>
      <c r="K3317">
        <v>4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2</v>
      </c>
      <c r="R3317">
        <v>0</v>
      </c>
      <c r="S3317">
        <v>61</v>
      </c>
      <c r="T3317">
        <v>61</v>
      </c>
      <c r="U3317" s="5">
        <f>IF(Merge1[[#This Row],[team_defense_snaps]]=0, "", Merge1[[#This Row],[defense_snaps]] / Merge1[[#This Row],[team_defense_snaps]])</f>
        <v>0.953125</v>
      </c>
      <c r="V3317">
        <v>64</v>
      </c>
      <c r="W3317">
        <v>0</v>
      </c>
      <c r="X3317" s="5" t="s">
        <v>29</v>
      </c>
      <c r="Y3317">
        <v>5</v>
      </c>
      <c r="Z3317">
        <v>0</v>
      </c>
      <c r="AA3317" t="s">
        <v>25</v>
      </c>
      <c r="AB3317" t="s">
        <v>26</v>
      </c>
      <c r="AC3317" t="s">
        <v>27</v>
      </c>
      <c r="AD3317" t="s">
        <v>42</v>
      </c>
      <c r="AE3317" t="s">
        <v>25</v>
      </c>
      <c r="AF33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0.19672131147540983</v>
      </c>
      <c r="AH3317">
        <v>62.5</v>
      </c>
      <c r="AI3317" t="s">
        <v>939</v>
      </c>
      <c r="AJ3317">
        <v>4</v>
      </c>
      <c r="AK33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MIN(AJ3317/8, 1) +
  Merge1[[#This Row],[index_defensive_effort]],
  2
)</f>
        <v>1.2</v>
      </c>
    </row>
    <row r="3318" spans="1:37" x14ac:dyDescent="0.25">
      <c r="A3318" t="s">
        <v>816</v>
      </c>
      <c r="B3318" t="s">
        <v>817</v>
      </c>
      <c r="C3318">
        <v>29</v>
      </c>
      <c r="D3318" t="s">
        <v>56</v>
      </c>
      <c r="E3318">
        <v>70</v>
      </c>
      <c r="F3318">
        <v>182</v>
      </c>
      <c r="G3318" t="s">
        <v>355</v>
      </c>
      <c r="H3318">
        <v>2020</v>
      </c>
      <c r="I3318" t="s">
        <v>33</v>
      </c>
      <c r="J3318">
        <v>14</v>
      </c>
      <c r="K3318">
        <v>1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55</v>
      </c>
      <c r="T3318">
        <v>54</v>
      </c>
      <c r="U3318" s="5">
        <f>IF(Merge1[[#This Row],[team_defense_snaps]]=0, "", Merge1[[#This Row],[defense_snaps]] / Merge1[[#This Row],[team_defense_snaps]])</f>
        <v>0.9152542372881356</v>
      </c>
      <c r="V3318">
        <v>59</v>
      </c>
      <c r="W3318">
        <v>1</v>
      </c>
      <c r="X3318" s="5" t="s">
        <v>193</v>
      </c>
      <c r="Y3318">
        <v>5</v>
      </c>
      <c r="Z3318">
        <v>0</v>
      </c>
      <c r="AA3318" t="s">
        <v>25</v>
      </c>
      <c r="AB3318" t="s">
        <v>26</v>
      </c>
      <c r="AC3318" t="s">
        <v>27</v>
      </c>
      <c r="AD3318" t="s">
        <v>42</v>
      </c>
      <c r="AE3318" t="s">
        <v>25</v>
      </c>
      <c r="AF33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1.8181818181818181E-2</v>
      </c>
      <c r="AH3318">
        <v>59.5</v>
      </c>
      <c r="AI3318" t="s">
        <v>939</v>
      </c>
      <c r="AJ3318">
        <v>5</v>
      </c>
      <c r="AK33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MIN(AJ3318/8, 1) +
  Merge1[[#This Row],[index_defensive_effort]],
  2
)</f>
        <v>1.1399999999999999</v>
      </c>
    </row>
    <row r="3319" spans="1:37" x14ac:dyDescent="0.25">
      <c r="A3319" t="s">
        <v>816</v>
      </c>
      <c r="B3319" t="s">
        <v>817</v>
      </c>
      <c r="C3319">
        <v>29</v>
      </c>
      <c r="D3319" t="s">
        <v>56</v>
      </c>
      <c r="E3319">
        <v>70</v>
      </c>
      <c r="F3319">
        <v>182</v>
      </c>
      <c r="G3319" t="s">
        <v>355</v>
      </c>
      <c r="H3319">
        <v>2020</v>
      </c>
      <c r="I3319" t="s">
        <v>33</v>
      </c>
      <c r="J3319">
        <v>15</v>
      </c>
      <c r="K3319">
        <v>0</v>
      </c>
      <c r="L3319">
        <v>1</v>
      </c>
      <c r="M3319">
        <v>0</v>
      </c>
      <c r="N3319">
        <v>1</v>
      </c>
      <c r="O3319">
        <v>0</v>
      </c>
      <c r="P3319">
        <v>1</v>
      </c>
      <c r="Q3319">
        <v>0</v>
      </c>
      <c r="R3319">
        <v>0</v>
      </c>
      <c r="S3319">
        <v>61</v>
      </c>
      <c r="T3319">
        <v>61</v>
      </c>
      <c r="U3319" s="5">
        <f>IF(Merge1[[#This Row],[team_defense_snaps]]=0, "", Merge1[[#This Row],[defense_snaps]] / Merge1[[#This Row],[team_defense_snaps]])</f>
        <v>0.93846153846153846</v>
      </c>
      <c r="V3319">
        <v>65</v>
      </c>
      <c r="W3319">
        <v>0</v>
      </c>
      <c r="X3319" s="5" t="s">
        <v>29</v>
      </c>
      <c r="Y3319">
        <v>5</v>
      </c>
      <c r="Z3319">
        <v>0</v>
      </c>
      <c r="AA3319" t="s">
        <v>25</v>
      </c>
      <c r="AB3319" t="s">
        <v>26</v>
      </c>
      <c r="AC3319" t="s">
        <v>27</v>
      </c>
      <c r="AD3319" t="s">
        <v>42</v>
      </c>
      <c r="AE3319" t="s">
        <v>25</v>
      </c>
      <c r="AF33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4.0983606557377046E-2</v>
      </c>
      <c r="AH3319">
        <v>53.5</v>
      </c>
      <c r="AI3319" t="s">
        <v>939</v>
      </c>
      <c r="AJ3319">
        <v>6</v>
      </c>
      <c r="AK33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MIN(AJ3319/8, 1) +
  Merge1[[#This Row],[index_defensive_effort]],
  2
)</f>
        <v>1.29</v>
      </c>
    </row>
    <row r="3320" spans="1:37" x14ac:dyDescent="0.25">
      <c r="A3320" t="s">
        <v>816</v>
      </c>
      <c r="B3320" t="s">
        <v>817</v>
      </c>
      <c r="C3320">
        <v>29</v>
      </c>
      <c r="D3320" t="s">
        <v>56</v>
      </c>
      <c r="E3320">
        <v>70</v>
      </c>
      <c r="F3320">
        <v>182</v>
      </c>
      <c r="G3320" t="s">
        <v>355</v>
      </c>
      <c r="H3320">
        <v>2020</v>
      </c>
      <c r="I3320" t="s">
        <v>33</v>
      </c>
      <c r="J3320">
        <v>16</v>
      </c>
      <c r="K3320">
        <v>0</v>
      </c>
      <c r="L3320">
        <v>3</v>
      </c>
      <c r="M3320">
        <v>2</v>
      </c>
      <c r="N3320">
        <v>5</v>
      </c>
      <c r="O3320">
        <v>0</v>
      </c>
      <c r="P3320">
        <v>0</v>
      </c>
      <c r="Q3320">
        <v>0</v>
      </c>
      <c r="R3320">
        <v>0</v>
      </c>
      <c r="S3320">
        <v>63</v>
      </c>
      <c r="T3320">
        <v>63</v>
      </c>
      <c r="U3320" s="5">
        <f>IF(Merge1[[#This Row],[team_defense_snaps]]=0, "", Merge1[[#This Row],[defense_snaps]] / Merge1[[#This Row],[team_defense_snaps]])</f>
        <v>1</v>
      </c>
      <c r="V3320">
        <v>63</v>
      </c>
      <c r="W3320">
        <v>0</v>
      </c>
      <c r="X3320" s="5" t="s">
        <v>29</v>
      </c>
      <c r="Y3320">
        <v>5</v>
      </c>
      <c r="Z3320">
        <v>0</v>
      </c>
      <c r="AA3320" t="s">
        <v>25</v>
      </c>
      <c r="AB3320" t="s">
        <v>26</v>
      </c>
      <c r="AC3320" t="s">
        <v>27</v>
      </c>
      <c r="AD3320" t="s">
        <v>42</v>
      </c>
      <c r="AE3320" t="s">
        <v>25</v>
      </c>
      <c r="AF33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3.968253968253968E-2</v>
      </c>
      <c r="AH3320">
        <v>68.5</v>
      </c>
      <c r="AI3320" t="s">
        <v>939</v>
      </c>
      <c r="AJ3320">
        <v>7</v>
      </c>
      <c r="AK33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MIN(AJ3320/8, 1) +
  Merge1[[#This Row],[index_defensive_effort]],
  2
)</f>
        <v>1.41</v>
      </c>
    </row>
    <row r="3321" spans="1:37" x14ac:dyDescent="0.25">
      <c r="A3321" t="s">
        <v>816</v>
      </c>
      <c r="B3321" t="s">
        <v>817</v>
      </c>
      <c r="C3321">
        <v>29</v>
      </c>
      <c r="D3321" t="s">
        <v>56</v>
      </c>
      <c r="E3321">
        <v>70</v>
      </c>
      <c r="F3321">
        <v>182</v>
      </c>
      <c r="G3321" t="s">
        <v>355</v>
      </c>
      <c r="H3321">
        <v>2020</v>
      </c>
      <c r="I3321" t="s">
        <v>33</v>
      </c>
      <c r="J3321">
        <v>17</v>
      </c>
      <c r="K3321">
        <v>3</v>
      </c>
      <c r="L3321">
        <v>2</v>
      </c>
      <c r="M3321">
        <v>0</v>
      </c>
      <c r="N3321">
        <v>2</v>
      </c>
      <c r="O3321">
        <v>0</v>
      </c>
      <c r="P3321">
        <v>0</v>
      </c>
      <c r="Q3321">
        <v>2</v>
      </c>
      <c r="R3321">
        <v>0</v>
      </c>
      <c r="S3321">
        <v>52</v>
      </c>
      <c r="T3321">
        <v>52</v>
      </c>
      <c r="U3321" s="5">
        <f>IF(Merge1[[#This Row],[team_defense_snaps]]=0, "", Merge1[[#This Row],[defense_snaps]] / Merge1[[#This Row],[team_defense_snaps]])</f>
        <v>0.98113207547169812</v>
      </c>
      <c r="V3321">
        <v>53</v>
      </c>
      <c r="W3321">
        <v>0</v>
      </c>
      <c r="X3321" s="5" t="s">
        <v>29</v>
      </c>
      <c r="Y3321">
        <v>5</v>
      </c>
      <c r="Z3321">
        <v>0</v>
      </c>
      <c r="AA3321" t="s">
        <v>25</v>
      </c>
      <c r="AB3321" t="s">
        <v>26</v>
      </c>
      <c r="AC3321" t="s">
        <v>27</v>
      </c>
      <c r="AD3321" t="s">
        <v>42</v>
      </c>
      <c r="AE3321" t="s">
        <v>25</v>
      </c>
      <c r="AF33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0.23076923076923078</v>
      </c>
      <c r="AH3321">
        <v>70</v>
      </c>
      <c r="AI3321" t="s">
        <v>939</v>
      </c>
      <c r="AJ3321">
        <v>8</v>
      </c>
      <c r="AK33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MIN(AJ3321/8, 1) +
  Merge1[[#This Row],[index_defensive_effort]],
  2
)</f>
        <v>1.73</v>
      </c>
    </row>
    <row r="3322" spans="1:37" x14ac:dyDescent="0.25">
      <c r="A3322" t="s">
        <v>816</v>
      </c>
      <c r="B3322" t="s">
        <v>817</v>
      </c>
      <c r="C3322">
        <v>29</v>
      </c>
      <c r="D3322" t="s">
        <v>56</v>
      </c>
      <c r="E3322">
        <v>70</v>
      </c>
      <c r="F3322">
        <v>182</v>
      </c>
      <c r="G3322" t="s">
        <v>355</v>
      </c>
      <c r="H3322">
        <v>2020</v>
      </c>
      <c r="I3322" t="s">
        <v>24</v>
      </c>
      <c r="J3322">
        <v>18</v>
      </c>
      <c r="K3322">
        <v>2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61</v>
      </c>
      <c r="T3322">
        <v>61</v>
      </c>
      <c r="U3322" s="5">
        <f>IF(Merge1[[#This Row],[team_defense_snaps]]=0, "", Merge1[[#This Row],[defense_snaps]] / Merge1[[#This Row],[team_defense_snaps]])</f>
        <v>0.9838709677419355</v>
      </c>
      <c r="V3322">
        <v>62</v>
      </c>
      <c r="W3322">
        <v>0</v>
      </c>
      <c r="X3322" s="5" t="s">
        <v>29</v>
      </c>
      <c r="Y3322">
        <v>5</v>
      </c>
      <c r="Z3322">
        <v>0</v>
      </c>
      <c r="AA3322" t="s">
        <v>25</v>
      </c>
      <c r="AB3322" t="s">
        <v>26</v>
      </c>
      <c r="AC3322" t="s">
        <v>27</v>
      </c>
      <c r="AD3322" t="s">
        <v>42</v>
      </c>
      <c r="AE3322" t="s">
        <v>25</v>
      </c>
      <c r="AF33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3.2786885245901641E-2</v>
      </c>
      <c r="AH3322">
        <v>52</v>
      </c>
      <c r="AI3322" t="s">
        <v>939</v>
      </c>
      <c r="AJ3322">
        <v>9</v>
      </c>
      <c r="AK33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MIN(AJ3322/8, 1) +
  Merge1[[#This Row],[index_defensive_effort]],
  2
)</f>
        <v>1.73</v>
      </c>
    </row>
    <row r="3323" spans="1:37" x14ac:dyDescent="0.25">
      <c r="A3323" t="s">
        <v>816</v>
      </c>
      <c r="B3323" t="s">
        <v>817</v>
      </c>
      <c r="C3323">
        <v>29</v>
      </c>
      <c r="D3323" t="s">
        <v>56</v>
      </c>
      <c r="E3323">
        <v>70</v>
      </c>
      <c r="F3323">
        <v>182</v>
      </c>
      <c r="G3323" t="s">
        <v>355</v>
      </c>
      <c r="H3323">
        <v>2020</v>
      </c>
      <c r="I3323" t="s">
        <v>24</v>
      </c>
      <c r="J3323">
        <v>19</v>
      </c>
      <c r="K3323">
        <v>2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73</v>
      </c>
      <c r="T3323">
        <v>73</v>
      </c>
      <c r="U3323" s="5">
        <f>IF(Merge1[[#This Row],[team_defense_snaps]]=0, "", Merge1[[#This Row],[defense_snaps]] / Merge1[[#This Row],[team_defense_snaps]])</f>
        <v>0.96052631578947367</v>
      </c>
      <c r="V3323">
        <v>76</v>
      </c>
      <c r="W3323">
        <v>0</v>
      </c>
      <c r="X3323" s="5" t="s">
        <v>29</v>
      </c>
      <c r="Y3323">
        <v>5</v>
      </c>
      <c r="Z3323">
        <v>0</v>
      </c>
      <c r="AA3323" t="s">
        <v>25</v>
      </c>
      <c r="AB3323" t="s">
        <v>26</v>
      </c>
      <c r="AC3323" t="s">
        <v>27</v>
      </c>
      <c r="AD3323" t="s">
        <v>42</v>
      </c>
      <c r="AE3323" t="s">
        <v>25</v>
      </c>
      <c r="AF33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2.7397260273972601E-2</v>
      </c>
      <c r="AH3323">
        <v>65.5</v>
      </c>
      <c r="AI3323" t="s">
        <v>939</v>
      </c>
      <c r="AJ3323">
        <v>10</v>
      </c>
      <c r="AK33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MIN(AJ3323/8, 1) +
  Merge1[[#This Row],[index_defensive_effort]],
  2
)</f>
        <v>1.73</v>
      </c>
    </row>
    <row r="3324" spans="1:37" x14ac:dyDescent="0.25">
      <c r="A3324" t="s">
        <v>832</v>
      </c>
      <c r="B3324" t="s">
        <v>833</v>
      </c>
      <c r="C3324">
        <v>22</v>
      </c>
      <c r="D3324" t="s">
        <v>56</v>
      </c>
      <c r="E3324">
        <v>71</v>
      </c>
      <c r="F3324">
        <v>194</v>
      </c>
      <c r="G3324" t="s">
        <v>259</v>
      </c>
      <c r="H3324">
        <v>2020</v>
      </c>
      <c r="I3324" t="s">
        <v>33</v>
      </c>
      <c r="J3324">
        <v>1</v>
      </c>
      <c r="K3324">
        <v>4</v>
      </c>
      <c r="L3324">
        <v>3</v>
      </c>
      <c r="M3324">
        <v>0</v>
      </c>
      <c r="N3324">
        <v>3</v>
      </c>
      <c r="O3324">
        <v>0</v>
      </c>
      <c r="P3324">
        <v>0</v>
      </c>
      <c r="Q3324">
        <v>0</v>
      </c>
      <c r="R3324">
        <v>0</v>
      </c>
      <c r="S3324">
        <v>7</v>
      </c>
      <c r="T3324">
        <v>0</v>
      </c>
      <c r="U3324" s="5">
        <f>IF(Merge1[[#This Row],[team_defense_snaps]]=0, "", Merge1[[#This Row],[defense_snaps]] / Merge1[[#This Row],[team_defense_snaps]])</f>
        <v>0</v>
      </c>
      <c r="V3324">
        <v>63</v>
      </c>
      <c r="W3324">
        <v>7</v>
      </c>
      <c r="X3324" s="5" t="s">
        <v>133</v>
      </c>
      <c r="Y3324">
        <v>0</v>
      </c>
      <c r="Z3324">
        <v>0</v>
      </c>
      <c r="AA3324" t="s">
        <v>25</v>
      </c>
      <c r="AB3324" t="s">
        <v>26</v>
      </c>
      <c r="AC3324" t="s">
        <v>27</v>
      </c>
      <c r="AD3324" t="s">
        <v>42</v>
      </c>
      <c r="AE3324" t="s">
        <v>25</v>
      </c>
      <c r="AF33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0.7857142857142857</v>
      </c>
      <c r="AG3324" t="s">
        <v>942</v>
      </c>
      <c r="AH3324">
        <v>61.5</v>
      </c>
      <c r="AI3324" t="s">
        <v>939</v>
      </c>
      <c r="AJ3324">
        <v>1</v>
      </c>
      <c r="AK33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MIN(AJ3324/8, 1) +
  Merge1[[#This Row],[index_defensive_effort]],
  2
)</f>
        <v>1.41</v>
      </c>
    </row>
    <row r="3325" spans="1:37" x14ac:dyDescent="0.25">
      <c r="A3325" t="s">
        <v>832</v>
      </c>
      <c r="B3325" t="s">
        <v>833</v>
      </c>
      <c r="C3325">
        <v>22</v>
      </c>
      <c r="D3325" t="s">
        <v>56</v>
      </c>
      <c r="E3325">
        <v>71</v>
      </c>
      <c r="F3325">
        <v>194</v>
      </c>
      <c r="G3325" t="s">
        <v>259</v>
      </c>
      <c r="H3325">
        <v>2020</v>
      </c>
      <c r="I3325" t="s">
        <v>33</v>
      </c>
      <c r="J3325">
        <v>2</v>
      </c>
      <c r="K3325">
        <v>0</v>
      </c>
      <c r="L3325">
        <v>1</v>
      </c>
      <c r="M3325">
        <v>0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10</v>
      </c>
      <c r="T3325">
        <v>0</v>
      </c>
      <c r="U3325" s="5">
        <f>IF(Merge1[[#This Row],[team_defense_snaps]]=0, "", Merge1[[#This Row],[defense_snaps]] / Merge1[[#This Row],[team_defense_snaps]])</f>
        <v>0</v>
      </c>
      <c r="V3325">
        <v>61</v>
      </c>
      <c r="W3325">
        <v>10</v>
      </c>
      <c r="X3325" s="5" t="s">
        <v>221</v>
      </c>
      <c r="Y3325">
        <v>0</v>
      </c>
      <c r="Z3325">
        <v>0</v>
      </c>
      <c r="AA3325" t="s">
        <v>25</v>
      </c>
      <c r="AB3325" t="s">
        <v>26</v>
      </c>
      <c r="AC3325" t="s">
        <v>27</v>
      </c>
      <c r="AD3325" t="s">
        <v>28</v>
      </c>
      <c r="AE3325" t="s">
        <v>25</v>
      </c>
      <c r="AF33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3325" t="s">
        <v>942</v>
      </c>
      <c r="AH3325">
        <v>67.5</v>
      </c>
      <c r="AI3325" t="s">
        <v>939</v>
      </c>
      <c r="AJ3325">
        <v>2</v>
      </c>
      <c r="AK33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MIN(AJ3325/8, 1) +
  Merge1[[#This Row],[index_defensive_effort]],
  2
)</f>
        <v>0.8</v>
      </c>
    </row>
    <row r="3326" spans="1:37" x14ac:dyDescent="0.25">
      <c r="A3326" t="s">
        <v>832</v>
      </c>
      <c r="B3326" t="s">
        <v>833</v>
      </c>
      <c r="C3326">
        <v>22</v>
      </c>
      <c r="D3326" t="s">
        <v>56</v>
      </c>
      <c r="E3326">
        <v>71</v>
      </c>
      <c r="F3326">
        <v>194</v>
      </c>
      <c r="G3326" t="s">
        <v>259</v>
      </c>
      <c r="H3326">
        <v>2020</v>
      </c>
      <c r="I3326" t="s">
        <v>33</v>
      </c>
      <c r="J3326">
        <v>3</v>
      </c>
      <c r="K3326">
        <v>1</v>
      </c>
      <c r="L3326">
        <v>1</v>
      </c>
      <c r="M3326">
        <v>1</v>
      </c>
      <c r="N3326">
        <v>2</v>
      </c>
      <c r="O3326">
        <v>0</v>
      </c>
      <c r="P3326">
        <v>0</v>
      </c>
      <c r="Q3326">
        <v>0</v>
      </c>
      <c r="R3326">
        <v>0</v>
      </c>
      <c r="S3326">
        <v>14</v>
      </c>
      <c r="T3326">
        <v>0</v>
      </c>
      <c r="U3326" s="5">
        <f>IF(Merge1[[#This Row],[team_defense_snaps]]=0, "", Merge1[[#This Row],[defense_snaps]] / Merge1[[#This Row],[team_defense_snaps]])</f>
        <v>0</v>
      </c>
      <c r="V3326">
        <v>78</v>
      </c>
      <c r="W3326">
        <v>14</v>
      </c>
      <c r="X3326" s="5" t="s">
        <v>112</v>
      </c>
      <c r="Y3326">
        <v>0</v>
      </c>
      <c r="Z3326">
        <v>0</v>
      </c>
      <c r="AA3326" t="s">
        <v>25</v>
      </c>
      <c r="AB3326" t="s">
        <v>26</v>
      </c>
      <c r="AC3326" t="s">
        <v>27</v>
      </c>
      <c r="AD3326" t="s">
        <v>28</v>
      </c>
      <c r="AE3326" t="s">
        <v>25</v>
      </c>
      <c r="AF33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0.14285714285714285</v>
      </c>
      <c r="AG3326" t="s">
        <v>942</v>
      </c>
      <c r="AH3326">
        <v>60</v>
      </c>
      <c r="AI3326" t="s">
        <v>939</v>
      </c>
      <c r="AJ3326">
        <v>3</v>
      </c>
      <c r="AK33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MIN(AJ3326/8, 1) +
  Merge1[[#This Row],[index_defensive_effort]],
  2
)</f>
        <v>1.02</v>
      </c>
    </row>
    <row r="3327" spans="1:37" x14ac:dyDescent="0.25">
      <c r="A3327" t="s">
        <v>832</v>
      </c>
      <c r="B3327" t="s">
        <v>833</v>
      </c>
      <c r="C3327">
        <v>22</v>
      </c>
      <c r="D3327" t="s">
        <v>56</v>
      </c>
      <c r="E3327">
        <v>71</v>
      </c>
      <c r="F3327">
        <v>194</v>
      </c>
      <c r="G3327" t="s">
        <v>259</v>
      </c>
      <c r="H3327">
        <v>2020</v>
      </c>
      <c r="I3327" t="s">
        <v>33</v>
      </c>
      <c r="J3327">
        <v>4</v>
      </c>
      <c r="K3327">
        <v>2</v>
      </c>
      <c r="L3327">
        <v>1</v>
      </c>
      <c r="M3327">
        <v>0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18</v>
      </c>
      <c r="T3327">
        <v>0</v>
      </c>
      <c r="U3327" s="5">
        <f>IF(Merge1[[#This Row],[team_defense_snaps]]=0, "", Merge1[[#This Row],[defense_snaps]] / Merge1[[#This Row],[team_defense_snaps]])</f>
        <v>0</v>
      </c>
      <c r="V3327">
        <v>57</v>
      </c>
      <c r="W3327">
        <v>18</v>
      </c>
      <c r="X3327" s="5" t="s">
        <v>183</v>
      </c>
      <c r="Y3327">
        <v>0</v>
      </c>
      <c r="Z3327">
        <v>0</v>
      </c>
      <c r="AA3327" t="s">
        <v>25</v>
      </c>
      <c r="AB3327" t="s">
        <v>26</v>
      </c>
      <c r="AC3327" t="s">
        <v>27</v>
      </c>
      <c r="AD3327" t="s">
        <v>28</v>
      </c>
      <c r="AE3327" t="s">
        <v>25</v>
      </c>
      <c r="AF33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0.1388888888888889</v>
      </c>
      <c r="AG3327" t="s">
        <v>942</v>
      </c>
      <c r="AH3327">
        <v>55.5</v>
      </c>
      <c r="AI3327" t="s">
        <v>939</v>
      </c>
      <c r="AJ3327">
        <v>4</v>
      </c>
      <c r="AK33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MIN(AJ3327/8, 1) +
  Merge1[[#This Row],[index_defensive_effort]],
  2
)</f>
        <v>1.1399999999999999</v>
      </c>
    </row>
    <row r="3328" spans="1:37" x14ac:dyDescent="0.25">
      <c r="A3328" t="s">
        <v>832</v>
      </c>
      <c r="B3328" t="s">
        <v>833</v>
      </c>
      <c r="C3328">
        <v>22</v>
      </c>
      <c r="D3328" t="s">
        <v>56</v>
      </c>
      <c r="E3328">
        <v>71</v>
      </c>
      <c r="F3328">
        <v>194</v>
      </c>
      <c r="G3328" t="s">
        <v>259</v>
      </c>
      <c r="H3328">
        <v>2020</v>
      </c>
      <c r="I3328" t="s">
        <v>33</v>
      </c>
      <c r="J3328">
        <v>5</v>
      </c>
      <c r="K3328">
        <v>5</v>
      </c>
      <c r="L3328">
        <v>1</v>
      </c>
      <c r="M3328">
        <v>0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10</v>
      </c>
      <c r="T3328">
        <v>0</v>
      </c>
      <c r="U3328" s="5">
        <f>IF(Merge1[[#This Row],[team_defense_snaps]]=0, "", Merge1[[#This Row],[defense_snaps]] / Merge1[[#This Row],[team_defense_snaps]])</f>
        <v>0</v>
      </c>
      <c r="V3328">
        <v>65</v>
      </c>
      <c r="W3328">
        <v>10</v>
      </c>
      <c r="X3328" s="5" t="s">
        <v>158</v>
      </c>
      <c r="Y3328">
        <v>0</v>
      </c>
      <c r="Z3328">
        <v>0</v>
      </c>
      <c r="AA3328" t="s">
        <v>25</v>
      </c>
      <c r="AB3328" t="s">
        <v>26</v>
      </c>
      <c r="AC3328" t="s">
        <v>27</v>
      </c>
      <c r="AD3328" t="s">
        <v>28</v>
      </c>
      <c r="AE3328" t="s">
        <v>25</v>
      </c>
      <c r="AF33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0.55000000000000004</v>
      </c>
      <c r="AG3328" t="s">
        <v>942</v>
      </c>
      <c r="AH3328">
        <v>70.5</v>
      </c>
      <c r="AI3328" t="s">
        <v>939</v>
      </c>
      <c r="AJ3328">
        <v>5</v>
      </c>
      <c r="AK33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MIN(AJ3328/8, 1) +
  Merge1[[#This Row],[index_defensive_effort]],
  2
)</f>
        <v>1.68</v>
      </c>
    </row>
    <row r="3329" spans="1:37" x14ac:dyDescent="0.25">
      <c r="A3329" t="s">
        <v>832</v>
      </c>
      <c r="B3329" t="s">
        <v>833</v>
      </c>
      <c r="C3329">
        <v>22</v>
      </c>
      <c r="D3329" t="s">
        <v>56</v>
      </c>
      <c r="E3329">
        <v>71</v>
      </c>
      <c r="F3329">
        <v>194</v>
      </c>
      <c r="G3329" t="s">
        <v>259</v>
      </c>
      <c r="H3329">
        <v>2020</v>
      </c>
      <c r="I3329" t="s">
        <v>33</v>
      </c>
      <c r="J3329">
        <v>6</v>
      </c>
      <c r="K3329">
        <v>1</v>
      </c>
      <c r="L3329">
        <v>1</v>
      </c>
      <c r="M3329">
        <v>0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9</v>
      </c>
      <c r="T3329">
        <v>0</v>
      </c>
      <c r="U3329" s="5">
        <f>IF(Merge1[[#This Row],[team_defense_snaps]]=0, "", Merge1[[#This Row],[defense_snaps]] / Merge1[[#This Row],[team_defense_snaps]])</f>
        <v>0</v>
      </c>
      <c r="V3329">
        <v>67</v>
      </c>
      <c r="W3329">
        <v>9</v>
      </c>
      <c r="X3329" s="5" t="s">
        <v>70</v>
      </c>
      <c r="Y3329">
        <v>0</v>
      </c>
      <c r="Z3329">
        <v>0</v>
      </c>
      <c r="AA3329" t="s">
        <v>25</v>
      </c>
      <c r="AB3329" t="s">
        <v>26</v>
      </c>
      <c r="AC3329" t="s">
        <v>27</v>
      </c>
      <c r="AD3329" t="s">
        <v>42</v>
      </c>
      <c r="AE3329" t="s">
        <v>25</v>
      </c>
      <c r="AF33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AG3329" t="s">
        <v>942</v>
      </c>
      <c r="AH3329">
        <v>58.5</v>
      </c>
      <c r="AI3329" t="s">
        <v>939</v>
      </c>
      <c r="AJ3329">
        <v>6</v>
      </c>
      <c r="AK33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MIN(AJ3329/8, 1) +
  Merge1[[#This Row],[index_defensive_effort]],
  2
)</f>
        <v>1.42</v>
      </c>
    </row>
    <row r="3330" spans="1:37" x14ac:dyDescent="0.25">
      <c r="A3330" t="s">
        <v>832</v>
      </c>
      <c r="B3330" t="s">
        <v>833</v>
      </c>
      <c r="C3330">
        <v>22</v>
      </c>
      <c r="D3330" t="s">
        <v>56</v>
      </c>
      <c r="E3330">
        <v>71</v>
      </c>
      <c r="F3330">
        <v>194</v>
      </c>
      <c r="G3330" t="s">
        <v>259</v>
      </c>
      <c r="H3330">
        <v>2020</v>
      </c>
      <c r="I3330" t="s">
        <v>33</v>
      </c>
      <c r="J3330">
        <v>7</v>
      </c>
      <c r="K3330">
        <v>3</v>
      </c>
      <c r="L3330">
        <v>1</v>
      </c>
      <c r="M3330">
        <v>0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16</v>
      </c>
      <c r="T3330">
        <v>0</v>
      </c>
      <c r="U3330" s="5">
        <f>IF(Merge1[[#This Row],[team_defense_snaps]]=0, "", Merge1[[#This Row],[defense_snaps]] / Merge1[[#This Row],[team_defense_snaps]])</f>
        <v>0</v>
      </c>
      <c r="V3330">
        <v>70</v>
      </c>
      <c r="W3330">
        <v>16</v>
      </c>
      <c r="X3330" s="5" t="s">
        <v>87</v>
      </c>
      <c r="Y3330">
        <v>0</v>
      </c>
      <c r="Z3330">
        <v>0</v>
      </c>
      <c r="AA3330" t="s">
        <v>25</v>
      </c>
      <c r="AB3330" t="s">
        <v>26</v>
      </c>
      <c r="AC3330" t="s">
        <v>27</v>
      </c>
      <c r="AD3330" t="s">
        <v>42</v>
      </c>
      <c r="AE3330" t="s">
        <v>25</v>
      </c>
      <c r="AF33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0.21875</v>
      </c>
      <c r="AG3330" t="s">
        <v>942</v>
      </c>
      <c r="AH3330">
        <v>69</v>
      </c>
      <c r="AI3330" t="s">
        <v>939</v>
      </c>
      <c r="AJ3330">
        <v>7</v>
      </c>
      <c r="AK33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MIN(AJ3330/8, 1) +
  Merge1[[#This Row],[index_defensive_effort]],
  2
)</f>
        <v>1.59</v>
      </c>
    </row>
    <row r="3331" spans="1:37" x14ac:dyDescent="0.25">
      <c r="A3331" t="s">
        <v>832</v>
      </c>
      <c r="B3331" t="s">
        <v>833</v>
      </c>
      <c r="C3331">
        <v>22</v>
      </c>
      <c r="D3331" t="s">
        <v>56</v>
      </c>
      <c r="E3331">
        <v>71</v>
      </c>
      <c r="F3331">
        <v>194</v>
      </c>
      <c r="G3331" t="s">
        <v>259</v>
      </c>
      <c r="H3331">
        <v>2020</v>
      </c>
      <c r="I3331" t="s">
        <v>33</v>
      </c>
      <c r="J3331">
        <v>8</v>
      </c>
      <c r="K3331">
        <v>1</v>
      </c>
      <c r="L3331">
        <v>3</v>
      </c>
      <c r="M3331">
        <v>0</v>
      </c>
      <c r="N3331">
        <v>3</v>
      </c>
      <c r="O3331">
        <v>0</v>
      </c>
      <c r="P3331">
        <v>0</v>
      </c>
      <c r="Q3331">
        <v>0</v>
      </c>
      <c r="R3331">
        <v>0</v>
      </c>
      <c r="S3331">
        <v>6</v>
      </c>
      <c r="T3331">
        <v>0</v>
      </c>
      <c r="U3331" s="5">
        <f>IF(Merge1[[#This Row],[team_defense_snaps]]=0, "", Merge1[[#This Row],[defense_snaps]] / Merge1[[#This Row],[team_defense_snaps]])</f>
        <v>0</v>
      </c>
      <c r="V3331">
        <v>71</v>
      </c>
      <c r="W3331">
        <v>6</v>
      </c>
      <c r="X3331" s="5" t="s">
        <v>137</v>
      </c>
      <c r="Y3331">
        <v>0</v>
      </c>
      <c r="Z3331">
        <v>0</v>
      </c>
      <c r="AA3331" t="s">
        <v>25</v>
      </c>
      <c r="AB3331" t="s">
        <v>26</v>
      </c>
      <c r="AC3331" t="s">
        <v>27</v>
      </c>
      <c r="AD3331" t="s">
        <v>42</v>
      </c>
      <c r="AE3331" t="s">
        <v>25</v>
      </c>
      <c r="AF33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0.41666666666666669</v>
      </c>
      <c r="AG3331" t="s">
        <v>942</v>
      </c>
      <c r="AH3331">
        <v>64.5</v>
      </c>
      <c r="AI3331" t="s">
        <v>939</v>
      </c>
      <c r="AJ3331">
        <v>8</v>
      </c>
      <c r="AK33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MIN(AJ3331/8, 1) +
  Merge1[[#This Row],[index_defensive_effort]],
  2
)</f>
        <v>1.92</v>
      </c>
    </row>
    <row r="3332" spans="1:37" x14ac:dyDescent="0.25">
      <c r="A3332" t="s">
        <v>832</v>
      </c>
      <c r="B3332" t="s">
        <v>833</v>
      </c>
      <c r="C3332">
        <v>22</v>
      </c>
      <c r="D3332" t="s">
        <v>56</v>
      </c>
      <c r="E3332">
        <v>71</v>
      </c>
      <c r="F3332">
        <v>194</v>
      </c>
      <c r="G3332" t="s">
        <v>259</v>
      </c>
      <c r="H3332">
        <v>2020</v>
      </c>
      <c r="I3332" t="s">
        <v>33</v>
      </c>
      <c r="J3332">
        <v>10</v>
      </c>
      <c r="K3332">
        <v>5</v>
      </c>
      <c r="L3332">
        <v>2</v>
      </c>
      <c r="M3332">
        <v>1</v>
      </c>
      <c r="N3332">
        <v>3</v>
      </c>
      <c r="O3332">
        <v>0</v>
      </c>
      <c r="P3332">
        <v>0</v>
      </c>
      <c r="Q3332">
        <v>0</v>
      </c>
      <c r="R3332">
        <v>0</v>
      </c>
      <c r="S3332">
        <v>16</v>
      </c>
      <c r="T3332">
        <v>0</v>
      </c>
      <c r="U3332" s="5">
        <f>IF(Merge1[[#This Row],[team_defense_snaps]]=0, "", Merge1[[#This Row],[defense_snaps]] / Merge1[[#This Row],[team_defense_snaps]])</f>
        <v>0</v>
      </c>
      <c r="V3332">
        <v>80</v>
      </c>
      <c r="W3332">
        <v>16</v>
      </c>
      <c r="X3332" s="5" t="s">
        <v>275</v>
      </c>
      <c r="Y3332">
        <v>0</v>
      </c>
      <c r="Z3332">
        <v>0</v>
      </c>
      <c r="AA3332" t="s">
        <v>25</v>
      </c>
      <c r="AB3332" t="s">
        <v>26</v>
      </c>
      <c r="AC3332" t="s">
        <v>27</v>
      </c>
      <c r="AD3332" t="s">
        <v>28</v>
      </c>
      <c r="AE3332" t="s">
        <v>25</v>
      </c>
      <c r="AF33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0.40625</v>
      </c>
      <c r="AG3332" t="s">
        <v>942</v>
      </c>
      <c r="AH3332">
        <v>54</v>
      </c>
      <c r="AI3332" t="s">
        <v>939</v>
      </c>
      <c r="AJ3332">
        <v>1</v>
      </c>
      <c r="AK33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MIN(AJ3332/8, 1) +
  Merge1[[#This Row],[index_defensive_effort]],
  2
)</f>
        <v>1.03</v>
      </c>
    </row>
    <row r="3333" spans="1:37" x14ac:dyDescent="0.25">
      <c r="A3333" t="s">
        <v>832</v>
      </c>
      <c r="B3333" t="s">
        <v>833</v>
      </c>
      <c r="C3333">
        <v>22</v>
      </c>
      <c r="D3333" t="s">
        <v>56</v>
      </c>
      <c r="E3333">
        <v>71</v>
      </c>
      <c r="F3333">
        <v>194</v>
      </c>
      <c r="G3333" t="s">
        <v>259</v>
      </c>
      <c r="H3333">
        <v>2020</v>
      </c>
      <c r="I3333" t="s">
        <v>33</v>
      </c>
      <c r="J3333">
        <v>11</v>
      </c>
      <c r="K3333">
        <v>2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6</v>
      </c>
      <c r="T3333">
        <v>0</v>
      </c>
      <c r="U3333" s="5">
        <f>IF(Merge1[[#This Row],[team_defense_snaps]]=0, "", Merge1[[#This Row],[defense_snaps]] / Merge1[[#This Row],[team_defense_snaps]])</f>
        <v>0</v>
      </c>
      <c r="V3333">
        <v>57</v>
      </c>
      <c r="W3333">
        <v>6</v>
      </c>
      <c r="X3333" s="5" t="s">
        <v>136</v>
      </c>
      <c r="Y3333">
        <v>0</v>
      </c>
      <c r="Z3333">
        <v>0</v>
      </c>
      <c r="AA3333" t="s">
        <v>25</v>
      </c>
      <c r="AB3333" t="s">
        <v>26</v>
      </c>
      <c r="AC3333" t="s">
        <v>27</v>
      </c>
      <c r="AD3333" t="s">
        <v>42</v>
      </c>
      <c r="AE3333" t="s">
        <v>25</v>
      </c>
      <c r="AF33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0.33333333333333331</v>
      </c>
      <c r="AG3333" t="s">
        <v>942</v>
      </c>
      <c r="AH3333">
        <v>75</v>
      </c>
      <c r="AI3333" t="s">
        <v>939</v>
      </c>
      <c r="AJ3333">
        <v>2</v>
      </c>
      <c r="AK33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MIN(AJ3333/8, 1) +
  Merge1[[#This Row],[index_defensive_effort]],
  2
)</f>
        <v>1.08</v>
      </c>
    </row>
    <row r="3334" spans="1:37" x14ac:dyDescent="0.25">
      <c r="A3334" t="s">
        <v>832</v>
      </c>
      <c r="B3334" t="s">
        <v>833</v>
      </c>
      <c r="C3334">
        <v>22</v>
      </c>
      <c r="D3334" t="s">
        <v>56</v>
      </c>
      <c r="E3334">
        <v>71</v>
      </c>
      <c r="F3334">
        <v>194</v>
      </c>
      <c r="G3334" t="s">
        <v>259</v>
      </c>
      <c r="H3334">
        <v>2020</v>
      </c>
      <c r="I3334" t="s">
        <v>33</v>
      </c>
      <c r="J3334">
        <v>12</v>
      </c>
      <c r="K3334">
        <v>1</v>
      </c>
      <c r="L3334">
        <v>0</v>
      </c>
      <c r="M3334">
        <v>0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9</v>
      </c>
      <c r="T3334">
        <v>0</v>
      </c>
      <c r="U3334" s="5">
        <f>IF(Merge1[[#This Row],[team_defense_snaps]]=0, "", Merge1[[#This Row],[defense_snaps]] / Merge1[[#This Row],[team_defense_snaps]])</f>
        <v>0</v>
      </c>
      <c r="V3334">
        <v>73</v>
      </c>
      <c r="W3334">
        <v>9</v>
      </c>
      <c r="X3334" s="5" t="s">
        <v>314</v>
      </c>
      <c r="Y3334">
        <v>0</v>
      </c>
      <c r="Z3334">
        <v>0</v>
      </c>
      <c r="AA3334" t="s">
        <v>25</v>
      </c>
      <c r="AB3334" t="s">
        <v>26</v>
      </c>
      <c r="AC3334" t="s">
        <v>27</v>
      </c>
      <c r="AD3334" t="s">
        <v>42</v>
      </c>
      <c r="AE3334" t="s">
        <v>25</v>
      </c>
      <c r="AF33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0.33333333333333331</v>
      </c>
      <c r="AG3334" t="s">
        <v>942</v>
      </c>
      <c r="AH3334">
        <v>66</v>
      </c>
      <c r="AI3334" t="s">
        <v>939</v>
      </c>
      <c r="AJ3334">
        <v>3</v>
      </c>
      <c r="AK33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MIN(AJ3334/8, 1) +
  Merge1[[#This Row],[index_defensive_effort]],
  2
)</f>
        <v>1.21</v>
      </c>
    </row>
    <row r="3335" spans="1:37" x14ac:dyDescent="0.25">
      <c r="A3335" t="s">
        <v>832</v>
      </c>
      <c r="B3335" t="s">
        <v>833</v>
      </c>
      <c r="C3335">
        <v>22</v>
      </c>
      <c r="D3335" t="s">
        <v>56</v>
      </c>
      <c r="E3335">
        <v>71</v>
      </c>
      <c r="F3335">
        <v>194</v>
      </c>
      <c r="G3335" t="s">
        <v>259</v>
      </c>
      <c r="H3335">
        <v>2020</v>
      </c>
      <c r="I3335" t="s">
        <v>33</v>
      </c>
      <c r="J3335">
        <v>14</v>
      </c>
      <c r="K3335">
        <v>0</v>
      </c>
      <c r="L3335">
        <v>2</v>
      </c>
      <c r="M3335">
        <v>0</v>
      </c>
      <c r="N3335">
        <v>2</v>
      </c>
      <c r="O3335">
        <v>0</v>
      </c>
      <c r="P3335">
        <v>1</v>
      </c>
      <c r="Q3335">
        <v>0</v>
      </c>
      <c r="R3335">
        <v>0</v>
      </c>
      <c r="S3335">
        <v>6</v>
      </c>
      <c r="T3335">
        <v>0</v>
      </c>
      <c r="U3335" s="5">
        <f>IF(Merge1[[#This Row],[team_defense_snaps]]=0, "", Merge1[[#This Row],[defense_snaps]] / Merge1[[#This Row],[team_defense_snaps]])</f>
        <v>0</v>
      </c>
      <c r="V3335">
        <v>62</v>
      </c>
      <c r="W3335">
        <v>6</v>
      </c>
      <c r="X3335" s="5" t="s">
        <v>58</v>
      </c>
      <c r="Y3335">
        <v>0</v>
      </c>
      <c r="Z3335">
        <v>0</v>
      </c>
      <c r="AA3335" t="s">
        <v>25</v>
      </c>
      <c r="AB3335" t="s">
        <v>26</v>
      </c>
      <c r="AC3335" t="s">
        <v>27</v>
      </c>
      <c r="AD3335" t="s">
        <v>42</v>
      </c>
      <c r="AE3335" t="s">
        <v>25</v>
      </c>
      <c r="AF33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</v>
      </c>
      <c r="AG3335" t="s">
        <v>942</v>
      </c>
      <c r="AH3335">
        <v>72</v>
      </c>
      <c r="AI3335" t="s">
        <v>939</v>
      </c>
      <c r="AJ3335">
        <v>1</v>
      </c>
      <c r="AK33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MIN(AJ3335/8, 1) +
  Merge1[[#This Row],[index_defensive_effort]],
  2
)</f>
        <v>1.1299999999999999</v>
      </c>
    </row>
    <row r="3336" spans="1:37" x14ac:dyDescent="0.25">
      <c r="A3336" t="s">
        <v>832</v>
      </c>
      <c r="B3336" t="s">
        <v>833</v>
      </c>
      <c r="C3336">
        <v>22</v>
      </c>
      <c r="D3336" t="s">
        <v>56</v>
      </c>
      <c r="E3336">
        <v>71</v>
      </c>
      <c r="F3336">
        <v>194</v>
      </c>
      <c r="G3336" t="s">
        <v>259</v>
      </c>
      <c r="H3336">
        <v>2020</v>
      </c>
      <c r="I3336" t="s">
        <v>33</v>
      </c>
      <c r="J3336">
        <v>15</v>
      </c>
      <c r="K3336">
        <v>1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1</v>
      </c>
      <c r="T3336">
        <v>0</v>
      </c>
      <c r="U3336" s="5">
        <f>IF(Merge1[[#This Row],[team_defense_snaps]]=0, "", Merge1[[#This Row],[defense_snaps]] / Merge1[[#This Row],[team_defense_snaps]])</f>
        <v>0</v>
      </c>
      <c r="V3336">
        <v>62</v>
      </c>
      <c r="W3336">
        <v>1</v>
      </c>
      <c r="X3336" s="5" t="s">
        <v>193</v>
      </c>
      <c r="Y3336">
        <v>0</v>
      </c>
      <c r="Z3336">
        <v>0</v>
      </c>
      <c r="AA3336" t="s">
        <v>25</v>
      </c>
      <c r="AB3336" t="s">
        <v>26</v>
      </c>
      <c r="AC3336" t="s">
        <v>27</v>
      </c>
      <c r="AD3336" t="s">
        <v>42</v>
      </c>
      <c r="AE3336" t="s">
        <v>25</v>
      </c>
      <c r="AF33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3336" t="s">
        <v>942</v>
      </c>
      <c r="AH3336">
        <v>73.5</v>
      </c>
      <c r="AI3336" t="s">
        <v>939</v>
      </c>
      <c r="AJ3336">
        <v>2</v>
      </c>
      <c r="AK33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MIN(AJ3336/8, 1) +
  Merge1[[#This Row],[index_defensive_effort]],
  2
)</f>
        <v>1.75</v>
      </c>
    </row>
    <row r="3337" spans="1:37" x14ac:dyDescent="0.25">
      <c r="A3337" t="s">
        <v>836</v>
      </c>
      <c r="B3337" t="s">
        <v>837</v>
      </c>
      <c r="C3337">
        <v>27</v>
      </c>
      <c r="D3337" t="s">
        <v>56</v>
      </c>
      <c r="E3337">
        <v>72</v>
      </c>
      <c r="F3337">
        <v>195</v>
      </c>
      <c r="G3337" t="s">
        <v>130</v>
      </c>
      <c r="H3337">
        <v>2020</v>
      </c>
      <c r="I3337" t="s">
        <v>33</v>
      </c>
      <c r="J3337">
        <v>2</v>
      </c>
      <c r="K3337">
        <v>1</v>
      </c>
      <c r="L3337">
        <v>1</v>
      </c>
      <c r="M3337">
        <v>0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12</v>
      </c>
      <c r="T3337">
        <v>8</v>
      </c>
      <c r="U3337" s="5">
        <f>IF(Merge1[[#This Row],[team_defense_snaps]]=0, "", Merge1[[#This Row],[defense_snaps]] / Merge1[[#This Row],[team_defense_snaps]])</f>
        <v>0.1038961038961039</v>
      </c>
      <c r="V3337">
        <v>77</v>
      </c>
      <c r="W3337">
        <v>4</v>
      </c>
      <c r="X3337" s="5" t="s">
        <v>212</v>
      </c>
      <c r="Y3337">
        <v>5</v>
      </c>
      <c r="Z3337">
        <v>0</v>
      </c>
      <c r="AA3337" t="s">
        <v>25</v>
      </c>
      <c r="AB3337" t="s">
        <v>26</v>
      </c>
      <c r="AC3337" t="s">
        <v>27</v>
      </c>
      <c r="AD3337" t="s">
        <v>28</v>
      </c>
      <c r="AE3337" t="s">
        <v>25</v>
      </c>
      <c r="AF33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AG3337" t="s">
        <v>941</v>
      </c>
      <c r="AH3337">
        <v>72</v>
      </c>
      <c r="AI3337" t="s">
        <v>939</v>
      </c>
      <c r="AJ3337">
        <v>1</v>
      </c>
      <c r="AK33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MIN(AJ3337/8, 1) +
  Merge1[[#This Row],[index_defensive_effort]],
  2
)</f>
        <v>0.75</v>
      </c>
    </row>
    <row r="3338" spans="1:37" x14ac:dyDescent="0.25">
      <c r="A3338" t="s">
        <v>836</v>
      </c>
      <c r="B3338" t="s">
        <v>837</v>
      </c>
      <c r="C3338">
        <v>27</v>
      </c>
      <c r="D3338" t="s">
        <v>56</v>
      </c>
      <c r="E3338">
        <v>72</v>
      </c>
      <c r="F3338">
        <v>195</v>
      </c>
      <c r="G3338" t="s">
        <v>130</v>
      </c>
      <c r="H3338">
        <v>2020</v>
      </c>
      <c r="I3338" t="s">
        <v>33</v>
      </c>
      <c r="J3338">
        <v>5</v>
      </c>
      <c r="K3338">
        <v>2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33</v>
      </c>
      <c r="T3338">
        <v>28</v>
      </c>
      <c r="U3338" s="5">
        <f>IF(Merge1[[#This Row],[team_defense_snaps]]=0, "", Merge1[[#This Row],[defense_snaps]] / Merge1[[#This Row],[team_defense_snaps]])</f>
        <v>0.3888888888888889</v>
      </c>
      <c r="V3338">
        <v>72</v>
      </c>
      <c r="W3338">
        <v>5</v>
      </c>
      <c r="X3338" s="5" t="s">
        <v>293</v>
      </c>
      <c r="Y3338">
        <v>5</v>
      </c>
      <c r="Z3338">
        <v>0</v>
      </c>
      <c r="AA3338" t="s">
        <v>25</v>
      </c>
      <c r="AB3338" t="s">
        <v>26</v>
      </c>
      <c r="AC3338" t="s">
        <v>27</v>
      </c>
      <c r="AD3338" t="s">
        <v>28</v>
      </c>
      <c r="AE3338" t="s">
        <v>25</v>
      </c>
      <c r="AF33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6.0606060606060608E-2</v>
      </c>
      <c r="AG3338" t="s">
        <v>941</v>
      </c>
      <c r="AH3338">
        <v>76.5</v>
      </c>
      <c r="AI3338" t="s">
        <v>939</v>
      </c>
      <c r="AJ3338">
        <v>1</v>
      </c>
      <c r="AK33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MIN(AJ3338/8, 1) +
  Merge1[[#This Row],[index_defensive_effort]],
  2
)</f>
        <v>0.69</v>
      </c>
    </row>
    <row r="3339" spans="1:37" x14ac:dyDescent="0.25">
      <c r="A3339" t="s">
        <v>836</v>
      </c>
      <c r="B3339" t="s">
        <v>837</v>
      </c>
      <c r="C3339">
        <v>27</v>
      </c>
      <c r="D3339" t="s">
        <v>56</v>
      </c>
      <c r="E3339">
        <v>72</v>
      </c>
      <c r="F3339">
        <v>195</v>
      </c>
      <c r="G3339" t="s">
        <v>130</v>
      </c>
      <c r="H3339">
        <v>2020</v>
      </c>
      <c r="I3339" t="s">
        <v>33</v>
      </c>
      <c r="J3339">
        <v>6</v>
      </c>
      <c r="K3339">
        <v>1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7</v>
      </c>
      <c r="T3339">
        <v>2</v>
      </c>
      <c r="U3339" s="5">
        <f>IF(Merge1[[#This Row],[team_defense_snaps]]=0, "", Merge1[[#This Row],[defense_snaps]] / Merge1[[#This Row],[team_defense_snaps]])</f>
        <v>2.8169014084507043E-2</v>
      </c>
      <c r="V3339">
        <v>71</v>
      </c>
      <c r="W3339">
        <v>5</v>
      </c>
      <c r="X3339" s="5" t="s">
        <v>124</v>
      </c>
      <c r="Y3339">
        <v>5</v>
      </c>
      <c r="Z3339">
        <v>0</v>
      </c>
      <c r="AA3339" t="s">
        <v>25</v>
      </c>
      <c r="AB3339" t="s">
        <v>26</v>
      </c>
      <c r="AC3339" t="s">
        <v>27</v>
      </c>
      <c r="AD3339" t="s">
        <v>28</v>
      </c>
      <c r="AE3339" t="s">
        <v>25</v>
      </c>
      <c r="AF33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0.14285714285714285</v>
      </c>
      <c r="AG3339" t="s">
        <v>941</v>
      </c>
      <c r="AH3339">
        <v>58.5</v>
      </c>
      <c r="AI3339" t="s">
        <v>939</v>
      </c>
      <c r="AJ3339">
        <v>2</v>
      </c>
      <c r="AK33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MIN(AJ3339/8, 1) +
  Merge1[[#This Row],[index_defensive_effort]],
  2
)</f>
        <v>0.89</v>
      </c>
    </row>
    <row r="3340" spans="1:37" x14ac:dyDescent="0.25">
      <c r="A3340" t="s">
        <v>836</v>
      </c>
      <c r="B3340" t="s">
        <v>837</v>
      </c>
      <c r="C3340">
        <v>27</v>
      </c>
      <c r="D3340" t="s">
        <v>56</v>
      </c>
      <c r="E3340">
        <v>72</v>
      </c>
      <c r="F3340">
        <v>195</v>
      </c>
      <c r="G3340" t="s">
        <v>130</v>
      </c>
      <c r="H3340">
        <v>2020</v>
      </c>
      <c r="I3340" t="s">
        <v>33</v>
      </c>
      <c r="J3340">
        <v>7</v>
      </c>
      <c r="K3340">
        <v>2</v>
      </c>
      <c r="L3340">
        <v>2</v>
      </c>
      <c r="M3340">
        <v>1</v>
      </c>
      <c r="N3340">
        <v>3</v>
      </c>
      <c r="O3340">
        <v>0</v>
      </c>
      <c r="P3340">
        <v>1</v>
      </c>
      <c r="Q3340">
        <v>0</v>
      </c>
      <c r="R3340">
        <v>0</v>
      </c>
      <c r="S3340">
        <v>35</v>
      </c>
      <c r="T3340">
        <v>23</v>
      </c>
      <c r="U3340" s="5">
        <f>IF(Merge1[[#This Row],[team_defense_snaps]]=0, "", Merge1[[#This Row],[defense_snaps]] / Merge1[[#This Row],[team_defense_snaps]])</f>
        <v>0.23</v>
      </c>
      <c r="V3340">
        <v>100</v>
      </c>
      <c r="W3340">
        <v>12</v>
      </c>
      <c r="X3340" s="5" t="s">
        <v>75</v>
      </c>
      <c r="Y3340">
        <v>5</v>
      </c>
      <c r="Z3340">
        <v>0</v>
      </c>
      <c r="AA3340" t="s">
        <v>25</v>
      </c>
      <c r="AB3340" t="s">
        <v>26</v>
      </c>
      <c r="AC3340" t="s">
        <v>27</v>
      </c>
      <c r="AD3340" t="s">
        <v>42</v>
      </c>
      <c r="AE3340" t="s">
        <v>25</v>
      </c>
      <c r="AF33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0.15714285714285714</v>
      </c>
      <c r="AG3340" t="s">
        <v>941</v>
      </c>
      <c r="AH3340">
        <v>69</v>
      </c>
      <c r="AI3340" t="s">
        <v>939</v>
      </c>
      <c r="AJ3340">
        <v>3</v>
      </c>
      <c r="AK33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MIN(AJ3340/8, 1) +
  Merge1[[#This Row],[index_defensive_effort]],
  2
)</f>
        <v>1.03</v>
      </c>
    </row>
    <row r="3341" spans="1:37" x14ac:dyDescent="0.25">
      <c r="A3341" t="s">
        <v>836</v>
      </c>
      <c r="B3341" t="s">
        <v>837</v>
      </c>
      <c r="C3341">
        <v>27</v>
      </c>
      <c r="D3341" t="s">
        <v>56</v>
      </c>
      <c r="E3341">
        <v>72</v>
      </c>
      <c r="F3341">
        <v>195</v>
      </c>
      <c r="G3341" t="s">
        <v>130</v>
      </c>
      <c r="H3341">
        <v>2020</v>
      </c>
      <c r="I3341" t="s">
        <v>33</v>
      </c>
      <c r="J3341">
        <v>14</v>
      </c>
      <c r="K3341">
        <v>3</v>
      </c>
      <c r="L3341">
        <v>1</v>
      </c>
      <c r="M3341">
        <v>0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63</v>
      </c>
      <c r="T3341">
        <v>60</v>
      </c>
      <c r="U3341" s="5">
        <f>IF(Merge1[[#This Row],[team_defense_snaps]]=0, "", Merge1[[#This Row],[defense_snaps]] / Merge1[[#This Row],[team_defense_snaps]])</f>
        <v>0.84507042253521125</v>
      </c>
      <c r="V3341">
        <v>71</v>
      </c>
      <c r="W3341">
        <v>3</v>
      </c>
      <c r="X3341" s="5" t="s">
        <v>251</v>
      </c>
      <c r="Y3341">
        <v>5</v>
      </c>
      <c r="Z3341">
        <v>0</v>
      </c>
      <c r="AA3341" t="s">
        <v>25</v>
      </c>
      <c r="AB3341" t="s">
        <v>26</v>
      </c>
      <c r="AC3341" t="s">
        <v>27</v>
      </c>
      <c r="AD3341" t="s">
        <v>42</v>
      </c>
      <c r="AE3341" t="s">
        <v>25</v>
      </c>
      <c r="AF33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3341" t="s">
        <v>941</v>
      </c>
      <c r="AH3341">
        <v>70.5</v>
      </c>
      <c r="AI3341" t="s">
        <v>939</v>
      </c>
      <c r="AJ3341">
        <v>1</v>
      </c>
      <c r="AK33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MIN(AJ3341/8, 1) +
  Merge1[[#This Row],[index_defensive_effort]],
  2
)</f>
        <v>0.68</v>
      </c>
    </row>
    <row r="3342" spans="1:37" x14ac:dyDescent="0.25">
      <c r="A3342" t="s">
        <v>836</v>
      </c>
      <c r="B3342" t="s">
        <v>837</v>
      </c>
      <c r="C3342">
        <v>27</v>
      </c>
      <c r="D3342" t="s">
        <v>56</v>
      </c>
      <c r="E3342">
        <v>72</v>
      </c>
      <c r="F3342">
        <v>195</v>
      </c>
      <c r="G3342" t="s">
        <v>130</v>
      </c>
      <c r="H3342">
        <v>2020</v>
      </c>
      <c r="I3342" t="s">
        <v>33</v>
      </c>
      <c r="J3342">
        <v>15</v>
      </c>
      <c r="K3342">
        <v>0</v>
      </c>
      <c r="L3342">
        <v>2</v>
      </c>
      <c r="M3342">
        <v>1</v>
      </c>
      <c r="N3342">
        <v>3</v>
      </c>
      <c r="O3342">
        <v>0</v>
      </c>
      <c r="P3342">
        <v>0</v>
      </c>
      <c r="Q3342">
        <v>0</v>
      </c>
      <c r="R3342">
        <v>0</v>
      </c>
      <c r="S3342">
        <v>44</v>
      </c>
      <c r="T3342">
        <v>44</v>
      </c>
      <c r="U3342" s="5">
        <f>IF(Merge1[[#This Row],[team_defense_snaps]]=0, "", Merge1[[#This Row],[defense_snaps]] / Merge1[[#This Row],[team_defense_snaps]])</f>
        <v>0.67692307692307696</v>
      </c>
      <c r="V3342">
        <v>65</v>
      </c>
      <c r="W3342">
        <v>0</v>
      </c>
      <c r="X3342" s="5" t="s">
        <v>29</v>
      </c>
      <c r="Y3342">
        <v>5</v>
      </c>
      <c r="Z3342">
        <v>0</v>
      </c>
      <c r="AA3342" t="s">
        <v>25</v>
      </c>
      <c r="AB3342" t="s">
        <v>26</v>
      </c>
      <c r="AC3342" t="s">
        <v>27</v>
      </c>
      <c r="AD3342" t="s">
        <v>42</v>
      </c>
      <c r="AE3342" t="s">
        <v>25</v>
      </c>
      <c r="AF33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3.4090909090909088E-2</v>
      </c>
      <c r="AG3342" t="s">
        <v>941</v>
      </c>
      <c r="AH3342">
        <v>57</v>
      </c>
      <c r="AI3342" t="s">
        <v>939</v>
      </c>
      <c r="AJ3342">
        <v>2</v>
      </c>
      <c r="AK33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MIN(AJ3342/8, 1) +
  Merge1[[#This Row],[index_defensive_effort]],
  2
)</f>
        <v>0.78</v>
      </c>
    </row>
    <row r="3343" spans="1:37" x14ac:dyDescent="0.25">
      <c r="A3343" t="s">
        <v>812</v>
      </c>
      <c r="B3343" t="s">
        <v>813</v>
      </c>
      <c r="C3343">
        <v>22</v>
      </c>
      <c r="D3343" t="s">
        <v>56</v>
      </c>
      <c r="E3343">
        <v>70</v>
      </c>
      <c r="F3343">
        <v>190</v>
      </c>
      <c r="G3343" t="s">
        <v>173</v>
      </c>
      <c r="H3343">
        <v>2020</v>
      </c>
      <c r="I3343" t="s">
        <v>33</v>
      </c>
      <c r="J3343">
        <v>15</v>
      </c>
      <c r="K3343">
        <v>2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24</v>
      </c>
      <c r="T3343">
        <v>5</v>
      </c>
      <c r="U3343" s="5">
        <f>IF(Merge1[[#This Row],[team_defense_snaps]]=0, "", Merge1[[#This Row],[defense_snaps]] / Merge1[[#This Row],[team_defense_snaps]])</f>
        <v>7.0422535211267609E-2</v>
      </c>
      <c r="V3343">
        <v>71</v>
      </c>
      <c r="W3343">
        <v>19</v>
      </c>
      <c r="X3343" s="5" t="s">
        <v>189</v>
      </c>
      <c r="Y3343">
        <v>0</v>
      </c>
      <c r="Z3343">
        <v>0</v>
      </c>
      <c r="AA3343" t="s">
        <v>25</v>
      </c>
      <c r="AB3343" t="s">
        <v>26</v>
      </c>
      <c r="AC3343" t="s">
        <v>27</v>
      </c>
      <c r="AD3343" t="s">
        <v>28</v>
      </c>
      <c r="AE3343" t="s">
        <v>25</v>
      </c>
      <c r="AF33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3343" t="s">
        <v>942</v>
      </c>
      <c r="AH3343">
        <v>57</v>
      </c>
      <c r="AI3343" t="s">
        <v>939</v>
      </c>
      <c r="AJ3343">
        <v>1</v>
      </c>
      <c r="AK33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MIN(AJ3343/8, 1) +
  Merge1[[#This Row],[index_defensive_effort]],
  2
)</f>
        <v>0.71</v>
      </c>
    </row>
    <row r="3344" spans="1:37" x14ac:dyDescent="0.25">
      <c r="A3344" t="s">
        <v>822</v>
      </c>
      <c r="B3344" t="s">
        <v>823</v>
      </c>
      <c r="C3344">
        <v>28</v>
      </c>
      <c r="D3344" t="s">
        <v>22</v>
      </c>
      <c r="E3344">
        <v>69</v>
      </c>
      <c r="F3344">
        <v>190</v>
      </c>
      <c r="G3344" t="s">
        <v>86</v>
      </c>
      <c r="H3344">
        <v>2020</v>
      </c>
      <c r="I3344" t="s">
        <v>33</v>
      </c>
      <c r="J3344">
        <v>1</v>
      </c>
      <c r="K3344">
        <v>7</v>
      </c>
      <c r="L3344">
        <v>2</v>
      </c>
      <c r="M3344">
        <v>0</v>
      </c>
      <c r="N3344">
        <v>2</v>
      </c>
      <c r="O3344">
        <v>0</v>
      </c>
      <c r="P3344">
        <v>1</v>
      </c>
      <c r="Q3344">
        <v>1</v>
      </c>
      <c r="R3344">
        <v>0</v>
      </c>
      <c r="S3344">
        <v>59</v>
      </c>
      <c r="T3344">
        <v>59</v>
      </c>
      <c r="U3344" s="5">
        <f>IF(Merge1[[#This Row],[team_defense_snaps]]=0, "", Merge1[[#This Row],[defense_snaps]] / Merge1[[#This Row],[team_defense_snaps]])</f>
        <v>1</v>
      </c>
      <c r="V3344">
        <v>59</v>
      </c>
      <c r="W3344">
        <v>0</v>
      </c>
      <c r="X3344" s="5" t="s">
        <v>29</v>
      </c>
      <c r="Y3344">
        <v>7</v>
      </c>
      <c r="Z3344">
        <v>0</v>
      </c>
      <c r="AA3344" t="s">
        <v>25</v>
      </c>
      <c r="AB3344" t="s">
        <v>26</v>
      </c>
      <c r="AC3344" t="s">
        <v>27</v>
      </c>
      <c r="AD3344" t="s">
        <v>42</v>
      </c>
      <c r="AE3344" t="s">
        <v>25</v>
      </c>
      <c r="AF33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0.23728813559322035</v>
      </c>
      <c r="AG3344" t="s">
        <v>941</v>
      </c>
      <c r="AH3344">
        <v>78.5</v>
      </c>
      <c r="AI3344" t="s">
        <v>939</v>
      </c>
      <c r="AJ3344">
        <v>1</v>
      </c>
      <c r="AK33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MIN(AJ3344/8, 1) +
  Merge1[[#This Row],[index_defensive_effort]],
  2
)</f>
        <v>0.96</v>
      </c>
    </row>
    <row r="3345" spans="1:37" x14ac:dyDescent="0.25">
      <c r="A3345" t="s">
        <v>822</v>
      </c>
      <c r="B3345" t="s">
        <v>823</v>
      </c>
      <c r="C3345">
        <v>28</v>
      </c>
      <c r="D3345" t="s">
        <v>22</v>
      </c>
      <c r="E3345">
        <v>69</v>
      </c>
      <c r="F3345">
        <v>190</v>
      </c>
      <c r="G3345" t="s">
        <v>86</v>
      </c>
      <c r="H3345">
        <v>2020</v>
      </c>
      <c r="I3345" t="s">
        <v>33</v>
      </c>
      <c r="J3345">
        <v>2</v>
      </c>
      <c r="K3345">
        <v>2</v>
      </c>
      <c r="L3345">
        <v>4</v>
      </c>
      <c r="M3345">
        <v>0</v>
      </c>
      <c r="N3345">
        <v>4</v>
      </c>
      <c r="O3345">
        <v>0</v>
      </c>
      <c r="P3345">
        <v>2</v>
      </c>
      <c r="Q3345">
        <v>0</v>
      </c>
      <c r="R3345">
        <v>0</v>
      </c>
      <c r="S3345">
        <v>83</v>
      </c>
      <c r="T3345">
        <v>83</v>
      </c>
      <c r="U3345" s="5">
        <f>IF(Merge1[[#This Row],[team_defense_snaps]]=0, "", Merge1[[#This Row],[defense_snaps]] / Merge1[[#This Row],[team_defense_snaps]])</f>
        <v>0.98809523809523814</v>
      </c>
      <c r="V3345">
        <v>84</v>
      </c>
      <c r="W3345">
        <v>0</v>
      </c>
      <c r="X3345" s="5" t="s">
        <v>29</v>
      </c>
      <c r="Y3345">
        <v>7</v>
      </c>
      <c r="Z3345">
        <v>0</v>
      </c>
      <c r="AA3345" t="s">
        <v>25</v>
      </c>
      <c r="AB3345" t="s">
        <v>26</v>
      </c>
      <c r="AC3345" t="s">
        <v>27</v>
      </c>
      <c r="AD3345" t="s">
        <v>42</v>
      </c>
      <c r="AE3345" t="s">
        <v>25</v>
      </c>
      <c r="AF33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9.6385542168674704E-2</v>
      </c>
      <c r="AG3345" t="s">
        <v>941</v>
      </c>
      <c r="AH3345">
        <v>60</v>
      </c>
      <c r="AI3345" t="s">
        <v>939</v>
      </c>
      <c r="AJ3345">
        <v>2</v>
      </c>
      <c r="AK33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MIN(AJ3345/8, 1) +
  Merge1[[#This Row],[index_defensive_effort]],
  2
)</f>
        <v>0.95</v>
      </c>
    </row>
    <row r="3346" spans="1:37" x14ac:dyDescent="0.25">
      <c r="A3346" t="s">
        <v>822</v>
      </c>
      <c r="B3346" t="s">
        <v>823</v>
      </c>
      <c r="C3346">
        <v>28</v>
      </c>
      <c r="D3346" t="s">
        <v>22</v>
      </c>
      <c r="E3346">
        <v>69</v>
      </c>
      <c r="F3346">
        <v>190</v>
      </c>
      <c r="G3346" t="s">
        <v>86</v>
      </c>
      <c r="H3346">
        <v>2020</v>
      </c>
      <c r="I3346" t="s">
        <v>33</v>
      </c>
      <c r="J3346">
        <v>3</v>
      </c>
      <c r="K3346">
        <v>3</v>
      </c>
      <c r="L3346">
        <v>2</v>
      </c>
      <c r="M3346">
        <v>0</v>
      </c>
      <c r="N3346">
        <v>2</v>
      </c>
      <c r="O3346">
        <v>0</v>
      </c>
      <c r="P3346">
        <v>0</v>
      </c>
      <c r="Q3346">
        <v>0</v>
      </c>
      <c r="R3346">
        <v>0</v>
      </c>
      <c r="S3346">
        <v>56</v>
      </c>
      <c r="T3346">
        <v>56</v>
      </c>
      <c r="U3346" s="5">
        <f>IF(Merge1[[#This Row],[team_defense_snaps]]=0, "", Merge1[[#This Row],[defense_snaps]] / Merge1[[#This Row],[team_defense_snaps]])</f>
        <v>1</v>
      </c>
      <c r="V3346">
        <v>56</v>
      </c>
      <c r="W3346">
        <v>0</v>
      </c>
      <c r="X3346" s="5" t="s">
        <v>29</v>
      </c>
      <c r="Y3346">
        <v>7</v>
      </c>
      <c r="Z3346">
        <v>0</v>
      </c>
      <c r="AA3346" t="s">
        <v>25</v>
      </c>
      <c r="AB3346" t="s">
        <v>26</v>
      </c>
      <c r="AC3346" t="s">
        <v>27</v>
      </c>
      <c r="AD3346" t="s">
        <v>42</v>
      </c>
      <c r="AE3346" t="s">
        <v>25</v>
      </c>
      <c r="AF33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3346" t="s">
        <v>941</v>
      </c>
      <c r="AH3346">
        <v>80</v>
      </c>
      <c r="AI3346" t="s">
        <v>939</v>
      </c>
      <c r="AJ3346">
        <v>3</v>
      </c>
      <c r="AK33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MIN(AJ3346/8, 1) +
  Merge1[[#This Row],[index_defensive_effort]],
  2
)</f>
        <v>1.05</v>
      </c>
    </row>
    <row r="3347" spans="1:37" x14ac:dyDescent="0.25">
      <c r="A3347" t="s">
        <v>822</v>
      </c>
      <c r="B3347" t="s">
        <v>823</v>
      </c>
      <c r="C3347">
        <v>28</v>
      </c>
      <c r="D3347" t="s">
        <v>22</v>
      </c>
      <c r="E3347">
        <v>69</v>
      </c>
      <c r="F3347">
        <v>190</v>
      </c>
      <c r="G3347" t="s">
        <v>86</v>
      </c>
      <c r="H3347">
        <v>2020</v>
      </c>
      <c r="I3347" t="s">
        <v>33</v>
      </c>
      <c r="J3347">
        <v>4</v>
      </c>
      <c r="K3347">
        <v>4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2</v>
      </c>
      <c r="R3347">
        <v>0</v>
      </c>
      <c r="S3347">
        <v>75</v>
      </c>
      <c r="T3347">
        <v>75</v>
      </c>
      <c r="U3347" s="5">
        <f>IF(Merge1[[#This Row],[team_defense_snaps]]=0, "", Merge1[[#This Row],[defense_snaps]] / Merge1[[#This Row],[team_defense_snaps]])</f>
        <v>0.98684210526315785</v>
      </c>
      <c r="V3347">
        <v>76</v>
      </c>
      <c r="W3347">
        <v>0</v>
      </c>
      <c r="X3347" s="5" t="s">
        <v>29</v>
      </c>
      <c r="Y3347">
        <v>7</v>
      </c>
      <c r="Z3347">
        <v>0</v>
      </c>
      <c r="AA3347" t="s">
        <v>25</v>
      </c>
      <c r="AB3347" t="s">
        <v>26</v>
      </c>
      <c r="AC3347" t="s">
        <v>27</v>
      </c>
      <c r="AD3347" t="s">
        <v>42</v>
      </c>
      <c r="AE3347" t="s">
        <v>25</v>
      </c>
      <c r="AF33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</v>
      </c>
      <c r="AG3347" t="s">
        <v>941</v>
      </c>
      <c r="AH3347">
        <v>68</v>
      </c>
      <c r="AI3347" t="s">
        <v>939</v>
      </c>
      <c r="AJ3347">
        <v>4</v>
      </c>
      <c r="AK33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MIN(AJ3347/8, 1) +
  Merge1[[#This Row],[index_defensive_effort]],
  2
)</f>
        <v>1.26</v>
      </c>
    </row>
    <row r="3348" spans="1:37" x14ac:dyDescent="0.25">
      <c r="A3348" t="s">
        <v>822</v>
      </c>
      <c r="B3348" t="s">
        <v>823</v>
      </c>
      <c r="C3348">
        <v>28</v>
      </c>
      <c r="D3348" t="s">
        <v>22</v>
      </c>
      <c r="E3348">
        <v>69</v>
      </c>
      <c r="F3348">
        <v>190</v>
      </c>
      <c r="G3348" t="s">
        <v>86</v>
      </c>
      <c r="H3348">
        <v>2020</v>
      </c>
      <c r="I3348" t="s">
        <v>33</v>
      </c>
      <c r="J3348">
        <v>5</v>
      </c>
      <c r="K3348">
        <v>1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70</v>
      </c>
      <c r="T3348">
        <v>70</v>
      </c>
      <c r="U3348" s="5">
        <f>IF(Merge1[[#This Row],[team_defense_snaps]]=0, "", Merge1[[#This Row],[defense_snaps]] / Merge1[[#This Row],[team_defense_snaps]])</f>
        <v>1</v>
      </c>
      <c r="V3348">
        <v>70</v>
      </c>
      <c r="W3348">
        <v>0</v>
      </c>
      <c r="X3348" s="5" t="s">
        <v>29</v>
      </c>
      <c r="Y3348">
        <v>7</v>
      </c>
      <c r="Z3348">
        <v>0</v>
      </c>
      <c r="AA3348" t="s">
        <v>25</v>
      </c>
      <c r="AB3348" t="s">
        <v>26</v>
      </c>
      <c r="AC3348" t="s">
        <v>27</v>
      </c>
      <c r="AD3348" t="s">
        <v>42</v>
      </c>
      <c r="AE3348" t="s">
        <v>25</v>
      </c>
      <c r="AF33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1.4285714285714285E-2</v>
      </c>
      <c r="AG3348" t="s">
        <v>941</v>
      </c>
      <c r="AH3348">
        <v>72.5</v>
      </c>
      <c r="AI3348" t="s">
        <v>939</v>
      </c>
      <c r="AJ3348">
        <v>5</v>
      </c>
      <c r="AK33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MIN(AJ3348/8, 1) +
  Merge1[[#This Row],[index_defensive_effort]],
  2
)</f>
        <v>1.24</v>
      </c>
    </row>
    <row r="3349" spans="1:37" x14ac:dyDescent="0.25">
      <c r="A3349" t="s">
        <v>822</v>
      </c>
      <c r="B3349" t="s">
        <v>823</v>
      </c>
      <c r="C3349">
        <v>28</v>
      </c>
      <c r="D3349" t="s">
        <v>22</v>
      </c>
      <c r="E3349">
        <v>69</v>
      </c>
      <c r="F3349">
        <v>190</v>
      </c>
      <c r="G3349" t="s">
        <v>86</v>
      </c>
      <c r="H3349">
        <v>2020</v>
      </c>
      <c r="I3349" t="s">
        <v>33</v>
      </c>
      <c r="J3349">
        <v>6</v>
      </c>
      <c r="K3349">
        <v>3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53</v>
      </c>
      <c r="T3349">
        <v>53</v>
      </c>
      <c r="U3349" s="5">
        <f>IF(Merge1[[#This Row],[team_defense_snaps]]=0, "", Merge1[[#This Row],[defense_snaps]] / Merge1[[#This Row],[team_defense_snaps]])</f>
        <v>1</v>
      </c>
      <c r="V3349">
        <v>53</v>
      </c>
      <c r="W3349">
        <v>0</v>
      </c>
      <c r="X3349" s="5" t="s">
        <v>29</v>
      </c>
      <c r="Y3349">
        <v>7</v>
      </c>
      <c r="Z3349">
        <v>0</v>
      </c>
      <c r="AA3349" t="s">
        <v>25</v>
      </c>
      <c r="AB3349" t="s">
        <v>26</v>
      </c>
      <c r="AC3349" t="s">
        <v>27</v>
      </c>
      <c r="AD3349" t="s">
        <v>42</v>
      </c>
      <c r="AE3349" t="s">
        <v>25</v>
      </c>
      <c r="AF33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5.6603773584905662E-2</v>
      </c>
      <c r="AG3349" t="s">
        <v>941</v>
      </c>
      <c r="AH3349">
        <v>60.5</v>
      </c>
      <c r="AI3349" t="s">
        <v>939</v>
      </c>
      <c r="AJ3349">
        <v>6</v>
      </c>
      <c r="AK33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MIN(AJ3349/8, 1) +
  Merge1[[#This Row],[index_defensive_effort]],
  2
)</f>
        <v>1.41</v>
      </c>
    </row>
    <row r="3350" spans="1:37" x14ac:dyDescent="0.25">
      <c r="A3350" t="s">
        <v>822</v>
      </c>
      <c r="B3350" t="s">
        <v>823</v>
      </c>
      <c r="C3350">
        <v>28</v>
      </c>
      <c r="D3350" t="s">
        <v>22</v>
      </c>
      <c r="E3350">
        <v>69</v>
      </c>
      <c r="F3350">
        <v>190</v>
      </c>
      <c r="G3350" t="s">
        <v>86</v>
      </c>
      <c r="H3350">
        <v>2020</v>
      </c>
      <c r="I3350" t="s">
        <v>33</v>
      </c>
      <c r="J3350">
        <v>7</v>
      </c>
      <c r="K3350">
        <v>7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2</v>
      </c>
      <c r="R3350">
        <v>0</v>
      </c>
      <c r="S3350">
        <v>60</v>
      </c>
      <c r="T3350">
        <v>60</v>
      </c>
      <c r="U3350" s="5">
        <f>IF(Merge1[[#This Row],[team_defense_snaps]]=0, "", Merge1[[#This Row],[defense_snaps]] / Merge1[[#This Row],[team_defense_snaps]])</f>
        <v>0.75</v>
      </c>
      <c r="V3350">
        <v>80</v>
      </c>
      <c r="W3350">
        <v>0</v>
      </c>
      <c r="X3350" s="5" t="s">
        <v>29</v>
      </c>
      <c r="Y3350">
        <v>7</v>
      </c>
      <c r="Z3350">
        <v>0</v>
      </c>
      <c r="AA3350" t="s">
        <v>25</v>
      </c>
      <c r="AB3350" t="s">
        <v>26</v>
      </c>
      <c r="AC3350" t="s">
        <v>27</v>
      </c>
      <c r="AD3350" t="s">
        <v>42</v>
      </c>
      <c r="AE3350" t="s">
        <v>25</v>
      </c>
      <c r="AF33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</v>
      </c>
      <c r="AG3350" t="s">
        <v>941</v>
      </c>
      <c r="AH3350">
        <v>59</v>
      </c>
      <c r="AI3350" t="s">
        <v>939</v>
      </c>
      <c r="AJ3350">
        <v>7</v>
      </c>
      <c r="AK33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MIN(AJ3350/8, 1) +
  Merge1[[#This Row],[index_defensive_effort]],
  2
)</f>
        <v>1.73</v>
      </c>
    </row>
    <row r="3351" spans="1:37" x14ac:dyDescent="0.25">
      <c r="A3351" t="s">
        <v>822</v>
      </c>
      <c r="B3351" t="s">
        <v>823</v>
      </c>
      <c r="C3351">
        <v>28</v>
      </c>
      <c r="D3351" t="s">
        <v>22</v>
      </c>
      <c r="E3351">
        <v>69</v>
      </c>
      <c r="F3351">
        <v>190</v>
      </c>
      <c r="G3351" t="s">
        <v>86</v>
      </c>
      <c r="H3351">
        <v>2020</v>
      </c>
      <c r="I3351" t="s">
        <v>33</v>
      </c>
      <c r="J3351">
        <v>8</v>
      </c>
      <c r="K3351">
        <v>6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54</v>
      </c>
      <c r="T3351">
        <v>54</v>
      </c>
      <c r="U3351" s="5">
        <f>IF(Merge1[[#This Row],[team_defense_snaps]]=0, "", Merge1[[#This Row],[defense_snaps]] / Merge1[[#This Row],[team_defense_snaps]])</f>
        <v>0.9</v>
      </c>
      <c r="V3351">
        <v>60</v>
      </c>
      <c r="W3351">
        <v>0</v>
      </c>
      <c r="X3351" s="5" t="s">
        <v>29</v>
      </c>
      <c r="Y3351">
        <v>7</v>
      </c>
      <c r="Z3351">
        <v>0</v>
      </c>
      <c r="AA3351" t="s">
        <v>25</v>
      </c>
      <c r="AB3351" t="s">
        <v>26</v>
      </c>
      <c r="AC3351" t="s">
        <v>27</v>
      </c>
      <c r="AD3351" t="s">
        <v>42</v>
      </c>
      <c r="AE3351" t="s">
        <v>25</v>
      </c>
      <c r="AF33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0.1111111111111111</v>
      </c>
      <c r="AG3351" t="s">
        <v>941</v>
      </c>
      <c r="AH3351">
        <v>69.5</v>
      </c>
      <c r="AI3351" t="s">
        <v>939</v>
      </c>
      <c r="AJ3351">
        <v>8</v>
      </c>
      <c r="AK33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MIN(AJ3351/8, 1) +
  Merge1[[#This Row],[index_defensive_effort]],
  2
)</f>
        <v>1.71</v>
      </c>
    </row>
    <row r="3352" spans="1:37" x14ac:dyDescent="0.25">
      <c r="A3352" t="s">
        <v>822</v>
      </c>
      <c r="B3352" t="s">
        <v>823</v>
      </c>
      <c r="C3352">
        <v>28</v>
      </c>
      <c r="D3352" t="s">
        <v>22</v>
      </c>
      <c r="E3352">
        <v>69</v>
      </c>
      <c r="F3352">
        <v>190</v>
      </c>
      <c r="G3352" t="s">
        <v>86</v>
      </c>
      <c r="H3352">
        <v>2020</v>
      </c>
      <c r="I3352" t="s">
        <v>33</v>
      </c>
      <c r="J3352">
        <v>9</v>
      </c>
      <c r="K3352">
        <v>4</v>
      </c>
      <c r="L3352">
        <v>2</v>
      </c>
      <c r="M3352">
        <v>0</v>
      </c>
      <c r="N3352">
        <v>2</v>
      </c>
      <c r="O3352">
        <v>0</v>
      </c>
      <c r="P3352">
        <v>0</v>
      </c>
      <c r="Q3352">
        <v>0</v>
      </c>
      <c r="R3352">
        <v>0</v>
      </c>
      <c r="S3352">
        <v>83</v>
      </c>
      <c r="T3352">
        <v>83</v>
      </c>
      <c r="U3352" s="5">
        <f>IF(Merge1[[#This Row],[team_defense_snaps]]=0, "", Merge1[[#This Row],[defense_snaps]] / Merge1[[#This Row],[team_defense_snaps]])</f>
        <v>1</v>
      </c>
      <c r="V3352">
        <v>83</v>
      </c>
      <c r="W3352">
        <v>0</v>
      </c>
      <c r="X3352" s="5" t="s">
        <v>29</v>
      </c>
      <c r="Y3352">
        <v>7</v>
      </c>
      <c r="Z3352">
        <v>0</v>
      </c>
      <c r="AA3352" t="s">
        <v>25</v>
      </c>
      <c r="AB3352" t="s">
        <v>26</v>
      </c>
      <c r="AC3352" t="s">
        <v>27</v>
      </c>
      <c r="AD3352" t="s">
        <v>42</v>
      </c>
      <c r="AE3352" t="s">
        <v>25</v>
      </c>
      <c r="AF33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6.0240963855421686E-2</v>
      </c>
      <c r="AG3352" t="s">
        <v>941</v>
      </c>
      <c r="AH3352">
        <v>74</v>
      </c>
      <c r="AI3352" t="s">
        <v>939</v>
      </c>
      <c r="AJ3352">
        <v>9</v>
      </c>
      <c r="AK33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MIN(AJ3352/8, 1) +
  Merge1[[#This Row],[index_defensive_effort]],
  2
)</f>
        <v>1.66</v>
      </c>
    </row>
    <row r="3353" spans="1:37" x14ac:dyDescent="0.25">
      <c r="A3353" t="s">
        <v>822</v>
      </c>
      <c r="B3353" t="s">
        <v>823</v>
      </c>
      <c r="C3353">
        <v>28</v>
      </c>
      <c r="D3353" t="s">
        <v>22</v>
      </c>
      <c r="E3353">
        <v>69</v>
      </c>
      <c r="F3353">
        <v>190</v>
      </c>
      <c r="G3353" t="s">
        <v>86</v>
      </c>
      <c r="H3353">
        <v>2020</v>
      </c>
      <c r="I3353" t="s">
        <v>33</v>
      </c>
      <c r="J3353">
        <v>11</v>
      </c>
      <c r="K3353">
        <v>3</v>
      </c>
      <c r="L3353">
        <v>1</v>
      </c>
      <c r="M3353">
        <v>0</v>
      </c>
      <c r="N3353">
        <v>1</v>
      </c>
      <c r="O3353">
        <v>0</v>
      </c>
      <c r="P3353">
        <v>1</v>
      </c>
      <c r="Q3353">
        <v>0</v>
      </c>
      <c r="R3353">
        <v>0</v>
      </c>
      <c r="S3353">
        <v>59</v>
      </c>
      <c r="T3353">
        <v>59</v>
      </c>
      <c r="U3353" s="5">
        <f>IF(Merge1[[#This Row],[team_defense_snaps]]=0, "", Merge1[[#This Row],[defense_snaps]] / Merge1[[#This Row],[team_defense_snaps]])</f>
        <v>1</v>
      </c>
      <c r="V3353">
        <v>59</v>
      </c>
      <c r="W3353">
        <v>0</v>
      </c>
      <c r="X3353" s="5" t="s">
        <v>29</v>
      </c>
      <c r="Y3353">
        <v>7</v>
      </c>
      <c r="Z3353">
        <v>0</v>
      </c>
      <c r="AA3353" t="s">
        <v>25</v>
      </c>
      <c r="AB3353" t="s">
        <v>26</v>
      </c>
      <c r="AC3353" t="s">
        <v>27</v>
      </c>
      <c r="AD3353" t="s">
        <v>42</v>
      </c>
      <c r="AE3353" t="s">
        <v>25</v>
      </c>
      <c r="AF33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9.3220338983050849E-2</v>
      </c>
      <c r="AG3353" t="s">
        <v>941</v>
      </c>
      <c r="AH3353">
        <v>65</v>
      </c>
      <c r="AI3353" t="s">
        <v>939</v>
      </c>
      <c r="AJ3353">
        <v>1</v>
      </c>
      <c r="AK33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MIN(AJ3353/8, 1) +
  Merge1[[#This Row],[index_defensive_effort]],
  2
)</f>
        <v>0.82</v>
      </c>
    </row>
    <row r="3354" spans="1:37" x14ac:dyDescent="0.25">
      <c r="A3354" t="s">
        <v>822</v>
      </c>
      <c r="B3354" t="s">
        <v>823</v>
      </c>
      <c r="C3354">
        <v>28</v>
      </c>
      <c r="D3354" t="s">
        <v>22</v>
      </c>
      <c r="E3354">
        <v>69</v>
      </c>
      <c r="F3354">
        <v>190</v>
      </c>
      <c r="G3354" t="s">
        <v>86</v>
      </c>
      <c r="H3354">
        <v>2020</v>
      </c>
      <c r="I3354" t="s">
        <v>33</v>
      </c>
      <c r="J3354">
        <v>12</v>
      </c>
      <c r="K3354">
        <v>4</v>
      </c>
      <c r="L3354">
        <v>1</v>
      </c>
      <c r="M3354">
        <v>0</v>
      </c>
      <c r="N3354">
        <v>1</v>
      </c>
      <c r="O3354">
        <v>0</v>
      </c>
      <c r="P3354">
        <v>0</v>
      </c>
      <c r="Q3354">
        <v>2</v>
      </c>
      <c r="R3354">
        <v>0</v>
      </c>
      <c r="S3354">
        <v>55</v>
      </c>
      <c r="T3354">
        <v>55</v>
      </c>
      <c r="U3354" s="5">
        <f>IF(Merge1[[#This Row],[team_defense_snaps]]=0, "", Merge1[[#This Row],[defense_snaps]] / Merge1[[#This Row],[team_defense_snaps]])</f>
        <v>0.93220338983050843</v>
      </c>
      <c r="V3354">
        <v>59</v>
      </c>
      <c r="W3354">
        <v>0</v>
      </c>
      <c r="X3354" s="5" t="s">
        <v>29</v>
      </c>
      <c r="Y3354">
        <v>7</v>
      </c>
      <c r="Z3354">
        <v>0</v>
      </c>
      <c r="AA3354" t="s">
        <v>25</v>
      </c>
      <c r="AB3354" t="s">
        <v>26</v>
      </c>
      <c r="AC3354" t="s">
        <v>27</v>
      </c>
      <c r="AD3354" t="s">
        <v>42</v>
      </c>
      <c r="AE3354" t="s">
        <v>25</v>
      </c>
      <c r="AF33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0.22727272727272727</v>
      </c>
      <c r="AG3354" t="s">
        <v>941</v>
      </c>
      <c r="AH3354">
        <v>77</v>
      </c>
      <c r="AI3354" t="s">
        <v>939</v>
      </c>
      <c r="AJ3354">
        <v>2</v>
      </c>
      <c r="AK33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MIN(AJ3354/8, 1) +
  Merge1[[#This Row],[index_defensive_effort]],
  2
)</f>
        <v>1.08</v>
      </c>
    </row>
    <row r="3355" spans="1:37" x14ac:dyDescent="0.25">
      <c r="A3355" t="s">
        <v>822</v>
      </c>
      <c r="B3355" t="s">
        <v>823</v>
      </c>
      <c r="C3355">
        <v>28</v>
      </c>
      <c r="D3355" t="s">
        <v>22</v>
      </c>
      <c r="E3355">
        <v>69</v>
      </c>
      <c r="F3355">
        <v>190</v>
      </c>
      <c r="G3355" t="s">
        <v>86</v>
      </c>
      <c r="H3355">
        <v>2020</v>
      </c>
      <c r="I3355" t="s">
        <v>33</v>
      </c>
      <c r="J3355">
        <v>13</v>
      </c>
      <c r="K3355">
        <v>7</v>
      </c>
      <c r="L3355">
        <v>4</v>
      </c>
      <c r="M3355">
        <v>2</v>
      </c>
      <c r="N3355">
        <v>6</v>
      </c>
      <c r="O3355">
        <v>0</v>
      </c>
      <c r="P3355">
        <v>0</v>
      </c>
      <c r="Q3355">
        <v>4</v>
      </c>
      <c r="R3355">
        <v>0</v>
      </c>
      <c r="S3355">
        <v>66</v>
      </c>
      <c r="T3355">
        <v>66</v>
      </c>
      <c r="U3355" s="5">
        <f>IF(Merge1[[#This Row],[team_defense_snaps]]=0, "", Merge1[[#This Row],[defense_snaps]] / Merge1[[#This Row],[team_defense_snaps]])</f>
        <v>0.9850746268656716</v>
      </c>
      <c r="V3355">
        <v>67</v>
      </c>
      <c r="W3355">
        <v>0</v>
      </c>
      <c r="X3355" s="5" t="s">
        <v>29</v>
      </c>
      <c r="Y3355">
        <v>7</v>
      </c>
      <c r="Z3355">
        <v>0</v>
      </c>
      <c r="AA3355" t="s">
        <v>25</v>
      </c>
      <c r="AB3355" t="s">
        <v>26</v>
      </c>
      <c r="AC3355" t="s">
        <v>27</v>
      </c>
      <c r="AD3355" t="s">
        <v>42</v>
      </c>
      <c r="AE3355" t="s">
        <v>25</v>
      </c>
      <c r="AF33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0.39393939393939392</v>
      </c>
      <c r="AG3355" t="s">
        <v>941</v>
      </c>
      <c r="AH3355">
        <v>57.5</v>
      </c>
      <c r="AI3355" t="s">
        <v>939</v>
      </c>
      <c r="AJ3355">
        <v>3</v>
      </c>
      <c r="AK33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MIN(AJ3355/8, 1) +
  Merge1[[#This Row],[index_defensive_effort]],
  2
)</f>
        <v>1.37</v>
      </c>
    </row>
    <row r="3356" spans="1:37" x14ac:dyDescent="0.25">
      <c r="A3356" t="s">
        <v>822</v>
      </c>
      <c r="B3356" t="s">
        <v>823</v>
      </c>
      <c r="C3356">
        <v>28</v>
      </c>
      <c r="D3356" t="s">
        <v>22</v>
      </c>
      <c r="E3356">
        <v>69</v>
      </c>
      <c r="F3356">
        <v>190</v>
      </c>
      <c r="G3356" t="s">
        <v>86</v>
      </c>
      <c r="H3356">
        <v>2020</v>
      </c>
      <c r="I3356" t="s">
        <v>33</v>
      </c>
      <c r="J3356">
        <v>14</v>
      </c>
      <c r="K3356">
        <v>4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2</v>
      </c>
      <c r="R3356">
        <v>0</v>
      </c>
      <c r="S3356">
        <v>83</v>
      </c>
      <c r="T3356">
        <v>83</v>
      </c>
      <c r="U3356" s="5">
        <f>IF(Merge1[[#This Row],[team_defense_snaps]]=0, "", Merge1[[#This Row],[defense_snaps]] / Merge1[[#This Row],[team_defense_snaps]])</f>
        <v>1</v>
      </c>
      <c r="V3356">
        <v>83</v>
      </c>
      <c r="W3356">
        <v>0</v>
      </c>
      <c r="X3356" s="5" t="s">
        <v>29</v>
      </c>
      <c r="Y3356">
        <v>7</v>
      </c>
      <c r="Z3356">
        <v>0</v>
      </c>
      <c r="AA3356" t="s">
        <v>25</v>
      </c>
      <c r="AB3356" t="s">
        <v>36</v>
      </c>
      <c r="AC3356" t="s">
        <v>371</v>
      </c>
      <c r="AD3356" t="s">
        <v>42</v>
      </c>
      <c r="AE3356" t="s">
        <v>25</v>
      </c>
      <c r="AF33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0.14457831325301204</v>
      </c>
      <c r="AG3356" t="s">
        <v>941</v>
      </c>
      <c r="AH3356">
        <v>63.5</v>
      </c>
      <c r="AI3356" t="s">
        <v>939</v>
      </c>
      <c r="AJ3356">
        <v>4</v>
      </c>
      <c r="AK33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MIN(AJ3356/8, 1) +
  Merge1[[#This Row],[index_defensive_effort]],
  2
)</f>
        <v>1.24</v>
      </c>
    </row>
    <row r="3357" spans="1:37" x14ac:dyDescent="0.25">
      <c r="A3357" t="s">
        <v>822</v>
      </c>
      <c r="B3357" t="s">
        <v>823</v>
      </c>
      <c r="C3357">
        <v>28</v>
      </c>
      <c r="D3357" t="s">
        <v>22</v>
      </c>
      <c r="E3357">
        <v>69</v>
      </c>
      <c r="F3357">
        <v>190</v>
      </c>
      <c r="G3357" t="s">
        <v>86</v>
      </c>
      <c r="H3357">
        <v>2020</v>
      </c>
      <c r="I3357" t="s">
        <v>33</v>
      </c>
      <c r="J3357">
        <v>15</v>
      </c>
      <c r="K3357">
        <v>3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55</v>
      </c>
      <c r="T3357">
        <v>55</v>
      </c>
      <c r="U3357" s="5">
        <f>IF(Merge1[[#This Row],[team_defense_snaps]]=0, "", Merge1[[#This Row],[defense_snaps]] / Merge1[[#This Row],[team_defense_snaps]])</f>
        <v>0.91666666666666663</v>
      </c>
      <c r="V3357">
        <v>60</v>
      </c>
      <c r="W3357">
        <v>0</v>
      </c>
      <c r="X3357" s="5" t="s">
        <v>29</v>
      </c>
      <c r="Y3357">
        <v>7</v>
      </c>
      <c r="Z3357">
        <v>0</v>
      </c>
      <c r="AA3357" t="s">
        <v>25</v>
      </c>
      <c r="AB3357" t="s">
        <v>26</v>
      </c>
      <c r="AC3357" t="s">
        <v>27</v>
      </c>
      <c r="AD3357" t="s">
        <v>42</v>
      </c>
      <c r="AE3357" t="s">
        <v>25</v>
      </c>
      <c r="AF33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5.4545454545454543E-2</v>
      </c>
      <c r="AG3357" t="s">
        <v>941</v>
      </c>
      <c r="AH3357">
        <v>71</v>
      </c>
      <c r="AI3357" t="s">
        <v>939</v>
      </c>
      <c r="AJ3357">
        <v>5</v>
      </c>
      <c r="AK33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MIN(AJ3357/8, 1) +
  Merge1[[#This Row],[index_defensive_effort]],
  2
)</f>
        <v>1.28</v>
      </c>
    </row>
    <row r="3358" spans="1:37" x14ac:dyDescent="0.25">
      <c r="A3358" t="s">
        <v>822</v>
      </c>
      <c r="B3358" t="s">
        <v>823</v>
      </c>
      <c r="C3358">
        <v>28</v>
      </c>
      <c r="D3358" t="s">
        <v>22</v>
      </c>
      <c r="E3358">
        <v>69</v>
      </c>
      <c r="F3358">
        <v>190</v>
      </c>
      <c r="G3358" t="s">
        <v>86</v>
      </c>
      <c r="H3358">
        <v>2020</v>
      </c>
      <c r="I3358" t="s">
        <v>33</v>
      </c>
      <c r="J3358">
        <v>16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68</v>
      </c>
      <c r="T3358">
        <v>68</v>
      </c>
      <c r="U3358" s="5">
        <f>IF(Merge1[[#This Row],[team_defense_snaps]]=0, "", Merge1[[#This Row],[defense_snaps]] / Merge1[[#This Row],[team_defense_snaps]])</f>
        <v>0.98550724637681164</v>
      </c>
      <c r="V3358">
        <v>69</v>
      </c>
      <c r="W3358">
        <v>0</v>
      </c>
      <c r="X3358" s="5" t="s">
        <v>29</v>
      </c>
      <c r="Y3358">
        <v>7</v>
      </c>
      <c r="Z3358">
        <v>0</v>
      </c>
      <c r="AA3358" t="s">
        <v>25</v>
      </c>
      <c r="AB3358" t="s">
        <v>26</v>
      </c>
      <c r="AC3358" t="s">
        <v>27</v>
      </c>
      <c r="AD3358" t="s">
        <v>42</v>
      </c>
      <c r="AE3358" t="s">
        <v>25</v>
      </c>
      <c r="AF33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1.4705882352941176E-2</v>
      </c>
      <c r="AG3358" t="s">
        <v>941</v>
      </c>
      <c r="AH3358">
        <v>75.5</v>
      </c>
      <c r="AI3358" t="s">
        <v>939</v>
      </c>
      <c r="AJ3358">
        <v>6</v>
      </c>
      <c r="AK33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MIN(AJ3358/8, 1) +
  Merge1[[#This Row],[index_defensive_effort]],
  2
)</f>
        <v>1.36</v>
      </c>
    </row>
    <row r="3359" spans="1:37" x14ac:dyDescent="0.25">
      <c r="A3359" t="s">
        <v>822</v>
      </c>
      <c r="B3359" t="s">
        <v>823</v>
      </c>
      <c r="C3359">
        <v>28</v>
      </c>
      <c r="D3359" t="s">
        <v>22</v>
      </c>
      <c r="E3359">
        <v>69</v>
      </c>
      <c r="F3359">
        <v>190</v>
      </c>
      <c r="G3359" t="s">
        <v>86</v>
      </c>
      <c r="H3359">
        <v>2020</v>
      </c>
      <c r="I3359" t="s">
        <v>24</v>
      </c>
      <c r="J3359">
        <v>19</v>
      </c>
      <c r="K3359">
        <v>8</v>
      </c>
      <c r="L3359">
        <v>2</v>
      </c>
      <c r="M3359">
        <v>1</v>
      </c>
      <c r="N3359">
        <v>3</v>
      </c>
      <c r="O3359">
        <v>0</v>
      </c>
      <c r="P3359">
        <v>0</v>
      </c>
      <c r="Q3359">
        <v>2</v>
      </c>
      <c r="R3359">
        <v>0</v>
      </c>
      <c r="S3359">
        <v>64</v>
      </c>
      <c r="T3359">
        <v>64</v>
      </c>
      <c r="U3359" s="5">
        <f>IF(Merge1[[#This Row],[team_defense_snaps]]=0, "", Merge1[[#This Row],[defense_snaps]] / Merge1[[#This Row],[team_defense_snaps]])</f>
        <v>1</v>
      </c>
      <c r="V3359">
        <v>64</v>
      </c>
      <c r="W3359">
        <v>0</v>
      </c>
      <c r="X3359" s="5" t="s">
        <v>29</v>
      </c>
      <c r="Y3359">
        <v>7</v>
      </c>
      <c r="Z3359">
        <v>0</v>
      </c>
      <c r="AA3359" t="s">
        <v>25</v>
      </c>
      <c r="AB3359" t="s">
        <v>26</v>
      </c>
      <c r="AC3359" t="s">
        <v>27</v>
      </c>
      <c r="AD3359" t="s">
        <v>42</v>
      </c>
      <c r="AE3359" t="s">
        <v>25</v>
      </c>
      <c r="AF33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0.2734375</v>
      </c>
      <c r="AG3359" t="s">
        <v>941</v>
      </c>
      <c r="AH3359">
        <v>60</v>
      </c>
      <c r="AI3359" t="s">
        <v>939</v>
      </c>
      <c r="AJ3359">
        <v>1</v>
      </c>
      <c r="AK33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MIN(AJ3359/8, 1) +
  Merge1[[#This Row],[index_defensive_effort]],
  2
)</f>
        <v>1.2</v>
      </c>
    </row>
    <row r="3360" spans="1:37" x14ac:dyDescent="0.25">
      <c r="A3360" t="s">
        <v>822</v>
      </c>
      <c r="B3360" t="s">
        <v>823</v>
      </c>
      <c r="C3360">
        <v>28</v>
      </c>
      <c r="D3360" t="s">
        <v>22</v>
      </c>
      <c r="E3360">
        <v>69</v>
      </c>
      <c r="F3360">
        <v>190</v>
      </c>
      <c r="G3360" t="s">
        <v>86</v>
      </c>
      <c r="H3360">
        <v>2020</v>
      </c>
      <c r="I3360" t="s">
        <v>24</v>
      </c>
      <c r="J3360">
        <v>20</v>
      </c>
      <c r="K3360">
        <v>6</v>
      </c>
      <c r="L3360">
        <v>0</v>
      </c>
      <c r="M3360">
        <v>0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72</v>
      </c>
      <c r="T3360">
        <v>72</v>
      </c>
      <c r="U3360" s="5">
        <f>IF(Merge1[[#This Row],[team_defense_snaps]]=0, "", Merge1[[#This Row],[defense_snaps]] / Merge1[[#This Row],[team_defense_snaps]])</f>
        <v>1</v>
      </c>
      <c r="V3360">
        <v>72</v>
      </c>
      <c r="W3360">
        <v>0</v>
      </c>
      <c r="X3360" s="5" t="s">
        <v>29</v>
      </c>
      <c r="Y3360">
        <v>7</v>
      </c>
      <c r="Z3360">
        <v>0</v>
      </c>
      <c r="AA3360" t="s">
        <v>25</v>
      </c>
      <c r="AB3360" t="s">
        <v>26</v>
      </c>
      <c r="AC3360" t="s">
        <v>27</v>
      </c>
      <c r="AD3360" t="s">
        <v>42</v>
      </c>
      <c r="AE3360" t="s">
        <v>25</v>
      </c>
      <c r="AF33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0.1111111111111111</v>
      </c>
      <c r="AG3360" t="s">
        <v>941</v>
      </c>
      <c r="AH3360">
        <v>60</v>
      </c>
      <c r="AI3360" t="s">
        <v>939</v>
      </c>
      <c r="AJ3360">
        <v>2</v>
      </c>
      <c r="AK33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MIN(AJ3360/8, 1) +
  Merge1[[#This Row],[index_defensive_effort]],
  2
)</f>
        <v>1.1599999999999999</v>
      </c>
    </row>
    <row r="3361" spans="1:37" x14ac:dyDescent="0.25">
      <c r="A3361" t="s">
        <v>822</v>
      </c>
      <c r="B3361" t="s">
        <v>823</v>
      </c>
      <c r="C3361">
        <v>28</v>
      </c>
      <c r="D3361" t="s">
        <v>22</v>
      </c>
      <c r="E3361">
        <v>69</v>
      </c>
      <c r="F3361">
        <v>190</v>
      </c>
      <c r="G3361" t="s">
        <v>86</v>
      </c>
      <c r="H3361">
        <v>2020</v>
      </c>
      <c r="I3361" t="s">
        <v>24</v>
      </c>
      <c r="J3361">
        <v>21</v>
      </c>
      <c r="K3361">
        <v>2</v>
      </c>
      <c r="L3361">
        <v>1</v>
      </c>
      <c r="M3361">
        <v>0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 s="5" t="str">
        <f>IF(Merge1[[#This Row],[team_defense_snaps]]=0, "", Merge1[[#This Row],[defense_snaps]] / Merge1[[#This Row],[team_defense_snaps]])</f>
        <v/>
      </c>
      <c r="V3361">
        <v>0</v>
      </c>
      <c r="W3361">
        <v>0</v>
      </c>
      <c r="X3361" s="5" t="s">
        <v>29</v>
      </c>
      <c r="Y3361">
        <v>7</v>
      </c>
      <c r="Z3361">
        <v>0</v>
      </c>
      <c r="AA3361" t="s">
        <v>25</v>
      </c>
      <c r="AB3361" t="s">
        <v>26</v>
      </c>
      <c r="AC3361" t="s">
        <v>27</v>
      </c>
      <c r="AD3361" t="s">
        <v>42</v>
      </c>
      <c r="AE3361" t="s">
        <v>25</v>
      </c>
      <c r="AF33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361" t="s">
        <v>941</v>
      </c>
      <c r="AH3361">
        <v>62</v>
      </c>
      <c r="AI3361" t="s">
        <v>27</v>
      </c>
      <c r="AJ3361">
        <v>3</v>
      </c>
      <c r="AK33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MIN(AJ3361/8, 1) +
  Merge1[[#This Row],[index_defensive_effort]],
  2
)</f>
        <v>1.18</v>
      </c>
    </row>
    <row r="3362" spans="1:37" x14ac:dyDescent="0.25">
      <c r="A3362" t="s">
        <v>902</v>
      </c>
      <c r="B3362" t="s">
        <v>903</v>
      </c>
      <c r="C3362">
        <v>23</v>
      </c>
      <c r="D3362" t="s">
        <v>56</v>
      </c>
      <c r="E3362">
        <v>69</v>
      </c>
      <c r="F3362">
        <v>201</v>
      </c>
      <c r="G3362" t="s">
        <v>330</v>
      </c>
      <c r="H3362">
        <v>2020</v>
      </c>
      <c r="I3362" t="s">
        <v>33</v>
      </c>
      <c r="J3362">
        <v>2</v>
      </c>
      <c r="K3362">
        <v>9</v>
      </c>
      <c r="L3362">
        <v>0</v>
      </c>
      <c r="M3362">
        <v>0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47</v>
      </c>
      <c r="T3362">
        <v>47</v>
      </c>
      <c r="U3362" s="5">
        <f>IF(Merge1[[#This Row],[team_defense_snaps]]=0, "", Merge1[[#This Row],[defense_snaps]] / Merge1[[#This Row],[team_defense_snaps]])</f>
        <v>0.65277777777777779</v>
      </c>
      <c r="V3362">
        <v>72</v>
      </c>
      <c r="W3362">
        <v>0</v>
      </c>
      <c r="X3362" s="5">
        <v>0</v>
      </c>
      <c r="Y3362">
        <v>1</v>
      </c>
      <c r="Z3362">
        <v>0</v>
      </c>
      <c r="AA3362" t="s">
        <v>25</v>
      </c>
      <c r="AB3362" t="s">
        <v>26</v>
      </c>
      <c r="AC3362" t="s">
        <v>27</v>
      </c>
      <c r="AD3362" t="s">
        <v>42</v>
      </c>
      <c r="AE3362" t="s">
        <v>25</v>
      </c>
      <c r="AF33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0.23404255319148937</v>
      </c>
      <c r="AG3362" t="s">
        <v>942</v>
      </c>
      <c r="AH3362">
        <v>68.5</v>
      </c>
      <c r="AI3362" t="s">
        <v>939</v>
      </c>
      <c r="AJ3362">
        <v>1</v>
      </c>
      <c r="AK33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MIN(AJ3362/8, 1) +
  Merge1[[#This Row],[index_defensive_effort]],
  2
)</f>
        <v>0.86</v>
      </c>
    </row>
    <row r="3363" spans="1:37" x14ac:dyDescent="0.25">
      <c r="A3363" t="s">
        <v>902</v>
      </c>
      <c r="B3363" t="s">
        <v>903</v>
      </c>
      <c r="C3363">
        <v>23</v>
      </c>
      <c r="D3363" t="s">
        <v>56</v>
      </c>
      <c r="E3363">
        <v>69</v>
      </c>
      <c r="F3363">
        <v>201</v>
      </c>
      <c r="G3363" t="s">
        <v>330</v>
      </c>
      <c r="H3363">
        <v>2020</v>
      </c>
      <c r="I3363" t="s">
        <v>33</v>
      </c>
      <c r="J3363">
        <v>3</v>
      </c>
      <c r="K3363">
        <v>6</v>
      </c>
      <c r="L3363">
        <v>1</v>
      </c>
      <c r="M3363">
        <v>0</v>
      </c>
      <c r="N3363">
        <v>1</v>
      </c>
      <c r="O3363">
        <v>0</v>
      </c>
      <c r="P3363">
        <v>2</v>
      </c>
      <c r="Q3363">
        <v>0</v>
      </c>
      <c r="R3363">
        <v>0</v>
      </c>
      <c r="S3363">
        <v>69</v>
      </c>
      <c r="T3363">
        <v>69</v>
      </c>
      <c r="U3363" s="5">
        <f>IF(Merge1[[#This Row],[team_defense_snaps]]=0, "", Merge1[[#This Row],[defense_snaps]] / Merge1[[#This Row],[team_defense_snaps]])</f>
        <v>0.83132530120481929</v>
      </c>
      <c r="V3363">
        <v>83</v>
      </c>
      <c r="W3363">
        <v>0</v>
      </c>
      <c r="X3363" s="5">
        <v>0</v>
      </c>
      <c r="Y3363">
        <v>1</v>
      </c>
      <c r="Z3363">
        <v>0</v>
      </c>
      <c r="AA3363" t="s">
        <v>25</v>
      </c>
      <c r="AB3363" t="s">
        <v>26</v>
      </c>
      <c r="AC3363" t="s">
        <v>27</v>
      </c>
      <c r="AD3363" t="s">
        <v>42</v>
      </c>
      <c r="AE3363" t="s">
        <v>25</v>
      </c>
      <c r="AF33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0.15217391304347827</v>
      </c>
      <c r="AG3363" t="s">
        <v>942</v>
      </c>
      <c r="AH3363">
        <v>67</v>
      </c>
      <c r="AI3363" t="s">
        <v>939</v>
      </c>
      <c r="AJ3363">
        <v>2</v>
      </c>
      <c r="AK33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MIN(AJ3363/8, 1) +
  Merge1[[#This Row],[index_defensive_effort]],
  2
)</f>
        <v>0.9</v>
      </c>
    </row>
    <row r="3364" spans="1:37" x14ac:dyDescent="0.25">
      <c r="A3364" t="s">
        <v>902</v>
      </c>
      <c r="B3364" t="s">
        <v>903</v>
      </c>
      <c r="C3364">
        <v>23</v>
      </c>
      <c r="D3364" t="s">
        <v>56</v>
      </c>
      <c r="E3364">
        <v>69</v>
      </c>
      <c r="F3364">
        <v>201</v>
      </c>
      <c r="G3364" t="s">
        <v>330</v>
      </c>
      <c r="H3364">
        <v>2020</v>
      </c>
      <c r="I3364" t="s">
        <v>33</v>
      </c>
      <c r="J3364">
        <v>4</v>
      </c>
      <c r="K3364">
        <v>3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48</v>
      </c>
      <c r="T3364">
        <v>48</v>
      </c>
      <c r="U3364" s="5">
        <f>IF(Merge1[[#This Row],[team_defense_snaps]]=0, "", Merge1[[#This Row],[defense_snaps]] / Merge1[[#This Row],[team_defense_snaps]])</f>
        <v>0.676056338028169</v>
      </c>
      <c r="V3364">
        <v>71</v>
      </c>
      <c r="W3364">
        <v>0</v>
      </c>
      <c r="X3364" s="5">
        <v>0</v>
      </c>
      <c r="Y3364">
        <v>1</v>
      </c>
      <c r="Z3364">
        <v>0</v>
      </c>
      <c r="AA3364" t="s">
        <v>25</v>
      </c>
      <c r="AB3364" t="s">
        <v>26</v>
      </c>
      <c r="AC3364" t="s">
        <v>27</v>
      </c>
      <c r="AD3364" t="s">
        <v>42</v>
      </c>
      <c r="AE3364" t="s">
        <v>25</v>
      </c>
      <c r="AF33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AG3364" t="s">
        <v>942</v>
      </c>
      <c r="AH3364">
        <v>65.5</v>
      </c>
      <c r="AI3364" t="s">
        <v>939</v>
      </c>
      <c r="AJ3364">
        <v>3</v>
      </c>
      <c r="AK33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MIN(AJ3364/8, 1) +
  Merge1[[#This Row],[index_defensive_effort]],
  2
)</f>
        <v>0.94</v>
      </c>
    </row>
    <row r="3365" spans="1:37" x14ac:dyDescent="0.25">
      <c r="A3365" t="s">
        <v>902</v>
      </c>
      <c r="B3365" t="s">
        <v>903</v>
      </c>
      <c r="C3365">
        <v>23</v>
      </c>
      <c r="D3365" t="s">
        <v>56</v>
      </c>
      <c r="E3365">
        <v>69</v>
      </c>
      <c r="F3365">
        <v>201</v>
      </c>
      <c r="G3365" t="s">
        <v>330</v>
      </c>
      <c r="H3365">
        <v>2020</v>
      </c>
      <c r="I3365" t="s">
        <v>33</v>
      </c>
      <c r="J3365">
        <v>5</v>
      </c>
      <c r="K3365">
        <v>2</v>
      </c>
      <c r="L3365">
        <v>0</v>
      </c>
      <c r="M3365">
        <v>0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28</v>
      </c>
      <c r="T3365">
        <v>28</v>
      </c>
      <c r="U3365" s="5">
        <f>IF(Merge1[[#This Row],[team_defense_snaps]]=0, "", Merge1[[#This Row],[defense_snaps]] / Merge1[[#This Row],[team_defense_snaps]])</f>
        <v>0.31818181818181818</v>
      </c>
      <c r="V3365">
        <v>88</v>
      </c>
      <c r="W3365">
        <v>0</v>
      </c>
      <c r="X3365" s="5">
        <v>0</v>
      </c>
      <c r="Y3365">
        <v>1</v>
      </c>
      <c r="Z3365">
        <v>0</v>
      </c>
      <c r="AA3365" t="s">
        <v>25</v>
      </c>
      <c r="AB3365" t="s">
        <v>26</v>
      </c>
      <c r="AC3365" t="s">
        <v>27</v>
      </c>
      <c r="AD3365" t="s">
        <v>42</v>
      </c>
      <c r="AE3365" t="s">
        <v>25</v>
      </c>
      <c r="AF33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0.14285714285714285</v>
      </c>
      <c r="AG3365" t="s">
        <v>942</v>
      </c>
      <c r="AH3365">
        <v>64</v>
      </c>
      <c r="AI3365" t="s">
        <v>939</v>
      </c>
      <c r="AJ3365">
        <v>4</v>
      </c>
      <c r="AK33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MIN(AJ3365/8, 1) +
  Merge1[[#This Row],[index_defensive_effort]],
  2
)</f>
        <v>1.1399999999999999</v>
      </c>
    </row>
    <row r="3366" spans="1:37" x14ac:dyDescent="0.25">
      <c r="A3366" t="s">
        <v>902</v>
      </c>
      <c r="B3366" t="s">
        <v>903</v>
      </c>
      <c r="C3366">
        <v>23</v>
      </c>
      <c r="D3366" t="s">
        <v>56</v>
      </c>
      <c r="E3366">
        <v>69</v>
      </c>
      <c r="F3366">
        <v>201</v>
      </c>
      <c r="G3366" t="s">
        <v>330</v>
      </c>
      <c r="H3366">
        <v>2020</v>
      </c>
      <c r="I3366" t="s">
        <v>33</v>
      </c>
      <c r="J3366">
        <v>7</v>
      </c>
      <c r="K3366">
        <v>3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2</v>
      </c>
      <c r="S3366">
        <v>41</v>
      </c>
      <c r="T3366">
        <v>41</v>
      </c>
      <c r="U3366" s="5">
        <f>IF(Merge1[[#This Row],[team_defense_snaps]]=0, "", Merge1[[#This Row],[defense_snaps]] / Merge1[[#This Row],[team_defense_snaps]])</f>
        <v>0.48809523809523808</v>
      </c>
      <c r="V3366">
        <v>84</v>
      </c>
      <c r="W3366">
        <v>0</v>
      </c>
      <c r="X3366" s="5">
        <v>0</v>
      </c>
      <c r="Y3366">
        <v>1</v>
      </c>
      <c r="Z3366">
        <v>0</v>
      </c>
      <c r="AA3366" t="s">
        <v>25</v>
      </c>
      <c r="AB3366" t="s">
        <v>26</v>
      </c>
      <c r="AC3366" t="s">
        <v>27</v>
      </c>
      <c r="AD3366" t="s">
        <v>42</v>
      </c>
      <c r="AE3366" t="s">
        <v>25</v>
      </c>
      <c r="AF33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0.17073170731707318</v>
      </c>
      <c r="AG3366" t="s">
        <v>942</v>
      </c>
      <c r="AH3366">
        <v>61</v>
      </c>
      <c r="AI3366" t="s">
        <v>939</v>
      </c>
      <c r="AJ3366">
        <v>1</v>
      </c>
      <c r="AK33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MIN(AJ3366/8, 1) +
  Merge1[[#This Row],[index_defensive_effort]],
  2
)</f>
        <v>0.8</v>
      </c>
    </row>
    <row r="3367" spans="1:37" x14ac:dyDescent="0.25">
      <c r="A3367" t="s">
        <v>902</v>
      </c>
      <c r="B3367" t="s">
        <v>903</v>
      </c>
      <c r="C3367">
        <v>23</v>
      </c>
      <c r="D3367" t="s">
        <v>56</v>
      </c>
      <c r="E3367">
        <v>69</v>
      </c>
      <c r="F3367">
        <v>201</v>
      </c>
      <c r="G3367" t="s">
        <v>330</v>
      </c>
      <c r="H3367">
        <v>2020</v>
      </c>
      <c r="I3367" t="s">
        <v>33</v>
      </c>
      <c r="J3367">
        <v>10</v>
      </c>
      <c r="K3367">
        <v>4</v>
      </c>
      <c r="L3367">
        <v>0</v>
      </c>
      <c r="M3367">
        <v>0</v>
      </c>
      <c r="N3367">
        <v>0</v>
      </c>
      <c r="O3367">
        <v>0</v>
      </c>
      <c r="P3367">
        <v>2</v>
      </c>
      <c r="Q3367">
        <v>0</v>
      </c>
      <c r="R3367">
        <v>0</v>
      </c>
      <c r="S3367">
        <v>37</v>
      </c>
      <c r="T3367">
        <v>37</v>
      </c>
      <c r="U3367" s="5">
        <f>IF(Merge1[[#This Row],[team_defense_snaps]]=0, "", Merge1[[#This Row],[defense_snaps]] / Merge1[[#This Row],[team_defense_snaps]])</f>
        <v>0.52857142857142858</v>
      </c>
      <c r="V3367">
        <v>70</v>
      </c>
      <c r="W3367">
        <v>0</v>
      </c>
      <c r="X3367" s="5">
        <v>0</v>
      </c>
      <c r="Y3367">
        <v>1</v>
      </c>
      <c r="Z3367">
        <v>0</v>
      </c>
      <c r="AA3367" t="s">
        <v>25</v>
      </c>
      <c r="AB3367" t="s">
        <v>26</v>
      </c>
      <c r="AC3367" t="s">
        <v>27</v>
      </c>
      <c r="AD3367" t="s">
        <v>42</v>
      </c>
      <c r="AE3367" t="s">
        <v>25</v>
      </c>
      <c r="AF33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0.21621621621621623</v>
      </c>
      <c r="AG3367" t="s">
        <v>942</v>
      </c>
      <c r="AH3367">
        <v>56.5</v>
      </c>
      <c r="AI3367" t="s">
        <v>939</v>
      </c>
      <c r="AJ3367">
        <v>1</v>
      </c>
      <c r="AK33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MIN(AJ3367/8, 1) +
  Merge1[[#This Row],[index_defensive_effort]],
  2
)</f>
        <v>0.84</v>
      </c>
    </row>
    <row r="3368" spans="1:37" x14ac:dyDescent="0.25">
      <c r="A3368" t="s">
        <v>902</v>
      </c>
      <c r="B3368" t="s">
        <v>903</v>
      </c>
      <c r="C3368">
        <v>23</v>
      </c>
      <c r="D3368" t="s">
        <v>56</v>
      </c>
      <c r="E3368">
        <v>69</v>
      </c>
      <c r="F3368">
        <v>201</v>
      </c>
      <c r="G3368" t="s">
        <v>330</v>
      </c>
      <c r="H3368">
        <v>2020</v>
      </c>
      <c r="I3368" t="s">
        <v>33</v>
      </c>
      <c r="J3368">
        <v>11</v>
      </c>
      <c r="K3368">
        <v>4</v>
      </c>
      <c r="L3368">
        <v>1</v>
      </c>
      <c r="M3368">
        <v>0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47</v>
      </c>
      <c r="T3368">
        <v>47</v>
      </c>
      <c r="U3368" s="5">
        <f>IF(Merge1[[#This Row],[team_defense_snaps]]=0, "", Merge1[[#This Row],[defense_snaps]] / Merge1[[#This Row],[team_defense_snaps]])</f>
        <v>0.70149253731343286</v>
      </c>
      <c r="V3368">
        <v>67</v>
      </c>
      <c r="W3368">
        <v>0</v>
      </c>
      <c r="X3368" s="5">
        <v>0</v>
      </c>
      <c r="Y3368">
        <v>1</v>
      </c>
      <c r="Z3368">
        <v>0</v>
      </c>
      <c r="AA3368" t="s">
        <v>25</v>
      </c>
      <c r="AB3368" t="s">
        <v>26</v>
      </c>
      <c r="AC3368" t="s">
        <v>27</v>
      </c>
      <c r="AD3368" t="s">
        <v>42</v>
      </c>
      <c r="AE3368" t="s">
        <v>25</v>
      </c>
      <c r="AF33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9.5744680851063829E-2</v>
      </c>
      <c r="AG3368" t="s">
        <v>942</v>
      </c>
      <c r="AH3368">
        <v>55</v>
      </c>
      <c r="AI3368" t="s">
        <v>939</v>
      </c>
      <c r="AJ3368">
        <v>2</v>
      </c>
      <c r="AK33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MIN(AJ3368/8, 1) +
  Merge1[[#This Row],[index_defensive_effort]],
  2
)</f>
        <v>0.85</v>
      </c>
    </row>
    <row r="3369" spans="1:37" x14ac:dyDescent="0.25">
      <c r="A3369" t="s">
        <v>902</v>
      </c>
      <c r="B3369" t="s">
        <v>903</v>
      </c>
      <c r="C3369">
        <v>23</v>
      </c>
      <c r="D3369" t="s">
        <v>56</v>
      </c>
      <c r="E3369">
        <v>69</v>
      </c>
      <c r="F3369">
        <v>201</v>
      </c>
      <c r="G3369" t="s">
        <v>330</v>
      </c>
      <c r="H3369">
        <v>2020</v>
      </c>
      <c r="I3369" t="s">
        <v>33</v>
      </c>
      <c r="J3369">
        <v>12</v>
      </c>
      <c r="K3369">
        <v>0</v>
      </c>
      <c r="L3369">
        <v>1</v>
      </c>
      <c r="M3369">
        <v>0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50</v>
      </c>
      <c r="T3369">
        <v>50</v>
      </c>
      <c r="U3369" s="5">
        <f>IF(Merge1[[#This Row],[team_defense_snaps]]=0, "", Merge1[[#This Row],[defense_snaps]] / Merge1[[#This Row],[team_defense_snaps]])</f>
        <v>0.70422535211267601</v>
      </c>
      <c r="V3369">
        <v>71</v>
      </c>
      <c r="W3369">
        <v>0</v>
      </c>
      <c r="X3369" s="5">
        <v>0</v>
      </c>
      <c r="Y3369">
        <v>1</v>
      </c>
      <c r="Z3369">
        <v>0</v>
      </c>
      <c r="AA3369" t="s">
        <v>25</v>
      </c>
      <c r="AB3369" t="s">
        <v>26</v>
      </c>
      <c r="AC3369" t="s">
        <v>27</v>
      </c>
      <c r="AD3369" t="s">
        <v>42</v>
      </c>
      <c r="AE3369" t="s">
        <v>25</v>
      </c>
      <c r="AF33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0.01</v>
      </c>
      <c r="AG3369" t="s">
        <v>942</v>
      </c>
      <c r="AH3369">
        <v>53.5</v>
      </c>
      <c r="AI3369" t="s">
        <v>939</v>
      </c>
      <c r="AJ3369">
        <v>3</v>
      </c>
      <c r="AK33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MIN(AJ3369/8, 1) +
  Merge1[[#This Row],[index_defensive_effort]],
  2
)</f>
        <v>0.89</v>
      </c>
    </row>
    <row r="3370" spans="1:37" x14ac:dyDescent="0.25">
      <c r="A3370" t="s">
        <v>902</v>
      </c>
      <c r="B3370" t="s">
        <v>903</v>
      </c>
      <c r="C3370">
        <v>23</v>
      </c>
      <c r="D3370" t="s">
        <v>56</v>
      </c>
      <c r="E3370">
        <v>69</v>
      </c>
      <c r="F3370">
        <v>201</v>
      </c>
      <c r="G3370" t="s">
        <v>330</v>
      </c>
      <c r="H3370">
        <v>2020</v>
      </c>
      <c r="I3370" t="s">
        <v>33</v>
      </c>
      <c r="J3370">
        <v>13</v>
      </c>
      <c r="K3370">
        <v>0</v>
      </c>
      <c r="L3370">
        <v>1</v>
      </c>
      <c r="M3370">
        <v>0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13</v>
      </c>
      <c r="T3370">
        <v>13</v>
      </c>
      <c r="U3370" s="5">
        <f>IF(Merge1[[#This Row],[team_defense_snaps]]=0, "", Merge1[[#This Row],[defense_snaps]] / Merge1[[#This Row],[team_defense_snaps]])</f>
        <v>0.22807017543859648</v>
      </c>
      <c r="V3370">
        <v>57</v>
      </c>
      <c r="W3370">
        <v>0</v>
      </c>
      <c r="X3370" s="5">
        <v>0</v>
      </c>
      <c r="Y3370">
        <v>1</v>
      </c>
      <c r="Z3370">
        <v>0</v>
      </c>
      <c r="AA3370" t="s">
        <v>25</v>
      </c>
      <c r="AB3370" t="s">
        <v>26</v>
      </c>
      <c r="AC3370" t="s">
        <v>27</v>
      </c>
      <c r="AD3370" t="s">
        <v>42</v>
      </c>
      <c r="AE3370" t="s">
        <v>25</v>
      </c>
      <c r="AF33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3.8461538461538464E-2</v>
      </c>
      <c r="AG3370" t="s">
        <v>942</v>
      </c>
      <c r="AH3370">
        <v>52</v>
      </c>
      <c r="AI3370" t="s">
        <v>939</v>
      </c>
      <c r="AJ3370">
        <v>4</v>
      </c>
      <c r="AK33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MIN(AJ3370/8, 1) +
  Merge1[[#This Row],[index_defensive_effort]],
  2
)</f>
        <v>1.04</v>
      </c>
    </row>
    <row r="3371" spans="1:37" x14ac:dyDescent="0.25">
      <c r="A3371" t="s">
        <v>902</v>
      </c>
      <c r="B3371" t="s">
        <v>903</v>
      </c>
      <c r="C3371">
        <v>23</v>
      </c>
      <c r="D3371" t="s">
        <v>56</v>
      </c>
      <c r="E3371">
        <v>69</v>
      </c>
      <c r="F3371">
        <v>201</v>
      </c>
      <c r="G3371" t="s">
        <v>330</v>
      </c>
      <c r="H3371">
        <v>2020</v>
      </c>
      <c r="I3371" t="s">
        <v>33</v>
      </c>
      <c r="J3371">
        <v>14</v>
      </c>
      <c r="K3371">
        <v>1</v>
      </c>
      <c r="L3371">
        <v>1</v>
      </c>
      <c r="M3371">
        <v>0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39</v>
      </c>
      <c r="T3371">
        <v>39</v>
      </c>
      <c r="U3371" s="5">
        <f>IF(Merge1[[#This Row],[team_defense_snaps]]=0, "", Merge1[[#This Row],[defense_snaps]] / Merge1[[#This Row],[team_defense_snaps]])</f>
        <v>0.73584905660377353</v>
      </c>
      <c r="V3371">
        <v>53</v>
      </c>
      <c r="W3371">
        <v>0</v>
      </c>
      <c r="X3371" s="5">
        <v>0</v>
      </c>
      <c r="Y3371">
        <v>1</v>
      </c>
      <c r="Z3371">
        <v>0</v>
      </c>
      <c r="AA3371" t="s">
        <v>25</v>
      </c>
      <c r="AB3371" t="s">
        <v>26</v>
      </c>
      <c r="AC3371" t="s">
        <v>27</v>
      </c>
      <c r="AD3371" t="s">
        <v>42</v>
      </c>
      <c r="AE3371" t="s">
        <v>25</v>
      </c>
      <c r="AF33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3.8461538461538464E-2</v>
      </c>
      <c r="AG3371" t="s">
        <v>942</v>
      </c>
      <c r="AH3371">
        <v>50.5</v>
      </c>
      <c r="AI3371" t="s">
        <v>939</v>
      </c>
      <c r="AJ3371">
        <v>5</v>
      </c>
      <c r="AK33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MIN(AJ3371/8, 1) +
  Merge1[[#This Row],[index_defensive_effort]],
  2
)</f>
        <v>1.1599999999999999</v>
      </c>
    </row>
    <row r="3372" spans="1:37" x14ac:dyDescent="0.25">
      <c r="A3372" t="s">
        <v>902</v>
      </c>
      <c r="B3372" t="s">
        <v>903</v>
      </c>
      <c r="C3372">
        <v>23</v>
      </c>
      <c r="D3372" t="s">
        <v>56</v>
      </c>
      <c r="E3372">
        <v>69</v>
      </c>
      <c r="F3372">
        <v>201</v>
      </c>
      <c r="G3372" t="s">
        <v>330</v>
      </c>
      <c r="H3372">
        <v>2020</v>
      </c>
      <c r="I3372" t="s">
        <v>33</v>
      </c>
      <c r="J3372">
        <v>15</v>
      </c>
      <c r="K3372">
        <v>7</v>
      </c>
      <c r="L3372">
        <v>0</v>
      </c>
      <c r="M3372">
        <v>0</v>
      </c>
      <c r="N3372">
        <v>0</v>
      </c>
      <c r="O3372">
        <v>0</v>
      </c>
      <c r="P3372">
        <v>2</v>
      </c>
      <c r="Q3372">
        <v>0</v>
      </c>
      <c r="R3372">
        <v>0</v>
      </c>
      <c r="S3372">
        <v>58</v>
      </c>
      <c r="T3372">
        <v>58</v>
      </c>
      <c r="U3372" s="5">
        <f>IF(Merge1[[#This Row],[team_defense_snaps]]=0, "", Merge1[[#This Row],[defense_snaps]] / Merge1[[#This Row],[team_defense_snaps]])</f>
        <v>0.72499999999999998</v>
      </c>
      <c r="V3372">
        <v>80</v>
      </c>
      <c r="W3372">
        <v>0</v>
      </c>
      <c r="X3372" s="5">
        <v>0</v>
      </c>
      <c r="Y3372">
        <v>1</v>
      </c>
      <c r="Z3372">
        <v>0</v>
      </c>
      <c r="AA3372" t="s">
        <v>25</v>
      </c>
      <c r="AB3372" t="s">
        <v>26</v>
      </c>
      <c r="AC3372" t="s">
        <v>27</v>
      </c>
      <c r="AD3372" t="s">
        <v>42</v>
      </c>
      <c r="AE3372" t="s">
        <v>25</v>
      </c>
      <c r="AF33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0.18965517241379309</v>
      </c>
      <c r="AG3372" t="s">
        <v>942</v>
      </c>
      <c r="AH3372">
        <v>49</v>
      </c>
      <c r="AI3372" t="s">
        <v>939</v>
      </c>
      <c r="AJ3372">
        <v>6</v>
      </c>
      <c r="AK33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MIN(AJ3372/8, 1) +
  Merge1[[#This Row],[index_defensive_effort]],
  2
)</f>
        <v>1.44</v>
      </c>
    </row>
    <row r="3373" spans="1:37" x14ac:dyDescent="0.25">
      <c r="A3373" t="s">
        <v>902</v>
      </c>
      <c r="B3373" t="s">
        <v>903</v>
      </c>
      <c r="C3373">
        <v>23</v>
      </c>
      <c r="D3373" t="s">
        <v>56</v>
      </c>
      <c r="E3373">
        <v>69</v>
      </c>
      <c r="F3373">
        <v>201</v>
      </c>
      <c r="G3373" t="s">
        <v>330</v>
      </c>
      <c r="H3373">
        <v>2020</v>
      </c>
      <c r="I3373" t="s">
        <v>33</v>
      </c>
      <c r="J3373">
        <v>16</v>
      </c>
      <c r="K3373">
        <v>3</v>
      </c>
      <c r="L3373">
        <v>1</v>
      </c>
      <c r="M3373">
        <v>1</v>
      </c>
      <c r="N3373">
        <v>2</v>
      </c>
      <c r="O3373">
        <v>0</v>
      </c>
      <c r="P3373">
        <v>2</v>
      </c>
      <c r="Q3373">
        <v>0</v>
      </c>
      <c r="R3373">
        <v>0</v>
      </c>
      <c r="S3373">
        <v>47</v>
      </c>
      <c r="T3373">
        <v>47</v>
      </c>
      <c r="U3373" s="5">
        <f>IF(Merge1[[#This Row],[team_defense_snaps]]=0, "", Merge1[[#This Row],[defense_snaps]] / Merge1[[#This Row],[team_defense_snaps]])</f>
        <v>0.62666666666666671</v>
      </c>
      <c r="V3373">
        <v>75</v>
      </c>
      <c r="W3373">
        <v>0</v>
      </c>
      <c r="X3373" s="5">
        <v>0</v>
      </c>
      <c r="Y3373">
        <v>1</v>
      </c>
      <c r="Z3373">
        <v>0</v>
      </c>
      <c r="AA3373" t="s">
        <v>25</v>
      </c>
      <c r="AB3373" t="s">
        <v>26</v>
      </c>
      <c r="AC3373" t="s">
        <v>27</v>
      </c>
      <c r="AD3373" t="s">
        <v>42</v>
      </c>
      <c r="AE3373" t="s">
        <v>25</v>
      </c>
      <c r="AF33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0.1702127659574468</v>
      </c>
      <c r="AG3373" t="s">
        <v>942</v>
      </c>
      <c r="AH3373">
        <v>47.5</v>
      </c>
      <c r="AI3373" t="s">
        <v>939</v>
      </c>
      <c r="AJ3373">
        <v>7</v>
      </c>
      <c r="AK33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MIN(AJ3373/8, 1) +
  Merge1[[#This Row],[index_defensive_effort]],
  2
)</f>
        <v>1.55</v>
      </c>
    </row>
    <row r="3374" spans="1:37" x14ac:dyDescent="0.25">
      <c r="A3374" t="s">
        <v>902</v>
      </c>
      <c r="B3374" t="s">
        <v>903</v>
      </c>
      <c r="C3374">
        <v>23</v>
      </c>
      <c r="D3374" t="s">
        <v>56</v>
      </c>
      <c r="E3374">
        <v>69</v>
      </c>
      <c r="F3374">
        <v>201</v>
      </c>
      <c r="G3374" t="s">
        <v>330</v>
      </c>
      <c r="H3374">
        <v>2020</v>
      </c>
      <c r="I3374" t="s">
        <v>33</v>
      </c>
      <c r="J3374">
        <v>17</v>
      </c>
      <c r="K3374">
        <v>5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27</v>
      </c>
      <c r="T3374">
        <v>27</v>
      </c>
      <c r="U3374" s="5">
        <f>IF(Merge1[[#This Row],[team_defense_snaps]]=0, "", Merge1[[#This Row],[defense_snaps]] / Merge1[[#This Row],[team_defense_snaps]])</f>
        <v>0.40298507462686567</v>
      </c>
      <c r="V3374">
        <v>67</v>
      </c>
      <c r="W3374">
        <v>0</v>
      </c>
      <c r="X3374" s="5">
        <v>0</v>
      </c>
      <c r="Y3374">
        <v>1</v>
      </c>
      <c r="Z3374">
        <v>0</v>
      </c>
      <c r="AA3374" t="s">
        <v>25</v>
      </c>
      <c r="AB3374" t="s">
        <v>26</v>
      </c>
      <c r="AC3374" t="s">
        <v>27</v>
      </c>
      <c r="AD3374" t="s">
        <v>42</v>
      </c>
      <c r="AE3374" t="s">
        <v>25</v>
      </c>
      <c r="AF33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0.18518518518518517</v>
      </c>
      <c r="AG3374" t="s">
        <v>942</v>
      </c>
      <c r="AH3374">
        <v>46</v>
      </c>
      <c r="AI3374" t="s">
        <v>939</v>
      </c>
      <c r="AJ3374">
        <v>8</v>
      </c>
      <c r="AK33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MIN(AJ3374/8, 1) +
  Merge1[[#This Row],[index_defensive_effort]],
  2
)</f>
        <v>1.69</v>
      </c>
    </row>
    <row r="3375" spans="1:37" x14ac:dyDescent="0.25">
      <c r="A3375" t="s">
        <v>852</v>
      </c>
      <c r="B3375" t="s">
        <v>853</v>
      </c>
      <c r="C3375">
        <v>25</v>
      </c>
      <c r="D3375" t="s">
        <v>56</v>
      </c>
      <c r="E3375">
        <v>70</v>
      </c>
      <c r="F3375">
        <v>204</v>
      </c>
      <c r="G3375" t="s">
        <v>157</v>
      </c>
      <c r="H3375">
        <v>2020</v>
      </c>
      <c r="I3375" t="s">
        <v>33</v>
      </c>
      <c r="J3375">
        <v>1</v>
      </c>
      <c r="K3375">
        <v>4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2</v>
      </c>
      <c r="T3375">
        <v>0</v>
      </c>
      <c r="U3375" s="5">
        <f>IF(Merge1[[#This Row],[team_defense_snaps]]=0, "", Merge1[[#This Row],[defense_snaps]] / Merge1[[#This Row],[team_defense_snaps]])</f>
        <v>0</v>
      </c>
      <c r="V3375">
        <v>70</v>
      </c>
      <c r="W3375">
        <v>2</v>
      </c>
      <c r="X3375" s="5" t="s">
        <v>167</v>
      </c>
      <c r="Y3375">
        <v>4</v>
      </c>
      <c r="Z3375">
        <v>0</v>
      </c>
      <c r="AA3375" t="s">
        <v>25</v>
      </c>
      <c r="AB3375" t="s">
        <v>26</v>
      </c>
      <c r="AC3375" t="s">
        <v>27</v>
      </c>
      <c r="AD3375" t="s">
        <v>42</v>
      </c>
      <c r="AE3375" t="s">
        <v>25</v>
      </c>
      <c r="AF33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3375" t="s">
        <v>942</v>
      </c>
      <c r="AH3375">
        <v>80.5</v>
      </c>
      <c r="AI3375" t="s">
        <v>939</v>
      </c>
      <c r="AJ3375">
        <v>1</v>
      </c>
      <c r="AK33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MIN(AJ3375/8, 1) +
  Merge1[[#This Row],[index_defensive_effort]],
  2
)</f>
        <v>1.63</v>
      </c>
    </row>
    <row r="3376" spans="1:37" x14ac:dyDescent="0.25">
      <c r="A3376" t="s">
        <v>852</v>
      </c>
      <c r="B3376" t="s">
        <v>853</v>
      </c>
      <c r="C3376">
        <v>25</v>
      </c>
      <c r="D3376" t="s">
        <v>56</v>
      </c>
      <c r="E3376">
        <v>70</v>
      </c>
      <c r="F3376">
        <v>204</v>
      </c>
      <c r="G3376" t="s">
        <v>157</v>
      </c>
      <c r="H3376">
        <v>2020</v>
      </c>
      <c r="I3376" t="s">
        <v>33</v>
      </c>
      <c r="J3376">
        <v>2</v>
      </c>
      <c r="K3376">
        <v>1</v>
      </c>
      <c r="L3376">
        <v>1</v>
      </c>
      <c r="M3376">
        <v>0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 s="5">
        <f>IF(Merge1[[#This Row],[team_defense_snaps]]=0, "", Merge1[[#This Row],[defense_snaps]] / Merge1[[#This Row],[team_defense_snaps]])</f>
        <v>0</v>
      </c>
      <c r="V3376">
        <v>65</v>
      </c>
      <c r="W3376">
        <v>0</v>
      </c>
      <c r="X3376" s="5" t="s">
        <v>29</v>
      </c>
      <c r="Y3376">
        <v>4</v>
      </c>
      <c r="Z3376">
        <v>0</v>
      </c>
      <c r="AA3376" t="s">
        <v>25</v>
      </c>
      <c r="AB3376" t="s">
        <v>26</v>
      </c>
      <c r="AC3376" t="s">
        <v>27</v>
      </c>
      <c r="AD3376" t="s">
        <v>42</v>
      </c>
      <c r="AE3376" t="s">
        <v>25</v>
      </c>
      <c r="AF33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376" t="s">
        <v>942</v>
      </c>
      <c r="AH3376">
        <v>88</v>
      </c>
      <c r="AI3376" t="s">
        <v>27</v>
      </c>
      <c r="AJ3376">
        <v>2</v>
      </c>
      <c r="AK33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MIN(AJ3376/8, 1) +
  Merge1[[#This Row],[index_defensive_effort]],
  2
)</f>
        <v>0.75</v>
      </c>
    </row>
    <row r="3377" spans="1:37" x14ac:dyDescent="0.25">
      <c r="A3377" t="s">
        <v>852</v>
      </c>
      <c r="B3377" t="s">
        <v>853</v>
      </c>
      <c r="C3377">
        <v>25</v>
      </c>
      <c r="D3377" t="s">
        <v>56</v>
      </c>
      <c r="E3377">
        <v>70</v>
      </c>
      <c r="F3377">
        <v>204</v>
      </c>
      <c r="G3377" t="s">
        <v>157</v>
      </c>
      <c r="H3377">
        <v>2020</v>
      </c>
      <c r="I3377" t="s">
        <v>33</v>
      </c>
      <c r="J3377">
        <v>3</v>
      </c>
      <c r="K3377">
        <v>6</v>
      </c>
      <c r="L3377">
        <v>0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 s="5">
        <f>IF(Merge1[[#This Row],[team_defense_snaps]]=0, "", Merge1[[#This Row],[defense_snaps]] / Merge1[[#This Row],[team_defense_snaps]])</f>
        <v>0</v>
      </c>
      <c r="V3377">
        <v>81</v>
      </c>
      <c r="W3377">
        <v>0</v>
      </c>
      <c r="X3377" s="5" t="s">
        <v>29</v>
      </c>
      <c r="Y3377">
        <v>4</v>
      </c>
      <c r="Z3377">
        <v>0</v>
      </c>
      <c r="AA3377" t="s">
        <v>25</v>
      </c>
      <c r="AB3377" t="s">
        <v>26</v>
      </c>
      <c r="AC3377" t="s">
        <v>27</v>
      </c>
      <c r="AD3377" t="s">
        <v>42</v>
      </c>
      <c r="AE3377" t="s">
        <v>25</v>
      </c>
      <c r="AF33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377" t="s">
        <v>942</v>
      </c>
      <c r="AH3377">
        <v>86.5</v>
      </c>
      <c r="AI3377" t="s">
        <v>27</v>
      </c>
      <c r="AJ3377">
        <v>3</v>
      </c>
      <c r="AK33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MIN(AJ3377/8, 1) +
  Merge1[[#This Row],[index_defensive_effort]],
  2
)</f>
        <v>0.88</v>
      </c>
    </row>
    <row r="3378" spans="1:37" x14ac:dyDescent="0.25">
      <c r="A3378" t="s">
        <v>852</v>
      </c>
      <c r="B3378" t="s">
        <v>853</v>
      </c>
      <c r="C3378">
        <v>25</v>
      </c>
      <c r="D3378" t="s">
        <v>56</v>
      </c>
      <c r="E3378">
        <v>70</v>
      </c>
      <c r="F3378">
        <v>204</v>
      </c>
      <c r="G3378" t="s">
        <v>157</v>
      </c>
      <c r="H3378">
        <v>2020</v>
      </c>
      <c r="I3378" t="s">
        <v>33</v>
      </c>
      <c r="J3378">
        <v>4</v>
      </c>
      <c r="K3378">
        <v>3</v>
      </c>
      <c r="L3378">
        <v>1</v>
      </c>
      <c r="M3378">
        <v>0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 s="5">
        <f>IF(Merge1[[#This Row],[team_defense_snaps]]=0, "", Merge1[[#This Row],[defense_snaps]] / Merge1[[#This Row],[team_defense_snaps]])</f>
        <v>0</v>
      </c>
      <c r="V3378">
        <v>67</v>
      </c>
      <c r="W3378">
        <v>0</v>
      </c>
      <c r="X3378" s="5" t="s">
        <v>29</v>
      </c>
      <c r="Y3378">
        <v>4</v>
      </c>
      <c r="Z3378">
        <v>0</v>
      </c>
      <c r="AA3378" t="s">
        <v>25</v>
      </c>
      <c r="AB3378" t="s">
        <v>26</v>
      </c>
      <c r="AC3378" t="s">
        <v>27</v>
      </c>
      <c r="AD3378" t="s">
        <v>42</v>
      </c>
      <c r="AE3378" t="s">
        <v>25</v>
      </c>
      <c r="AF33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378" t="s">
        <v>942</v>
      </c>
      <c r="AH3378">
        <v>65.5</v>
      </c>
      <c r="AI3378" t="s">
        <v>27</v>
      </c>
      <c r="AJ3378">
        <v>4</v>
      </c>
      <c r="AK33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MIN(AJ3378/8, 1) +
  Merge1[[#This Row],[index_defensive_effort]],
  2
)</f>
        <v>1</v>
      </c>
    </row>
    <row r="3379" spans="1:37" x14ac:dyDescent="0.25">
      <c r="A3379" t="s">
        <v>852</v>
      </c>
      <c r="B3379" t="s">
        <v>853</v>
      </c>
      <c r="C3379">
        <v>25</v>
      </c>
      <c r="D3379" t="s">
        <v>56</v>
      </c>
      <c r="E3379">
        <v>70</v>
      </c>
      <c r="F3379">
        <v>204</v>
      </c>
      <c r="G3379" t="s">
        <v>157</v>
      </c>
      <c r="H3379">
        <v>2020</v>
      </c>
      <c r="I3379" t="s">
        <v>33</v>
      </c>
      <c r="J3379">
        <v>5</v>
      </c>
      <c r="K3379">
        <v>2</v>
      </c>
      <c r="L3379">
        <v>1</v>
      </c>
      <c r="M3379">
        <v>0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 s="5">
        <f>IF(Merge1[[#This Row],[team_defense_snaps]]=0, "", Merge1[[#This Row],[defense_snaps]] / Merge1[[#This Row],[team_defense_snaps]])</f>
        <v>0</v>
      </c>
      <c r="V3379">
        <v>76</v>
      </c>
      <c r="W3379">
        <v>0</v>
      </c>
      <c r="X3379" s="5" t="s">
        <v>29</v>
      </c>
      <c r="Y3379">
        <v>4</v>
      </c>
      <c r="Z3379">
        <v>0</v>
      </c>
      <c r="AA3379" t="s">
        <v>25</v>
      </c>
      <c r="AB3379" t="s">
        <v>26</v>
      </c>
      <c r="AC3379" t="s">
        <v>27</v>
      </c>
      <c r="AD3379" t="s">
        <v>42</v>
      </c>
      <c r="AE3379" t="s">
        <v>25</v>
      </c>
      <c r="AF33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379" t="s">
        <v>942</v>
      </c>
      <c r="AH3379">
        <v>79</v>
      </c>
      <c r="AI3379" t="s">
        <v>27</v>
      </c>
      <c r="AJ3379">
        <v>5</v>
      </c>
      <c r="AK33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MIN(AJ3379/8, 1) +
  Merge1[[#This Row],[index_defensive_effort]],
  2
)</f>
        <v>1.1299999999999999</v>
      </c>
    </row>
    <row r="3380" spans="1:37" x14ac:dyDescent="0.25">
      <c r="A3380" t="s">
        <v>852</v>
      </c>
      <c r="B3380" t="s">
        <v>853</v>
      </c>
      <c r="C3380">
        <v>25</v>
      </c>
      <c r="D3380" t="s">
        <v>56</v>
      </c>
      <c r="E3380">
        <v>70</v>
      </c>
      <c r="F3380">
        <v>204</v>
      </c>
      <c r="G3380" t="s">
        <v>157</v>
      </c>
      <c r="H3380">
        <v>2020</v>
      </c>
      <c r="I3380" t="s">
        <v>33</v>
      </c>
      <c r="J3380">
        <v>6</v>
      </c>
      <c r="K3380">
        <v>5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 s="5">
        <f>IF(Merge1[[#This Row],[team_defense_snaps]]=0, "", Merge1[[#This Row],[defense_snaps]] / Merge1[[#This Row],[team_defense_snaps]])</f>
        <v>0</v>
      </c>
      <c r="V3380">
        <v>75</v>
      </c>
      <c r="W3380">
        <v>0</v>
      </c>
      <c r="X3380" s="5" t="s">
        <v>29</v>
      </c>
      <c r="Y3380">
        <v>4</v>
      </c>
      <c r="Z3380">
        <v>0</v>
      </c>
      <c r="AA3380" t="s">
        <v>25</v>
      </c>
      <c r="AB3380" t="s">
        <v>26</v>
      </c>
      <c r="AC3380" t="s">
        <v>27</v>
      </c>
      <c r="AD3380" t="s">
        <v>42</v>
      </c>
      <c r="AE3380" t="s">
        <v>25</v>
      </c>
      <c r="AF33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380" t="s">
        <v>942</v>
      </c>
      <c r="AH3380">
        <v>71.5</v>
      </c>
      <c r="AI3380" t="s">
        <v>27</v>
      </c>
      <c r="AJ3380">
        <v>6</v>
      </c>
      <c r="AK33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MIN(AJ3380/8, 1) +
  Merge1[[#This Row],[index_defensive_effort]],
  2
)</f>
        <v>1.25</v>
      </c>
    </row>
    <row r="3381" spans="1:37" x14ac:dyDescent="0.25">
      <c r="A3381" t="s">
        <v>852</v>
      </c>
      <c r="B3381" t="s">
        <v>853</v>
      </c>
      <c r="C3381">
        <v>25</v>
      </c>
      <c r="D3381" t="s">
        <v>56</v>
      </c>
      <c r="E3381">
        <v>70</v>
      </c>
      <c r="F3381">
        <v>204</v>
      </c>
      <c r="G3381" t="s">
        <v>157</v>
      </c>
      <c r="H3381">
        <v>2020</v>
      </c>
      <c r="I3381" t="s">
        <v>33</v>
      </c>
      <c r="J3381">
        <v>7</v>
      </c>
      <c r="K3381">
        <v>3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 s="5">
        <f>IF(Merge1[[#This Row],[team_defense_snaps]]=0, "", Merge1[[#This Row],[defense_snaps]] / Merge1[[#This Row],[team_defense_snaps]])</f>
        <v>0</v>
      </c>
      <c r="V3381">
        <v>62</v>
      </c>
      <c r="W3381">
        <v>0</v>
      </c>
      <c r="X3381" s="5" t="s">
        <v>29</v>
      </c>
      <c r="Y3381">
        <v>4</v>
      </c>
      <c r="Z3381">
        <v>0</v>
      </c>
      <c r="AA3381" t="s">
        <v>25</v>
      </c>
      <c r="AB3381" t="s">
        <v>26</v>
      </c>
      <c r="AC3381" t="s">
        <v>27</v>
      </c>
      <c r="AD3381" t="s">
        <v>42</v>
      </c>
      <c r="AE3381" t="s">
        <v>25</v>
      </c>
      <c r="AF33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381" t="s">
        <v>942</v>
      </c>
      <c r="AH3381">
        <v>64</v>
      </c>
      <c r="AI3381" t="s">
        <v>27</v>
      </c>
      <c r="AJ3381">
        <v>7</v>
      </c>
      <c r="AK33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MIN(AJ3381/8, 1) +
  Merge1[[#This Row],[index_defensive_effort]],
  2
)</f>
        <v>1.38</v>
      </c>
    </row>
    <row r="3382" spans="1:37" x14ac:dyDescent="0.25">
      <c r="A3382" t="s">
        <v>852</v>
      </c>
      <c r="B3382" t="s">
        <v>853</v>
      </c>
      <c r="C3382">
        <v>25</v>
      </c>
      <c r="D3382" t="s">
        <v>56</v>
      </c>
      <c r="E3382">
        <v>70</v>
      </c>
      <c r="F3382">
        <v>204</v>
      </c>
      <c r="G3382" t="s">
        <v>157</v>
      </c>
      <c r="H3382">
        <v>2020</v>
      </c>
      <c r="I3382" t="s">
        <v>33</v>
      </c>
      <c r="J3382">
        <v>9</v>
      </c>
      <c r="K3382">
        <v>4</v>
      </c>
      <c r="L3382">
        <v>1</v>
      </c>
      <c r="M3382">
        <v>0</v>
      </c>
      <c r="N3382">
        <v>1</v>
      </c>
      <c r="O3382">
        <v>0</v>
      </c>
      <c r="P3382">
        <v>0</v>
      </c>
      <c r="Q3382">
        <v>2</v>
      </c>
      <c r="R3382">
        <v>0</v>
      </c>
      <c r="S3382">
        <v>0</v>
      </c>
      <c r="T3382">
        <v>0</v>
      </c>
      <c r="U3382" s="5">
        <f>IF(Merge1[[#This Row],[team_defense_snaps]]=0, "", Merge1[[#This Row],[defense_snaps]] / Merge1[[#This Row],[team_defense_snaps]])</f>
        <v>0</v>
      </c>
      <c r="V3382">
        <v>70</v>
      </c>
      <c r="W3382">
        <v>0</v>
      </c>
      <c r="X3382" s="5" t="s">
        <v>29</v>
      </c>
      <c r="Y3382">
        <v>4</v>
      </c>
      <c r="Z3382">
        <v>0</v>
      </c>
      <c r="AA3382" t="s">
        <v>25</v>
      </c>
      <c r="AB3382" t="s">
        <v>26</v>
      </c>
      <c r="AC3382" t="s">
        <v>27</v>
      </c>
      <c r="AD3382" t="s">
        <v>42</v>
      </c>
      <c r="AE3382" t="s">
        <v>25</v>
      </c>
      <c r="AF33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382" t="s">
        <v>942</v>
      </c>
      <c r="AH3382">
        <v>73</v>
      </c>
      <c r="AI3382" t="s">
        <v>27</v>
      </c>
      <c r="AJ3382">
        <v>1</v>
      </c>
      <c r="AK33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MIN(AJ3382/8, 1) +
  Merge1[[#This Row],[index_defensive_effort]],
  2
)</f>
        <v>0.63</v>
      </c>
    </row>
    <row r="3383" spans="1:37" x14ac:dyDescent="0.25">
      <c r="A3383" t="s">
        <v>852</v>
      </c>
      <c r="B3383" t="s">
        <v>853</v>
      </c>
      <c r="C3383">
        <v>25</v>
      </c>
      <c r="D3383" t="s">
        <v>56</v>
      </c>
      <c r="E3383">
        <v>70</v>
      </c>
      <c r="F3383">
        <v>204</v>
      </c>
      <c r="G3383" t="s">
        <v>157</v>
      </c>
      <c r="H3383">
        <v>2020</v>
      </c>
      <c r="I3383" t="s">
        <v>33</v>
      </c>
      <c r="J3383">
        <v>10</v>
      </c>
      <c r="K3383">
        <v>5</v>
      </c>
      <c r="L3383">
        <v>2</v>
      </c>
      <c r="M3383">
        <v>0</v>
      </c>
      <c r="N3383">
        <v>2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 s="5">
        <f>IF(Merge1[[#This Row],[team_defense_snaps]]=0, "", Merge1[[#This Row],[defense_snaps]] / Merge1[[#This Row],[team_defense_snaps]])</f>
        <v>0</v>
      </c>
      <c r="V3383">
        <v>65</v>
      </c>
      <c r="W3383">
        <v>0</v>
      </c>
      <c r="X3383" s="5" t="s">
        <v>29</v>
      </c>
      <c r="Y3383">
        <v>4</v>
      </c>
      <c r="Z3383">
        <v>0</v>
      </c>
      <c r="AA3383" t="s">
        <v>25</v>
      </c>
      <c r="AB3383" t="s">
        <v>26</v>
      </c>
      <c r="AC3383" t="s">
        <v>27</v>
      </c>
      <c r="AD3383" t="s">
        <v>42</v>
      </c>
      <c r="AE3383" t="s">
        <v>25</v>
      </c>
      <c r="AF33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383" t="s">
        <v>942</v>
      </c>
      <c r="AH3383">
        <v>83.5</v>
      </c>
      <c r="AI3383" t="s">
        <v>27</v>
      </c>
      <c r="AJ3383">
        <v>2</v>
      </c>
      <c r="AK33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MIN(AJ3383/8, 1) +
  Merge1[[#This Row],[index_defensive_effort]],
  2
)</f>
        <v>0.75</v>
      </c>
    </row>
    <row r="3384" spans="1:37" x14ac:dyDescent="0.25">
      <c r="A3384" t="s">
        <v>852</v>
      </c>
      <c r="B3384" t="s">
        <v>853</v>
      </c>
      <c r="C3384">
        <v>25</v>
      </c>
      <c r="D3384" t="s">
        <v>56</v>
      </c>
      <c r="E3384">
        <v>70</v>
      </c>
      <c r="F3384">
        <v>204</v>
      </c>
      <c r="G3384" t="s">
        <v>157</v>
      </c>
      <c r="H3384">
        <v>2020</v>
      </c>
      <c r="I3384" t="s">
        <v>33</v>
      </c>
      <c r="J3384">
        <v>11</v>
      </c>
      <c r="K3384">
        <v>2</v>
      </c>
      <c r="L3384">
        <v>1</v>
      </c>
      <c r="M3384">
        <v>1</v>
      </c>
      <c r="N3384">
        <v>2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 s="5">
        <f>IF(Merge1[[#This Row],[team_defense_snaps]]=0, "", Merge1[[#This Row],[defense_snaps]] / Merge1[[#This Row],[team_defense_snaps]])</f>
        <v>0</v>
      </c>
      <c r="V3384">
        <v>75</v>
      </c>
      <c r="W3384">
        <v>0</v>
      </c>
      <c r="X3384" s="5" t="s">
        <v>29</v>
      </c>
      <c r="Y3384">
        <v>4</v>
      </c>
      <c r="Z3384">
        <v>0</v>
      </c>
      <c r="AA3384" t="s">
        <v>25</v>
      </c>
      <c r="AB3384" t="s">
        <v>26</v>
      </c>
      <c r="AC3384" t="s">
        <v>27</v>
      </c>
      <c r="AD3384" t="s">
        <v>42</v>
      </c>
      <c r="AE3384" t="s">
        <v>25</v>
      </c>
      <c r="AF33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384" t="s">
        <v>942</v>
      </c>
      <c r="AH3384">
        <v>82</v>
      </c>
      <c r="AI3384" t="s">
        <v>27</v>
      </c>
      <c r="AJ3384">
        <v>3</v>
      </c>
      <c r="AK33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MIN(AJ3384/8, 1) +
  Merge1[[#This Row],[index_defensive_effort]],
  2
)</f>
        <v>0.88</v>
      </c>
    </row>
    <row r="3385" spans="1:37" x14ac:dyDescent="0.25">
      <c r="A3385" t="s">
        <v>852</v>
      </c>
      <c r="B3385" t="s">
        <v>853</v>
      </c>
      <c r="C3385">
        <v>25</v>
      </c>
      <c r="D3385" t="s">
        <v>56</v>
      </c>
      <c r="E3385">
        <v>70</v>
      </c>
      <c r="F3385">
        <v>204</v>
      </c>
      <c r="G3385" t="s">
        <v>157</v>
      </c>
      <c r="H3385">
        <v>2020</v>
      </c>
      <c r="I3385" t="s">
        <v>33</v>
      </c>
      <c r="J3385">
        <v>12</v>
      </c>
      <c r="K3385">
        <v>5</v>
      </c>
      <c r="L3385">
        <v>1</v>
      </c>
      <c r="M3385">
        <v>0</v>
      </c>
      <c r="N3385">
        <v>1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 s="5">
        <f>IF(Merge1[[#This Row],[team_defense_snaps]]=0, "", Merge1[[#This Row],[defense_snaps]] / Merge1[[#This Row],[team_defense_snaps]])</f>
        <v>0</v>
      </c>
      <c r="V3385">
        <v>82</v>
      </c>
      <c r="W3385">
        <v>0</v>
      </c>
      <c r="X3385" s="5" t="s">
        <v>29</v>
      </c>
      <c r="Y3385">
        <v>4</v>
      </c>
      <c r="Z3385">
        <v>0</v>
      </c>
      <c r="AA3385" t="s">
        <v>25</v>
      </c>
      <c r="AB3385" t="s">
        <v>26</v>
      </c>
      <c r="AC3385" t="s">
        <v>27</v>
      </c>
      <c r="AD3385" t="s">
        <v>42</v>
      </c>
      <c r="AE3385" t="s">
        <v>25</v>
      </c>
      <c r="AF33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385" t="s">
        <v>942</v>
      </c>
      <c r="AH3385">
        <v>74.5</v>
      </c>
      <c r="AI3385" t="s">
        <v>27</v>
      </c>
      <c r="AJ3385">
        <v>4</v>
      </c>
      <c r="AK33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MIN(AJ3385/8, 1) +
  Merge1[[#This Row],[index_defensive_effort]],
  2
)</f>
        <v>1</v>
      </c>
    </row>
    <row r="3386" spans="1:37" x14ac:dyDescent="0.25">
      <c r="A3386" t="s">
        <v>852</v>
      </c>
      <c r="B3386" t="s">
        <v>853</v>
      </c>
      <c r="C3386">
        <v>25</v>
      </c>
      <c r="D3386" t="s">
        <v>56</v>
      </c>
      <c r="E3386">
        <v>70</v>
      </c>
      <c r="F3386">
        <v>204</v>
      </c>
      <c r="G3386" t="s">
        <v>157</v>
      </c>
      <c r="H3386">
        <v>2020</v>
      </c>
      <c r="I3386" t="s">
        <v>33</v>
      </c>
      <c r="J3386">
        <v>13</v>
      </c>
      <c r="K3386">
        <v>4</v>
      </c>
      <c r="L3386">
        <v>1</v>
      </c>
      <c r="M3386">
        <v>0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 s="5">
        <f>IF(Merge1[[#This Row],[team_defense_snaps]]=0, "", Merge1[[#This Row],[defense_snaps]] / Merge1[[#This Row],[team_defense_snaps]])</f>
        <v>0</v>
      </c>
      <c r="V3386">
        <v>69</v>
      </c>
      <c r="W3386">
        <v>0</v>
      </c>
      <c r="X3386" s="5" t="s">
        <v>29</v>
      </c>
      <c r="Y3386">
        <v>4</v>
      </c>
      <c r="Z3386">
        <v>0</v>
      </c>
      <c r="AA3386" t="s">
        <v>25</v>
      </c>
      <c r="AB3386" t="s">
        <v>26</v>
      </c>
      <c r="AC3386" t="s">
        <v>27</v>
      </c>
      <c r="AD3386" t="s">
        <v>42</v>
      </c>
      <c r="AE3386" t="s">
        <v>25</v>
      </c>
      <c r="AF33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386" t="s">
        <v>942</v>
      </c>
      <c r="AH3386">
        <v>85</v>
      </c>
      <c r="AI3386" t="s">
        <v>27</v>
      </c>
      <c r="AJ3386">
        <v>5</v>
      </c>
      <c r="AK33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MIN(AJ3386/8, 1) +
  Merge1[[#This Row],[index_defensive_effort]],
  2
)</f>
        <v>1.1299999999999999</v>
      </c>
    </row>
    <row r="3387" spans="1:37" x14ac:dyDescent="0.25">
      <c r="A3387" t="s">
        <v>852</v>
      </c>
      <c r="B3387" t="s">
        <v>853</v>
      </c>
      <c r="C3387">
        <v>25</v>
      </c>
      <c r="D3387" t="s">
        <v>56</v>
      </c>
      <c r="E3387">
        <v>70</v>
      </c>
      <c r="F3387">
        <v>204</v>
      </c>
      <c r="G3387" t="s">
        <v>157</v>
      </c>
      <c r="H3387">
        <v>2020</v>
      </c>
      <c r="I3387" t="s">
        <v>33</v>
      </c>
      <c r="J3387">
        <v>14</v>
      </c>
      <c r="K3387">
        <v>2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 s="5">
        <f>IF(Merge1[[#This Row],[team_defense_snaps]]=0, "", Merge1[[#This Row],[defense_snaps]] / Merge1[[#This Row],[team_defense_snaps]])</f>
        <v>0</v>
      </c>
      <c r="V3387">
        <v>60</v>
      </c>
      <c r="W3387">
        <v>0</v>
      </c>
      <c r="X3387" s="5" t="s">
        <v>29</v>
      </c>
      <c r="Y3387">
        <v>4</v>
      </c>
      <c r="Z3387">
        <v>0</v>
      </c>
      <c r="AA3387" t="s">
        <v>25</v>
      </c>
      <c r="AB3387" t="s">
        <v>26</v>
      </c>
      <c r="AC3387" t="s">
        <v>27</v>
      </c>
      <c r="AD3387" t="s">
        <v>42</v>
      </c>
      <c r="AE3387" t="s">
        <v>25</v>
      </c>
      <c r="AF33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387" t="s">
        <v>942</v>
      </c>
      <c r="AH3387">
        <v>67</v>
      </c>
      <c r="AI3387" t="s">
        <v>27</v>
      </c>
      <c r="AJ3387">
        <v>6</v>
      </c>
      <c r="AK33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MIN(AJ3387/8, 1) +
  Merge1[[#This Row],[index_defensive_effort]],
  2
)</f>
        <v>1.25</v>
      </c>
    </row>
    <row r="3388" spans="1:37" x14ac:dyDescent="0.25">
      <c r="A3388" t="s">
        <v>852</v>
      </c>
      <c r="B3388" t="s">
        <v>853</v>
      </c>
      <c r="C3388">
        <v>25</v>
      </c>
      <c r="D3388" t="s">
        <v>56</v>
      </c>
      <c r="E3388">
        <v>70</v>
      </c>
      <c r="F3388">
        <v>204</v>
      </c>
      <c r="G3388" t="s">
        <v>157</v>
      </c>
      <c r="H3388">
        <v>2020</v>
      </c>
      <c r="I3388" t="s">
        <v>33</v>
      </c>
      <c r="J3388">
        <v>15</v>
      </c>
      <c r="K3388">
        <v>6</v>
      </c>
      <c r="L3388">
        <v>2</v>
      </c>
      <c r="M3388">
        <v>2</v>
      </c>
      <c r="N3388">
        <v>4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 s="5">
        <f>IF(Merge1[[#This Row],[team_defense_snaps]]=0, "", Merge1[[#This Row],[defense_snaps]] / Merge1[[#This Row],[team_defense_snaps]])</f>
        <v>0</v>
      </c>
      <c r="V3388">
        <v>55</v>
      </c>
      <c r="W3388">
        <v>0</v>
      </c>
      <c r="X3388" s="5" t="s">
        <v>29</v>
      </c>
      <c r="Y3388">
        <v>4</v>
      </c>
      <c r="Z3388">
        <v>0</v>
      </c>
      <c r="AA3388" t="s">
        <v>25</v>
      </c>
      <c r="AB3388" t="s">
        <v>26</v>
      </c>
      <c r="AC3388" t="s">
        <v>27</v>
      </c>
      <c r="AD3388" t="s">
        <v>42</v>
      </c>
      <c r="AE3388" t="s">
        <v>25</v>
      </c>
      <c r="AF33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388" t="s">
        <v>942</v>
      </c>
      <c r="AH3388">
        <v>70</v>
      </c>
      <c r="AI3388" t="s">
        <v>27</v>
      </c>
      <c r="AJ3388">
        <v>7</v>
      </c>
      <c r="AK33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MIN(AJ3388/8, 1) +
  Merge1[[#This Row],[index_defensive_effort]],
  2
)</f>
        <v>1.38</v>
      </c>
    </row>
    <row r="3389" spans="1:37" x14ac:dyDescent="0.25">
      <c r="A3389" t="s">
        <v>852</v>
      </c>
      <c r="B3389" t="s">
        <v>853</v>
      </c>
      <c r="C3389">
        <v>25</v>
      </c>
      <c r="D3389" t="s">
        <v>56</v>
      </c>
      <c r="E3389">
        <v>70</v>
      </c>
      <c r="F3389">
        <v>204</v>
      </c>
      <c r="G3389" t="s">
        <v>157</v>
      </c>
      <c r="H3389">
        <v>2020</v>
      </c>
      <c r="I3389" t="s">
        <v>33</v>
      </c>
      <c r="J3389">
        <v>16</v>
      </c>
      <c r="K3389">
        <v>5</v>
      </c>
      <c r="L3389">
        <v>1</v>
      </c>
      <c r="M3389">
        <v>0</v>
      </c>
      <c r="N3389">
        <v>1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 s="5">
        <f>IF(Merge1[[#This Row],[team_defense_snaps]]=0, "", Merge1[[#This Row],[defense_snaps]] / Merge1[[#This Row],[team_defense_snaps]])</f>
        <v>0</v>
      </c>
      <c r="V3389">
        <v>76</v>
      </c>
      <c r="W3389">
        <v>0</v>
      </c>
      <c r="X3389" s="5" t="s">
        <v>29</v>
      </c>
      <c r="Y3389">
        <v>4</v>
      </c>
      <c r="Z3389">
        <v>0</v>
      </c>
      <c r="AA3389" t="s">
        <v>25</v>
      </c>
      <c r="AB3389" t="s">
        <v>26</v>
      </c>
      <c r="AC3389" t="s">
        <v>27</v>
      </c>
      <c r="AD3389" t="s">
        <v>42</v>
      </c>
      <c r="AE3389" t="s">
        <v>25</v>
      </c>
      <c r="AF33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389" t="s">
        <v>942</v>
      </c>
      <c r="AH3389">
        <v>76</v>
      </c>
      <c r="AI3389" t="s">
        <v>27</v>
      </c>
      <c r="AJ3389">
        <v>8</v>
      </c>
      <c r="AK33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MIN(AJ3389/8, 1) +
  Merge1[[#This Row],[index_defensive_effort]],
  2
)</f>
        <v>1.5</v>
      </c>
    </row>
    <row r="3390" spans="1:37" x14ac:dyDescent="0.25">
      <c r="A3390" t="s">
        <v>852</v>
      </c>
      <c r="B3390" t="s">
        <v>853</v>
      </c>
      <c r="C3390">
        <v>25</v>
      </c>
      <c r="D3390" t="s">
        <v>56</v>
      </c>
      <c r="E3390">
        <v>70</v>
      </c>
      <c r="F3390">
        <v>204</v>
      </c>
      <c r="G3390" t="s">
        <v>157</v>
      </c>
      <c r="H3390">
        <v>2020</v>
      </c>
      <c r="I3390" t="s">
        <v>33</v>
      </c>
      <c r="J3390">
        <v>17</v>
      </c>
      <c r="K3390">
        <v>3</v>
      </c>
      <c r="L3390">
        <v>3</v>
      </c>
      <c r="M3390">
        <v>1</v>
      </c>
      <c r="N3390">
        <v>4</v>
      </c>
      <c r="O3390">
        <v>0</v>
      </c>
      <c r="P3390">
        <v>2</v>
      </c>
      <c r="Q3390">
        <v>0</v>
      </c>
      <c r="R3390">
        <v>0</v>
      </c>
      <c r="S3390">
        <v>0</v>
      </c>
      <c r="T3390">
        <v>0</v>
      </c>
      <c r="U3390" s="5">
        <f>IF(Merge1[[#This Row],[team_defense_snaps]]=0, "", Merge1[[#This Row],[defense_snaps]] / Merge1[[#This Row],[team_defense_snaps]])</f>
        <v>0</v>
      </c>
      <c r="V3390">
        <v>71</v>
      </c>
      <c r="W3390">
        <v>0</v>
      </c>
      <c r="X3390" s="5" t="s">
        <v>29</v>
      </c>
      <c r="Y3390">
        <v>4</v>
      </c>
      <c r="Z3390">
        <v>0</v>
      </c>
      <c r="AA3390" t="s">
        <v>25</v>
      </c>
      <c r="AB3390" t="s">
        <v>26</v>
      </c>
      <c r="AC3390" t="s">
        <v>27</v>
      </c>
      <c r="AD3390" t="s">
        <v>42</v>
      </c>
      <c r="AE3390" t="s">
        <v>25</v>
      </c>
      <c r="AF33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390" t="s">
        <v>942</v>
      </c>
      <c r="AH3390">
        <v>68.5</v>
      </c>
      <c r="AI3390" t="s">
        <v>27</v>
      </c>
      <c r="AJ3390">
        <v>9</v>
      </c>
      <c r="AK33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MIN(AJ3390/8, 1) +
  Merge1[[#This Row],[index_defensive_effort]],
  2
)</f>
        <v>1.5</v>
      </c>
    </row>
    <row r="3391" spans="1:37" x14ac:dyDescent="0.25">
      <c r="A3391" t="s">
        <v>854</v>
      </c>
      <c r="B3391" t="s">
        <v>855</v>
      </c>
      <c r="C3391">
        <v>23</v>
      </c>
      <c r="D3391" t="s">
        <v>22</v>
      </c>
      <c r="E3391">
        <v>74</v>
      </c>
      <c r="F3391">
        <v>206</v>
      </c>
      <c r="G3391" t="s">
        <v>41</v>
      </c>
      <c r="H3391">
        <v>2020</v>
      </c>
      <c r="I3391" t="s">
        <v>33</v>
      </c>
      <c r="J3391">
        <v>2</v>
      </c>
      <c r="K3391">
        <v>5</v>
      </c>
      <c r="L3391">
        <v>0</v>
      </c>
      <c r="M3391">
        <v>0</v>
      </c>
      <c r="N3391">
        <v>0</v>
      </c>
      <c r="O3391">
        <v>4</v>
      </c>
      <c r="P3391">
        <v>4</v>
      </c>
      <c r="Q3391">
        <v>0</v>
      </c>
      <c r="R3391">
        <v>0</v>
      </c>
      <c r="S3391">
        <v>21</v>
      </c>
      <c r="T3391">
        <v>5</v>
      </c>
      <c r="U3391" s="5">
        <f>IF(Merge1[[#This Row],[team_defense_snaps]]=0, "", Merge1[[#This Row],[defense_snaps]] / Merge1[[#This Row],[team_defense_snaps]])</f>
        <v>8.0645161290322578E-2</v>
      </c>
      <c r="V3391">
        <v>62</v>
      </c>
      <c r="W3391">
        <v>16</v>
      </c>
      <c r="X3391" s="5" t="s">
        <v>53</v>
      </c>
      <c r="Y3391">
        <v>0</v>
      </c>
      <c r="Z3391">
        <v>0</v>
      </c>
      <c r="AA3391" t="s">
        <v>25</v>
      </c>
      <c r="AB3391" t="s">
        <v>26</v>
      </c>
      <c r="AC3391" t="s">
        <v>27</v>
      </c>
      <c r="AD3391" t="s">
        <v>28</v>
      </c>
      <c r="AE3391" t="s">
        <v>25</v>
      </c>
      <c r="AF33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3391" t="s">
        <v>943</v>
      </c>
      <c r="AH3391">
        <v>42.5</v>
      </c>
      <c r="AI3391" t="s">
        <v>939</v>
      </c>
      <c r="AJ3391">
        <v>1</v>
      </c>
      <c r="AK33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MIN(AJ3391/8, 1) +
  Merge1[[#This Row],[index_defensive_effort]],
  2
)</f>
        <v>1.53</v>
      </c>
    </row>
    <row r="3392" spans="1:37" x14ac:dyDescent="0.25">
      <c r="A3392" t="s">
        <v>854</v>
      </c>
      <c r="B3392" t="s">
        <v>855</v>
      </c>
      <c r="C3392">
        <v>23</v>
      </c>
      <c r="D3392" t="s">
        <v>22</v>
      </c>
      <c r="E3392">
        <v>74</v>
      </c>
      <c r="F3392">
        <v>206</v>
      </c>
      <c r="G3392" t="s">
        <v>41</v>
      </c>
      <c r="H3392">
        <v>2020</v>
      </c>
      <c r="I3392" t="s">
        <v>33</v>
      </c>
      <c r="J3392">
        <v>7</v>
      </c>
      <c r="K3392">
        <v>2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27</v>
      </c>
      <c r="T3392">
        <v>13</v>
      </c>
      <c r="U3392" s="5">
        <f>IF(Merge1[[#This Row],[team_defense_snaps]]=0, "", Merge1[[#This Row],[defense_snaps]] / Merge1[[#This Row],[team_defense_snaps]])</f>
        <v>0.19117647058823528</v>
      </c>
      <c r="V3392">
        <v>68</v>
      </c>
      <c r="W3392">
        <v>14</v>
      </c>
      <c r="X3392" s="5" t="s">
        <v>231</v>
      </c>
      <c r="Y3392">
        <v>0</v>
      </c>
      <c r="Z3392">
        <v>0</v>
      </c>
      <c r="AA3392" t="s">
        <v>25</v>
      </c>
      <c r="AB3392" t="s">
        <v>26</v>
      </c>
      <c r="AC3392" t="s">
        <v>27</v>
      </c>
      <c r="AD3392" t="s">
        <v>28</v>
      </c>
      <c r="AE3392" t="s">
        <v>25</v>
      </c>
      <c r="AF33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7.407407407407407E-2</v>
      </c>
      <c r="AG3392" t="s">
        <v>943</v>
      </c>
      <c r="AH3392">
        <v>44</v>
      </c>
      <c r="AI3392" t="s">
        <v>939</v>
      </c>
      <c r="AJ3392">
        <v>1</v>
      </c>
      <c r="AK33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MIN(AJ3392/8, 1) +
  Merge1[[#This Row],[index_defensive_effort]],
  2
)</f>
        <v>0.6</v>
      </c>
    </row>
    <row r="3393" spans="1:37" x14ac:dyDescent="0.25">
      <c r="A3393" t="s">
        <v>854</v>
      </c>
      <c r="B3393" t="s">
        <v>855</v>
      </c>
      <c r="C3393">
        <v>23</v>
      </c>
      <c r="D3393" t="s">
        <v>22</v>
      </c>
      <c r="E3393">
        <v>74</v>
      </c>
      <c r="F3393">
        <v>206</v>
      </c>
      <c r="G3393" t="s">
        <v>41</v>
      </c>
      <c r="H3393">
        <v>2020</v>
      </c>
      <c r="I3393" t="s">
        <v>33</v>
      </c>
      <c r="J3393">
        <v>14</v>
      </c>
      <c r="K3393">
        <v>1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28</v>
      </c>
      <c r="T3393">
        <v>15</v>
      </c>
      <c r="U3393" s="5">
        <f>IF(Merge1[[#This Row],[team_defense_snaps]]=0, "", Merge1[[#This Row],[defense_snaps]] / Merge1[[#This Row],[team_defense_snaps]])</f>
        <v>0.22058823529411764</v>
      </c>
      <c r="V3393">
        <v>68</v>
      </c>
      <c r="W3393">
        <v>13</v>
      </c>
      <c r="X3393" s="5" t="s">
        <v>52</v>
      </c>
      <c r="Y3393">
        <v>0</v>
      </c>
      <c r="Z3393">
        <v>0</v>
      </c>
      <c r="AA3393" t="s">
        <v>25</v>
      </c>
      <c r="AB3393" t="s">
        <v>26</v>
      </c>
      <c r="AC3393" t="s">
        <v>27</v>
      </c>
      <c r="AD3393" t="s">
        <v>28</v>
      </c>
      <c r="AE3393" t="s">
        <v>25</v>
      </c>
      <c r="AF33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3.5714285714285712E-2</v>
      </c>
      <c r="AG3393" t="s">
        <v>943</v>
      </c>
      <c r="AH3393">
        <v>63.5</v>
      </c>
      <c r="AI3393" t="s">
        <v>939</v>
      </c>
      <c r="AJ3393">
        <v>1</v>
      </c>
      <c r="AK33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MIN(AJ3393/8, 1) +
  Merge1[[#This Row],[index_defensive_effort]],
  2
)</f>
        <v>0.56000000000000005</v>
      </c>
    </row>
    <row r="3394" spans="1:37" x14ac:dyDescent="0.25">
      <c r="A3394" t="s">
        <v>854</v>
      </c>
      <c r="B3394" t="s">
        <v>855</v>
      </c>
      <c r="C3394">
        <v>23</v>
      </c>
      <c r="D3394" t="s">
        <v>22</v>
      </c>
      <c r="E3394">
        <v>74</v>
      </c>
      <c r="F3394">
        <v>206</v>
      </c>
      <c r="G3394" t="s">
        <v>41</v>
      </c>
      <c r="H3394">
        <v>2020</v>
      </c>
      <c r="I3394" t="s">
        <v>33</v>
      </c>
      <c r="J3394">
        <v>15</v>
      </c>
      <c r="K3394">
        <v>1</v>
      </c>
      <c r="L3394">
        <v>0</v>
      </c>
      <c r="M3394">
        <v>0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23</v>
      </c>
      <c r="T3394">
        <v>10</v>
      </c>
      <c r="U3394" s="5">
        <f>IF(Merge1[[#This Row],[team_defense_snaps]]=0, "", Merge1[[#This Row],[defense_snaps]] / Merge1[[#This Row],[team_defense_snaps]])</f>
        <v>0.14084507042253522</v>
      </c>
      <c r="V3394">
        <v>71</v>
      </c>
      <c r="W3394">
        <v>13</v>
      </c>
      <c r="X3394" s="5" t="s">
        <v>260</v>
      </c>
      <c r="Y3394">
        <v>0</v>
      </c>
      <c r="Z3394">
        <v>0</v>
      </c>
      <c r="AA3394" t="s">
        <v>25</v>
      </c>
      <c r="AB3394" t="s">
        <v>26</v>
      </c>
      <c r="AC3394" t="s">
        <v>27</v>
      </c>
      <c r="AD3394" t="s">
        <v>28</v>
      </c>
      <c r="AE3394" t="s">
        <v>25</v>
      </c>
      <c r="AF33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0.13043478260869565</v>
      </c>
      <c r="AG3394" t="s">
        <v>943</v>
      </c>
      <c r="AH3394">
        <v>56</v>
      </c>
      <c r="AI3394" t="s">
        <v>939</v>
      </c>
      <c r="AJ3394">
        <v>2</v>
      </c>
      <c r="AK33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MIN(AJ3394/8, 1) +
  Merge1[[#This Row],[index_defensive_effort]],
  2
)</f>
        <v>0.78</v>
      </c>
    </row>
    <row r="3395" spans="1:37" x14ac:dyDescent="0.25">
      <c r="A3395" t="s">
        <v>854</v>
      </c>
      <c r="B3395" t="s">
        <v>855</v>
      </c>
      <c r="C3395">
        <v>23</v>
      </c>
      <c r="D3395" t="s">
        <v>22</v>
      </c>
      <c r="E3395">
        <v>74</v>
      </c>
      <c r="F3395">
        <v>206</v>
      </c>
      <c r="G3395" t="s">
        <v>41</v>
      </c>
      <c r="H3395">
        <v>2020</v>
      </c>
      <c r="I3395" t="s">
        <v>33</v>
      </c>
      <c r="J3395">
        <v>16</v>
      </c>
      <c r="K3395">
        <v>2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39</v>
      </c>
      <c r="T3395">
        <v>26</v>
      </c>
      <c r="U3395" s="5">
        <f>IF(Merge1[[#This Row],[team_defense_snaps]]=0, "", Merge1[[#This Row],[defense_snaps]] / Merge1[[#This Row],[team_defense_snaps]])</f>
        <v>0.47272727272727272</v>
      </c>
      <c r="V3395">
        <v>55</v>
      </c>
      <c r="W3395">
        <v>13</v>
      </c>
      <c r="X3395" s="5" t="s">
        <v>102</v>
      </c>
      <c r="Y3395">
        <v>0</v>
      </c>
      <c r="Z3395">
        <v>0</v>
      </c>
      <c r="AA3395" t="s">
        <v>25</v>
      </c>
      <c r="AB3395" t="s">
        <v>26</v>
      </c>
      <c r="AC3395" t="s">
        <v>27</v>
      </c>
      <c r="AD3395" t="s">
        <v>28</v>
      </c>
      <c r="AE3395" t="s">
        <v>25</v>
      </c>
      <c r="AF33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5.128205128205128E-2</v>
      </c>
      <c r="AG3395" t="s">
        <v>943</v>
      </c>
      <c r="AH3395">
        <v>45.5</v>
      </c>
      <c r="AI3395" t="s">
        <v>939</v>
      </c>
      <c r="AJ3395">
        <v>3</v>
      </c>
      <c r="AK33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MIN(AJ3395/8, 1) +
  Merge1[[#This Row],[index_defensive_effort]],
  2
)</f>
        <v>0.83</v>
      </c>
    </row>
    <row r="3396" spans="1:37" x14ac:dyDescent="0.25">
      <c r="A3396" t="s">
        <v>850</v>
      </c>
      <c r="B3396" t="s">
        <v>851</v>
      </c>
      <c r="C3396">
        <v>26</v>
      </c>
      <c r="D3396" t="s">
        <v>22</v>
      </c>
      <c r="E3396">
        <v>71</v>
      </c>
      <c r="F3396">
        <v>210</v>
      </c>
      <c r="G3396" t="s">
        <v>235</v>
      </c>
      <c r="H3396">
        <v>2020</v>
      </c>
      <c r="I3396" t="s">
        <v>33</v>
      </c>
      <c r="J3396">
        <v>1</v>
      </c>
      <c r="K3396">
        <v>5</v>
      </c>
      <c r="L3396">
        <v>3</v>
      </c>
      <c r="M3396">
        <v>0</v>
      </c>
      <c r="N3396">
        <v>3</v>
      </c>
      <c r="O3396">
        <v>0</v>
      </c>
      <c r="P3396">
        <v>0</v>
      </c>
      <c r="Q3396">
        <v>0</v>
      </c>
      <c r="R3396">
        <v>0</v>
      </c>
      <c r="S3396">
        <v>80</v>
      </c>
      <c r="T3396">
        <v>74</v>
      </c>
      <c r="U3396" s="5">
        <f>IF(Merge1[[#This Row],[team_defense_snaps]]=0, "", Merge1[[#This Row],[defense_snaps]] / Merge1[[#This Row],[team_defense_snaps]])</f>
        <v>1</v>
      </c>
      <c r="V3396">
        <v>74</v>
      </c>
      <c r="W3396">
        <v>6</v>
      </c>
      <c r="X3396" s="5" t="s">
        <v>293</v>
      </c>
      <c r="Y3396">
        <v>4</v>
      </c>
      <c r="Z3396">
        <v>0</v>
      </c>
      <c r="AA3396" t="s">
        <v>25</v>
      </c>
      <c r="AB3396" t="s">
        <v>26</v>
      </c>
      <c r="AC3396" t="s">
        <v>27</v>
      </c>
      <c r="AD3396" t="s">
        <v>42</v>
      </c>
      <c r="AE3396" t="s">
        <v>25</v>
      </c>
      <c r="AF33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8.1250000000000003E-2</v>
      </c>
      <c r="AG3396" t="s">
        <v>942</v>
      </c>
      <c r="AH3396">
        <v>48</v>
      </c>
      <c r="AI3396" t="s">
        <v>939</v>
      </c>
      <c r="AJ3396">
        <v>1</v>
      </c>
      <c r="AK33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MIN(AJ3396/8, 1) +
  Merge1[[#This Row],[index_defensive_effort]],
  2
)</f>
        <v>0.81</v>
      </c>
    </row>
    <row r="3397" spans="1:37" x14ac:dyDescent="0.25">
      <c r="A3397" t="s">
        <v>850</v>
      </c>
      <c r="B3397" t="s">
        <v>851</v>
      </c>
      <c r="C3397">
        <v>26</v>
      </c>
      <c r="D3397" t="s">
        <v>22</v>
      </c>
      <c r="E3397">
        <v>71</v>
      </c>
      <c r="F3397">
        <v>210</v>
      </c>
      <c r="G3397" t="s">
        <v>235</v>
      </c>
      <c r="H3397">
        <v>2020</v>
      </c>
      <c r="I3397" t="s">
        <v>33</v>
      </c>
      <c r="J3397">
        <v>2</v>
      </c>
      <c r="K3397">
        <v>2</v>
      </c>
      <c r="L3397">
        <v>6</v>
      </c>
      <c r="M3397">
        <v>0</v>
      </c>
      <c r="N3397">
        <v>6</v>
      </c>
      <c r="O3397">
        <v>0</v>
      </c>
      <c r="P3397">
        <v>0</v>
      </c>
      <c r="Q3397">
        <v>0</v>
      </c>
      <c r="R3397">
        <v>0</v>
      </c>
      <c r="S3397">
        <v>63</v>
      </c>
      <c r="T3397">
        <v>58</v>
      </c>
      <c r="U3397" s="5">
        <f>IF(Merge1[[#This Row],[team_defense_snaps]]=0, "", Merge1[[#This Row],[defense_snaps]] / Merge1[[#This Row],[team_defense_snaps]])</f>
        <v>1</v>
      </c>
      <c r="V3397">
        <v>58</v>
      </c>
      <c r="W3397">
        <v>5</v>
      </c>
      <c r="X3397" s="5" t="s">
        <v>59</v>
      </c>
      <c r="Y3397">
        <v>4</v>
      </c>
      <c r="Z3397">
        <v>0</v>
      </c>
      <c r="AA3397" t="s">
        <v>25</v>
      </c>
      <c r="AB3397" t="s">
        <v>26</v>
      </c>
      <c r="AC3397" t="s">
        <v>27</v>
      </c>
      <c r="AD3397" t="s">
        <v>42</v>
      </c>
      <c r="AE3397" t="s">
        <v>25</v>
      </c>
      <c r="AF33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7.9365079365079361E-2</v>
      </c>
      <c r="AG3397" t="s">
        <v>942</v>
      </c>
      <c r="AH3397">
        <v>66</v>
      </c>
      <c r="AI3397" t="s">
        <v>939</v>
      </c>
      <c r="AJ3397">
        <v>2</v>
      </c>
      <c r="AK33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MIN(AJ3397/8, 1) +
  Merge1[[#This Row],[index_defensive_effort]],
  2
)</f>
        <v>0.93</v>
      </c>
    </row>
    <row r="3398" spans="1:37" x14ac:dyDescent="0.25">
      <c r="A3398" t="s">
        <v>850</v>
      </c>
      <c r="B3398" t="s">
        <v>851</v>
      </c>
      <c r="C3398">
        <v>26</v>
      </c>
      <c r="D3398" t="s">
        <v>22</v>
      </c>
      <c r="E3398">
        <v>71</v>
      </c>
      <c r="F3398">
        <v>210</v>
      </c>
      <c r="G3398" t="s">
        <v>235</v>
      </c>
      <c r="H3398">
        <v>2020</v>
      </c>
      <c r="I3398" t="s">
        <v>33</v>
      </c>
      <c r="J3398">
        <v>3</v>
      </c>
      <c r="K3398">
        <v>3</v>
      </c>
      <c r="L3398">
        <v>5</v>
      </c>
      <c r="M3398">
        <v>0</v>
      </c>
      <c r="N3398">
        <v>5</v>
      </c>
      <c r="O3398">
        <v>0</v>
      </c>
      <c r="P3398">
        <v>0</v>
      </c>
      <c r="Q3398">
        <v>0</v>
      </c>
      <c r="R3398">
        <v>0</v>
      </c>
      <c r="S3398">
        <v>96</v>
      </c>
      <c r="T3398">
        <v>91</v>
      </c>
      <c r="U3398" s="5">
        <f>IF(Merge1[[#This Row],[team_defense_snaps]]=0, "", Merge1[[#This Row],[defense_snaps]] / Merge1[[#This Row],[team_defense_snaps]])</f>
        <v>1</v>
      </c>
      <c r="V3398">
        <v>91</v>
      </c>
      <c r="W3398">
        <v>5</v>
      </c>
      <c r="X3398" s="5" t="s">
        <v>212</v>
      </c>
      <c r="Y3398">
        <v>4</v>
      </c>
      <c r="Z3398">
        <v>0</v>
      </c>
      <c r="AA3398" t="s">
        <v>25</v>
      </c>
      <c r="AB3398" t="s">
        <v>26</v>
      </c>
      <c r="AC3398" t="s">
        <v>27</v>
      </c>
      <c r="AD3398" t="s">
        <v>42</v>
      </c>
      <c r="AE3398" t="s">
        <v>25</v>
      </c>
      <c r="AF33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5.7291666666666664E-2</v>
      </c>
      <c r="AG3398" t="s">
        <v>942</v>
      </c>
      <c r="AH3398">
        <v>72</v>
      </c>
      <c r="AI3398" t="s">
        <v>939</v>
      </c>
      <c r="AJ3398">
        <v>3</v>
      </c>
      <c r="AK33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MIN(AJ3398/8, 1) +
  Merge1[[#This Row],[index_defensive_effort]],
  2
)</f>
        <v>1.03</v>
      </c>
    </row>
    <row r="3399" spans="1:37" x14ac:dyDescent="0.25">
      <c r="A3399" t="s">
        <v>850</v>
      </c>
      <c r="B3399" t="s">
        <v>851</v>
      </c>
      <c r="C3399">
        <v>26</v>
      </c>
      <c r="D3399" t="s">
        <v>22</v>
      </c>
      <c r="E3399">
        <v>71</v>
      </c>
      <c r="F3399">
        <v>210</v>
      </c>
      <c r="G3399" t="s">
        <v>235</v>
      </c>
      <c r="H3399">
        <v>2020</v>
      </c>
      <c r="I3399" t="s">
        <v>33</v>
      </c>
      <c r="J3399">
        <v>4</v>
      </c>
      <c r="K3399">
        <v>2</v>
      </c>
      <c r="L3399">
        <v>4</v>
      </c>
      <c r="M3399">
        <v>1</v>
      </c>
      <c r="N3399">
        <v>5</v>
      </c>
      <c r="O3399">
        <v>0</v>
      </c>
      <c r="P3399">
        <v>0</v>
      </c>
      <c r="Q3399">
        <v>0</v>
      </c>
      <c r="R3399">
        <v>0</v>
      </c>
      <c r="S3399">
        <v>74</v>
      </c>
      <c r="T3399">
        <v>68</v>
      </c>
      <c r="U3399" s="5">
        <f>IF(Merge1[[#This Row],[team_defense_snaps]]=0, "", Merge1[[#This Row],[defense_snaps]] / Merge1[[#This Row],[team_defense_snaps]])</f>
        <v>1</v>
      </c>
      <c r="V3399">
        <v>68</v>
      </c>
      <c r="W3399">
        <v>6</v>
      </c>
      <c r="X3399" s="5" t="s">
        <v>59</v>
      </c>
      <c r="Y3399">
        <v>4</v>
      </c>
      <c r="Z3399">
        <v>0</v>
      </c>
      <c r="AA3399" t="s">
        <v>25</v>
      </c>
      <c r="AB3399" t="s">
        <v>26</v>
      </c>
      <c r="AC3399" t="s">
        <v>27</v>
      </c>
      <c r="AD3399" t="s">
        <v>42</v>
      </c>
      <c r="AE3399" t="s">
        <v>25</v>
      </c>
      <c r="AF33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6.0810810810810814E-2</v>
      </c>
      <c r="AG3399" t="s">
        <v>942</v>
      </c>
      <c r="AH3399">
        <v>70.5</v>
      </c>
      <c r="AI3399" t="s">
        <v>939</v>
      </c>
      <c r="AJ3399">
        <v>4</v>
      </c>
      <c r="AK33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MIN(AJ3399/8, 1) +
  Merge1[[#This Row],[index_defensive_effort]],
  2
)</f>
        <v>1.1599999999999999</v>
      </c>
    </row>
    <row r="3400" spans="1:37" x14ac:dyDescent="0.25">
      <c r="A3400" t="s">
        <v>850</v>
      </c>
      <c r="B3400" t="s">
        <v>851</v>
      </c>
      <c r="C3400">
        <v>26</v>
      </c>
      <c r="D3400" t="s">
        <v>22</v>
      </c>
      <c r="E3400">
        <v>71</v>
      </c>
      <c r="F3400">
        <v>210</v>
      </c>
      <c r="G3400" t="s">
        <v>235</v>
      </c>
      <c r="H3400">
        <v>2020</v>
      </c>
      <c r="I3400" t="s">
        <v>33</v>
      </c>
      <c r="J3400">
        <v>5</v>
      </c>
      <c r="K3400">
        <v>4</v>
      </c>
      <c r="L3400">
        <v>2</v>
      </c>
      <c r="M3400">
        <v>0</v>
      </c>
      <c r="N3400">
        <v>2</v>
      </c>
      <c r="O3400">
        <v>0</v>
      </c>
      <c r="P3400">
        <v>0</v>
      </c>
      <c r="Q3400">
        <v>0</v>
      </c>
      <c r="R3400">
        <v>0</v>
      </c>
      <c r="S3400">
        <v>69</v>
      </c>
      <c r="T3400">
        <v>63</v>
      </c>
      <c r="U3400" s="5">
        <f>IF(Merge1[[#This Row],[team_defense_snaps]]=0, "", Merge1[[#This Row],[defense_snaps]] / Merge1[[#This Row],[team_defense_snaps]])</f>
        <v>1</v>
      </c>
      <c r="V3400">
        <v>63</v>
      </c>
      <c r="W3400">
        <v>6</v>
      </c>
      <c r="X3400" s="5" t="s">
        <v>132</v>
      </c>
      <c r="Y3400">
        <v>4</v>
      </c>
      <c r="Z3400">
        <v>0</v>
      </c>
      <c r="AA3400" t="s">
        <v>25</v>
      </c>
      <c r="AB3400" t="s">
        <v>26</v>
      </c>
      <c r="AC3400" t="s">
        <v>27</v>
      </c>
      <c r="AD3400" t="s">
        <v>42</v>
      </c>
      <c r="AE3400" t="s">
        <v>25</v>
      </c>
      <c r="AF34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7.2463768115942032E-2</v>
      </c>
      <c r="AG3400" t="s">
        <v>942</v>
      </c>
      <c r="AH3400">
        <v>67.5</v>
      </c>
      <c r="AI3400" t="s">
        <v>939</v>
      </c>
      <c r="AJ3400">
        <v>5</v>
      </c>
      <c r="AK34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MIN(AJ3400/8, 1) +
  Merge1[[#This Row],[index_defensive_effort]],
  2
)</f>
        <v>1.3</v>
      </c>
    </row>
    <row r="3401" spans="1:37" x14ac:dyDescent="0.25">
      <c r="A3401" t="s">
        <v>850</v>
      </c>
      <c r="B3401" t="s">
        <v>851</v>
      </c>
      <c r="C3401">
        <v>26</v>
      </c>
      <c r="D3401" t="s">
        <v>22</v>
      </c>
      <c r="E3401">
        <v>71</v>
      </c>
      <c r="F3401">
        <v>210</v>
      </c>
      <c r="G3401" t="s">
        <v>235</v>
      </c>
      <c r="H3401">
        <v>2020</v>
      </c>
      <c r="I3401" t="s">
        <v>33</v>
      </c>
      <c r="J3401">
        <v>6</v>
      </c>
      <c r="K3401">
        <v>8</v>
      </c>
      <c r="L3401">
        <v>1</v>
      </c>
      <c r="M3401">
        <v>1</v>
      </c>
      <c r="N3401">
        <v>2</v>
      </c>
      <c r="O3401">
        <v>0</v>
      </c>
      <c r="P3401">
        <v>0</v>
      </c>
      <c r="Q3401">
        <v>0</v>
      </c>
      <c r="R3401">
        <v>0</v>
      </c>
      <c r="S3401">
        <v>68</v>
      </c>
      <c r="T3401">
        <v>63</v>
      </c>
      <c r="U3401" s="5">
        <f>IF(Merge1[[#This Row],[team_defense_snaps]]=0, "", Merge1[[#This Row],[defense_snaps]] / Merge1[[#This Row],[team_defense_snaps]])</f>
        <v>1</v>
      </c>
      <c r="V3401">
        <v>63</v>
      </c>
      <c r="W3401">
        <v>5</v>
      </c>
      <c r="X3401" s="5" t="s">
        <v>124</v>
      </c>
      <c r="Y3401">
        <v>4</v>
      </c>
      <c r="Z3401">
        <v>0</v>
      </c>
      <c r="AA3401" t="s">
        <v>25</v>
      </c>
      <c r="AB3401" t="s">
        <v>26</v>
      </c>
      <c r="AC3401" t="s">
        <v>27</v>
      </c>
      <c r="AD3401" t="s">
        <v>42</v>
      </c>
      <c r="AE3401" t="s">
        <v>25</v>
      </c>
      <c r="AF34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0.13235294117647059</v>
      </c>
      <c r="AG3401" t="s">
        <v>942</v>
      </c>
      <c r="AH3401">
        <v>64.5</v>
      </c>
      <c r="AI3401" t="s">
        <v>939</v>
      </c>
      <c r="AJ3401">
        <v>6</v>
      </c>
      <c r="AK34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MIN(AJ3401/8, 1) +
  Merge1[[#This Row],[index_defensive_effort]],
  2
)</f>
        <v>1.48</v>
      </c>
    </row>
    <row r="3402" spans="1:37" x14ac:dyDescent="0.25">
      <c r="A3402" t="s">
        <v>850</v>
      </c>
      <c r="B3402" t="s">
        <v>851</v>
      </c>
      <c r="C3402">
        <v>26</v>
      </c>
      <c r="D3402" t="s">
        <v>22</v>
      </c>
      <c r="E3402">
        <v>71</v>
      </c>
      <c r="F3402">
        <v>210</v>
      </c>
      <c r="G3402" t="s">
        <v>235</v>
      </c>
      <c r="H3402">
        <v>2020</v>
      </c>
      <c r="I3402" t="s">
        <v>33</v>
      </c>
      <c r="J3402">
        <v>7</v>
      </c>
      <c r="K3402">
        <v>4</v>
      </c>
      <c r="L3402">
        <v>4</v>
      </c>
      <c r="M3402">
        <v>0</v>
      </c>
      <c r="N3402">
        <v>4</v>
      </c>
      <c r="O3402">
        <v>0</v>
      </c>
      <c r="P3402">
        <v>0</v>
      </c>
      <c r="Q3402">
        <v>0</v>
      </c>
      <c r="R3402">
        <v>0</v>
      </c>
      <c r="S3402">
        <v>58</v>
      </c>
      <c r="T3402">
        <v>52</v>
      </c>
      <c r="U3402" s="5">
        <f>IF(Merge1[[#This Row],[team_defense_snaps]]=0, "", Merge1[[#This Row],[defense_snaps]] / Merge1[[#This Row],[team_defense_snaps]])</f>
        <v>0.96296296296296291</v>
      </c>
      <c r="V3402">
        <v>54</v>
      </c>
      <c r="W3402">
        <v>6</v>
      </c>
      <c r="X3402" s="5" t="s">
        <v>293</v>
      </c>
      <c r="Y3402">
        <v>4</v>
      </c>
      <c r="Z3402">
        <v>0</v>
      </c>
      <c r="AA3402" t="s">
        <v>25</v>
      </c>
      <c r="AB3402" t="s">
        <v>26</v>
      </c>
      <c r="AC3402" t="s">
        <v>27</v>
      </c>
      <c r="AD3402" t="s">
        <v>42</v>
      </c>
      <c r="AE3402" t="s">
        <v>25</v>
      </c>
      <c r="AF34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0.10344827586206896</v>
      </c>
      <c r="AG3402" t="s">
        <v>942</v>
      </c>
      <c r="AH3402">
        <v>58.5</v>
      </c>
      <c r="AI3402" t="s">
        <v>939</v>
      </c>
      <c r="AJ3402">
        <v>7</v>
      </c>
      <c r="AK34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MIN(AJ3402/8, 1) +
  Merge1[[#This Row],[index_defensive_effort]],
  2
)</f>
        <v>1.58</v>
      </c>
    </row>
    <row r="3403" spans="1:37" x14ac:dyDescent="0.25">
      <c r="A3403" t="s">
        <v>850</v>
      </c>
      <c r="B3403" t="s">
        <v>851</v>
      </c>
      <c r="C3403">
        <v>26</v>
      </c>
      <c r="D3403" t="s">
        <v>22</v>
      </c>
      <c r="E3403">
        <v>71</v>
      </c>
      <c r="F3403">
        <v>210</v>
      </c>
      <c r="G3403" t="s">
        <v>235</v>
      </c>
      <c r="H3403">
        <v>2020</v>
      </c>
      <c r="I3403" t="s">
        <v>33</v>
      </c>
      <c r="J3403">
        <v>8</v>
      </c>
      <c r="K3403">
        <v>2</v>
      </c>
      <c r="L3403">
        <v>3</v>
      </c>
      <c r="M3403">
        <v>1</v>
      </c>
      <c r="N3403">
        <v>4</v>
      </c>
      <c r="O3403">
        <v>0</v>
      </c>
      <c r="P3403">
        <v>1</v>
      </c>
      <c r="Q3403">
        <v>0</v>
      </c>
      <c r="R3403">
        <v>0</v>
      </c>
      <c r="S3403">
        <v>68</v>
      </c>
      <c r="T3403">
        <v>63</v>
      </c>
      <c r="U3403" s="5">
        <f>IF(Merge1[[#This Row],[team_defense_snaps]]=0, "", Merge1[[#This Row],[defense_snaps]] / Merge1[[#This Row],[team_defense_snaps]])</f>
        <v>1</v>
      </c>
      <c r="V3403">
        <v>63</v>
      </c>
      <c r="W3403">
        <v>5</v>
      </c>
      <c r="X3403" s="5" t="s">
        <v>293</v>
      </c>
      <c r="Y3403">
        <v>4</v>
      </c>
      <c r="Z3403">
        <v>0</v>
      </c>
      <c r="AA3403" t="s">
        <v>25</v>
      </c>
      <c r="AB3403" t="s">
        <v>26</v>
      </c>
      <c r="AC3403" t="s">
        <v>27</v>
      </c>
      <c r="AD3403" t="s">
        <v>42</v>
      </c>
      <c r="AE3403" t="s">
        <v>25</v>
      </c>
      <c r="AF34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8.8235294117647065E-2</v>
      </c>
      <c r="AG3403" t="s">
        <v>942</v>
      </c>
      <c r="AH3403">
        <v>63</v>
      </c>
      <c r="AI3403" t="s">
        <v>939</v>
      </c>
      <c r="AJ3403">
        <v>8</v>
      </c>
      <c r="AK34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MIN(AJ3403/8, 1) +
  Merge1[[#This Row],[index_defensive_effort]],
  2
)</f>
        <v>1.69</v>
      </c>
    </row>
    <row r="3404" spans="1:37" x14ac:dyDescent="0.25">
      <c r="A3404" t="s">
        <v>850</v>
      </c>
      <c r="B3404" t="s">
        <v>851</v>
      </c>
      <c r="C3404">
        <v>26</v>
      </c>
      <c r="D3404" t="s">
        <v>22</v>
      </c>
      <c r="E3404">
        <v>71</v>
      </c>
      <c r="F3404">
        <v>210</v>
      </c>
      <c r="G3404" t="s">
        <v>235</v>
      </c>
      <c r="H3404">
        <v>2020</v>
      </c>
      <c r="I3404" t="s">
        <v>33</v>
      </c>
      <c r="J3404">
        <v>10</v>
      </c>
      <c r="K3404">
        <v>2</v>
      </c>
      <c r="L3404">
        <v>2</v>
      </c>
      <c r="M3404">
        <v>1</v>
      </c>
      <c r="N3404">
        <v>3</v>
      </c>
      <c r="O3404">
        <v>0</v>
      </c>
      <c r="P3404">
        <v>2</v>
      </c>
      <c r="Q3404">
        <v>0</v>
      </c>
      <c r="R3404">
        <v>0</v>
      </c>
      <c r="S3404">
        <v>79</v>
      </c>
      <c r="T3404">
        <v>73</v>
      </c>
      <c r="U3404" s="5">
        <f>IF(Merge1[[#This Row],[team_defense_snaps]]=0, "", Merge1[[#This Row],[defense_snaps]] / Merge1[[#This Row],[team_defense_snaps]])</f>
        <v>1</v>
      </c>
      <c r="V3404">
        <v>73</v>
      </c>
      <c r="W3404">
        <v>6</v>
      </c>
      <c r="X3404" s="5" t="s">
        <v>124</v>
      </c>
      <c r="Y3404">
        <v>4</v>
      </c>
      <c r="Z3404">
        <v>0</v>
      </c>
      <c r="AA3404" t="s">
        <v>25</v>
      </c>
      <c r="AB3404" t="s">
        <v>26</v>
      </c>
      <c r="AC3404" t="s">
        <v>27</v>
      </c>
      <c r="AD3404" t="s">
        <v>42</v>
      </c>
      <c r="AE3404" t="s">
        <v>25</v>
      </c>
      <c r="AF34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9.49367088607595E-2</v>
      </c>
      <c r="AG3404" t="s">
        <v>942</v>
      </c>
      <c r="AH3404">
        <v>49.5</v>
      </c>
      <c r="AI3404" t="s">
        <v>939</v>
      </c>
      <c r="AJ3404">
        <v>1</v>
      </c>
      <c r="AK34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MIN(AJ3404/8, 1) +
  Merge1[[#This Row],[index_defensive_effort]],
  2
)</f>
        <v>0.82</v>
      </c>
    </row>
    <row r="3405" spans="1:37" x14ac:dyDescent="0.25">
      <c r="A3405" t="s">
        <v>850</v>
      </c>
      <c r="B3405" t="s">
        <v>851</v>
      </c>
      <c r="C3405">
        <v>26</v>
      </c>
      <c r="D3405" t="s">
        <v>22</v>
      </c>
      <c r="E3405">
        <v>71</v>
      </c>
      <c r="F3405">
        <v>210</v>
      </c>
      <c r="G3405" t="s">
        <v>235</v>
      </c>
      <c r="H3405">
        <v>2020</v>
      </c>
      <c r="I3405" t="s">
        <v>33</v>
      </c>
      <c r="J3405">
        <v>11</v>
      </c>
      <c r="K3405">
        <v>9</v>
      </c>
      <c r="L3405">
        <v>6</v>
      </c>
      <c r="M3405">
        <v>0</v>
      </c>
      <c r="N3405">
        <v>6</v>
      </c>
      <c r="O3405">
        <v>0</v>
      </c>
      <c r="P3405">
        <v>0</v>
      </c>
      <c r="Q3405">
        <v>0</v>
      </c>
      <c r="R3405">
        <v>0</v>
      </c>
      <c r="S3405">
        <v>67</v>
      </c>
      <c r="T3405">
        <v>62</v>
      </c>
      <c r="U3405" s="5">
        <f>IF(Merge1[[#This Row],[team_defense_snaps]]=0, "", Merge1[[#This Row],[defense_snaps]] / Merge1[[#This Row],[team_defense_snaps]])</f>
        <v>1</v>
      </c>
      <c r="V3405">
        <v>62</v>
      </c>
      <c r="W3405">
        <v>5</v>
      </c>
      <c r="X3405" s="5" t="s">
        <v>59</v>
      </c>
      <c r="Y3405">
        <v>4</v>
      </c>
      <c r="Z3405">
        <v>0</v>
      </c>
      <c r="AA3405" t="s">
        <v>25</v>
      </c>
      <c r="AB3405" t="s">
        <v>26</v>
      </c>
      <c r="AC3405" t="s">
        <v>27</v>
      </c>
      <c r="AD3405" t="s">
        <v>42</v>
      </c>
      <c r="AE3405" t="s">
        <v>25</v>
      </c>
      <c r="AF34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0.17910447761194029</v>
      </c>
      <c r="AG3405" t="s">
        <v>942</v>
      </c>
      <c r="AH3405">
        <v>61.5</v>
      </c>
      <c r="AI3405" t="s">
        <v>939</v>
      </c>
      <c r="AJ3405">
        <v>2</v>
      </c>
      <c r="AK34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MIN(AJ3405/8, 1) +
  Merge1[[#This Row],[index_defensive_effort]],
  2
)</f>
        <v>1.03</v>
      </c>
    </row>
    <row r="3406" spans="1:37" x14ac:dyDescent="0.25">
      <c r="A3406" t="s">
        <v>850</v>
      </c>
      <c r="B3406" t="s">
        <v>851</v>
      </c>
      <c r="C3406">
        <v>26</v>
      </c>
      <c r="D3406" t="s">
        <v>22</v>
      </c>
      <c r="E3406">
        <v>71</v>
      </c>
      <c r="F3406">
        <v>210</v>
      </c>
      <c r="G3406" t="s">
        <v>235</v>
      </c>
      <c r="H3406">
        <v>2020</v>
      </c>
      <c r="I3406" t="s">
        <v>33</v>
      </c>
      <c r="J3406">
        <v>12</v>
      </c>
      <c r="K3406">
        <v>8</v>
      </c>
      <c r="L3406">
        <v>4</v>
      </c>
      <c r="M3406">
        <v>0</v>
      </c>
      <c r="N3406">
        <v>4</v>
      </c>
      <c r="O3406">
        <v>0</v>
      </c>
      <c r="P3406">
        <v>0</v>
      </c>
      <c r="Q3406">
        <v>0</v>
      </c>
      <c r="R3406">
        <v>2</v>
      </c>
      <c r="S3406">
        <v>88</v>
      </c>
      <c r="T3406">
        <v>81</v>
      </c>
      <c r="U3406" s="5">
        <f>IF(Merge1[[#This Row],[team_defense_snaps]]=0, "", Merge1[[#This Row],[defense_snaps]] / Merge1[[#This Row],[team_defense_snaps]])</f>
        <v>1</v>
      </c>
      <c r="V3406">
        <v>81</v>
      </c>
      <c r="W3406">
        <v>7</v>
      </c>
      <c r="X3406" s="5" t="s">
        <v>133</v>
      </c>
      <c r="Y3406">
        <v>4</v>
      </c>
      <c r="Z3406">
        <v>0</v>
      </c>
      <c r="AA3406" t="s">
        <v>25</v>
      </c>
      <c r="AB3406" t="s">
        <v>26</v>
      </c>
      <c r="AC3406" t="s">
        <v>27</v>
      </c>
      <c r="AD3406" t="s">
        <v>42</v>
      </c>
      <c r="AE3406" t="s">
        <v>25</v>
      </c>
      <c r="AF34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0.15909090909090909</v>
      </c>
      <c r="AG3406" t="s">
        <v>942</v>
      </c>
      <c r="AH3406">
        <v>57</v>
      </c>
      <c r="AI3406" t="s">
        <v>939</v>
      </c>
      <c r="AJ3406">
        <v>3</v>
      </c>
      <c r="AK34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MIN(AJ3406/8, 1) +
  Merge1[[#This Row],[index_defensive_effort]],
  2
)</f>
        <v>1.1299999999999999</v>
      </c>
    </row>
    <row r="3407" spans="1:37" x14ac:dyDescent="0.25">
      <c r="A3407" t="s">
        <v>850</v>
      </c>
      <c r="B3407" t="s">
        <v>851</v>
      </c>
      <c r="C3407">
        <v>26</v>
      </c>
      <c r="D3407" t="s">
        <v>22</v>
      </c>
      <c r="E3407">
        <v>71</v>
      </c>
      <c r="F3407">
        <v>210</v>
      </c>
      <c r="G3407" t="s">
        <v>235</v>
      </c>
      <c r="H3407">
        <v>2020</v>
      </c>
      <c r="I3407" t="s">
        <v>33</v>
      </c>
      <c r="J3407">
        <v>13</v>
      </c>
      <c r="K3407">
        <v>3</v>
      </c>
      <c r="L3407">
        <v>3</v>
      </c>
      <c r="M3407">
        <v>1</v>
      </c>
      <c r="N3407">
        <v>4</v>
      </c>
      <c r="O3407">
        <v>0</v>
      </c>
      <c r="P3407">
        <v>1</v>
      </c>
      <c r="Q3407">
        <v>0</v>
      </c>
      <c r="R3407">
        <v>0</v>
      </c>
      <c r="S3407">
        <v>76</v>
      </c>
      <c r="T3407">
        <v>70</v>
      </c>
      <c r="U3407" s="5">
        <f>IF(Merge1[[#This Row],[team_defense_snaps]]=0, "", Merge1[[#This Row],[defense_snaps]] / Merge1[[#This Row],[team_defense_snaps]])</f>
        <v>1</v>
      </c>
      <c r="V3407">
        <v>70</v>
      </c>
      <c r="W3407">
        <v>6</v>
      </c>
      <c r="X3407" s="5" t="s">
        <v>139</v>
      </c>
      <c r="Y3407">
        <v>4</v>
      </c>
      <c r="Z3407">
        <v>0</v>
      </c>
      <c r="AA3407" t="s">
        <v>25</v>
      </c>
      <c r="AB3407" t="s">
        <v>26</v>
      </c>
      <c r="AC3407" t="s">
        <v>27</v>
      </c>
      <c r="AD3407" t="s">
        <v>42</v>
      </c>
      <c r="AE3407" t="s">
        <v>25</v>
      </c>
      <c r="AF34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9.2105263157894732E-2</v>
      </c>
      <c r="AG3407" t="s">
        <v>942</v>
      </c>
      <c r="AH3407">
        <v>52.5</v>
      </c>
      <c r="AI3407" t="s">
        <v>939</v>
      </c>
      <c r="AJ3407">
        <v>4</v>
      </c>
      <c r="AK34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MIN(AJ3407/8, 1) +
  Merge1[[#This Row],[index_defensive_effort]],
  2
)</f>
        <v>1.19</v>
      </c>
    </row>
    <row r="3408" spans="1:37" x14ac:dyDescent="0.25">
      <c r="A3408" t="s">
        <v>850</v>
      </c>
      <c r="B3408" t="s">
        <v>851</v>
      </c>
      <c r="C3408">
        <v>26</v>
      </c>
      <c r="D3408" t="s">
        <v>22</v>
      </c>
      <c r="E3408">
        <v>71</v>
      </c>
      <c r="F3408">
        <v>210</v>
      </c>
      <c r="G3408" t="s">
        <v>235</v>
      </c>
      <c r="H3408">
        <v>2020</v>
      </c>
      <c r="I3408" t="s">
        <v>33</v>
      </c>
      <c r="J3408">
        <v>14</v>
      </c>
      <c r="K3408">
        <v>3</v>
      </c>
      <c r="L3408">
        <v>2</v>
      </c>
      <c r="M3408">
        <v>0</v>
      </c>
      <c r="N3408">
        <v>2</v>
      </c>
      <c r="O3408">
        <v>0</v>
      </c>
      <c r="P3408">
        <v>0</v>
      </c>
      <c r="Q3408">
        <v>0</v>
      </c>
      <c r="R3408">
        <v>0</v>
      </c>
      <c r="S3408">
        <v>58</v>
      </c>
      <c r="T3408">
        <v>51</v>
      </c>
      <c r="U3408" s="5">
        <f>IF(Merge1[[#This Row],[team_defense_snaps]]=0, "", Merge1[[#This Row],[defense_snaps]] / Merge1[[#This Row],[team_defense_snaps]])</f>
        <v>1</v>
      </c>
      <c r="V3408">
        <v>51</v>
      </c>
      <c r="W3408">
        <v>7</v>
      </c>
      <c r="X3408" s="5" t="s">
        <v>123</v>
      </c>
      <c r="Y3408">
        <v>4</v>
      </c>
      <c r="Z3408">
        <v>0</v>
      </c>
      <c r="AA3408" t="s">
        <v>25</v>
      </c>
      <c r="AB3408" t="s">
        <v>26</v>
      </c>
      <c r="AC3408" t="s">
        <v>27</v>
      </c>
      <c r="AD3408" t="s">
        <v>42</v>
      </c>
      <c r="AE3408" t="s">
        <v>25</v>
      </c>
      <c r="AF34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6.8965517241379309E-2</v>
      </c>
      <c r="AG3408" t="s">
        <v>942</v>
      </c>
      <c r="AH3408">
        <v>51</v>
      </c>
      <c r="AI3408" t="s">
        <v>939</v>
      </c>
      <c r="AJ3408">
        <v>5</v>
      </c>
      <c r="AK34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MIN(AJ3408/8, 1) +
  Merge1[[#This Row],[index_defensive_effort]],
  2
)</f>
        <v>1.29</v>
      </c>
    </row>
    <row r="3409" spans="1:37" x14ac:dyDescent="0.25">
      <c r="A3409" t="s">
        <v>850</v>
      </c>
      <c r="B3409" t="s">
        <v>851</v>
      </c>
      <c r="C3409">
        <v>26</v>
      </c>
      <c r="D3409" t="s">
        <v>22</v>
      </c>
      <c r="E3409">
        <v>71</v>
      </c>
      <c r="F3409">
        <v>210</v>
      </c>
      <c r="G3409" t="s">
        <v>235</v>
      </c>
      <c r="H3409">
        <v>2020</v>
      </c>
      <c r="I3409" t="s">
        <v>33</v>
      </c>
      <c r="J3409">
        <v>15</v>
      </c>
      <c r="K3409">
        <v>4</v>
      </c>
      <c r="L3409">
        <v>4</v>
      </c>
      <c r="M3409">
        <v>2</v>
      </c>
      <c r="N3409">
        <v>6</v>
      </c>
      <c r="O3409">
        <v>0</v>
      </c>
      <c r="P3409">
        <v>1</v>
      </c>
      <c r="Q3409">
        <v>0</v>
      </c>
      <c r="R3409">
        <v>2</v>
      </c>
      <c r="S3409">
        <v>68</v>
      </c>
      <c r="T3409">
        <v>65</v>
      </c>
      <c r="U3409" s="5">
        <f>IF(Merge1[[#This Row],[team_defense_snaps]]=0, "", Merge1[[#This Row],[defense_snaps]] / Merge1[[#This Row],[team_defense_snaps]])</f>
        <v>1</v>
      </c>
      <c r="V3409">
        <v>65</v>
      </c>
      <c r="W3409">
        <v>3</v>
      </c>
      <c r="X3409" s="5" t="s">
        <v>250</v>
      </c>
      <c r="Y3409">
        <v>4</v>
      </c>
      <c r="Z3409">
        <v>0</v>
      </c>
      <c r="AA3409" t="s">
        <v>25</v>
      </c>
      <c r="AB3409" t="s">
        <v>26</v>
      </c>
      <c r="AC3409" t="s">
        <v>27</v>
      </c>
      <c r="AD3409" t="s">
        <v>42</v>
      </c>
      <c r="AE3409" t="s">
        <v>25</v>
      </c>
      <c r="AF34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0.19117647058823528</v>
      </c>
      <c r="AG3409" t="s">
        <v>942</v>
      </c>
      <c r="AH3409">
        <v>55.5</v>
      </c>
      <c r="AI3409" t="s">
        <v>939</v>
      </c>
      <c r="AJ3409">
        <v>6</v>
      </c>
      <c r="AK34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MIN(AJ3409/8, 1) +
  Merge1[[#This Row],[index_defensive_effort]],
  2
)</f>
        <v>1.54</v>
      </c>
    </row>
    <row r="3410" spans="1:37" x14ac:dyDescent="0.25">
      <c r="A3410" t="s">
        <v>850</v>
      </c>
      <c r="B3410" t="s">
        <v>851</v>
      </c>
      <c r="C3410">
        <v>26</v>
      </c>
      <c r="D3410" t="s">
        <v>22</v>
      </c>
      <c r="E3410">
        <v>71</v>
      </c>
      <c r="F3410">
        <v>210</v>
      </c>
      <c r="G3410" t="s">
        <v>235</v>
      </c>
      <c r="H3410">
        <v>2020</v>
      </c>
      <c r="I3410" t="s">
        <v>33</v>
      </c>
      <c r="J3410">
        <v>16</v>
      </c>
      <c r="K3410">
        <v>6</v>
      </c>
      <c r="L3410">
        <v>2</v>
      </c>
      <c r="M3410">
        <v>0</v>
      </c>
      <c r="N3410">
        <v>2</v>
      </c>
      <c r="O3410">
        <v>0</v>
      </c>
      <c r="P3410">
        <v>0</v>
      </c>
      <c r="Q3410">
        <v>0</v>
      </c>
      <c r="R3410">
        <v>2</v>
      </c>
      <c r="S3410">
        <v>58</v>
      </c>
      <c r="T3410">
        <v>52</v>
      </c>
      <c r="U3410" s="5">
        <f>IF(Merge1[[#This Row],[team_defense_snaps]]=0, "", Merge1[[#This Row],[defense_snaps]] / Merge1[[#This Row],[team_defense_snaps]])</f>
        <v>1</v>
      </c>
      <c r="V3410">
        <v>52</v>
      </c>
      <c r="W3410">
        <v>6</v>
      </c>
      <c r="X3410" s="5" t="s">
        <v>59</v>
      </c>
      <c r="Y3410">
        <v>4</v>
      </c>
      <c r="Z3410">
        <v>0</v>
      </c>
      <c r="AA3410" t="s">
        <v>25</v>
      </c>
      <c r="AB3410" t="s">
        <v>26</v>
      </c>
      <c r="AC3410" t="s">
        <v>27</v>
      </c>
      <c r="AD3410" t="s">
        <v>42</v>
      </c>
      <c r="AE3410" t="s">
        <v>25</v>
      </c>
      <c r="AF341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0.18965517241379309</v>
      </c>
      <c r="AG3410" t="s">
        <v>942</v>
      </c>
      <c r="AH3410">
        <v>69</v>
      </c>
      <c r="AI3410" t="s">
        <v>939</v>
      </c>
      <c r="AJ3410">
        <v>7</v>
      </c>
      <c r="AK341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MIN(AJ3410/8, 1) +
  Merge1[[#This Row],[index_defensive_effort]],
  2
)</f>
        <v>1.66</v>
      </c>
    </row>
    <row r="3411" spans="1:37" x14ac:dyDescent="0.25">
      <c r="A3411" t="s">
        <v>850</v>
      </c>
      <c r="B3411" t="s">
        <v>851</v>
      </c>
      <c r="C3411">
        <v>26</v>
      </c>
      <c r="D3411" t="s">
        <v>22</v>
      </c>
      <c r="E3411">
        <v>71</v>
      </c>
      <c r="F3411">
        <v>210</v>
      </c>
      <c r="G3411" t="s">
        <v>235</v>
      </c>
      <c r="H3411">
        <v>2020</v>
      </c>
      <c r="I3411" t="s">
        <v>33</v>
      </c>
      <c r="J3411">
        <v>17</v>
      </c>
      <c r="K3411">
        <v>1</v>
      </c>
      <c r="L3411">
        <v>2</v>
      </c>
      <c r="M3411">
        <v>0</v>
      </c>
      <c r="N3411">
        <v>2</v>
      </c>
      <c r="O3411">
        <v>0</v>
      </c>
      <c r="P3411">
        <v>0</v>
      </c>
      <c r="Q3411">
        <v>0</v>
      </c>
      <c r="R3411">
        <v>0</v>
      </c>
      <c r="S3411">
        <v>80</v>
      </c>
      <c r="T3411">
        <v>74</v>
      </c>
      <c r="U3411" s="5">
        <f>IF(Merge1[[#This Row],[team_defense_snaps]]=0, "", Merge1[[#This Row],[defense_snaps]] / Merge1[[#This Row],[team_defense_snaps]])</f>
        <v>1</v>
      </c>
      <c r="V3411">
        <v>74</v>
      </c>
      <c r="W3411">
        <v>6</v>
      </c>
      <c r="X3411" s="5" t="s">
        <v>133</v>
      </c>
      <c r="Y3411">
        <v>4</v>
      </c>
      <c r="Z3411">
        <v>0</v>
      </c>
      <c r="AA3411" t="s">
        <v>25</v>
      </c>
      <c r="AB3411" t="s">
        <v>26</v>
      </c>
      <c r="AC3411" t="s">
        <v>27</v>
      </c>
      <c r="AD3411" t="s">
        <v>42</v>
      </c>
      <c r="AE3411" t="s">
        <v>25</v>
      </c>
      <c r="AF341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2.5000000000000001E-2</v>
      </c>
      <c r="AG3411" t="s">
        <v>942</v>
      </c>
      <c r="AH3411">
        <v>54</v>
      </c>
      <c r="AI3411" t="s">
        <v>939</v>
      </c>
      <c r="AJ3411">
        <v>8</v>
      </c>
      <c r="AK341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MIN(AJ3411/8, 1) +
  Merge1[[#This Row],[index_defensive_effort]],
  2
)</f>
        <v>1.63</v>
      </c>
    </row>
    <row r="3412" spans="1:37" x14ac:dyDescent="0.25">
      <c r="A3412" t="s">
        <v>856</v>
      </c>
      <c r="B3412" t="s">
        <v>857</v>
      </c>
      <c r="C3412">
        <v>25</v>
      </c>
      <c r="D3412" t="s">
        <v>22</v>
      </c>
      <c r="E3412">
        <v>73</v>
      </c>
      <c r="F3412">
        <v>207</v>
      </c>
      <c r="G3412" t="s">
        <v>162</v>
      </c>
      <c r="H3412">
        <v>2020</v>
      </c>
      <c r="I3412" t="s">
        <v>33</v>
      </c>
      <c r="J3412">
        <v>1</v>
      </c>
      <c r="K3412">
        <v>5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61</v>
      </c>
      <c r="T3412">
        <v>52</v>
      </c>
      <c r="U3412" s="5">
        <f>IF(Merge1[[#This Row],[team_defense_snaps]]=0, "", Merge1[[#This Row],[defense_snaps]] / Merge1[[#This Row],[team_defense_snaps]])</f>
        <v>0.78787878787878785</v>
      </c>
      <c r="V3412">
        <v>66</v>
      </c>
      <c r="W3412">
        <v>9</v>
      </c>
      <c r="X3412" s="5" t="s">
        <v>261</v>
      </c>
      <c r="Y3412">
        <v>1</v>
      </c>
      <c r="Z3412">
        <v>0</v>
      </c>
      <c r="AA3412" t="s">
        <v>25</v>
      </c>
      <c r="AB3412" t="s">
        <v>26</v>
      </c>
      <c r="AC3412" t="s">
        <v>27</v>
      </c>
      <c r="AD3412" t="s">
        <v>42</v>
      </c>
      <c r="AE3412" t="s">
        <v>25</v>
      </c>
      <c r="AF341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8.1967213114754092E-2</v>
      </c>
      <c r="AG3412" t="s">
        <v>942</v>
      </c>
      <c r="AH3412">
        <v>70</v>
      </c>
      <c r="AI3412" t="s">
        <v>939</v>
      </c>
      <c r="AJ3412">
        <v>1</v>
      </c>
      <c r="AK341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MIN(AJ3412/8, 1) +
  Merge1[[#This Row],[index_defensive_effort]],
  2
)</f>
        <v>0.71</v>
      </c>
    </row>
    <row r="3413" spans="1:37" x14ac:dyDescent="0.25">
      <c r="A3413" t="s">
        <v>856</v>
      </c>
      <c r="B3413" t="s">
        <v>857</v>
      </c>
      <c r="C3413">
        <v>25</v>
      </c>
      <c r="D3413" t="s">
        <v>22</v>
      </c>
      <c r="E3413">
        <v>73</v>
      </c>
      <c r="F3413">
        <v>207</v>
      </c>
      <c r="G3413" t="s">
        <v>162</v>
      </c>
      <c r="H3413">
        <v>2020</v>
      </c>
      <c r="I3413" t="s">
        <v>33</v>
      </c>
      <c r="J3413">
        <v>2</v>
      </c>
      <c r="K3413">
        <v>4</v>
      </c>
      <c r="L3413">
        <v>1</v>
      </c>
      <c r="M3413">
        <v>1</v>
      </c>
      <c r="N3413">
        <v>2</v>
      </c>
      <c r="O3413">
        <v>0</v>
      </c>
      <c r="P3413">
        <v>0</v>
      </c>
      <c r="Q3413">
        <v>0</v>
      </c>
      <c r="R3413">
        <v>0</v>
      </c>
      <c r="S3413">
        <v>62</v>
      </c>
      <c r="T3413">
        <v>49</v>
      </c>
      <c r="U3413" s="5">
        <f>IF(Merge1[[#This Row],[team_defense_snaps]]=0, "", Merge1[[#This Row],[defense_snaps]] / Merge1[[#This Row],[team_defense_snaps]])</f>
        <v>0.66216216216216217</v>
      </c>
      <c r="V3413">
        <v>74</v>
      </c>
      <c r="W3413">
        <v>13</v>
      </c>
      <c r="X3413" s="5" t="s">
        <v>75</v>
      </c>
      <c r="Y3413">
        <v>1</v>
      </c>
      <c r="Z3413">
        <v>0</v>
      </c>
      <c r="AA3413" t="s">
        <v>25</v>
      </c>
      <c r="AB3413" t="s">
        <v>26</v>
      </c>
      <c r="AC3413" t="s">
        <v>27</v>
      </c>
      <c r="AD3413" t="s">
        <v>42</v>
      </c>
      <c r="AE3413" t="s">
        <v>25</v>
      </c>
      <c r="AF341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8.0645161290322578E-2</v>
      </c>
      <c r="AG3413" t="s">
        <v>942</v>
      </c>
      <c r="AH3413">
        <v>50.5</v>
      </c>
      <c r="AI3413" t="s">
        <v>939</v>
      </c>
      <c r="AJ3413">
        <v>2</v>
      </c>
      <c r="AK341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MIN(AJ3413/8, 1) +
  Merge1[[#This Row],[index_defensive_effort]],
  2
)</f>
        <v>0.83</v>
      </c>
    </row>
    <row r="3414" spans="1:37" x14ac:dyDescent="0.25">
      <c r="A3414" t="s">
        <v>856</v>
      </c>
      <c r="B3414" t="s">
        <v>857</v>
      </c>
      <c r="C3414">
        <v>25</v>
      </c>
      <c r="D3414" t="s">
        <v>22</v>
      </c>
      <c r="E3414">
        <v>73</v>
      </c>
      <c r="F3414">
        <v>207</v>
      </c>
      <c r="G3414" t="s">
        <v>162</v>
      </c>
      <c r="H3414">
        <v>2020</v>
      </c>
      <c r="I3414" t="s">
        <v>33</v>
      </c>
      <c r="J3414">
        <v>3</v>
      </c>
      <c r="K3414">
        <v>2</v>
      </c>
      <c r="L3414">
        <v>1</v>
      </c>
      <c r="M3414">
        <v>0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31</v>
      </c>
      <c r="T3414">
        <v>19</v>
      </c>
      <c r="U3414" s="5">
        <f>IF(Merge1[[#This Row],[team_defense_snaps]]=0, "", Merge1[[#This Row],[defense_snaps]] / Merge1[[#This Row],[team_defense_snaps]])</f>
        <v>0.2878787878787879</v>
      </c>
      <c r="V3414">
        <v>66</v>
      </c>
      <c r="W3414">
        <v>12</v>
      </c>
      <c r="X3414" s="5" t="s">
        <v>243</v>
      </c>
      <c r="Y3414">
        <v>1</v>
      </c>
      <c r="Z3414">
        <v>0</v>
      </c>
      <c r="AA3414" t="s">
        <v>25</v>
      </c>
      <c r="AB3414" t="s">
        <v>26</v>
      </c>
      <c r="AC3414" t="s">
        <v>27</v>
      </c>
      <c r="AD3414" t="s">
        <v>42</v>
      </c>
      <c r="AE3414" t="s">
        <v>25</v>
      </c>
      <c r="AF341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8.0645161290322578E-2</v>
      </c>
      <c r="AG3414" t="s">
        <v>942</v>
      </c>
      <c r="AH3414">
        <v>65.5</v>
      </c>
      <c r="AI3414" t="s">
        <v>939</v>
      </c>
      <c r="AJ3414">
        <v>3</v>
      </c>
      <c r="AK341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MIN(AJ3414/8, 1) +
  Merge1[[#This Row],[index_defensive_effort]],
  2
)</f>
        <v>0.96</v>
      </c>
    </row>
    <row r="3415" spans="1:37" x14ac:dyDescent="0.25">
      <c r="A3415" t="s">
        <v>856</v>
      </c>
      <c r="B3415" t="s">
        <v>857</v>
      </c>
      <c r="C3415">
        <v>25</v>
      </c>
      <c r="D3415" t="s">
        <v>22</v>
      </c>
      <c r="E3415">
        <v>73</v>
      </c>
      <c r="F3415">
        <v>207</v>
      </c>
      <c r="G3415" t="s">
        <v>162</v>
      </c>
      <c r="H3415">
        <v>2020</v>
      </c>
      <c r="I3415" t="s">
        <v>33</v>
      </c>
      <c r="J3415">
        <v>4</v>
      </c>
      <c r="K3415">
        <v>2</v>
      </c>
      <c r="L3415">
        <v>1</v>
      </c>
      <c r="M3415">
        <v>0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39</v>
      </c>
      <c r="T3415">
        <v>22</v>
      </c>
      <c r="U3415" s="5">
        <f>IF(Merge1[[#This Row],[team_defense_snaps]]=0, "", Merge1[[#This Row],[defense_snaps]] / Merge1[[#This Row],[team_defense_snaps]])</f>
        <v>0.30985915492957744</v>
      </c>
      <c r="V3415">
        <v>71</v>
      </c>
      <c r="W3415">
        <v>17</v>
      </c>
      <c r="X3415" s="5" t="s">
        <v>176</v>
      </c>
      <c r="Y3415">
        <v>1</v>
      </c>
      <c r="Z3415">
        <v>0</v>
      </c>
      <c r="AA3415" t="s">
        <v>25</v>
      </c>
      <c r="AB3415" t="s">
        <v>26</v>
      </c>
      <c r="AC3415" t="s">
        <v>27</v>
      </c>
      <c r="AD3415" t="s">
        <v>28</v>
      </c>
      <c r="AE3415" t="s">
        <v>25</v>
      </c>
      <c r="AF341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6.4102564102564097E-2</v>
      </c>
      <c r="AG3415" t="s">
        <v>942</v>
      </c>
      <c r="AH3415">
        <v>49</v>
      </c>
      <c r="AI3415" t="s">
        <v>939</v>
      </c>
      <c r="AJ3415">
        <v>4</v>
      </c>
      <c r="AK341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MIN(AJ3415/8, 1) +
  Merge1[[#This Row],[index_defensive_effort]],
  2
)</f>
        <v>1.06</v>
      </c>
    </row>
    <row r="3416" spans="1:37" x14ac:dyDescent="0.25">
      <c r="A3416" t="s">
        <v>856</v>
      </c>
      <c r="B3416" t="s">
        <v>857</v>
      </c>
      <c r="C3416">
        <v>25</v>
      </c>
      <c r="D3416" t="s">
        <v>22</v>
      </c>
      <c r="E3416">
        <v>73</v>
      </c>
      <c r="F3416">
        <v>207</v>
      </c>
      <c r="G3416" t="s">
        <v>162</v>
      </c>
      <c r="H3416">
        <v>2020</v>
      </c>
      <c r="I3416" t="s">
        <v>33</v>
      </c>
      <c r="J3416">
        <v>9</v>
      </c>
      <c r="K3416">
        <v>4</v>
      </c>
      <c r="L3416">
        <v>0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33</v>
      </c>
      <c r="T3416">
        <v>17</v>
      </c>
      <c r="U3416" s="5">
        <f>IF(Merge1[[#This Row],[team_defense_snaps]]=0, "", Merge1[[#This Row],[defense_snaps]] / Merge1[[#This Row],[team_defense_snaps]])</f>
        <v>0.28813559322033899</v>
      </c>
      <c r="V3416">
        <v>59</v>
      </c>
      <c r="W3416">
        <v>16</v>
      </c>
      <c r="X3416" s="5" t="s">
        <v>232</v>
      </c>
      <c r="Y3416">
        <v>1</v>
      </c>
      <c r="Z3416">
        <v>0</v>
      </c>
      <c r="AA3416" t="s">
        <v>25</v>
      </c>
      <c r="AB3416" t="s">
        <v>26</v>
      </c>
      <c r="AC3416" t="s">
        <v>27</v>
      </c>
      <c r="AD3416" t="s">
        <v>28</v>
      </c>
      <c r="AE3416" t="s">
        <v>25</v>
      </c>
      <c r="AF341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0.18181818181818182</v>
      </c>
      <c r="AG3416" t="s">
        <v>942</v>
      </c>
      <c r="AH3416">
        <v>55</v>
      </c>
      <c r="AI3416" t="s">
        <v>939</v>
      </c>
      <c r="AJ3416">
        <v>1</v>
      </c>
      <c r="AK341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MIN(AJ3416/8, 1) +
  Merge1[[#This Row],[index_defensive_effort]],
  2
)</f>
        <v>0.81</v>
      </c>
    </row>
    <row r="3417" spans="1:37" x14ac:dyDescent="0.25">
      <c r="A3417" t="s">
        <v>856</v>
      </c>
      <c r="B3417" t="s">
        <v>857</v>
      </c>
      <c r="C3417">
        <v>25</v>
      </c>
      <c r="D3417" t="s">
        <v>22</v>
      </c>
      <c r="E3417">
        <v>73</v>
      </c>
      <c r="F3417">
        <v>207</v>
      </c>
      <c r="G3417" t="s">
        <v>162</v>
      </c>
      <c r="H3417">
        <v>2020</v>
      </c>
      <c r="I3417" t="s">
        <v>33</v>
      </c>
      <c r="J3417">
        <v>10</v>
      </c>
      <c r="K3417">
        <v>0</v>
      </c>
      <c r="L3417">
        <v>1</v>
      </c>
      <c r="M3417">
        <v>0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22</v>
      </c>
      <c r="T3417">
        <v>4</v>
      </c>
      <c r="U3417" s="5">
        <f>IF(Merge1[[#This Row],[team_defense_snaps]]=0, "", Merge1[[#This Row],[defense_snaps]] / Merge1[[#This Row],[team_defense_snaps]])</f>
        <v>4.49438202247191E-2</v>
      </c>
      <c r="V3417">
        <v>89</v>
      </c>
      <c r="W3417">
        <v>18</v>
      </c>
      <c r="X3417" s="5" t="s">
        <v>276</v>
      </c>
      <c r="Y3417">
        <v>1</v>
      </c>
      <c r="Z3417">
        <v>0</v>
      </c>
      <c r="AA3417" t="s">
        <v>25</v>
      </c>
      <c r="AB3417" t="s">
        <v>26</v>
      </c>
      <c r="AC3417" t="s">
        <v>27</v>
      </c>
      <c r="AD3417" t="s">
        <v>28</v>
      </c>
      <c r="AE3417" t="s">
        <v>25</v>
      </c>
      <c r="AF341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2.2727272727272728E-2</v>
      </c>
      <c r="AG3417" t="s">
        <v>942</v>
      </c>
      <c r="AH3417">
        <v>67</v>
      </c>
      <c r="AI3417" t="s">
        <v>939</v>
      </c>
      <c r="AJ3417">
        <v>2</v>
      </c>
      <c r="AK341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MIN(AJ3417/8, 1) +
  Merge1[[#This Row],[index_defensive_effort]],
  2
)</f>
        <v>0.77</v>
      </c>
    </row>
    <row r="3418" spans="1:37" x14ac:dyDescent="0.25">
      <c r="A3418" t="s">
        <v>856</v>
      </c>
      <c r="B3418" t="s">
        <v>857</v>
      </c>
      <c r="C3418">
        <v>25</v>
      </c>
      <c r="D3418" t="s">
        <v>22</v>
      </c>
      <c r="E3418">
        <v>73</v>
      </c>
      <c r="F3418">
        <v>207</v>
      </c>
      <c r="G3418" t="s">
        <v>162</v>
      </c>
      <c r="H3418">
        <v>2020</v>
      </c>
      <c r="I3418" t="s">
        <v>33</v>
      </c>
      <c r="J3418">
        <v>11</v>
      </c>
      <c r="K3418">
        <v>0</v>
      </c>
      <c r="L3418">
        <v>3</v>
      </c>
      <c r="M3418">
        <v>0</v>
      </c>
      <c r="N3418">
        <v>3</v>
      </c>
      <c r="O3418">
        <v>0</v>
      </c>
      <c r="P3418">
        <v>0</v>
      </c>
      <c r="Q3418">
        <v>0</v>
      </c>
      <c r="R3418">
        <v>0</v>
      </c>
      <c r="S3418">
        <v>27</v>
      </c>
      <c r="T3418">
        <v>14</v>
      </c>
      <c r="U3418" s="5">
        <f>IF(Merge1[[#This Row],[team_defense_snaps]]=0, "", Merge1[[#This Row],[defense_snaps]] / Merge1[[#This Row],[team_defense_snaps]])</f>
        <v>0.19718309859154928</v>
      </c>
      <c r="V3418">
        <v>71</v>
      </c>
      <c r="W3418">
        <v>13</v>
      </c>
      <c r="X3418" s="5" t="s">
        <v>102</v>
      </c>
      <c r="Y3418">
        <v>1</v>
      </c>
      <c r="Z3418">
        <v>0</v>
      </c>
      <c r="AA3418" t="s">
        <v>25</v>
      </c>
      <c r="AB3418" t="s">
        <v>36</v>
      </c>
      <c r="AC3418" t="s">
        <v>50</v>
      </c>
      <c r="AD3418" t="s">
        <v>42</v>
      </c>
      <c r="AE3418" t="s">
        <v>25</v>
      </c>
      <c r="AF341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3418" t="s">
        <v>942</v>
      </c>
      <c r="AH3418">
        <v>53.5</v>
      </c>
      <c r="AI3418" t="s">
        <v>939</v>
      </c>
      <c r="AJ3418">
        <v>3</v>
      </c>
      <c r="AK341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MIN(AJ3418/8, 1) +
  Merge1[[#This Row],[index_defensive_effort]],
  2
)</f>
        <v>0.93</v>
      </c>
    </row>
    <row r="3419" spans="1:37" x14ac:dyDescent="0.25">
      <c r="A3419" t="s">
        <v>856</v>
      </c>
      <c r="B3419" t="s">
        <v>857</v>
      </c>
      <c r="C3419">
        <v>25</v>
      </c>
      <c r="D3419" t="s">
        <v>22</v>
      </c>
      <c r="E3419">
        <v>73</v>
      </c>
      <c r="F3419">
        <v>207</v>
      </c>
      <c r="G3419" t="s">
        <v>162</v>
      </c>
      <c r="H3419">
        <v>2020</v>
      </c>
      <c r="I3419" t="s">
        <v>33</v>
      </c>
      <c r="J3419">
        <v>12</v>
      </c>
      <c r="K3419">
        <v>1</v>
      </c>
      <c r="L3419">
        <v>1</v>
      </c>
      <c r="M3419">
        <v>1</v>
      </c>
      <c r="N3419">
        <v>2</v>
      </c>
      <c r="O3419">
        <v>0</v>
      </c>
      <c r="P3419">
        <v>0</v>
      </c>
      <c r="Q3419">
        <v>0</v>
      </c>
      <c r="R3419">
        <v>0</v>
      </c>
      <c r="S3419">
        <v>43</v>
      </c>
      <c r="T3419">
        <v>23</v>
      </c>
      <c r="U3419" s="5">
        <f>IF(Merge1[[#This Row],[team_defense_snaps]]=0, "", Merge1[[#This Row],[defense_snaps]] / Merge1[[#This Row],[team_defense_snaps]])</f>
        <v>0.39655172413793105</v>
      </c>
      <c r="V3419">
        <v>58</v>
      </c>
      <c r="W3419">
        <v>20</v>
      </c>
      <c r="X3419" s="5" t="s">
        <v>100</v>
      </c>
      <c r="Y3419">
        <v>1</v>
      </c>
      <c r="Z3419">
        <v>0</v>
      </c>
      <c r="AA3419" t="s">
        <v>25</v>
      </c>
      <c r="AB3419" t="s">
        <v>26</v>
      </c>
      <c r="AC3419" t="s">
        <v>27</v>
      </c>
      <c r="AD3419" t="s">
        <v>42</v>
      </c>
      <c r="AE3419" t="s">
        <v>25</v>
      </c>
      <c r="AF341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4.6511627906976744E-2</v>
      </c>
      <c r="AG3419" t="s">
        <v>942</v>
      </c>
      <c r="AH3419">
        <v>56.5</v>
      </c>
      <c r="AI3419" t="s">
        <v>939</v>
      </c>
      <c r="AJ3419">
        <v>4</v>
      </c>
      <c r="AK341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MIN(AJ3419/8, 1) +
  Merge1[[#This Row],[index_defensive_effort]],
  2
)</f>
        <v>1.05</v>
      </c>
    </row>
    <row r="3420" spans="1:37" x14ac:dyDescent="0.25">
      <c r="A3420" t="s">
        <v>856</v>
      </c>
      <c r="B3420" t="s">
        <v>857</v>
      </c>
      <c r="C3420">
        <v>25</v>
      </c>
      <c r="D3420" t="s">
        <v>22</v>
      </c>
      <c r="E3420">
        <v>73</v>
      </c>
      <c r="F3420">
        <v>207</v>
      </c>
      <c r="G3420" t="s">
        <v>162</v>
      </c>
      <c r="H3420">
        <v>2020</v>
      </c>
      <c r="I3420" t="s">
        <v>33</v>
      </c>
      <c r="J3420">
        <v>13</v>
      </c>
      <c r="K3420">
        <v>1</v>
      </c>
      <c r="L3420">
        <v>1</v>
      </c>
      <c r="M3420">
        <v>0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28</v>
      </c>
      <c r="T3420">
        <v>9</v>
      </c>
      <c r="U3420" s="5">
        <f>IF(Merge1[[#This Row],[team_defense_snaps]]=0, "", Merge1[[#This Row],[defense_snaps]] / Merge1[[#This Row],[team_defense_snaps]])</f>
        <v>0.12676056338028169</v>
      </c>
      <c r="V3420">
        <v>71</v>
      </c>
      <c r="W3420">
        <v>19</v>
      </c>
      <c r="X3420" s="5" t="s">
        <v>215</v>
      </c>
      <c r="Y3420">
        <v>1</v>
      </c>
      <c r="Z3420">
        <v>0</v>
      </c>
      <c r="AA3420" t="s">
        <v>25</v>
      </c>
      <c r="AB3420" t="s">
        <v>26</v>
      </c>
      <c r="AC3420" t="s">
        <v>27</v>
      </c>
      <c r="AD3420" t="s">
        <v>28</v>
      </c>
      <c r="AE3420" t="s">
        <v>25</v>
      </c>
      <c r="AF342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5.3571428571428568E-2</v>
      </c>
      <c r="AG3420" t="s">
        <v>942</v>
      </c>
      <c r="AH3420">
        <v>68.5</v>
      </c>
      <c r="AI3420" t="s">
        <v>939</v>
      </c>
      <c r="AJ3420">
        <v>5</v>
      </c>
      <c r="AK342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MIN(AJ3420/8, 1) +
  Merge1[[#This Row],[index_defensive_effort]],
  2
)</f>
        <v>1.18</v>
      </c>
    </row>
    <row r="3421" spans="1:37" x14ac:dyDescent="0.25">
      <c r="A3421" t="s">
        <v>856</v>
      </c>
      <c r="B3421" t="s">
        <v>857</v>
      </c>
      <c r="C3421">
        <v>25</v>
      </c>
      <c r="D3421" t="s">
        <v>22</v>
      </c>
      <c r="E3421">
        <v>73</v>
      </c>
      <c r="F3421">
        <v>207</v>
      </c>
      <c r="G3421" t="s">
        <v>162</v>
      </c>
      <c r="H3421">
        <v>2020</v>
      </c>
      <c r="I3421" t="s">
        <v>33</v>
      </c>
      <c r="J3421">
        <v>14</v>
      </c>
      <c r="K3421">
        <v>2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24</v>
      </c>
      <c r="T3421">
        <v>10</v>
      </c>
      <c r="U3421" s="5">
        <f>IF(Merge1[[#This Row],[team_defense_snaps]]=0, "", Merge1[[#This Row],[defense_snaps]] / Merge1[[#This Row],[team_defense_snaps]])</f>
        <v>0.14925373134328357</v>
      </c>
      <c r="V3421">
        <v>67</v>
      </c>
      <c r="W3421">
        <v>14</v>
      </c>
      <c r="X3421" s="5" t="s">
        <v>111</v>
      </c>
      <c r="Y3421">
        <v>1</v>
      </c>
      <c r="Z3421">
        <v>0</v>
      </c>
      <c r="AA3421" t="s">
        <v>25</v>
      </c>
      <c r="AB3421" t="s">
        <v>26</v>
      </c>
      <c r="AC3421" t="s">
        <v>27</v>
      </c>
      <c r="AD3421" t="s">
        <v>28</v>
      </c>
      <c r="AE3421" t="s">
        <v>25</v>
      </c>
      <c r="AF342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AG3421" t="s">
        <v>942</v>
      </c>
      <c r="AH3421">
        <v>52</v>
      </c>
      <c r="AI3421" t="s">
        <v>939</v>
      </c>
      <c r="AJ3421">
        <v>6</v>
      </c>
      <c r="AK342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MIN(AJ3421/8, 1) +
  Merge1[[#This Row],[index_defensive_effort]],
  2
)</f>
        <v>1.33</v>
      </c>
    </row>
    <row r="3422" spans="1:37" x14ac:dyDescent="0.25">
      <c r="A3422" t="s">
        <v>856</v>
      </c>
      <c r="B3422" t="s">
        <v>857</v>
      </c>
      <c r="C3422">
        <v>25</v>
      </c>
      <c r="D3422" t="s">
        <v>22</v>
      </c>
      <c r="E3422">
        <v>73</v>
      </c>
      <c r="F3422">
        <v>207</v>
      </c>
      <c r="G3422" t="s">
        <v>162</v>
      </c>
      <c r="H3422">
        <v>2020</v>
      </c>
      <c r="I3422" t="s">
        <v>33</v>
      </c>
      <c r="J3422">
        <v>15</v>
      </c>
      <c r="K3422">
        <v>1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32</v>
      </c>
      <c r="T3422">
        <v>16</v>
      </c>
      <c r="U3422" s="5">
        <f>IF(Merge1[[#This Row],[team_defense_snaps]]=0, "", Merge1[[#This Row],[defense_snaps]] / Merge1[[#This Row],[team_defense_snaps]])</f>
        <v>0.23529411764705882</v>
      </c>
      <c r="V3422">
        <v>68</v>
      </c>
      <c r="W3422">
        <v>16</v>
      </c>
      <c r="X3422" s="5" t="s">
        <v>256</v>
      </c>
      <c r="Y3422">
        <v>1</v>
      </c>
      <c r="Z3422">
        <v>0</v>
      </c>
      <c r="AA3422" t="s">
        <v>25</v>
      </c>
      <c r="AB3422" t="s">
        <v>26</v>
      </c>
      <c r="AC3422" t="s">
        <v>27</v>
      </c>
      <c r="AD3422" t="s">
        <v>28</v>
      </c>
      <c r="AE3422" t="s">
        <v>25</v>
      </c>
      <c r="AF342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3.125E-2</v>
      </c>
      <c r="AG3422" t="s">
        <v>942</v>
      </c>
      <c r="AH3422">
        <v>47.5</v>
      </c>
      <c r="AI3422" t="s">
        <v>939</v>
      </c>
      <c r="AJ3422">
        <v>7</v>
      </c>
      <c r="AK342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MIN(AJ3422/8, 1) +
  Merge1[[#This Row],[index_defensive_effort]],
  2
)</f>
        <v>1.41</v>
      </c>
    </row>
    <row r="3423" spans="1:37" x14ac:dyDescent="0.25">
      <c r="A3423" t="s">
        <v>856</v>
      </c>
      <c r="B3423" t="s">
        <v>857</v>
      </c>
      <c r="C3423">
        <v>25</v>
      </c>
      <c r="D3423" t="s">
        <v>22</v>
      </c>
      <c r="E3423">
        <v>73</v>
      </c>
      <c r="F3423">
        <v>207</v>
      </c>
      <c r="G3423" t="s">
        <v>162</v>
      </c>
      <c r="H3423">
        <v>2020</v>
      </c>
      <c r="I3423" t="s">
        <v>33</v>
      </c>
      <c r="J3423">
        <v>16</v>
      </c>
      <c r="K3423">
        <v>0</v>
      </c>
      <c r="L3423">
        <v>1</v>
      </c>
      <c r="M3423">
        <v>0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53</v>
      </c>
      <c r="T3423">
        <v>35</v>
      </c>
      <c r="U3423" s="5">
        <f>IF(Merge1[[#This Row],[team_defense_snaps]]=0, "", Merge1[[#This Row],[defense_snaps]] / Merge1[[#This Row],[team_defense_snaps]])</f>
        <v>0.4375</v>
      </c>
      <c r="V3423">
        <v>80</v>
      </c>
      <c r="W3423">
        <v>18</v>
      </c>
      <c r="X3423" s="5" t="s">
        <v>276</v>
      </c>
      <c r="Y3423">
        <v>1</v>
      </c>
      <c r="Z3423">
        <v>0</v>
      </c>
      <c r="AA3423" t="s">
        <v>25</v>
      </c>
      <c r="AB3423" t="s">
        <v>26</v>
      </c>
      <c r="AC3423" t="s">
        <v>27</v>
      </c>
      <c r="AD3423" t="s">
        <v>28</v>
      </c>
      <c r="AE3423" t="s">
        <v>25</v>
      </c>
      <c r="AF342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9.433962264150943E-3</v>
      </c>
      <c r="AG3423" t="s">
        <v>942</v>
      </c>
      <c r="AH3423">
        <v>58</v>
      </c>
      <c r="AI3423" t="s">
        <v>939</v>
      </c>
      <c r="AJ3423">
        <v>8</v>
      </c>
      <c r="AK342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MIN(AJ3423/8, 1) +
  Merge1[[#This Row],[index_defensive_effort]],
  2
)</f>
        <v>1.51</v>
      </c>
    </row>
    <row r="3424" spans="1:37" x14ac:dyDescent="0.25">
      <c r="A3424" t="s">
        <v>856</v>
      </c>
      <c r="B3424" t="s">
        <v>857</v>
      </c>
      <c r="C3424">
        <v>25</v>
      </c>
      <c r="D3424" t="s">
        <v>22</v>
      </c>
      <c r="E3424">
        <v>73</v>
      </c>
      <c r="F3424">
        <v>207</v>
      </c>
      <c r="G3424" t="s">
        <v>162</v>
      </c>
      <c r="H3424">
        <v>2020</v>
      </c>
      <c r="I3424" t="s">
        <v>33</v>
      </c>
      <c r="J3424">
        <v>17</v>
      </c>
      <c r="K3424">
        <v>1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52</v>
      </c>
      <c r="T3424">
        <v>33</v>
      </c>
      <c r="U3424" s="5">
        <f>IF(Merge1[[#This Row],[team_defense_snaps]]=0, "", Merge1[[#This Row],[defense_snaps]] / Merge1[[#This Row],[team_defense_snaps]])</f>
        <v>0.41249999999999998</v>
      </c>
      <c r="V3424">
        <v>80</v>
      </c>
      <c r="W3424">
        <v>19</v>
      </c>
      <c r="X3424" s="5" t="s">
        <v>215</v>
      </c>
      <c r="Y3424">
        <v>1</v>
      </c>
      <c r="Z3424">
        <v>0</v>
      </c>
      <c r="AA3424" t="s">
        <v>25</v>
      </c>
      <c r="AB3424" t="s">
        <v>26</v>
      </c>
      <c r="AC3424" t="s">
        <v>27</v>
      </c>
      <c r="AD3424" t="s">
        <v>28</v>
      </c>
      <c r="AE3424" t="s">
        <v>25</v>
      </c>
      <c r="AF342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1.9230769230769232E-2</v>
      </c>
      <c r="AG3424" t="s">
        <v>942</v>
      </c>
      <c r="AH3424">
        <v>46</v>
      </c>
      <c r="AI3424" t="s">
        <v>939</v>
      </c>
      <c r="AJ3424">
        <v>9</v>
      </c>
      <c r="AK342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MIN(AJ3424/8, 1) +
  Merge1[[#This Row],[index_defensive_effort]],
  2
)</f>
        <v>1.52</v>
      </c>
    </row>
    <row r="3425" spans="1:37" x14ac:dyDescent="0.25">
      <c r="A3425" t="s">
        <v>860</v>
      </c>
      <c r="B3425" t="s">
        <v>861</v>
      </c>
      <c r="C3425">
        <v>26</v>
      </c>
      <c r="D3425" t="s">
        <v>22</v>
      </c>
      <c r="E3425">
        <v>72</v>
      </c>
      <c r="F3425">
        <v>200</v>
      </c>
      <c r="G3425" t="s">
        <v>150</v>
      </c>
      <c r="H3425">
        <v>2020</v>
      </c>
      <c r="I3425" t="s">
        <v>33</v>
      </c>
      <c r="J3425">
        <v>6</v>
      </c>
      <c r="K3425">
        <v>3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39</v>
      </c>
      <c r="T3425">
        <v>39</v>
      </c>
      <c r="U3425" s="5">
        <f>IF(Merge1[[#This Row],[team_defense_snaps]]=0, "", Merge1[[#This Row],[defense_snaps]] / Merge1[[#This Row],[team_defense_snaps]])</f>
        <v>0.52702702702702697</v>
      </c>
      <c r="V3425">
        <v>74</v>
      </c>
      <c r="W3425">
        <v>0</v>
      </c>
      <c r="X3425" s="5">
        <v>0</v>
      </c>
      <c r="Y3425">
        <v>4</v>
      </c>
      <c r="Z3425">
        <v>0</v>
      </c>
      <c r="AA3425" t="s">
        <v>25</v>
      </c>
      <c r="AB3425" t="s">
        <v>26</v>
      </c>
      <c r="AC3425" t="s">
        <v>27</v>
      </c>
      <c r="AD3425" t="s">
        <v>42</v>
      </c>
      <c r="AE3425" t="s">
        <v>25</v>
      </c>
      <c r="AF342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7.6923076923076927E-2</v>
      </c>
      <c r="AG3425" t="s">
        <v>941</v>
      </c>
      <c r="AH3425">
        <v>55.5</v>
      </c>
      <c r="AI3425" t="s">
        <v>939</v>
      </c>
      <c r="AJ3425">
        <v>1</v>
      </c>
      <c r="AK342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MIN(AJ3425/8, 1) +
  Merge1[[#This Row],[index_defensive_effort]],
  2
)</f>
        <v>0.8</v>
      </c>
    </row>
    <row r="3426" spans="1:37" x14ac:dyDescent="0.25">
      <c r="A3426" t="s">
        <v>860</v>
      </c>
      <c r="B3426" t="s">
        <v>861</v>
      </c>
      <c r="C3426">
        <v>26</v>
      </c>
      <c r="D3426" t="s">
        <v>22</v>
      </c>
      <c r="E3426">
        <v>72</v>
      </c>
      <c r="F3426">
        <v>200</v>
      </c>
      <c r="G3426" t="s">
        <v>150</v>
      </c>
      <c r="H3426">
        <v>2020</v>
      </c>
      <c r="I3426" t="s">
        <v>33</v>
      </c>
      <c r="J3426">
        <v>7</v>
      </c>
      <c r="K3426">
        <v>0</v>
      </c>
      <c r="L3426">
        <v>1</v>
      </c>
      <c r="M3426">
        <v>0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17</v>
      </c>
      <c r="T3426">
        <v>17</v>
      </c>
      <c r="U3426" s="5">
        <f>IF(Merge1[[#This Row],[team_defense_snaps]]=0, "", Merge1[[#This Row],[defense_snaps]] / Merge1[[#This Row],[team_defense_snaps]])</f>
        <v>0.27868852459016391</v>
      </c>
      <c r="V3426">
        <v>61</v>
      </c>
      <c r="W3426">
        <v>0</v>
      </c>
      <c r="X3426" s="5">
        <v>0</v>
      </c>
      <c r="Y3426">
        <v>4</v>
      </c>
      <c r="Z3426">
        <v>0</v>
      </c>
      <c r="AA3426" t="s">
        <v>25</v>
      </c>
      <c r="AB3426" t="s">
        <v>26</v>
      </c>
      <c r="AC3426" t="s">
        <v>27</v>
      </c>
      <c r="AD3426" t="s">
        <v>42</v>
      </c>
      <c r="AE3426" t="s">
        <v>25</v>
      </c>
      <c r="AF342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2.9411764705882353E-2</v>
      </c>
      <c r="AG3426" t="s">
        <v>941</v>
      </c>
      <c r="AH3426">
        <v>57</v>
      </c>
      <c r="AI3426" t="s">
        <v>939</v>
      </c>
      <c r="AJ3426">
        <v>2</v>
      </c>
      <c r="AK342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MIN(AJ3426/8, 1) +
  Merge1[[#This Row],[index_defensive_effort]],
  2
)</f>
        <v>0.88</v>
      </c>
    </row>
    <row r="3427" spans="1:37" x14ac:dyDescent="0.25">
      <c r="A3427" t="s">
        <v>860</v>
      </c>
      <c r="B3427" t="s">
        <v>861</v>
      </c>
      <c r="C3427">
        <v>26</v>
      </c>
      <c r="D3427" t="s">
        <v>22</v>
      </c>
      <c r="E3427">
        <v>72</v>
      </c>
      <c r="F3427">
        <v>200</v>
      </c>
      <c r="G3427" t="s">
        <v>150</v>
      </c>
      <c r="H3427">
        <v>2020</v>
      </c>
      <c r="I3427" t="s">
        <v>33</v>
      </c>
      <c r="J3427">
        <v>8</v>
      </c>
      <c r="K3427">
        <v>6</v>
      </c>
      <c r="L3427">
        <v>1</v>
      </c>
      <c r="M3427">
        <v>0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28</v>
      </c>
      <c r="T3427">
        <v>28</v>
      </c>
      <c r="U3427" s="5">
        <f>IF(Merge1[[#This Row],[team_defense_snaps]]=0, "", Merge1[[#This Row],[defense_snaps]] / Merge1[[#This Row],[team_defense_snaps]])</f>
        <v>0.35</v>
      </c>
      <c r="V3427">
        <v>80</v>
      </c>
      <c r="W3427">
        <v>0</v>
      </c>
      <c r="X3427" s="5">
        <v>0</v>
      </c>
      <c r="Y3427">
        <v>4</v>
      </c>
      <c r="Z3427">
        <v>0</v>
      </c>
      <c r="AA3427" t="s">
        <v>25</v>
      </c>
      <c r="AB3427" t="s">
        <v>26</v>
      </c>
      <c r="AC3427" t="s">
        <v>27</v>
      </c>
      <c r="AD3427" t="s">
        <v>42</v>
      </c>
      <c r="AE3427" t="s">
        <v>25</v>
      </c>
      <c r="AF342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0.23214285714285715</v>
      </c>
      <c r="AG3427" t="s">
        <v>941</v>
      </c>
      <c r="AH3427">
        <v>58.5</v>
      </c>
      <c r="AI3427" t="s">
        <v>939</v>
      </c>
      <c r="AJ3427">
        <v>3</v>
      </c>
      <c r="AK342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MIN(AJ3427/8, 1) +
  Merge1[[#This Row],[index_defensive_effort]],
  2
)</f>
        <v>1.21</v>
      </c>
    </row>
    <row r="3428" spans="1:37" x14ac:dyDescent="0.25">
      <c r="A3428" t="s">
        <v>860</v>
      </c>
      <c r="B3428" t="s">
        <v>861</v>
      </c>
      <c r="C3428">
        <v>26</v>
      </c>
      <c r="D3428" t="s">
        <v>22</v>
      </c>
      <c r="E3428">
        <v>72</v>
      </c>
      <c r="F3428">
        <v>200</v>
      </c>
      <c r="G3428" t="s">
        <v>150</v>
      </c>
      <c r="H3428">
        <v>2020</v>
      </c>
      <c r="I3428" t="s">
        <v>33</v>
      </c>
      <c r="J3428">
        <v>11</v>
      </c>
      <c r="K3428">
        <v>1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14</v>
      </c>
      <c r="T3428">
        <v>14</v>
      </c>
      <c r="U3428" s="5">
        <f>IF(Merge1[[#This Row],[team_defense_snaps]]=0, "", Merge1[[#This Row],[defense_snaps]] / Merge1[[#This Row],[team_defense_snaps]])</f>
        <v>0.20588235294117646</v>
      </c>
      <c r="V3428">
        <v>68</v>
      </c>
      <c r="W3428">
        <v>0</v>
      </c>
      <c r="X3428" s="5">
        <v>0</v>
      </c>
      <c r="Y3428">
        <v>4</v>
      </c>
      <c r="Z3428">
        <v>0</v>
      </c>
      <c r="AA3428" t="s">
        <v>25</v>
      </c>
      <c r="AB3428" t="s">
        <v>26</v>
      </c>
      <c r="AC3428" t="s">
        <v>27</v>
      </c>
      <c r="AD3428" t="s">
        <v>42</v>
      </c>
      <c r="AE3428" t="s">
        <v>25</v>
      </c>
      <c r="AF342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3428" t="s">
        <v>941</v>
      </c>
      <c r="AH3428">
        <v>54</v>
      </c>
      <c r="AI3428" t="s">
        <v>939</v>
      </c>
      <c r="AJ3428">
        <v>1</v>
      </c>
      <c r="AK342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MIN(AJ3428/8, 1) +
  Merge1[[#This Row],[index_defensive_effort]],
  2
)</f>
        <v>0.8</v>
      </c>
    </row>
    <row r="3429" spans="1:37" x14ac:dyDescent="0.25">
      <c r="A3429" t="s">
        <v>860</v>
      </c>
      <c r="B3429" t="s">
        <v>861</v>
      </c>
      <c r="C3429">
        <v>26</v>
      </c>
      <c r="D3429" t="s">
        <v>22</v>
      </c>
      <c r="E3429">
        <v>72</v>
      </c>
      <c r="F3429">
        <v>200</v>
      </c>
      <c r="G3429" t="s">
        <v>150</v>
      </c>
      <c r="H3429">
        <v>2020</v>
      </c>
      <c r="I3429" t="s">
        <v>33</v>
      </c>
      <c r="J3429">
        <v>12</v>
      </c>
      <c r="K3429">
        <v>1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10</v>
      </c>
      <c r="T3429">
        <v>10</v>
      </c>
      <c r="U3429" s="5">
        <f>IF(Merge1[[#This Row],[team_defense_snaps]]=0, "", Merge1[[#This Row],[defense_snaps]] / Merge1[[#This Row],[team_defense_snaps]])</f>
        <v>0.13333333333333333</v>
      </c>
      <c r="V3429">
        <v>75</v>
      </c>
      <c r="W3429">
        <v>0</v>
      </c>
      <c r="X3429" s="5">
        <v>0</v>
      </c>
      <c r="Y3429">
        <v>4</v>
      </c>
      <c r="Z3429">
        <v>0</v>
      </c>
      <c r="AA3429" t="s">
        <v>25</v>
      </c>
      <c r="AB3429" t="s">
        <v>26</v>
      </c>
      <c r="AC3429" t="s">
        <v>27</v>
      </c>
      <c r="AD3429" t="s">
        <v>42</v>
      </c>
      <c r="AE3429" t="s">
        <v>25</v>
      </c>
      <c r="AF342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AG3429" t="s">
        <v>943</v>
      </c>
      <c r="AH3429">
        <v>65.5</v>
      </c>
      <c r="AI3429" t="s">
        <v>939</v>
      </c>
      <c r="AJ3429">
        <v>2</v>
      </c>
      <c r="AK342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MIN(AJ3429/8, 1) +
  Merge1[[#This Row],[index_defensive_effort]],
  2
)</f>
        <v>0.95</v>
      </c>
    </row>
    <row r="3430" spans="1:37" x14ac:dyDescent="0.25">
      <c r="A3430" t="s">
        <v>860</v>
      </c>
      <c r="B3430" t="s">
        <v>861</v>
      </c>
      <c r="C3430">
        <v>26</v>
      </c>
      <c r="D3430" t="s">
        <v>22</v>
      </c>
      <c r="E3430">
        <v>72</v>
      </c>
      <c r="F3430">
        <v>200</v>
      </c>
      <c r="G3430" t="s">
        <v>67</v>
      </c>
      <c r="H3430">
        <v>2020</v>
      </c>
      <c r="I3430" t="s">
        <v>33</v>
      </c>
      <c r="J3430">
        <v>14</v>
      </c>
      <c r="K3430">
        <v>9</v>
      </c>
      <c r="L3430">
        <v>0</v>
      </c>
      <c r="M3430">
        <v>0</v>
      </c>
      <c r="N3430">
        <v>0</v>
      </c>
      <c r="O3430">
        <v>4</v>
      </c>
      <c r="P3430">
        <v>4</v>
      </c>
      <c r="Q3430">
        <v>0</v>
      </c>
      <c r="R3430">
        <v>0</v>
      </c>
      <c r="S3430">
        <v>64</v>
      </c>
      <c r="T3430">
        <v>54</v>
      </c>
      <c r="U3430" s="5">
        <f>IF(Merge1[[#This Row],[team_defense_snaps]]=0, "", Merge1[[#This Row],[defense_snaps]] / Merge1[[#This Row],[team_defense_snaps]])</f>
        <v>0.77142857142857146</v>
      </c>
      <c r="V3430">
        <v>70</v>
      </c>
      <c r="W3430">
        <v>10</v>
      </c>
      <c r="X3430" s="5" t="s">
        <v>123</v>
      </c>
      <c r="Y3430">
        <v>4</v>
      </c>
      <c r="Z3430">
        <v>0</v>
      </c>
      <c r="AA3430" t="s">
        <v>25</v>
      </c>
      <c r="AB3430" t="s">
        <v>26</v>
      </c>
      <c r="AC3430" t="s">
        <v>27</v>
      </c>
      <c r="AD3430" t="s">
        <v>28</v>
      </c>
      <c r="AE3430" t="s">
        <v>25</v>
      </c>
      <c r="AF343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0.453125</v>
      </c>
      <c r="AG3430" t="s">
        <v>943</v>
      </c>
      <c r="AH3430">
        <v>64</v>
      </c>
      <c r="AI3430" t="s">
        <v>939</v>
      </c>
      <c r="AJ3430">
        <v>1</v>
      </c>
      <c r="AK343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MIN(AJ3430/8, 1) +
  Merge1[[#This Row],[index_defensive_effort]],
  2
)</f>
        <v>1.18</v>
      </c>
    </row>
    <row r="3431" spans="1:37" x14ac:dyDescent="0.25">
      <c r="A3431" t="s">
        <v>860</v>
      </c>
      <c r="B3431" t="s">
        <v>861</v>
      </c>
      <c r="C3431">
        <v>26</v>
      </c>
      <c r="D3431" t="s">
        <v>22</v>
      </c>
      <c r="E3431">
        <v>72</v>
      </c>
      <c r="F3431">
        <v>200</v>
      </c>
      <c r="G3431" t="s">
        <v>67</v>
      </c>
      <c r="H3431">
        <v>2020</v>
      </c>
      <c r="I3431" t="s">
        <v>33</v>
      </c>
      <c r="J3431">
        <v>15</v>
      </c>
      <c r="K3431">
        <v>3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54</v>
      </c>
      <c r="T3431">
        <v>54</v>
      </c>
      <c r="U3431" s="5">
        <f>IF(Merge1[[#This Row],[team_defense_snaps]]=0, "", Merge1[[#This Row],[defense_snaps]] / Merge1[[#This Row],[team_defense_snaps]])</f>
        <v>0.73972602739726023</v>
      </c>
      <c r="V3431">
        <v>73</v>
      </c>
      <c r="W3431">
        <v>0</v>
      </c>
      <c r="X3431" s="5" t="s">
        <v>29</v>
      </c>
      <c r="Y3431">
        <v>4</v>
      </c>
      <c r="Z3431">
        <v>0</v>
      </c>
      <c r="AA3431" t="s">
        <v>25</v>
      </c>
      <c r="AB3431" t="s">
        <v>26</v>
      </c>
      <c r="AC3431" t="s">
        <v>27</v>
      </c>
      <c r="AD3431" t="s">
        <v>28</v>
      </c>
      <c r="AE3431" t="s">
        <v>25</v>
      </c>
      <c r="AF343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AG3431" t="s">
        <v>943</v>
      </c>
      <c r="AH3431">
        <v>62.5</v>
      </c>
      <c r="AI3431" t="s">
        <v>939</v>
      </c>
      <c r="AJ3431">
        <v>2</v>
      </c>
      <c r="AK343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MIN(AJ3431/8, 1) +
  Merge1[[#This Row],[index_defensive_effort]],
  2
)</f>
        <v>0.91</v>
      </c>
    </row>
    <row r="3432" spans="1:37" x14ac:dyDescent="0.25">
      <c r="A3432" t="s">
        <v>860</v>
      </c>
      <c r="B3432" t="s">
        <v>861</v>
      </c>
      <c r="C3432">
        <v>26</v>
      </c>
      <c r="D3432" t="s">
        <v>22</v>
      </c>
      <c r="E3432">
        <v>72</v>
      </c>
      <c r="F3432">
        <v>200</v>
      </c>
      <c r="G3432" t="s">
        <v>67</v>
      </c>
      <c r="H3432">
        <v>2020</v>
      </c>
      <c r="I3432" t="s">
        <v>33</v>
      </c>
      <c r="J3432">
        <v>16</v>
      </c>
      <c r="K3432">
        <v>6</v>
      </c>
      <c r="L3432">
        <v>0</v>
      </c>
      <c r="M3432">
        <v>0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40</v>
      </c>
      <c r="T3432">
        <v>39</v>
      </c>
      <c r="U3432" s="5">
        <f>IF(Merge1[[#This Row],[team_defense_snaps]]=0, "", Merge1[[#This Row],[defense_snaps]] / Merge1[[#This Row],[team_defense_snaps]])</f>
        <v>0.67241379310344829</v>
      </c>
      <c r="V3432">
        <v>58</v>
      </c>
      <c r="W3432">
        <v>1</v>
      </c>
      <c r="X3432" s="5" t="s">
        <v>303</v>
      </c>
      <c r="Y3432">
        <v>4</v>
      </c>
      <c r="Z3432">
        <v>0</v>
      </c>
      <c r="AA3432" t="s">
        <v>25</v>
      </c>
      <c r="AB3432" t="s">
        <v>26</v>
      </c>
      <c r="AC3432" t="s">
        <v>27</v>
      </c>
      <c r="AD3432" t="s">
        <v>28</v>
      </c>
      <c r="AE3432" t="s">
        <v>25</v>
      </c>
      <c r="AF343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</v>
      </c>
      <c r="AG3432" t="s">
        <v>943</v>
      </c>
      <c r="AH3432">
        <v>58</v>
      </c>
      <c r="AI3432" t="s">
        <v>939</v>
      </c>
      <c r="AJ3432">
        <v>3</v>
      </c>
      <c r="AK343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MIN(AJ3432/8, 1) +
  Merge1[[#This Row],[index_defensive_effort]],
  2
)</f>
        <v>1.18</v>
      </c>
    </row>
    <row r="3433" spans="1:37" x14ac:dyDescent="0.25">
      <c r="A3433" t="s">
        <v>860</v>
      </c>
      <c r="B3433" t="s">
        <v>861</v>
      </c>
      <c r="C3433">
        <v>26</v>
      </c>
      <c r="D3433" t="s">
        <v>22</v>
      </c>
      <c r="E3433">
        <v>72</v>
      </c>
      <c r="F3433">
        <v>200</v>
      </c>
      <c r="G3433" t="s">
        <v>67</v>
      </c>
      <c r="H3433">
        <v>2020</v>
      </c>
      <c r="I3433" t="s">
        <v>33</v>
      </c>
      <c r="J3433">
        <v>17</v>
      </c>
      <c r="K3433">
        <v>1</v>
      </c>
      <c r="L3433">
        <v>2</v>
      </c>
      <c r="M3433">
        <v>0</v>
      </c>
      <c r="N3433">
        <v>2</v>
      </c>
      <c r="O3433">
        <v>0</v>
      </c>
      <c r="P3433">
        <v>0</v>
      </c>
      <c r="Q3433">
        <v>0</v>
      </c>
      <c r="R3433">
        <v>0</v>
      </c>
      <c r="S3433">
        <v>53</v>
      </c>
      <c r="T3433">
        <v>53</v>
      </c>
      <c r="U3433" s="5">
        <f>IF(Merge1[[#This Row],[team_defense_snaps]]=0, "", Merge1[[#This Row],[defense_snaps]] / Merge1[[#This Row],[team_defense_snaps]])</f>
        <v>0.74647887323943662</v>
      </c>
      <c r="V3433">
        <v>71</v>
      </c>
      <c r="W3433">
        <v>0</v>
      </c>
      <c r="X3433" s="5" t="s">
        <v>29</v>
      </c>
      <c r="Y3433">
        <v>4</v>
      </c>
      <c r="Z3433">
        <v>0</v>
      </c>
      <c r="AA3433" t="s">
        <v>25</v>
      </c>
      <c r="AB3433" t="s">
        <v>26</v>
      </c>
      <c r="AC3433" t="s">
        <v>27</v>
      </c>
      <c r="AD3433" t="s">
        <v>28</v>
      </c>
      <c r="AE3433" t="s">
        <v>25</v>
      </c>
      <c r="AF343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3.7735849056603772E-2</v>
      </c>
      <c r="AG3433" t="s">
        <v>943</v>
      </c>
      <c r="AH3433">
        <v>56.5</v>
      </c>
      <c r="AI3433" t="s">
        <v>939</v>
      </c>
      <c r="AJ3433">
        <v>4</v>
      </c>
      <c r="AK343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MIN(AJ3433/8, 1) +
  Merge1[[#This Row],[index_defensive_effort]],
  2
)</f>
        <v>1.1399999999999999</v>
      </c>
    </row>
    <row r="3434" spans="1:37" x14ac:dyDescent="0.25">
      <c r="A3434" t="s">
        <v>862</v>
      </c>
      <c r="B3434" t="s">
        <v>863</v>
      </c>
      <c r="C3434">
        <v>27</v>
      </c>
      <c r="D3434" t="s">
        <v>22</v>
      </c>
      <c r="E3434">
        <v>71</v>
      </c>
      <c r="F3434">
        <v>186</v>
      </c>
      <c r="G3434" t="s">
        <v>41</v>
      </c>
      <c r="H3434">
        <v>2020</v>
      </c>
      <c r="I3434" t="s">
        <v>33</v>
      </c>
      <c r="J3434">
        <v>1</v>
      </c>
      <c r="K3434">
        <v>2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42</v>
      </c>
      <c r="T3434">
        <v>24</v>
      </c>
      <c r="U3434" s="5">
        <f>IF(Merge1[[#This Row],[team_defense_snaps]]=0, "", Merge1[[#This Row],[defense_snaps]] / Merge1[[#This Row],[team_defense_snaps]])</f>
        <v>0.46153846153846156</v>
      </c>
      <c r="V3434">
        <v>52</v>
      </c>
      <c r="W3434">
        <v>18</v>
      </c>
      <c r="X3434" s="5" t="s">
        <v>100</v>
      </c>
      <c r="Y3434">
        <v>4</v>
      </c>
      <c r="Z3434">
        <v>0</v>
      </c>
      <c r="AA3434" t="s">
        <v>25</v>
      </c>
      <c r="AB3434" t="s">
        <v>26</v>
      </c>
      <c r="AC3434" t="s">
        <v>27</v>
      </c>
      <c r="AD3434" t="s">
        <v>28</v>
      </c>
      <c r="AE3434" t="s">
        <v>25</v>
      </c>
      <c r="AF343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4.7619047619047616E-2</v>
      </c>
      <c r="AG3434" t="s">
        <v>943</v>
      </c>
      <c r="AH3434">
        <v>41</v>
      </c>
      <c r="AI3434" t="s">
        <v>939</v>
      </c>
      <c r="AJ3434">
        <v>1</v>
      </c>
      <c r="AK343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MIN(AJ3434/8, 1) +
  Merge1[[#This Row],[index_defensive_effort]],
  2
)</f>
        <v>0.67</v>
      </c>
    </row>
    <row r="3435" spans="1:37" x14ac:dyDescent="0.25">
      <c r="A3435" t="s">
        <v>862</v>
      </c>
      <c r="B3435" t="s">
        <v>863</v>
      </c>
      <c r="C3435">
        <v>27</v>
      </c>
      <c r="D3435" t="s">
        <v>22</v>
      </c>
      <c r="E3435">
        <v>71</v>
      </c>
      <c r="F3435">
        <v>186</v>
      </c>
      <c r="G3435" t="s">
        <v>41</v>
      </c>
      <c r="H3435">
        <v>2020</v>
      </c>
      <c r="I3435" t="s">
        <v>33</v>
      </c>
      <c r="J3435">
        <v>2</v>
      </c>
      <c r="K3435">
        <v>1</v>
      </c>
      <c r="L3435">
        <v>0</v>
      </c>
      <c r="M3435">
        <v>0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35</v>
      </c>
      <c r="T3435">
        <v>12</v>
      </c>
      <c r="U3435" s="5">
        <f>IF(Merge1[[#This Row],[team_defense_snaps]]=0, "", Merge1[[#This Row],[defense_snaps]] / Merge1[[#This Row],[team_defense_snaps]])</f>
        <v>0.19354838709677419</v>
      </c>
      <c r="V3435">
        <v>62</v>
      </c>
      <c r="W3435">
        <v>23</v>
      </c>
      <c r="X3435" s="5" t="s">
        <v>218</v>
      </c>
      <c r="Y3435">
        <v>4</v>
      </c>
      <c r="Z3435">
        <v>0</v>
      </c>
      <c r="AA3435" t="s">
        <v>25</v>
      </c>
      <c r="AB3435" t="s">
        <v>26</v>
      </c>
      <c r="AC3435" t="s">
        <v>27</v>
      </c>
      <c r="AD3435" t="s">
        <v>28</v>
      </c>
      <c r="AE3435" t="s">
        <v>25</v>
      </c>
      <c r="AF343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8.5714285714285715E-2</v>
      </c>
      <c r="AG3435" t="s">
        <v>943</v>
      </c>
      <c r="AH3435">
        <v>48.5</v>
      </c>
      <c r="AI3435" t="s">
        <v>939</v>
      </c>
      <c r="AJ3435">
        <v>2</v>
      </c>
      <c r="AK343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MIN(AJ3435/8, 1) +
  Merge1[[#This Row],[index_defensive_effort]],
  2
)</f>
        <v>0.84</v>
      </c>
    </row>
    <row r="3436" spans="1:37" x14ac:dyDescent="0.25">
      <c r="A3436" t="s">
        <v>862</v>
      </c>
      <c r="B3436" t="s">
        <v>863</v>
      </c>
      <c r="C3436">
        <v>27</v>
      </c>
      <c r="D3436" t="s">
        <v>22</v>
      </c>
      <c r="E3436">
        <v>71</v>
      </c>
      <c r="F3436">
        <v>186</v>
      </c>
      <c r="G3436" t="s">
        <v>41</v>
      </c>
      <c r="H3436">
        <v>2020</v>
      </c>
      <c r="I3436" t="s">
        <v>33</v>
      </c>
      <c r="J3436">
        <v>3</v>
      </c>
      <c r="K3436">
        <v>2</v>
      </c>
      <c r="L3436">
        <v>1</v>
      </c>
      <c r="M3436">
        <v>0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56</v>
      </c>
      <c r="T3436">
        <v>32</v>
      </c>
      <c r="U3436" s="5">
        <f>IF(Merge1[[#This Row],[team_defense_snaps]]=0, "", Merge1[[#This Row],[defense_snaps]] / Merge1[[#This Row],[team_defense_snaps]])</f>
        <v>0.5161290322580645</v>
      </c>
      <c r="V3436">
        <v>62</v>
      </c>
      <c r="W3436">
        <v>24</v>
      </c>
      <c r="X3436" s="5" t="s">
        <v>81</v>
      </c>
      <c r="Y3436">
        <v>4</v>
      </c>
      <c r="Z3436">
        <v>0</v>
      </c>
      <c r="AA3436" t="s">
        <v>25</v>
      </c>
      <c r="AB3436" t="s">
        <v>26</v>
      </c>
      <c r="AC3436" t="s">
        <v>27</v>
      </c>
      <c r="AD3436" t="s">
        <v>28</v>
      </c>
      <c r="AE3436" t="s">
        <v>25</v>
      </c>
      <c r="AF343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4.4642857142857144E-2</v>
      </c>
      <c r="AG3436" t="s">
        <v>943</v>
      </c>
      <c r="AH3436">
        <v>57.5</v>
      </c>
      <c r="AI3436" t="s">
        <v>939</v>
      </c>
      <c r="AJ3436">
        <v>3</v>
      </c>
      <c r="AK343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MIN(AJ3436/8, 1) +
  Merge1[[#This Row],[index_defensive_effort]],
  2
)</f>
        <v>0.92</v>
      </c>
    </row>
    <row r="3437" spans="1:37" x14ac:dyDescent="0.25">
      <c r="A3437" t="s">
        <v>862</v>
      </c>
      <c r="B3437" t="s">
        <v>863</v>
      </c>
      <c r="C3437">
        <v>27</v>
      </c>
      <c r="D3437" t="s">
        <v>22</v>
      </c>
      <c r="E3437">
        <v>71</v>
      </c>
      <c r="F3437">
        <v>186</v>
      </c>
      <c r="G3437" t="s">
        <v>41</v>
      </c>
      <c r="H3437">
        <v>2020</v>
      </c>
      <c r="I3437" t="s">
        <v>33</v>
      </c>
      <c r="J3437">
        <v>4</v>
      </c>
      <c r="K3437">
        <v>3</v>
      </c>
      <c r="L3437">
        <v>2</v>
      </c>
      <c r="M3437">
        <v>0</v>
      </c>
      <c r="N3437">
        <v>2</v>
      </c>
      <c r="O3437">
        <v>0</v>
      </c>
      <c r="P3437">
        <v>1</v>
      </c>
      <c r="Q3437">
        <v>0</v>
      </c>
      <c r="R3437">
        <v>0</v>
      </c>
      <c r="S3437">
        <v>56</v>
      </c>
      <c r="T3437">
        <v>39</v>
      </c>
      <c r="U3437" s="5">
        <f>IF(Merge1[[#This Row],[team_defense_snaps]]=0, "", Merge1[[#This Row],[defense_snaps]] / Merge1[[#This Row],[team_defense_snaps]])</f>
        <v>0.52</v>
      </c>
      <c r="V3437">
        <v>75</v>
      </c>
      <c r="W3437">
        <v>17</v>
      </c>
      <c r="X3437" s="5" t="s">
        <v>110</v>
      </c>
      <c r="Y3437">
        <v>4</v>
      </c>
      <c r="Z3437">
        <v>0</v>
      </c>
      <c r="AA3437" t="s">
        <v>25</v>
      </c>
      <c r="AB3437" t="s">
        <v>26</v>
      </c>
      <c r="AC3437" t="s">
        <v>27</v>
      </c>
      <c r="AD3437" t="s">
        <v>28</v>
      </c>
      <c r="AE3437" t="s">
        <v>25</v>
      </c>
      <c r="AF343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0.10714285714285714</v>
      </c>
      <c r="AG3437" t="s">
        <v>943</v>
      </c>
      <c r="AH3437">
        <v>65</v>
      </c>
      <c r="AI3437" t="s">
        <v>939</v>
      </c>
      <c r="AJ3437">
        <v>4</v>
      </c>
      <c r="AK343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MIN(AJ3437/8, 1) +
  Merge1[[#This Row],[index_defensive_effort]],
  2
)</f>
        <v>1.1100000000000001</v>
      </c>
    </row>
    <row r="3438" spans="1:37" x14ac:dyDescent="0.25">
      <c r="A3438" t="s">
        <v>862</v>
      </c>
      <c r="B3438" t="s">
        <v>863</v>
      </c>
      <c r="C3438">
        <v>27</v>
      </c>
      <c r="D3438" t="s">
        <v>22</v>
      </c>
      <c r="E3438">
        <v>71</v>
      </c>
      <c r="F3438">
        <v>186</v>
      </c>
      <c r="G3438" t="s">
        <v>41</v>
      </c>
      <c r="H3438">
        <v>2020</v>
      </c>
      <c r="I3438" t="s">
        <v>33</v>
      </c>
      <c r="J3438">
        <v>6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44</v>
      </c>
      <c r="T3438">
        <v>21</v>
      </c>
      <c r="U3438" s="5">
        <f>IF(Merge1[[#This Row],[team_defense_snaps]]=0, "", Merge1[[#This Row],[defense_snaps]] / Merge1[[#This Row],[team_defense_snaps]])</f>
        <v>0.328125</v>
      </c>
      <c r="V3438">
        <v>64</v>
      </c>
      <c r="W3438">
        <v>23</v>
      </c>
      <c r="X3438" s="5" t="s">
        <v>218</v>
      </c>
      <c r="Y3438">
        <v>4</v>
      </c>
      <c r="Z3438">
        <v>0</v>
      </c>
      <c r="AA3438" t="s">
        <v>25</v>
      </c>
      <c r="AB3438" t="s">
        <v>26</v>
      </c>
      <c r="AC3438" t="s">
        <v>27</v>
      </c>
      <c r="AD3438" t="s">
        <v>28</v>
      </c>
      <c r="AE3438" t="s">
        <v>25</v>
      </c>
      <c r="AF343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G3438" t="s">
        <v>943</v>
      </c>
      <c r="AH3438">
        <v>60.5</v>
      </c>
      <c r="AI3438" t="s">
        <v>939</v>
      </c>
      <c r="AJ3438">
        <v>1</v>
      </c>
      <c r="AK343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MIN(AJ3438/8, 1) +
  Merge1[[#This Row],[index_defensive_effort]],
  2
)</f>
        <v>0.67</v>
      </c>
    </row>
    <row r="3439" spans="1:37" x14ac:dyDescent="0.25">
      <c r="A3439" t="s">
        <v>862</v>
      </c>
      <c r="B3439" t="s">
        <v>863</v>
      </c>
      <c r="C3439">
        <v>27</v>
      </c>
      <c r="D3439" t="s">
        <v>22</v>
      </c>
      <c r="E3439">
        <v>71</v>
      </c>
      <c r="F3439">
        <v>186</v>
      </c>
      <c r="G3439" t="s">
        <v>41</v>
      </c>
      <c r="H3439">
        <v>2020</v>
      </c>
      <c r="I3439" t="s">
        <v>33</v>
      </c>
      <c r="J3439">
        <v>7</v>
      </c>
      <c r="K3439">
        <v>3</v>
      </c>
      <c r="L3439">
        <v>3</v>
      </c>
      <c r="M3439">
        <v>2</v>
      </c>
      <c r="N3439">
        <v>5</v>
      </c>
      <c r="O3439">
        <v>0</v>
      </c>
      <c r="P3439">
        <v>0</v>
      </c>
      <c r="Q3439">
        <v>0</v>
      </c>
      <c r="R3439">
        <v>0</v>
      </c>
      <c r="S3439">
        <v>77</v>
      </c>
      <c r="T3439">
        <v>68</v>
      </c>
      <c r="U3439" s="5">
        <f>IF(Merge1[[#This Row],[team_defense_snaps]]=0, "", Merge1[[#This Row],[defense_snaps]] / Merge1[[#This Row],[team_defense_snaps]])</f>
        <v>1</v>
      </c>
      <c r="V3439">
        <v>68</v>
      </c>
      <c r="W3439">
        <v>9</v>
      </c>
      <c r="X3439" s="5" t="s">
        <v>138</v>
      </c>
      <c r="Y3439">
        <v>4</v>
      </c>
      <c r="Z3439">
        <v>0</v>
      </c>
      <c r="AA3439" t="s">
        <v>25</v>
      </c>
      <c r="AB3439" t="s">
        <v>26</v>
      </c>
      <c r="AC3439" t="s">
        <v>27</v>
      </c>
      <c r="AD3439" t="s">
        <v>42</v>
      </c>
      <c r="AE3439" t="s">
        <v>25</v>
      </c>
      <c r="AF343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7.1428571428571425E-2</v>
      </c>
      <c r="AG3439" t="s">
        <v>943</v>
      </c>
      <c r="AH3439">
        <v>63.5</v>
      </c>
      <c r="AI3439" t="s">
        <v>939</v>
      </c>
      <c r="AJ3439">
        <v>2</v>
      </c>
      <c r="AK343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MIN(AJ3439/8, 1) +
  Merge1[[#This Row],[index_defensive_effort]],
  2
)</f>
        <v>0.82</v>
      </c>
    </row>
    <row r="3440" spans="1:37" x14ac:dyDescent="0.25">
      <c r="A3440" t="s">
        <v>862</v>
      </c>
      <c r="B3440" t="s">
        <v>863</v>
      </c>
      <c r="C3440">
        <v>27</v>
      </c>
      <c r="D3440" t="s">
        <v>22</v>
      </c>
      <c r="E3440">
        <v>71</v>
      </c>
      <c r="F3440">
        <v>186</v>
      </c>
      <c r="G3440" t="s">
        <v>41</v>
      </c>
      <c r="H3440">
        <v>2020</v>
      </c>
      <c r="I3440" t="s">
        <v>33</v>
      </c>
      <c r="J3440">
        <v>12</v>
      </c>
      <c r="K3440">
        <v>3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46</v>
      </c>
      <c r="T3440">
        <v>30</v>
      </c>
      <c r="U3440" s="5">
        <f>IF(Merge1[[#This Row],[team_defense_snaps]]=0, "", Merge1[[#This Row],[defense_snaps]] / Merge1[[#This Row],[team_defense_snaps]])</f>
        <v>0.44117647058823528</v>
      </c>
      <c r="V3440">
        <v>68</v>
      </c>
      <c r="W3440">
        <v>16</v>
      </c>
      <c r="X3440" s="5" t="s">
        <v>80</v>
      </c>
      <c r="Y3440">
        <v>4</v>
      </c>
      <c r="Z3440">
        <v>0</v>
      </c>
      <c r="AA3440" t="s">
        <v>25</v>
      </c>
      <c r="AB3440" t="s">
        <v>26</v>
      </c>
      <c r="AC3440" t="s">
        <v>27</v>
      </c>
      <c r="AD3440" t="s">
        <v>28</v>
      </c>
      <c r="AE3440" t="s">
        <v>25</v>
      </c>
      <c r="AF344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6.5217391304347824E-2</v>
      </c>
      <c r="AG3440" t="s">
        <v>943</v>
      </c>
      <c r="AH3440">
        <v>62</v>
      </c>
      <c r="AI3440" t="s">
        <v>939</v>
      </c>
      <c r="AJ3440">
        <v>1</v>
      </c>
      <c r="AK344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MIN(AJ3440/8, 1) +
  Merge1[[#This Row],[index_defensive_effort]],
  2
)</f>
        <v>0.69</v>
      </c>
    </row>
    <row r="3441" spans="1:37" x14ac:dyDescent="0.25">
      <c r="A3441" t="s">
        <v>862</v>
      </c>
      <c r="B3441" t="s">
        <v>863</v>
      </c>
      <c r="C3441">
        <v>27</v>
      </c>
      <c r="D3441" t="s">
        <v>22</v>
      </c>
      <c r="E3441">
        <v>71</v>
      </c>
      <c r="F3441">
        <v>186</v>
      </c>
      <c r="G3441" t="s">
        <v>41</v>
      </c>
      <c r="H3441">
        <v>2020</v>
      </c>
      <c r="I3441" t="s">
        <v>33</v>
      </c>
      <c r="J3441">
        <v>14</v>
      </c>
      <c r="K3441">
        <v>2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63</v>
      </c>
      <c r="T3441">
        <v>43</v>
      </c>
      <c r="U3441" s="5">
        <f>IF(Merge1[[#This Row],[team_defense_snaps]]=0, "", Merge1[[#This Row],[defense_snaps]] / Merge1[[#This Row],[team_defense_snaps]])</f>
        <v>0.63235294117647056</v>
      </c>
      <c r="V3441">
        <v>68</v>
      </c>
      <c r="W3441">
        <v>20</v>
      </c>
      <c r="X3441" s="5" t="s">
        <v>68</v>
      </c>
      <c r="Y3441">
        <v>4</v>
      </c>
      <c r="Z3441">
        <v>0</v>
      </c>
      <c r="AA3441" t="s">
        <v>25</v>
      </c>
      <c r="AB3441" t="s">
        <v>26</v>
      </c>
      <c r="AC3441" t="s">
        <v>27</v>
      </c>
      <c r="AD3441" t="s">
        <v>28</v>
      </c>
      <c r="AE3441" t="s">
        <v>25</v>
      </c>
      <c r="AF344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3.1746031746031744E-2</v>
      </c>
      <c r="AG3441" t="s">
        <v>943</v>
      </c>
      <c r="AH3441">
        <v>45.5</v>
      </c>
      <c r="AI3441" t="s">
        <v>939</v>
      </c>
      <c r="AJ3441">
        <v>1</v>
      </c>
      <c r="AK344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MIN(AJ3441/8, 1) +
  Merge1[[#This Row],[index_defensive_effort]],
  2
)</f>
        <v>0.66</v>
      </c>
    </row>
    <row r="3442" spans="1:37" x14ac:dyDescent="0.25">
      <c r="A3442" t="s">
        <v>862</v>
      </c>
      <c r="B3442" t="s">
        <v>863</v>
      </c>
      <c r="C3442">
        <v>27</v>
      </c>
      <c r="D3442" t="s">
        <v>22</v>
      </c>
      <c r="E3442">
        <v>71</v>
      </c>
      <c r="F3442">
        <v>186</v>
      </c>
      <c r="G3442" t="s">
        <v>41</v>
      </c>
      <c r="H3442">
        <v>2020</v>
      </c>
      <c r="I3442" t="s">
        <v>33</v>
      </c>
      <c r="J3442">
        <v>17</v>
      </c>
      <c r="K3442">
        <v>2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53</v>
      </c>
      <c r="T3442">
        <v>35</v>
      </c>
      <c r="U3442" s="5">
        <f>IF(Merge1[[#This Row],[team_defense_snaps]]=0, "", Merge1[[#This Row],[defense_snaps]] / Merge1[[#This Row],[team_defense_snaps]])</f>
        <v>0.46666666666666667</v>
      </c>
      <c r="V3442">
        <v>75</v>
      </c>
      <c r="W3442">
        <v>18</v>
      </c>
      <c r="X3442" s="5" t="s">
        <v>101</v>
      </c>
      <c r="Y3442">
        <v>4</v>
      </c>
      <c r="Z3442">
        <v>0</v>
      </c>
      <c r="AA3442" t="s">
        <v>25</v>
      </c>
      <c r="AB3442" t="s">
        <v>26</v>
      </c>
      <c r="AC3442" t="s">
        <v>27</v>
      </c>
      <c r="AD3442" t="s">
        <v>28</v>
      </c>
      <c r="AE3442" t="s">
        <v>25</v>
      </c>
      <c r="AF344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3.7735849056603772E-2</v>
      </c>
      <c r="AG3442" t="s">
        <v>943</v>
      </c>
      <c r="AH3442">
        <v>56</v>
      </c>
      <c r="AI3442" t="s">
        <v>939</v>
      </c>
      <c r="AJ3442">
        <v>1</v>
      </c>
      <c r="AK344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MIN(AJ3442/8, 1) +
  Merge1[[#This Row],[index_defensive_effort]],
  2
)</f>
        <v>0.66</v>
      </c>
    </row>
    <row r="3443" spans="1:37" x14ac:dyDescent="0.25">
      <c r="A3443" t="s">
        <v>858</v>
      </c>
      <c r="B3443" t="s">
        <v>859</v>
      </c>
      <c r="C3443">
        <v>27</v>
      </c>
      <c r="D3443" t="s">
        <v>56</v>
      </c>
      <c r="E3443">
        <v>72</v>
      </c>
      <c r="F3443">
        <v>196</v>
      </c>
      <c r="G3443" t="s">
        <v>235</v>
      </c>
      <c r="H3443">
        <v>2020</v>
      </c>
      <c r="I3443" t="s">
        <v>33</v>
      </c>
      <c r="J3443">
        <v>1</v>
      </c>
      <c r="K3443">
        <v>3</v>
      </c>
      <c r="L3443">
        <v>1</v>
      </c>
      <c r="M3443">
        <v>0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6</v>
      </c>
      <c r="T3443">
        <v>0</v>
      </c>
      <c r="U3443" s="5">
        <f>IF(Merge1[[#This Row],[team_defense_snaps]]=0, "", Merge1[[#This Row],[defense_snaps]] / Merge1[[#This Row],[team_defense_snaps]])</f>
        <v>0</v>
      </c>
      <c r="V3443">
        <v>74</v>
      </c>
      <c r="W3443">
        <v>6</v>
      </c>
      <c r="X3443" s="5" t="s">
        <v>293</v>
      </c>
      <c r="Y3443">
        <v>4</v>
      </c>
      <c r="Z3443">
        <v>0</v>
      </c>
      <c r="AA3443" t="s">
        <v>25</v>
      </c>
      <c r="AB3443" t="s">
        <v>26</v>
      </c>
      <c r="AC3443" t="s">
        <v>27</v>
      </c>
      <c r="AD3443" t="s">
        <v>42</v>
      </c>
      <c r="AE3443" t="s">
        <v>25</v>
      </c>
      <c r="AF344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0.58333333333333337</v>
      </c>
      <c r="AG3443" t="s">
        <v>942</v>
      </c>
      <c r="AH3443">
        <v>61.5</v>
      </c>
      <c r="AI3443" t="s">
        <v>939</v>
      </c>
      <c r="AJ3443">
        <v>1</v>
      </c>
      <c r="AK344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MIN(AJ3443/8, 1) +
  Merge1[[#This Row],[index_defensive_effort]],
  2
)</f>
        <v>1.21</v>
      </c>
    </row>
    <row r="3444" spans="1:37" x14ac:dyDescent="0.25">
      <c r="A3444" t="s">
        <v>858</v>
      </c>
      <c r="B3444" t="s">
        <v>859</v>
      </c>
      <c r="C3444">
        <v>27</v>
      </c>
      <c r="D3444" t="s">
        <v>56</v>
      </c>
      <c r="E3444">
        <v>72</v>
      </c>
      <c r="F3444">
        <v>196</v>
      </c>
      <c r="G3444" t="s">
        <v>235</v>
      </c>
      <c r="H3444">
        <v>2020</v>
      </c>
      <c r="I3444" t="s">
        <v>33</v>
      </c>
      <c r="J3444">
        <v>2</v>
      </c>
      <c r="K3444">
        <v>6</v>
      </c>
      <c r="L3444">
        <v>1</v>
      </c>
      <c r="M3444">
        <v>0</v>
      </c>
      <c r="N3444">
        <v>1</v>
      </c>
      <c r="O3444">
        <v>0</v>
      </c>
      <c r="P3444">
        <v>0</v>
      </c>
      <c r="Q3444">
        <v>2</v>
      </c>
      <c r="R3444">
        <v>0</v>
      </c>
      <c r="S3444">
        <v>5</v>
      </c>
      <c r="T3444">
        <v>0</v>
      </c>
      <c r="U3444" s="5">
        <f>IF(Merge1[[#This Row],[team_defense_snaps]]=0, "", Merge1[[#This Row],[defense_snaps]] / Merge1[[#This Row],[team_defense_snaps]])</f>
        <v>0</v>
      </c>
      <c r="V3444">
        <v>58</v>
      </c>
      <c r="W3444">
        <v>5</v>
      </c>
      <c r="X3444" s="5" t="s">
        <v>59</v>
      </c>
      <c r="Y3444">
        <v>4</v>
      </c>
      <c r="Z3444">
        <v>0</v>
      </c>
      <c r="AA3444" t="s">
        <v>25</v>
      </c>
      <c r="AB3444" t="s">
        <v>26</v>
      </c>
      <c r="AC3444" t="s">
        <v>27</v>
      </c>
      <c r="AD3444" t="s">
        <v>42</v>
      </c>
      <c r="AE3444" t="s">
        <v>25</v>
      </c>
      <c r="AF344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3444" t="s">
        <v>942</v>
      </c>
      <c r="AH3444">
        <v>55.5</v>
      </c>
      <c r="AI3444" t="s">
        <v>939</v>
      </c>
      <c r="AJ3444">
        <v>2</v>
      </c>
      <c r="AK344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MIN(AJ3444/8, 1) +
  Merge1[[#This Row],[index_defensive_effort]],
  2
)</f>
        <v>1.75</v>
      </c>
    </row>
    <row r="3445" spans="1:37" x14ac:dyDescent="0.25">
      <c r="A3445" t="s">
        <v>858</v>
      </c>
      <c r="B3445" t="s">
        <v>859</v>
      </c>
      <c r="C3445">
        <v>27</v>
      </c>
      <c r="D3445" t="s">
        <v>56</v>
      </c>
      <c r="E3445">
        <v>72</v>
      </c>
      <c r="F3445">
        <v>196</v>
      </c>
      <c r="G3445" t="s">
        <v>235</v>
      </c>
      <c r="H3445">
        <v>2020</v>
      </c>
      <c r="I3445" t="s">
        <v>33</v>
      </c>
      <c r="J3445">
        <v>3</v>
      </c>
      <c r="K3445">
        <v>4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4</v>
      </c>
      <c r="T3445">
        <v>0</v>
      </c>
      <c r="U3445" s="5">
        <f>IF(Merge1[[#This Row],[team_defense_snaps]]=0, "", Merge1[[#This Row],[defense_snaps]] / Merge1[[#This Row],[team_defense_snaps]])</f>
        <v>0</v>
      </c>
      <c r="V3445">
        <v>91</v>
      </c>
      <c r="W3445">
        <v>4</v>
      </c>
      <c r="X3445" s="5" t="s">
        <v>35</v>
      </c>
      <c r="Y3445">
        <v>4</v>
      </c>
      <c r="Z3445">
        <v>0</v>
      </c>
      <c r="AA3445" t="s">
        <v>25</v>
      </c>
      <c r="AB3445" t="s">
        <v>26</v>
      </c>
      <c r="AC3445" t="s">
        <v>27</v>
      </c>
      <c r="AD3445" t="s">
        <v>42</v>
      </c>
      <c r="AE3445" t="s">
        <v>25</v>
      </c>
      <c r="AF344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3445" t="s">
        <v>942</v>
      </c>
      <c r="AH3445">
        <v>58.5</v>
      </c>
      <c r="AI3445" t="s">
        <v>939</v>
      </c>
      <c r="AJ3445">
        <v>3</v>
      </c>
      <c r="AK344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MIN(AJ3445/8, 1) +
  Merge1[[#This Row],[index_defensive_effort]],
  2
)</f>
        <v>1.88</v>
      </c>
    </row>
    <row r="3446" spans="1:37" x14ac:dyDescent="0.25">
      <c r="A3446" t="s">
        <v>858</v>
      </c>
      <c r="B3446" t="s">
        <v>859</v>
      </c>
      <c r="C3446">
        <v>27</v>
      </c>
      <c r="D3446" t="s">
        <v>56</v>
      </c>
      <c r="E3446">
        <v>72</v>
      </c>
      <c r="F3446">
        <v>196</v>
      </c>
      <c r="G3446" t="s">
        <v>235</v>
      </c>
      <c r="H3446">
        <v>2020</v>
      </c>
      <c r="I3446" t="s">
        <v>33</v>
      </c>
      <c r="J3446">
        <v>4</v>
      </c>
      <c r="K3446">
        <v>4</v>
      </c>
      <c r="L3446">
        <v>1</v>
      </c>
      <c r="M3446">
        <v>0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 s="5">
        <f>IF(Merge1[[#This Row],[team_defense_snaps]]=0, "", Merge1[[#This Row],[defense_snaps]] / Merge1[[#This Row],[team_defense_snaps]])</f>
        <v>0</v>
      </c>
      <c r="V3446">
        <v>68</v>
      </c>
      <c r="W3446">
        <v>0</v>
      </c>
      <c r="X3446" s="5" t="s">
        <v>29</v>
      </c>
      <c r="Y3446">
        <v>4</v>
      </c>
      <c r="Z3446">
        <v>0</v>
      </c>
      <c r="AA3446" t="s">
        <v>25</v>
      </c>
      <c r="AB3446" t="s">
        <v>26</v>
      </c>
      <c r="AC3446" t="s">
        <v>27</v>
      </c>
      <c r="AD3446" t="s">
        <v>42</v>
      </c>
      <c r="AE3446" t="s">
        <v>25</v>
      </c>
      <c r="AF344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446" t="s">
        <v>942</v>
      </c>
      <c r="AH3446">
        <v>57</v>
      </c>
      <c r="AI3446" t="s">
        <v>27</v>
      </c>
      <c r="AJ3446">
        <v>4</v>
      </c>
      <c r="AK344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MIN(AJ3446/8, 1) +
  Merge1[[#This Row],[index_defensive_effort]],
  2
)</f>
        <v>1</v>
      </c>
    </row>
    <row r="3447" spans="1:37" x14ac:dyDescent="0.25">
      <c r="A3447" t="s">
        <v>858</v>
      </c>
      <c r="B3447" t="s">
        <v>859</v>
      </c>
      <c r="C3447">
        <v>27</v>
      </c>
      <c r="D3447" t="s">
        <v>56</v>
      </c>
      <c r="E3447">
        <v>72</v>
      </c>
      <c r="F3447">
        <v>196</v>
      </c>
      <c r="G3447" t="s">
        <v>235</v>
      </c>
      <c r="H3447">
        <v>2020</v>
      </c>
      <c r="I3447" t="s">
        <v>33</v>
      </c>
      <c r="J3447">
        <v>5</v>
      </c>
      <c r="K3447">
        <v>3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 s="5">
        <f>IF(Merge1[[#This Row],[team_defense_snaps]]=0, "", Merge1[[#This Row],[defense_snaps]] / Merge1[[#This Row],[team_defense_snaps]])</f>
        <v>0</v>
      </c>
      <c r="V3447">
        <v>63</v>
      </c>
      <c r="W3447">
        <v>0</v>
      </c>
      <c r="X3447" s="5" t="s">
        <v>29</v>
      </c>
      <c r="Y3447">
        <v>4</v>
      </c>
      <c r="Z3447">
        <v>0</v>
      </c>
      <c r="AA3447" t="s">
        <v>25</v>
      </c>
      <c r="AB3447" t="s">
        <v>26</v>
      </c>
      <c r="AC3447" t="s">
        <v>27</v>
      </c>
      <c r="AD3447" t="s">
        <v>42</v>
      </c>
      <c r="AE3447" t="s">
        <v>25</v>
      </c>
      <c r="AF344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447" t="s">
        <v>942</v>
      </c>
      <c r="AH3447">
        <v>64.5</v>
      </c>
      <c r="AI3447" t="s">
        <v>27</v>
      </c>
      <c r="AJ3447">
        <v>5</v>
      </c>
      <c r="AK344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MIN(AJ3447/8, 1) +
  Merge1[[#This Row],[index_defensive_effort]],
  2
)</f>
        <v>1.1299999999999999</v>
      </c>
    </row>
    <row r="3448" spans="1:37" x14ac:dyDescent="0.25">
      <c r="A3448" t="s">
        <v>858</v>
      </c>
      <c r="B3448" t="s">
        <v>859</v>
      </c>
      <c r="C3448">
        <v>27</v>
      </c>
      <c r="D3448" t="s">
        <v>56</v>
      </c>
      <c r="E3448">
        <v>72</v>
      </c>
      <c r="F3448">
        <v>196</v>
      </c>
      <c r="G3448" t="s">
        <v>235</v>
      </c>
      <c r="H3448">
        <v>2020</v>
      </c>
      <c r="I3448" t="s">
        <v>33</v>
      </c>
      <c r="J3448">
        <v>6</v>
      </c>
      <c r="K3448">
        <v>2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 s="5">
        <f>IF(Merge1[[#This Row],[team_defense_snaps]]=0, "", Merge1[[#This Row],[defense_snaps]] / Merge1[[#This Row],[team_defense_snaps]])</f>
        <v>0</v>
      </c>
      <c r="V3448">
        <v>63</v>
      </c>
      <c r="W3448">
        <v>0</v>
      </c>
      <c r="X3448" s="5" t="s">
        <v>29</v>
      </c>
      <c r="Y3448">
        <v>4</v>
      </c>
      <c r="Z3448">
        <v>0</v>
      </c>
      <c r="AA3448" t="s">
        <v>25</v>
      </c>
      <c r="AB3448" t="s">
        <v>26</v>
      </c>
      <c r="AC3448" t="s">
        <v>27</v>
      </c>
      <c r="AD3448" t="s">
        <v>42</v>
      </c>
      <c r="AE3448" t="s">
        <v>25</v>
      </c>
      <c r="AF344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448" t="s">
        <v>942</v>
      </c>
      <c r="AH3448">
        <v>49.5</v>
      </c>
      <c r="AI3448" t="s">
        <v>27</v>
      </c>
      <c r="AJ3448">
        <v>6</v>
      </c>
      <c r="AK344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MIN(AJ3448/8, 1) +
  Merge1[[#This Row],[index_defensive_effort]],
  2
)</f>
        <v>1.25</v>
      </c>
    </row>
    <row r="3449" spans="1:37" x14ac:dyDescent="0.25">
      <c r="A3449" t="s">
        <v>858</v>
      </c>
      <c r="B3449" t="s">
        <v>859</v>
      </c>
      <c r="C3449">
        <v>27</v>
      </c>
      <c r="D3449" t="s">
        <v>56</v>
      </c>
      <c r="E3449">
        <v>72</v>
      </c>
      <c r="F3449">
        <v>196</v>
      </c>
      <c r="G3449" t="s">
        <v>235</v>
      </c>
      <c r="H3449">
        <v>2020</v>
      </c>
      <c r="I3449" t="s">
        <v>33</v>
      </c>
      <c r="J3449">
        <v>8</v>
      </c>
      <c r="K3449">
        <v>2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 s="5">
        <f>IF(Merge1[[#This Row],[team_defense_snaps]]=0, "", Merge1[[#This Row],[defense_snaps]] / Merge1[[#This Row],[team_defense_snaps]])</f>
        <v>0</v>
      </c>
      <c r="V3449">
        <v>63</v>
      </c>
      <c r="W3449">
        <v>0</v>
      </c>
      <c r="X3449" s="5" t="s">
        <v>29</v>
      </c>
      <c r="Y3449">
        <v>4</v>
      </c>
      <c r="Z3449">
        <v>0</v>
      </c>
      <c r="AA3449" t="s">
        <v>25</v>
      </c>
      <c r="AB3449" t="s">
        <v>26</v>
      </c>
      <c r="AC3449" t="s">
        <v>27</v>
      </c>
      <c r="AD3449" t="s">
        <v>42</v>
      </c>
      <c r="AE3449" t="s">
        <v>25</v>
      </c>
      <c r="AF344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449" t="s">
        <v>942</v>
      </c>
      <c r="AH3449">
        <v>67.5</v>
      </c>
      <c r="AI3449" t="s">
        <v>27</v>
      </c>
      <c r="AJ3449">
        <v>1</v>
      </c>
      <c r="AK344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MIN(AJ3449/8, 1) +
  Merge1[[#This Row],[index_defensive_effort]],
  2
)</f>
        <v>0.63</v>
      </c>
    </row>
    <row r="3450" spans="1:37" x14ac:dyDescent="0.25">
      <c r="A3450" t="s">
        <v>858</v>
      </c>
      <c r="B3450" t="s">
        <v>859</v>
      </c>
      <c r="C3450">
        <v>27</v>
      </c>
      <c r="D3450" t="s">
        <v>56</v>
      </c>
      <c r="E3450">
        <v>72</v>
      </c>
      <c r="F3450">
        <v>196</v>
      </c>
      <c r="G3450" t="s">
        <v>235</v>
      </c>
      <c r="H3450">
        <v>2020</v>
      </c>
      <c r="I3450" t="s">
        <v>33</v>
      </c>
      <c r="J3450">
        <v>10</v>
      </c>
      <c r="K3450">
        <v>3</v>
      </c>
      <c r="L3450">
        <v>3</v>
      </c>
      <c r="M3450">
        <v>2</v>
      </c>
      <c r="N3450">
        <v>5</v>
      </c>
      <c r="O3450">
        <v>0</v>
      </c>
      <c r="P3450">
        <v>1</v>
      </c>
      <c r="Q3450">
        <v>0</v>
      </c>
      <c r="R3450">
        <v>0</v>
      </c>
      <c r="S3450">
        <v>6</v>
      </c>
      <c r="T3450">
        <v>0</v>
      </c>
      <c r="U3450" s="5">
        <f>IF(Merge1[[#This Row],[team_defense_snaps]]=0, "", Merge1[[#This Row],[defense_snaps]] / Merge1[[#This Row],[team_defense_snaps]])</f>
        <v>0</v>
      </c>
      <c r="V3450">
        <v>73</v>
      </c>
      <c r="W3450">
        <v>6</v>
      </c>
      <c r="X3450" s="5" t="s">
        <v>124</v>
      </c>
      <c r="Y3450">
        <v>4</v>
      </c>
      <c r="Z3450">
        <v>0</v>
      </c>
      <c r="AA3450" t="s">
        <v>25</v>
      </c>
      <c r="AB3450" t="s">
        <v>26</v>
      </c>
      <c r="AC3450" t="s">
        <v>27</v>
      </c>
      <c r="AD3450" t="s">
        <v>42</v>
      </c>
      <c r="AE3450" t="s">
        <v>25</v>
      </c>
      <c r="AF345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3450" t="s">
        <v>942</v>
      </c>
      <c r="AH3450">
        <v>54</v>
      </c>
      <c r="AI3450" t="s">
        <v>939</v>
      </c>
      <c r="AJ3450">
        <v>1</v>
      </c>
      <c r="AK345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MIN(AJ3450/8, 1) +
  Merge1[[#This Row],[index_defensive_effort]],
  2
)</f>
        <v>1.63</v>
      </c>
    </row>
    <row r="3451" spans="1:37" x14ac:dyDescent="0.25">
      <c r="A3451" t="s">
        <v>858</v>
      </c>
      <c r="B3451" t="s">
        <v>859</v>
      </c>
      <c r="C3451">
        <v>27</v>
      </c>
      <c r="D3451" t="s">
        <v>56</v>
      </c>
      <c r="E3451">
        <v>72</v>
      </c>
      <c r="F3451">
        <v>196</v>
      </c>
      <c r="G3451" t="s">
        <v>235</v>
      </c>
      <c r="H3451">
        <v>2020</v>
      </c>
      <c r="I3451" t="s">
        <v>33</v>
      </c>
      <c r="J3451">
        <v>11</v>
      </c>
      <c r="K3451">
        <v>2</v>
      </c>
      <c r="L3451">
        <v>1</v>
      </c>
      <c r="M3451">
        <v>0</v>
      </c>
      <c r="N3451">
        <v>1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 s="5">
        <f>IF(Merge1[[#This Row],[team_defense_snaps]]=0, "", Merge1[[#This Row],[defense_snaps]] / Merge1[[#This Row],[team_defense_snaps]])</f>
        <v>0</v>
      </c>
      <c r="V3451">
        <v>62</v>
      </c>
      <c r="W3451">
        <v>0</v>
      </c>
      <c r="X3451" s="5" t="s">
        <v>29</v>
      </c>
      <c r="Y3451">
        <v>4</v>
      </c>
      <c r="Z3451">
        <v>0</v>
      </c>
      <c r="AA3451" t="s">
        <v>25</v>
      </c>
      <c r="AB3451" t="s">
        <v>26</v>
      </c>
      <c r="AC3451" t="s">
        <v>27</v>
      </c>
      <c r="AD3451" t="s">
        <v>42</v>
      </c>
      <c r="AE3451" t="s">
        <v>25</v>
      </c>
      <c r="AF345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451" t="s">
        <v>942</v>
      </c>
      <c r="AH3451">
        <v>69</v>
      </c>
      <c r="AI3451" t="s">
        <v>27</v>
      </c>
      <c r="AJ3451">
        <v>2</v>
      </c>
      <c r="AK345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MIN(AJ3451/8, 1) +
  Merge1[[#This Row],[index_defensive_effort]],
  2
)</f>
        <v>0.75</v>
      </c>
    </row>
    <row r="3452" spans="1:37" x14ac:dyDescent="0.25">
      <c r="A3452" t="s">
        <v>858</v>
      </c>
      <c r="B3452" t="s">
        <v>859</v>
      </c>
      <c r="C3452">
        <v>27</v>
      </c>
      <c r="D3452" t="s">
        <v>56</v>
      </c>
      <c r="E3452">
        <v>72</v>
      </c>
      <c r="F3452">
        <v>196</v>
      </c>
      <c r="G3452" t="s">
        <v>235</v>
      </c>
      <c r="H3452">
        <v>2020</v>
      </c>
      <c r="I3452" t="s">
        <v>33</v>
      </c>
      <c r="J3452">
        <v>12</v>
      </c>
      <c r="K3452">
        <v>0</v>
      </c>
      <c r="L3452">
        <v>1</v>
      </c>
      <c r="M3452">
        <v>0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2</v>
      </c>
      <c r="T3452">
        <v>0</v>
      </c>
      <c r="U3452" s="5">
        <f>IF(Merge1[[#This Row],[team_defense_snaps]]=0, "", Merge1[[#This Row],[defense_snaps]] / Merge1[[#This Row],[team_defense_snaps]])</f>
        <v>0</v>
      </c>
      <c r="V3452">
        <v>81</v>
      </c>
      <c r="W3452">
        <v>2</v>
      </c>
      <c r="X3452" s="5" t="s">
        <v>208</v>
      </c>
      <c r="Y3452">
        <v>4</v>
      </c>
      <c r="Z3452">
        <v>0</v>
      </c>
      <c r="AA3452" t="s">
        <v>25</v>
      </c>
      <c r="AB3452" t="s">
        <v>26</v>
      </c>
      <c r="AC3452" t="s">
        <v>27</v>
      </c>
      <c r="AD3452" t="s">
        <v>42</v>
      </c>
      <c r="AE3452" t="s">
        <v>25</v>
      </c>
      <c r="AF345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</v>
      </c>
      <c r="AG3452" t="s">
        <v>942</v>
      </c>
      <c r="AH3452">
        <v>66</v>
      </c>
      <c r="AI3452" t="s">
        <v>939</v>
      </c>
      <c r="AJ3452">
        <v>3</v>
      </c>
      <c r="AK345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MIN(AJ3452/8, 1) +
  Merge1[[#This Row],[index_defensive_effort]],
  2
)</f>
        <v>1.1299999999999999</v>
      </c>
    </row>
    <row r="3453" spans="1:37" x14ac:dyDescent="0.25">
      <c r="A3453" t="s">
        <v>858</v>
      </c>
      <c r="B3453" t="s">
        <v>859</v>
      </c>
      <c r="C3453">
        <v>27</v>
      </c>
      <c r="D3453" t="s">
        <v>56</v>
      </c>
      <c r="E3453">
        <v>72</v>
      </c>
      <c r="F3453">
        <v>196</v>
      </c>
      <c r="G3453" t="s">
        <v>235</v>
      </c>
      <c r="H3453">
        <v>2020</v>
      </c>
      <c r="I3453" t="s">
        <v>33</v>
      </c>
      <c r="J3453">
        <v>13</v>
      </c>
      <c r="K3453">
        <v>3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 s="5">
        <f>IF(Merge1[[#This Row],[team_defense_snaps]]=0, "", Merge1[[#This Row],[defense_snaps]] / Merge1[[#This Row],[team_defense_snaps]])</f>
        <v>0</v>
      </c>
      <c r="V3453">
        <v>70</v>
      </c>
      <c r="W3453">
        <v>0</v>
      </c>
      <c r="X3453" s="5" t="s">
        <v>29</v>
      </c>
      <c r="Y3453">
        <v>4</v>
      </c>
      <c r="Z3453">
        <v>0</v>
      </c>
      <c r="AA3453" t="s">
        <v>25</v>
      </c>
      <c r="AB3453" t="s">
        <v>26</v>
      </c>
      <c r="AC3453" t="s">
        <v>27</v>
      </c>
      <c r="AD3453" t="s">
        <v>42</v>
      </c>
      <c r="AE3453" t="s">
        <v>25</v>
      </c>
      <c r="AF345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453" t="s">
        <v>942</v>
      </c>
      <c r="AH3453">
        <v>51</v>
      </c>
      <c r="AI3453" t="s">
        <v>27</v>
      </c>
      <c r="AJ3453">
        <v>4</v>
      </c>
      <c r="AK345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MIN(AJ3453/8, 1) +
  Merge1[[#This Row],[index_defensive_effort]],
  2
)</f>
        <v>1</v>
      </c>
    </row>
    <row r="3454" spans="1:37" x14ac:dyDescent="0.25">
      <c r="A3454" t="s">
        <v>858</v>
      </c>
      <c r="B3454" t="s">
        <v>859</v>
      </c>
      <c r="C3454">
        <v>27</v>
      </c>
      <c r="D3454" t="s">
        <v>56</v>
      </c>
      <c r="E3454">
        <v>72</v>
      </c>
      <c r="F3454">
        <v>196</v>
      </c>
      <c r="G3454" t="s">
        <v>235</v>
      </c>
      <c r="H3454">
        <v>2020</v>
      </c>
      <c r="I3454" t="s">
        <v>33</v>
      </c>
      <c r="J3454">
        <v>14</v>
      </c>
      <c r="K3454">
        <v>2</v>
      </c>
      <c r="L3454">
        <v>1</v>
      </c>
      <c r="M3454">
        <v>0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1</v>
      </c>
      <c r="T3454">
        <v>0</v>
      </c>
      <c r="U3454" s="5">
        <f>IF(Merge1[[#This Row],[team_defense_snaps]]=0, "", Merge1[[#This Row],[defense_snaps]] / Merge1[[#This Row],[team_defense_snaps]])</f>
        <v>0</v>
      </c>
      <c r="V3454">
        <v>51</v>
      </c>
      <c r="W3454">
        <v>1</v>
      </c>
      <c r="X3454" s="5" t="s">
        <v>34</v>
      </c>
      <c r="Y3454">
        <v>4</v>
      </c>
      <c r="Z3454">
        <v>0</v>
      </c>
      <c r="AA3454" t="s">
        <v>25</v>
      </c>
      <c r="AB3454" t="s">
        <v>26</v>
      </c>
      <c r="AC3454" t="s">
        <v>27</v>
      </c>
      <c r="AD3454" t="s">
        <v>42</v>
      </c>
      <c r="AE3454" t="s">
        <v>25</v>
      </c>
      <c r="AF345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AG3454" t="s">
        <v>942</v>
      </c>
      <c r="AH3454">
        <v>70.5</v>
      </c>
      <c r="AI3454" t="s">
        <v>939</v>
      </c>
      <c r="AJ3454">
        <v>5</v>
      </c>
      <c r="AK345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MIN(AJ3454/8, 1) +
  Merge1[[#This Row],[index_defensive_effort]],
  2
)</f>
        <v>2.13</v>
      </c>
    </row>
    <row r="3455" spans="1:37" x14ac:dyDescent="0.25">
      <c r="A3455" t="s">
        <v>858</v>
      </c>
      <c r="B3455" t="s">
        <v>859</v>
      </c>
      <c r="C3455">
        <v>27</v>
      </c>
      <c r="D3455" t="s">
        <v>56</v>
      </c>
      <c r="E3455">
        <v>72</v>
      </c>
      <c r="F3455">
        <v>196</v>
      </c>
      <c r="G3455" t="s">
        <v>235</v>
      </c>
      <c r="H3455">
        <v>2020</v>
      </c>
      <c r="I3455" t="s">
        <v>33</v>
      </c>
      <c r="J3455">
        <v>15</v>
      </c>
      <c r="K3455">
        <v>3</v>
      </c>
      <c r="L3455">
        <v>0</v>
      </c>
      <c r="M3455">
        <v>0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 s="5">
        <f>IF(Merge1[[#This Row],[team_defense_snaps]]=0, "", Merge1[[#This Row],[defense_snaps]] / Merge1[[#This Row],[team_defense_snaps]])</f>
        <v>0</v>
      </c>
      <c r="V3455">
        <v>65</v>
      </c>
      <c r="W3455">
        <v>0</v>
      </c>
      <c r="X3455" s="5" t="s">
        <v>29</v>
      </c>
      <c r="Y3455">
        <v>4</v>
      </c>
      <c r="Z3455">
        <v>0</v>
      </c>
      <c r="AA3455" t="s">
        <v>25</v>
      </c>
      <c r="AB3455" t="s">
        <v>26</v>
      </c>
      <c r="AC3455" t="s">
        <v>27</v>
      </c>
      <c r="AD3455" t="s">
        <v>42</v>
      </c>
      <c r="AE3455" t="s">
        <v>25</v>
      </c>
      <c r="AF345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455" t="s">
        <v>942</v>
      </c>
      <c r="AH3455">
        <v>52.5</v>
      </c>
      <c r="AI3455" t="s">
        <v>27</v>
      </c>
      <c r="AJ3455">
        <v>6</v>
      </c>
      <c r="AK345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MIN(AJ3455/8, 1) +
  Merge1[[#This Row],[index_defensive_effort]],
  2
)</f>
        <v>1.25</v>
      </c>
    </row>
    <row r="3456" spans="1:37" x14ac:dyDescent="0.25">
      <c r="A3456" t="s">
        <v>858</v>
      </c>
      <c r="B3456" t="s">
        <v>859</v>
      </c>
      <c r="C3456">
        <v>27</v>
      </c>
      <c r="D3456" t="s">
        <v>56</v>
      </c>
      <c r="E3456">
        <v>72</v>
      </c>
      <c r="F3456">
        <v>196</v>
      </c>
      <c r="G3456" t="s">
        <v>235</v>
      </c>
      <c r="H3456">
        <v>2020</v>
      </c>
      <c r="I3456" t="s">
        <v>33</v>
      </c>
      <c r="J3456">
        <v>16</v>
      </c>
      <c r="K3456">
        <v>2</v>
      </c>
      <c r="L3456">
        <v>0</v>
      </c>
      <c r="M3456">
        <v>0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 s="5">
        <f>IF(Merge1[[#This Row],[team_defense_snaps]]=0, "", Merge1[[#This Row],[defense_snaps]] / Merge1[[#This Row],[team_defense_snaps]])</f>
        <v>0</v>
      </c>
      <c r="V3456">
        <v>52</v>
      </c>
      <c r="W3456">
        <v>0</v>
      </c>
      <c r="X3456" s="5" t="s">
        <v>29</v>
      </c>
      <c r="Y3456">
        <v>4</v>
      </c>
      <c r="Z3456">
        <v>0</v>
      </c>
      <c r="AA3456" t="s">
        <v>25</v>
      </c>
      <c r="AB3456" t="s">
        <v>26</v>
      </c>
      <c r="AC3456" t="s">
        <v>27</v>
      </c>
      <c r="AD3456" t="s">
        <v>42</v>
      </c>
      <c r="AE3456" t="s">
        <v>25</v>
      </c>
      <c r="AF345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456" t="s">
        <v>942</v>
      </c>
      <c r="AH3456">
        <v>72</v>
      </c>
      <c r="AI3456" t="s">
        <v>27</v>
      </c>
      <c r="AJ3456">
        <v>7</v>
      </c>
      <c r="AK345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MIN(AJ3456/8, 1) +
  Merge1[[#This Row],[index_defensive_effort]],
  2
)</f>
        <v>1.38</v>
      </c>
    </row>
    <row r="3457" spans="1:37" x14ac:dyDescent="0.25">
      <c r="A3457" t="s">
        <v>866</v>
      </c>
      <c r="B3457" t="s">
        <v>867</v>
      </c>
      <c r="C3457">
        <v>27</v>
      </c>
      <c r="D3457" t="s">
        <v>56</v>
      </c>
      <c r="E3457">
        <v>73</v>
      </c>
      <c r="F3457">
        <v>203</v>
      </c>
      <c r="G3457" t="s">
        <v>203</v>
      </c>
      <c r="H3457">
        <v>2020</v>
      </c>
      <c r="I3457" t="s">
        <v>33</v>
      </c>
      <c r="J3457">
        <v>1</v>
      </c>
      <c r="K3457">
        <v>0</v>
      </c>
      <c r="L3457">
        <v>1</v>
      </c>
      <c r="M3457">
        <v>1</v>
      </c>
      <c r="N3457">
        <v>2</v>
      </c>
      <c r="O3457">
        <v>0</v>
      </c>
      <c r="P3457">
        <v>0</v>
      </c>
      <c r="Q3457">
        <v>0</v>
      </c>
      <c r="R3457">
        <v>0</v>
      </c>
      <c r="S3457">
        <v>27</v>
      </c>
      <c r="T3457">
        <v>27</v>
      </c>
      <c r="U3457" s="5">
        <f>IF(Merge1[[#This Row],[team_defense_snaps]]=0, "", Merge1[[#This Row],[defense_snaps]] / Merge1[[#This Row],[team_defense_snaps]])</f>
        <v>0.41538461538461541</v>
      </c>
      <c r="V3457">
        <v>65</v>
      </c>
      <c r="W3457">
        <v>0</v>
      </c>
      <c r="X3457" s="5" t="s">
        <v>29</v>
      </c>
      <c r="Y3457">
        <v>4</v>
      </c>
      <c r="Z3457">
        <v>0</v>
      </c>
      <c r="AA3457" t="s">
        <v>25</v>
      </c>
      <c r="AB3457" t="s">
        <v>26</v>
      </c>
      <c r="AC3457" t="s">
        <v>27</v>
      </c>
      <c r="AD3457" t="s">
        <v>42</v>
      </c>
      <c r="AE3457" t="s">
        <v>25</v>
      </c>
      <c r="AF345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3.7037037037037035E-2</v>
      </c>
      <c r="AG3457" t="s">
        <v>941</v>
      </c>
      <c r="AH3457">
        <v>68.5</v>
      </c>
      <c r="AI3457" t="s">
        <v>939</v>
      </c>
      <c r="AJ3457">
        <v>1</v>
      </c>
      <c r="AK345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MIN(AJ3457/8, 1) +
  Merge1[[#This Row],[index_defensive_effort]],
  2
)</f>
        <v>0.66</v>
      </c>
    </row>
    <row r="3458" spans="1:37" x14ac:dyDescent="0.25">
      <c r="A3458" t="s">
        <v>866</v>
      </c>
      <c r="B3458" t="s">
        <v>867</v>
      </c>
      <c r="C3458">
        <v>27</v>
      </c>
      <c r="D3458" t="s">
        <v>56</v>
      </c>
      <c r="E3458">
        <v>73</v>
      </c>
      <c r="F3458">
        <v>203</v>
      </c>
      <c r="G3458" t="s">
        <v>203</v>
      </c>
      <c r="H3458">
        <v>2020</v>
      </c>
      <c r="I3458" t="s">
        <v>33</v>
      </c>
      <c r="J3458">
        <v>2</v>
      </c>
      <c r="K3458">
        <v>1</v>
      </c>
      <c r="L3458">
        <v>2</v>
      </c>
      <c r="M3458">
        <v>1</v>
      </c>
      <c r="N3458">
        <v>3</v>
      </c>
      <c r="O3458">
        <v>0</v>
      </c>
      <c r="P3458">
        <v>0</v>
      </c>
      <c r="Q3458">
        <v>0</v>
      </c>
      <c r="R3458">
        <v>0</v>
      </c>
      <c r="S3458">
        <v>60</v>
      </c>
      <c r="T3458">
        <v>60</v>
      </c>
      <c r="U3458" s="5">
        <f>IF(Merge1[[#This Row],[team_defense_snaps]]=0, "", Merge1[[#This Row],[defense_snaps]] / Merge1[[#This Row],[team_defense_snaps]])</f>
        <v>0.967741935483871</v>
      </c>
      <c r="V3458">
        <v>62</v>
      </c>
      <c r="W3458">
        <v>0</v>
      </c>
      <c r="X3458" s="5" t="s">
        <v>29</v>
      </c>
      <c r="Y3458">
        <v>4</v>
      </c>
      <c r="Z3458">
        <v>0</v>
      </c>
      <c r="AA3458" t="s">
        <v>25</v>
      </c>
      <c r="AB3458" t="s">
        <v>26</v>
      </c>
      <c r="AC3458" t="s">
        <v>27</v>
      </c>
      <c r="AD3458" t="s">
        <v>42</v>
      </c>
      <c r="AE3458" t="s">
        <v>25</v>
      </c>
      <c r="AF345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AG3458" t="s">
        <v>941</v>
      </c>
      <c r="AH3458">
        <v>70</v>
      </c>
      <c r="AI3458" t="s">
        <v>939</v>
      </c>
      <c r="AJ3458">
        <v>2</v>
      </c>
      <c r="AK345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MIN(AJ3458/8, 1) +
  Merge1[[#This Row],[index_defensive_effort]],
  2
)</f>
        <v>0.79</v>
      </c>
    </row>
    <row r="3459" spans="1:37" x14ac:dyDescent="0.25">
      <c r="A3459" t="s">
        <v>866</v>
      </c>
      <c r="B3459" t="s">
        <v>867</v>
      </c>
      <c r="C3459">
        <v>27</v>
      </c>
      <c r="D3459" t="s">
        <v>56</v>
      </c>
      <c r="E3459">
        <v>73</v>
      </c>
      <c r="F3459">
        <v>203</v>
      </c>
      <c r="G3459" t="s">
        <v>203</v>
      </c>
      <c r="H3459">
        <v>2020</v>
      </c>
      <c r="I3459" t="s">
        <v>33</v>
      </c>
      <c r="J3459">
        <v>3</v>
      </c>
      <c r="K3459">
        <v>3</v>
      </c>
      <c r="L3459">
        <v>0</v>
      </c>
      <c r="M3459">
        <v>0</v>
      </c>
      <c r="N3459">
        <v>0</v>
      </c>
      <c r="O3459">
        <v>0</v>
      </c>
      <c r="P3459">
        <v>1</v>
      </c>
      <c r="Q3459">
        <v>2</v>
      </c>
      <c r="R3459">
        <v>0</v>
      </c>
      <c r="S3459">
        <v>66</v>
      </c>
      <c r="T3459">
        <v>66</v>
      </c>
      <c r="U3459" s="5">
        <f>IF(Merge1[[#This Row],[team_defense_snaps]]=0, "", Merge1[[#This Row],[defense_snaps]] / Merge1[[#This Row],[team_defense_snaps]])</f>
        <v>0.9850746268656716</v>
      </c>
      <c r="V3459">
        <v>67</v>
      </c>
      <c r="W3459">
        <v>0</v>
      </c>
      <c r="X3459" s="5" t="s">
        <v>29</v>
      </c>
      <c r="Y3459">
        <v>4</v>
      </c>
      <c r="Z3459">
        <v>0</v>
      </c>
      <c r="AA3459" t="s">
        <v>25</v>
      </c>
      <c r="AB3459" t="s">
        <v>26</v>
      </c>
      <c r="AC3459" t="s">
        <v>27</v>
      </c>
      <c r="AD3459" t="s">
        <v>42</v>
      </c>
      <c r="AE3459" t="s">
        <v>25</v>
      </c>
      <c r="AF345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0.19696969696969696</v>
      </c>
      <c r="AG3459" t="s">
        <v>941</v>
      </c>
      <c r="AH3459">
        <v>76</v>
      </c>
      <c r="AI3459" t="s">
        <v>939</v>
      </c>
      <c r="AJ3459">
        <v>3</v>
      </c>
      <c r="AK345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MIN(AJ3459/8, 1) +
  Merge1[[#This Row],[index_defensive_effort]],
  2
)</f>
        <v>1.07</v>
      </c>
    </row>
    <row r="3460" spans="1:37" x14ac:dyDescent="0.25">
      <c r="A3460" t="s">
        <v>866</v>
      </c>
      <c r="B3460" t="s">
        <v>867</v>
      </c>
      <c r="C3460">
        <v>27</v>
      </c>
      <c r="D3460" t="s">
        <v>56</v>
      </c>
      <c r="E3460">
        <v>73</v>
      </c>
      <c r="F3460">
        <v>203</v>
      </c>
      <c r="G3460" t="s">
        <v>203</v>
      </c>
      <c r="H3460">
        <v>2020</v>
      </c>
      <c r="I3460" t="s">
        <v>33</v>
      </c>
      <c r="J3460">
        <v>4</v>
      </c>
      <c r="K3460">
        <v>3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2</v>
      </c>
      <c r="R3460">
        <v>0</v>
      </c>
      <c r="S3460">
        <v>63</v>
      </c>
      <c r="T3460">
        <v>63</v>
      </c>
      <c r="U3460" s="5">
        <f>IF(Merge1[[#This Row],[team_defense_snaps]]=0, "", Merge1[[#This Row],[defense_snaps]] / Merge1[[#This Row],[team_defense_snaps]])</f>
        <v>0.984375</v>
      </c>
      <c r="V3460">
        <v>64</v>
      </c>
      <c r="W3460">
        <v>0</v>
      </c>
      <c r="X3460" s="5" t="s">
        <v>29</v>
      </c>
      <c r="Y3460">
        <v>4</v>
      </c>
      <c r="Z3460">
        <v>0</v>
      </c>
      <c r="AA3460" t="s">
        <v>25</v>
      </c>
      <c r="AB3460" t="s">
        <v>26</v>
      </c>
      <c r="AC3460" t="s">
        <v>27</v>
      </c>
      <c r="AD3460" t="s">
        <v>42</v>
      </c>
      <c r="AE3460" t="s">
        <v>25</v>
      </c>
      <c r="AF346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0.17460317460317459</v>
      </c>
      <c r="AG3460" t="s">
        <v>941</v>
      </c>
      <c r="AH3460">
        <v>77.5</v>
      </c>
      <c r="AI3460" t="s">
        <v>939</v>
      </c>
      <c r="AJ3460">
        <v>4</v>
      </c>
      <c r="AK346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MIN(AJ3460/8, 1) +
  Merge1[[#This Row],[index_defensive_effort]],
  2
)</f>
        <v>1.17</v>
      </c>
    </row>
    <row r="3461" spans="1:37" x14ac:dyDescent="0.25">
      <c r="A3461" t="s">
        <v>866</v>
      </c>
      <c r="B3461" t="s">
        <v>867</v>
      </c>
      <c r="C3461">
        <v>27</v>
      </c>
      <c r="D3461" t="s">
        <v>56</v>
      </c>
      <c r="E3461">
        <v>73</v>
      </c>
      <c r="F3461">
        <v>203</v>
      </c>
      <c r="G3461" t="s">
        <v>203</v>
      </c>
      <c r="H3461">
        <v>2020</v>
      </c>
      <c r="I3461" t="s">
        <v>33</v>
      </c>
      <c r="J3461">
        <v>5</v>
      </c>
      <c r="K3461">
        <v>3</v>
      </c>
      <c r="L3461">
        <v>1</v>
      </c>
      <c r="M3461">
        <v>0</v>
      </c>
      <c r="N3461">
        <v>1</v>
      </c>
      <c r="O3461">
        <v>0</v>
      </c>
      <c r="P3461">
        <v>0</v>
      </c>
      <c r="Q3461">
        <v>2</v>
      </c>
      <c r="R3461">
        <v>0</v>
      </c>
      <c r="S3461">
        <v>54</v>
      </c>
      <c r="T3461">
        <v>54</v>
      </c>
      <c r="U3461" s="5">
        <f>IF(Merge1[[#This Row],[team_defense_snaps]]=0, "", Merge1[[#This Row],[defense_snaps]] / Merge1[[#This Row],[team_defense_snaps]])</f>
        <v>0.84375</v>
      </c>
      <c r="V3461">
        <v>64</v>
      </c>
      <c r="W3461">
        <v>0</v>
      </c>
      <c r="X3461" s="5" t="s">
        <v>29</v>
      </c>
      <c r="Y3461">
        <v>4</v>
      </c>
      <c r="Z3461">
        <v>0</v>
      </c>
      <c r="AA3461" t="s">
        <v>25</v>
      </c>
      <c r="AB3461" t="s">
        <v>26</v>
      </c>
      <c r="AC3461" t="s">
        <v>27</v>
      </c>
      <c r="AD3461" t="s">
        <v>42</v>
      </c>
      <c r="AE3461" t="s">
        <v>25</v>
      </c>
      <c r="AF346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0.21296296296296297</v>
      </c>
      <c r="AG3461" t="s">
        <v>941</v>
      </c>
      <c r="AH3461">
        <v>82</v>
      </c>
      <c r="AI3461" t="s">
        <v>939</v>
      </c>
      <c r="AJ3461">
        <v>5</v>
      </c>
      <c r="AK346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MIN(AJ3461/8, 1) +
  Merge1[[#This Row],[index_defensive_effort]],
  2
)</f>
        <v>1.34</v>
      </c>
    </row>
    <row r="3462" spans="1:37" x14ac:dyDescent="0.25">
      <c r="A3462" t="s">
        <v>866</v>
      </c>
      <c r="B3462" t="s">
        <v>867</v>
      </c>
      <c r="C3462">
        <v>27</v>
      </c>
      <c r="D3462" t="s">
        <v>56</v>
      </c>
      <c r="E3462">
        <v>73</v>
      </c>
      <c r="F3462">
        <v>203</v>
      </c>
      <c r="G3462" t="s">
        <v>203</v>
      </c>
      <c r="H3462">
        <v>2020</v>
      </c>
      <c r="I3462" t="s">
        <v>33</v>
      </c>
      <c r="J3462">
        <v>6</v>
      </c>
      <c r="K3462">
        <v>3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2</v>
      </c>
      <c r="R3462">
        <v>0</v>
      </c>
      <c r="S3462">
        <v>60</v>
      </c>
      <c r="T3462">
        <v>60</v>
      </c>
      <c r="U3462" s="5">
        <f>IF(Merge1[[#This Row],[team_defense_snaps]]=0, "", Merge1[[#This Row],[defense_snaps]] / Merge1[[#This Row],[team_defense_snaps]])</f>
        <v>0.6</v>
      </c>
      <c r="V3462">
        <v>100</v>
      </c>
      <c r="W3462">
        <v>0</v>
      </c>
      <c r="X3462" s="5" t="s">
        <v>29</v>
      </c>
      <c r="Y3462">
        <v>4</v>
      </c>
      <c r="Z3462">
        <v>0</v>
      </c>
      <c r="AA3462" t="s">
        <v>25</v>
      </c>
      <c r="AB3462" t="s">
        <v>26</v>
      </c>
      <c r="AC3462" t="s">
        <v>27</v>
      </c>
      <c r="AD3462" t="s">
        <v>42</v>
      </c>
      <c r="AE3462" t="s">
        <v>25</v>
      </c>
      <c r="AF346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0.18333333333333332</v>
      </c>
      <c r="AG3462" t="s">
        <v>941</v>
      </c>
      <c r="AH3462">
        <v>71.5</v>
      </c>
      <c r="AI3462" t="s">
        <v>939</v>
      </c>
      <c r="AJ3462">
        <v>6</v>
      </c>
      <c r="AK346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MIN(AJ3462/8, 1) +
  Merge1[[#This Row],[index_defensive_effort]],
  2
)</f>
        <v>1.43</v>
      </c>
    </row>
    <row r="3463" spans="1:37" x14ac:dyDescent="0.25">
      <c r="A3463" t="s">
        <v>866</v>
      </c>
      <c r="B3463" t="s">
        <v>867</v>
      </c>
      <c r="C3463">
        <v>27</v>
      </c>
      <c r="D3463" t="s">
        <v>56</v>
      </c>
      <c r="E3463">
        <v>73</v>
      </c>
      <c r="F3463">
        <v>203</v>
      </c>
      <c r="G3463" t="s">
        <v>203</v>
      </c>
      <c r="H3463">
        <v>2020</v>
      </c>
      <c r="I3463" t="s">
        <v>33</v>
      </c>
      <c r="J3463">
        <v>8</v>
      </c>
      <c r="K3463">
        <v>6</v>
      </c>
      <c r="L3463">
        <v>1</v>
      </c>
      <c r="M3463">
        <v>0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96</v>
      </c>
      <c r="T3463">
        <v>95</v>
      </c>
      <c r="U3463" s="5">
        <f>IF(Merge1[[#This Row],[team_defense_snaps]]=0, "", Merge1[[#This Row],[defense_snaps]] / Merge1[[#This Row],[team_defense_snaps]])</f>
        <v>0.98958333333333337</v>
      </c>
      <c r="V3463">
        <v>96</v>
      </c>
      <c r="W3463">
        <v>1</v>
      </c>
      <c r="X3463" s="5" t="s">
        <v>303</v>
      </c>
      <c r="Y3463">
        <v>4</v>
      </c>
      <c r="Z3463">
        <v>0</v>
      </c>
      <c r="AA3463" t="s">
        <v>25</v>
      </c>
      <c r="AB3463" t="s">
        <v>26</v>
      </c>
      <c r="AC3463" t="s">
        <v>27</v>
      </c>
      <c r="AD3463" t="s">
        <v>42</v>
      </c>
      <c r="AE3463" t="s">
        <v>25</v>
      </c>
      <c r="AF346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6.7708333333333329E-2</v>
      </c>
      <c r="AG3463" t="s">
        <v>941</v>
      </c>
      <c r="AH3463">
        <v>88</v>
      </c>
      <c r="AI3463" t="s">
        <v>939</v>
      </c>
      <c r="AJ3463">
        <v>1</v>
      </c>
      <c r="AK346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MIN(AJ3463/8, 1) +
  Merge1[[#This Row],[index_defensive_effort]],
  2
)</f>
        <v>0.69</v>
      </c>
    </row>
    <row r="3464" spans="1:37" x14ac:dyDescent="0.25">
      <c r="A3464" t="s">
        <v>866</v>
      </c>
      <c r="B3464" t="s">
        <v>867</v>
      </c>
      <c r="C3464">
        <v>27</v>
      </c>
      <c r="D3464" t="s">
        <v>56</v>
      </c>
      <c r="E3464">
        <v>73</v>
      </c>
      <c r="F3464">
        <v>203</v>
      </c>
      <c r="G3464" t="s">
        <v>203</v>
      </c>
      <c r="H3464">
        <v>2020</v>
      </c>
      <c r="I3464" t="s">
        <v>33</v>
      </c>
      <c r="J3464">
        <v>9</v>
      </c>
      <c r="K3464">
        <v>4</v>
      </c>
      <c r="L3464">
        <v>0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69</v>
      </c>
      <c r="T3464">
        <v>69</v>
      </c>
      <c r="U3464" s="5">
        <f>IF(Merge1[[#This Row],[team_defense_snaps]]=0, "", Merge1[[#This Row],[defense_snaps]] / Merge1[[#This Row],[team_defense_snaps]])</f>
        <v>1</v>
      </c>
      <c r="V3464">
        <v>69</v>
      </c>
      <c r="W3464">
        <v>0</v>
      </c>
      <c r="X3464" s="5" t="s">
        <v>29</v>
      </c>
      <c r="Y3464">
        <v>4</v>
      </c>
      <c r="Z3464">
        <v>0</v>
      </c>
      <c r="AA3464" t="s">
        <v>25</v>
      </c>
      <c r="AB3464" t="s">
        <v>26</v>
      </c>
      <c r="AC3464" t="s">
        <v>27</v>
      </c>
      <c r="AD3464" t="s">
        <v>42</v>
      </c>
      <c r="AE3464" t="s">
        <v>25</v>
      </c>
      <c r="AF346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8.6956521739130432E-2</v>
      </c>
      <c r="AG3464" t="s">
        <v>941</v>
      </c>
      <c r="AH3464">
        <v>80.5</v>
      </c>
      <c r="AI3464" t="s">
        <v>939</v>
      </c>
      <c r="AJ3464">
        <v>2</v>
      </c>
      <c r="AK346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MIN(AJ3464/8, 1) +
  Merge1[[#This Row],[index_defensive_effort]],
  2
)</f>
        <v>0.84</v>
      </c>
    </row>
    <row r="3465" spans="1:37" x14ac:dyDescent="0.25">
      <c r="A3465" t="s">
        <v>866</v>
      </c>
      <c r="B3465" t="s">
        <v>867</v>
      </c>
      <c r="C3465">
        <v>27</v>
      </c>
      <c r="D3465" t="s">
        <v>56</v>
      </c>
      <c r="E3465">
        <v>73</v>
      </c>
      <c r="F3465">
        <v>203</v>
      </c>
      <c r="G3465" t="s">
        <v>203</v>
      </c>
      <c r="H3465">
        <v>2020</v>
      </c>
      <c r="I3465" t="s">
        <v>33</v>
      </c>
      <c r="J3465">
        <v>10</v>
      </c>
      <c r="K3465">
        <v>3</v>
      </c>
      <c r="L3465">
        <v>2</v>
      </c>
      <c r="M3465">
        <v>0</v>
      </c>
      <c r="N3465">
        <v>2</v>
      </c>
      <c r="O3465">
        <v>0</v>
      </c>
      <c r="P3465">
        <v>0</v>
      </c>
      <c r="Q3465">
        <v>2</v>
      </c>
      <c r="R3465">
        <v>0</v>
      </c>
      <c r="S3465">
        <v>61</v>
      </c>
      <c r="T3465">
        <v>60</v>
      </c>
      <c r="U3465" s="5">
        <f>IF(Merge1[[#This Row],[team_defense_snaps]]=0, "", Merge1[[#This Row],[defense_snaps]] / Merge1[[#This Row],[team_defense_snaps]])</f>
        <v>0.9375</v>
      </c>
      <c r="V3465">
        <v>64</v>
      </c>
      <c r="W3465">
        <v>1</v>
      </c>
      <c r="X3465" s="5" t="s">
        <v>193</v>
      </c>
      <c r="Y3465">
        <v>4</v>
      </c>
      <c r="Z3465">
        <v>0</v>
      </c>
      <c r="AA3465" t="s">
        <v>25</v>
      </c>
      <c r="AB3465" t="s">
        <v>26</v>
      </c>
      <c r="AC3465" t="s">
        <v>27</v>
      </c>
      <c r="AD3465" t="s">
        <v>42</v>
      </c>
      <c r="AE3465" t="s">
        <v>25</v>
      </c>
      <c r="AF346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0.19672131147540983</v>
      </c>
      <c r="AG3465" t="s">
        <v>941</v>
      </c>
      <c r="AH3465">
        <v>74.5</v>
      </c>
      <c r="AI3465" t="s">
        <v>939</v>
      </c>
      <c r="AJ3465">
        <v>3</v>
      </c>
      <c r="AK346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MIN(AJ3465/8, 1) +
  Merge1[[#This Row],[index_defensive_effort]],
  2
)</f>
        <v>1.07</v>
      </c>
    </row>
    <row r="3466" spans="1:37" x14ac:dyDescent="0.25">
      <c r="A3466" t="s">
        <v>866</v>
      </c>
      <c r="B3466" t="s">
        <v>867</v>
      </c>
      <c r="C3466">
        <v>27</v>
      </c>
      <c r="D3466" t="s">
        <v>56</v>
      </c>
      <c r="E3466">
        <v>73</v>
      </c>
      <c r="F3466">
        <v>203</v>
      </c>
      <c r="G3466" t="s">
        <v>203</v>
      </c>
      <c r="H3466">
        <v>2020</v>
      </c>
      <c r="I3466" t="s">
        <v>33</v>
      </c>
      <c r="J3466">
        <v>11</v>
      </c>
      <c r="K3466">
        <v>9</v>
      </c>
      <c r="L3466">
        <v>1</v>
      </c>
      <c r="M3466">
        <v>0</v>
      </c>
      <c r="N3466">
        <v>1</v>
      </c>
      <c r="O3466">
        <v>0</v>
      </c>
      <c r="P3466">
        <v>3</v>
      </c>
      <c r="Q3466">
        <v>2</v>
      </c>
      <c r="R3466">
        <v>0</v>
      </c>
      <c r="S3466">
        <v>62</v>
      </c>
      <c r="T3466">
        <v>62</v>
      </c>
      <c r="U3466" s="5">
        <f>IF(Merge1[[#This Row],[team_defense_snaps]]=0, "", Merge1[[#This Row],[defense_snaps]] / Merge1[[#This Row],[team_defense_snaps]])</f>
        <v>0.92537313432835822</v>
      </c>
      <c r="V3466">
        <v>67</v>
      </c>
      <c r="W3466">
        <v>0</v>
      </c>
      <c r="X3466" s="5" t="s">
        <v>29</v>
      </c>
      <c r="Y3466">
        <v>4</v>
      </c>
      <c r="Z3466">
        <v>0</v>
      </c>
      <c r="AA3466" t="s">
        <v>25</v>
      </c>
      <c r="AB3466" t="s">
        <v>26</v>
      </c>
      <c r="AC3466" t="s">
        <v>27</v>
      </c>
      <c r="AD3466" t="s">
        <v>42</v>
      </c>
      <c r="AE3466" t="s">
        <v>25</v>
      </c>
      <c r="AF346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0.37903225806451613</v>
      </c>
      <c r="AG3466" t="s">
        <v>941</v>
      </c>
      <c r="AH3466">
        <v>83.5</v>
      </c>
      <c r="AI3466" t="s">
        <v>939</v>
      </c>
      <c r="AJ3466">
        <v>4</v>
      </c>
      <c r="AK346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MIN(AJ3466/8, 1) +
  Merge1[[#This Row],[index_defensive_effort]],
  2
)</f>
        <v>1.38</v>
      </c>
    </row>
    <row r="3467" spans="1:37" x14ac:dyDescent="0.25">
      <c r="A3467" t="s">
        <v>866</v>
      </c>
      <c r="B3467" t="s">
        <v>867</v>
      </c>
      <c r="C3467">
        <v>27</v>
      </c>
      <c r="D3467" t="s">
        <v>56</v>
      </c>
      <c r="E3467">
        <v>73</v>
      </c>
      <c r="F3467">
        <v>203</v>
      </c>
      <c r="G3467" t="s">
        <v>203</v>
      </c>
      <c r="H3467">
        <v>2020</v>
      </c>
      <c r="I3467" t="s">
        <v>33</v>
      </c>
      <c r="J3467">
        <v>12</v>
      </c>
      <c r="K3467">
        <v>2</v>
      </c>
      <c r="L3467">
        <v>3</v>
      </c>
      <c r="M3467">
        <v>2</v>
      </c>
      <c r="N3467">
        <v>5</v>
      </c>
      <c r="O3467">
        <v>0</v>
      </c>
      <c r="P3467">
        <v>1</v>
      </c>
      <c r="Q3467">
        <v>2</v>
      </c>
      <c r="R3467">
        <v>0</v>
      </c>
      <c r="S3467">
        <v>55</v>
      </c>
      <c r="T3467">
        <v>55</v>
      </c>
      <c r="U3467" s="5">
        <f>IF(Merge1[[#This Row],[team_defense_snaps]]=0, "", Merge1[[#This Row],[defense_snaps]] / Merge1[[#This Row],[team_defense_snaps]])</f>
        <v>1</v>
      </c>
      <c r="V3467">
        <v>55</v>
      </c>
      <c r="W3467">
        <v>0</v>
      </c>
      <c r="X3467" s="5" t="s">
        <v>29</v>
      </c>
      <c r="Y3467">
        <v>4</v>
      </c>
      <c r="Z3467">
        <v>0</v>
      </c>
      <c r="AA3467" t="s">
        <v>25</v>
      </c>
      <c r="AB3467" t="s">
        <v>26</v>
      </c>
      <c r="AC3467" t="s">
        <v>27</v>
      </c>
      <c r="AD3467" t="s">
        <v>42</v>
      </c>
      <c r="AE3467" t="s">
        <v>25</v>
      </c>
      <c r="AF346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0.26363636363636361</v>
      </c>
      <c r="AG3467" t="s">
        <v>941</v>
      </c>
      <c r="AH3467">
        <v>67</v>
      </c>
      <c r="AI3467" t="s">
        <v>939</v>
      </c>
      <c r="AJ3467">
        <v>5</v>
      </c>
      <c r="AK346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MIN(AJ3467/8, 1) +
  Merge1[[#This Row],[index_defensive_effort]],
  2
)</f>
        <v>1.39</v>
      </c>
    </row>
    <row r="3468" spans="1:37" x14ac:dyDescent="0.25">
      <c r="A3468" t="s">
        <v>866</v>
      </c>
      <c r="B3468" t="s">
        <v>867</v>
      </c>
      <c r="C3468">
        <v>27</v>
      </c>
      <c r="D3468" t="s">
        <v>56</v>
      </c>
      <c r="E3468">
        <v>73</v>
      </c>
      <c r="F3468">
        <v>203</v>
      </c>
      <c r="G3468" t="s">
        <v>203</v>
      </c>
      <c r="H3468">
        <v>2020</v>
      </c>
      <c r="I3468" t="s">
        <v>33</v>
      </c>
      <c r="J3468">
        <v>13</v>
      </c>
      <c r="K3468">
        <v>4</v>
      </c>
      <c r="L3468">
        <v>2</v>
      </c>
      <c r="M3468">
        <v>2</v>
      </c>
      <c r="N3468">
        <v>4</v>
      </c>
      <c r="O3468">
        <v>0</v>
      </c>
      <c r="P3468">
        <v>2</v>
      </c>
      <c r="Q3468">
        <v>2</v>
      </c>
      <c r="R3468">
        <v>0</v>
      </c>
      <c r="S3468">
        <v>30</v>
      </c>
      <c r="T3468">
        <v>30</v>
      </c>
      <c r="U3468" s="5">
        <f>IF(Merge1[[#This Row],[team_defense_snaps]]=0, "", Merge1[[#This Row],[defense_snaps]] / Merge1[[#This Row],[team_defense_snaps]])</f>
        <v>0.57692307692307687</v>
      </c>
      <c r="V3468">
        <v>52</v>
      </c>
      <c r="W3468">
        <v>0</v>
      </c>
      <c r="X3468" s="5" t="s">
        <v>29</v>
      </c>
      <c r="Y3468">
        <v>4</v>
      </c>
      <c r="Z3468">
        <v>0</v>
      </c>
      <c r="AA3468" t="s">
        <v>25</v>
      </c>
      <c r="AB3468" t="s">
        <v>26</v>
      </c>
      <c r="AC3468" t="s">
        <v>27</v>
      </c>
      <c r="AD3468" t="s">
        <v>42</v>
      </c>
      <c r="AE3468" t="s">
        <v>25</v>
      </c>
      <c r="AF346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</v>
      </c>
      <c r="AG3468" t="s">
        <v>941</v>
      </c>
      <c r="AH3468">
        <v>85</v>
      </c>
      <c r="AI3468" t="s">
        <v>939</v>
      </c>
      <c r="AJ3468">
        <v>6</v>
      </c>
      <c r="AK346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MIN(AJ3468/8, 1) +
  Merge1[[#This Row],[index_defensive_effort]],
  2
)</f>
        <v>1.85</v>
      </c>
    </row>
    <row r="3469" spans="1:37" x14ac:dyDescent="0.25">
      <c r="A3469" t="s">
        <v>866</v>
      </c>
      <c r="B3469" t="s">
        <v>867</v>
      </c>
      <c r="C3469">
        <v>27</v>
      </c>
      <c r="D3469" t="s">
        <v>56</v>
      </c>
      <c r="E3469">
        <v>73</v>
      </c>
      <c r="F3469">
        <v>203</v>
      </c>
      <c r="G3469" t="s">
        <v>203</v>
      </c>
      <c r="H3469">
        <v>2020</v>
      </c>
      <c r="I3469" t="s">
        <v>33</v>
      </c>
      <c r="J3469">
        <v>14</v>
      </c>
      <c r="K3469">
        <v>0</v>
      </c>
      <c r="L3469">
        <v>1</v>
      </c>
      <c r="M3469">
        <v>1</v>
      </c>
      <c r="N3469">
        <v>2</v>
      </c>
      <c r="O3469">
        <v>0</v>
      </c>
      <c r="P3469">
        <v>0</v>
      </c>
      <c r="Q3469">
        <v>2</v>
      </c>
      <c r="R3469">
        <v>0</v>
      </c>
      <c r="S3469">
        <v>62</v>
      </c>
      <c r="T3469">
        <v>62</v>
      </c>
      <c r="U3469" s="5">
        <f>IF(Merge1[[#This Row],[team_defense_snaps]]=0, "", Merge1[[#This Row],[defense_snaps]] / Merge1[[#This Row],[team_defense_snaps]])</f>
        <v>1</v>
      </c>
      <c r="V3469">
        <v>62</v>
      </c>
      <c r="W3469">
        <v>0</v>
      </c>
      <c r="X3469" s="5" t="s">
        <v>29</v>
      </c>
      <c r="Y3469">
        <v>4</v>
      </c>
      <c r="Z3469">
        <v>0</v>
      </c>
      <c r="AA3469" t="s">
        <v>25</v>
      </c>
      <c r="AB3469" t="s">
        <v>26</v>
      </c>
      <c r="AC3469" t="s">
        <v>27</v>
      </c>
      <c r="AD3469" t="s">
        <v>42</v>
      </c>
      <c r="AE3469" t="s">
        <v>25</v>
      </c>
      <c r="AF346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0.14516129032258066</v>
      </c>
      <c r="AG3469" t="s">
        <v>941</v>
      </c>
      <c r="AH3469">
        <v>73</v>
      </c>
      <c r="AI3469" t="s">
        <v>939</v>
      </c>
      <c r="AJ3469">
        <v>7</v>
      </c>
      <c r="AK346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MIN(AJ3469/8, 1) +
  Merge1[[#This Row],[index_defensive_effort]],
  2
)</f>
        <v>1.52</v>
      </c>
    </row>
    <row r="3470" spans="1:37" x14ac:dyDescent="0.25">
      <c r="A3470" t="s">
        <v>866</v>
      </c>
      <c r="B3470" t="s">
        <v>867</v>
      </c>
      <c r="C3470">
        <v>27</v>
      </c>
      <c r="D3470" t="s">
        <v>56</v>
      </c>
      <c r="E3470">
        <v>73</v>
      </c>
      <c r="F3470">
        <v>203</v>
      </c>
      <c r="G3470" t="s">
        <v>203</v>
      </c>
      <c r="H3470">
        <v>2020</v>
      </c>
      <c r="I3470" t="s">
        <v>33</v>
      </c>
      <c r="J3470">
        <v>15</v>
      </c>
      <c r="K3470">
        <v>4</v>
      </c>
      <c r="L3470">
        <v>1</v>
      </c>
      <c r="M3470">
        <v>0</v>
      </c>
      <c r="N3470">
        <v>1</v>
      </c>
      <c r="O3470">
        <v>0</v>
      </c>
      <c r="P3470">
        <v>0</v>
      </c>
      <c r="Q3470">
        <v>0</v>
      </c>
      <c r="R3470">
        <v>2</v>
      </c>
      <c r="S3470">
        <v>55</v>
      </c>
      <c r="T3470">
        <v>55</v>
      </c>
      <c r="U3470" s="5">
        <f>IF(Merge1[[#This Row],[team_defense_snaps]]=0, "", Merge1[[#This Row],[defense_snaps]] / Merge1[[#This Row],[team_defense_snaps]])</f>
        <v>1</v>
      </c>
      <c r="V3470">
        <v>55</v>
      </c>
      <c r="W3470">
        <v>0</v>
      </c>
      <c r="X3470" s="5" t="s">
        <v>29</v>
      </c>
      <c r="Y3470">
        <v>4</v>
      </c>
      <c r="Z3470">
        <v>0</v>
      </c>
      <c r="AA3470" t="s">
        <v>25</v>
      </c>
      <c r="AB3470" t="s">
        <v>26</v>
      </c>
      <c r="AC3470" t="s">
        <v>27</v>
      </c>
      <c r="AD3470" t="s">
        <v>42</v>
      </c>
      <c r="AE3470" t="s">
        <v>25</v>
      </c>
      <c r="AF347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0.15454545454545454</v>
      </c>
      <c r="AG3470" t="s">
        <v>941</v>
      </c>
      <c r="AH3470">
        <v>64</v>
      </c>
      <c r="AI3470" t="s">
        <v>939</v>
      </c>
      <c r="AJ3470">
        <v>8</v>
      </c>
      <c r="AK347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MIN(AJ3470/8, 1) +
  Merge1[[#This Row],[index_defensive_effort]],
  2
)</f>
        <v>1.65</v>
      </c>
    </row>
    <row r="3471" spans="1:37" x14ac:dyDescent="0.25">
      <c r="A3471" t="s">
        <v>866</v>
      </c>
      <c r="B3471" t="s">
        <v>867</v>
      </c>
      <c r="C3471">
        <v>27</v>
      </c>
      <c r="D3471" t="s">
        <v>56</v>
      </c>
      <c r="E3471">
        <v>73</v>
      </c>
      <c r="F3471">
        <v>203</v>
      </c>
      <c r="G3471" t="s">
        <v>203</v>
      </c>
      <c r="H3471">
        <v>2020</v>
      </c>
      <c r="I3471" t="s">
        <v>33</v>
      </c>
      <c r="J3471">
        <v>16</v>
      </c>
      <c r="K3471">
        <v>1</v>
      </c>
      <c r="L3471">
        <v>1</v>
      </c>
      <c r="M3471">
        <v>0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63</v>
      </c>
      <c r="T3471">
        <v>63</v>
      </c>
      <c r="U3471" s="5">
        <f>IF(Merge1[[#This Row],[team_defense_snaps]]=0, "", Merge1[[#This Row],[defense_snaps]] / Merge1[[#This Row],[team_defense_snaps]])</f>
        <v>0.984375</v>
      </c>
      <c r="V3471">
        <v>64</v>
      </c>
      <c r="W3471">
        <v>0</v>
      </c>
      <c r="X3471" s="5" t="s">
        <v>29</v>
      </c>
      <c r="Y3471">
        <v>4</v>
      </c>
      <c r="Z3471">
        <v>0</v>
      </c>
      <c r="AA3471" t="s">
        <v>25</v>
      </c>
      <c r="AB3471" t="s">
        <v>26</v>
      </c>
      <c r="AC3471" t="s">
        <v>27</v>
      </c>
      <c r="AD3471" t="s">
        <v>42</v>
      </c>
      <c r="AE3471" t="s">
        <v>25</v>
      </c>
      <c r="AF347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2.3809523809523808E-2</v>
      </c>
      <c r="AG3471" t="s">
        <v>941</v>
      </c>
      <c r="AH3471">
        <v>86.5</v>
      </c>
      <c r="AI3471" t="s">
        <v>939</v>
      </c>
      <c r="AJ3471">
        <v>9</v>
      </c>
      <c r="AK347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MIN(AJ3471/8, 1) +
  Merge1[[#This Row],[index_defensive_effort]],
  2
)</f>
        <v>1.52</v>
      </c>
    </row>
    <row r="3472" spans="1:37" x14ac:dyDescent="0.25">
      <c r="A3472" t="s">
        <v>866</v>
      </c>
      <c r="B3472" t="s">
        <v>867</v>
      </c>
      <c r="C3472">
        <v>27</v>
      </c>
      <c r="D3472" t="s">
        <v>56</v>
      </c>
      <c r="E3472">
        <v>73</v>
      </c>
      <c r="F3472">
        <v>203</v>
      </c>
      <c r="G3472" t="s">
        <v>203</v>
      </c>
      <c r="H3472">
        <v>2020</v>
      </c>
      <c r="I3472" t="s">
        <v>33</v>
      </c>
      <c r="J3472">
        <v>17</v>
      </c>
      <c r="K3472">
        <v>6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2</v>
      </c>
      <c r="R3472">
        <v>0</v>
      </c>
      <c r="S3472">
        <v>55</v>
      </c>
      <c r="T3472">
        <v>55</v>
      </c>
      <c r="U3472" s="5">
        <f>IF(Merge1[[#This Row],[team_defense_snaps]]=0, "", Merge1[[#This Row],[defense_snaps]] / Merge1[[#This Row],[team_defense_snaps]])</f>
        <v>0.84615384615384615</v>
      </c>
      <c r="V3472">
        <v>65</v>
      </c>
      <c r="W3472">
        <v>0</v>
      </c>
      <c r="X3472" s="5" t="s">
        <v>29</v>
      </c>
      <c r="Y3472">
        <v>4</v>
      </c>
      <c r="Z3472">
        <v>0</v>
      </c>
      <c r="AA3472" t="s">
        <v>25</v>
      </c>
      <c r="AB3472" t="s">
        <v>26</v>
      </c>
      <c r="AC3472" t="s">
        <v>27</v>
      </c>
      <c r="AD3472" t="s">
        <v>42</v>
      </c>
      <c r="AE3472" t="s">
        <v>25</v>
      </c>
      <c r="AF347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0.25454545454545452</v>
      </c>
      <c r="AG3472" t="s">
        <v>941</v>
      </c>
      <c r="AH3472">
        <v>65.5</v>
      </c>
      <c r="AI3472" t="s">
        <v>939</v>
      </c>
      <c r="AJ3472">
        <v>10</v>
      </c>
      <c r="AK347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MIN(AJ3472/8, 1) +
  Merge1[[#This Row],[index_defensive_effort]],
  2
)</f>
        <v>1.75</v>
      </c>
    </row>
    <row r="3473" spans="1:37" x14ac:dyDescent="0.25">
      <c r="A3473" t="s">
        <v>864</v>
      </c>
      <c r="B3473" t="s">
        <v>865</v>
      </c>
      <c r="C3473">
        <v>25</v>
      </c>
      <c r="D3473" t="s">
        <v>56</v>
      </c>
      <c r="E3473">
        <v>71</v>
      </c>
      <c r="F3473">
        <v>187</v>
      </c>
      <c r="G3473" t="s">
        <v>228</v>
      </c>
      <c r="H3473">
        <v>2020</v>
      </c>
      <c r="I3473" t="s">
        <v>33</v>
      </c>
      <c r="J3473">
        <v>16</v>
      </c>
      <c r="K3473">
        <v>2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21</v>
      </c>
      <c r="T3473">
        <v>5</v>
      </c>
      <c r="U3473" s="5">
        <f>IF(Merge1[[#This Row],[team_defense_snaps]]=0, "", Merge1[[#This Row],[defense_snaps]] / Merge1[[#This Row],[team_defense_snaps]])</f>
        <v>8.9285714285714288E-2</v>
      </c>
      <c r="V3473">
        <v>56</v>
      </c>
      <c r="W3473">
        <v>16</v>
      </c>
      <c r="X3473" s="5" t="s">
        <v>52</v>
      </c>
      <c r="Y3473">
        <v>1</v>
      </c>
      <c r="Z3473">
        <v>0</v>
      </c>
      <c r="AA3473" t="s">
        <v>25</v>
      </c>
      <c r="AB3473" t="s">
        <v>26</v>
      </c>
      <c r="AC3473" t="s">
        <v>27</v>
      </c>
      <c r="AD3473" t="s">
        <v>28</v>
      </c>
      <c r="AE3473" t="s">
        <v>25</v>
      </c>
      <c r="AF347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9.5238095238095233E-2</v>
      </c>
      <c r="AG3473" t="s">
        <v>941</v>
      </c>
      <c r="AH3473">
        <v>47.5</v>
      </c>
      <c r="AI3473" t="s">
        <v>939</v>
      </c>
      <c r="AJ3473">
        <v>1</v>
      </c>
      <c r="AK347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MIN(AJ3473/8, 1) +
  Merge1[[#This Row],[index_defensive_effort]],
  2
)</f>
        <v>0.62</v>
      </c>
    </row>
    <row r="3474" spans="1:37" x14ac:dyDescent="0.25">
      <c r="A3474" t="s">
        <v>868</v>
      </c>
      <c r="B3474" t="s">
        <v>869</v>
      </c>
      <c r="C3474">
        <v>21</v>
      </c>
      <c r="D3474" t="s">
        <v>22</v>
      </c>
      <c r="E3474">
        <v>72</v>
      </c>
      <c r="F3474">
        <v>201</v>
      </c>
      <c r="G3474" t="s">
        <v>94</v>
      </c>
      <c r="H3474">
        <v>2020</v>
      </c>
      <c r="I3474" t="s">
        <v>33</v>
      </c>
      <c r="J3474">
        <v>14</v>
      </c>
      <c r="K3474">
        <v>1</v>
      </c>
      <c r="L3474">
        <v>3</v>
      </c>
      <c r="M3474">
        <v>0</v>
      </c>
      <c r="N3474">
        <v>3</v>
      </c>
      <c r="O3474">
        <v>0</v>
      </c>
      <c r="P3474">
        <v>0</v>
      </c>
      <c r="Q3474">
        <v>0</v>
      </c>
      <c r="R3474">
        <v>0</v>
      </c>
      <c r="S3474">
        <v>38</v>
      </c>
      <c r="T3474">
        <v>38</v>
      </c>
      <c r="U3474" s="5">
        <f>IF(Merge1[[#This Row],[team_defense_snaps]]=0, "", Merge1[[#This Row],[defense_snaps]] / Merge1[[#This Row],[team_defense_snaps]])</f>
        <v>0.48101265822784811</v>
      </c>
      <c r="V3474">
        <v>79</v>
      </c>
      <c r="W3474">
        <v>0</v>
      </c>
      <c r="X3474" s="5" t="s">
        <v>29</v>
      </c>
      <c r="Y3474">
        <v>0</v>
      </c>
      <c r="Z3474">
        <v>0</v>
      </c>
      <c r="AA3474" t="s">
        <v>25</v>
      </c>
      <c r="AB3474" t="s">
        <v>26</v>
      </c>
      <c r="AC3474" t="s">
        <v>27</v>
      </c>
      <c r="AD3474" t="s">
        <v>42</v>
      </c>
      <c r="AE3474" t="s">
        <v>25</v>
      </c>
      <c r="AF347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6.5789473684210523E-2</v>
      </c>
      <c r="AG3474" t="s">
        <v>942</v>
      </c>
      <c r="AH3474">
        <v>52.5</v>
      </c>
      <c r="AI3474" t="s">
        <v>939</v>
      </c>
      <c r="AJ3474">
        <v>1</v>
      </c>
      <c r="AK347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MIN(AJ3474/8, 1) +
  Merge1[[#This Row],[index_defensive_effort]],
  2
)</f>
        <v>0.69</v>
      </c>
    </row>
    <row r="3475" spans="1:37" x14ac:dyDescent="0.25">
      <c r="A3475" t="s">
        <v>868</v>
      </c>
      <c r="B3475" t="s">
        <v>869</v>
      </c>
      <c r="C3475">
        <v>21</v>
      </c>
      <c r="D3475" t="s">
        <v>22</v>
      </c>
      <c r="E3475">
        <v>72</v>
      </c>
      <c r="F3475">
        <v>201</v>
      </c>
      <c r="G3475" t="s">
        <v>94</v>
      </c>
      <c r="H3475">
        <v>2020</v>
      </c>
      <c r="I3475" t="s">
        <v>33</v>
      </c>
      <c r="J3475">
        <v>15</v>
      </c>
      <c r="K3475">
        <v>2</v>
      </c>
      <c r="L3475">
        <v>2</v>
      </c>
      <c r="M3475">
        <v>0</v>
      </c>
      <c r="N3475">
        <v>2</v>
      </c>
      <c r="O3475">
        <v>0</v>
      </c>
      <c r="P3475">
        <v>0</v>
      </c>
      <c r="Q3475">
        <v>0</v>
      </c>
      <c r="R3475">
        <v>0</v>
      </c>
      <c r="S3475">
        <v>41</v>
      </c>
      <c r="T3475">
        <v>41</v>
      </c>
      <c r="U3475" s="5">
        <f>IF(Merge1[[#This Row],[team_defense_snaps]]=0, "", Merge1[[#This Row],[defense_snaps]] / Merge1[[#This Row],[team_defense_snaps]])</f>
        <v>0.640625</v>
      </c>
      <c r="V3475">
        <v>64</v>
      </c>
      <c r="W3475">
        <v>0</v>
      </c>
      <c r="X3475" s="5" t="s">
        <v>29</v>
      </c>
      <c r="Y3475">
        <v>0</v>
      </c>
      <c r="Z3475">
        <v>0</v>
      </c>
      <c r="AA3475" t="s">
        <v>25</v>
      </c>
      <c r="AB3475" t="s">
        <v>26</v>
      </c>
      <c r="AC3475" t="s">
        <v>27</v>
      </c>
      <c r="AD3475" t="s">
        <v>42</v>
      </c>
      <c r="AE3475" t="s">
        <v>25</v>
      </c>
      <c r="AF347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7.3170731707317069E-2</v>
      </c>
      <c r="AG3475" t="s">
        <v>942</v>
      </c>
      <c r="AH3475">
        <v>51</v>
      </c>
      <c r="AI3475" t="s">
        <v>939</v>
      </c>
      <c r="AJ3475">
        <v>2</v>
      </c>
      <c r="AK347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MIN(AJ3475/8, 1) +
  Merge1[[#This Row],[index_defensive_effort]],
  2
)</f>
        <v>0.82</v>
      </c>
    </row>
    <row r="3476" spans="1:37" x14ac:dyDescent="0.25">
      <c r="A3476" t="s">
        <v>868</v>
      </c>
      <c r="B3476" t="s">
        <v>869</v>
      </c>
      <c r="C3476">
        <v>21</v>
      </c>
      <c r="D3476" t="s">
        <v>22</v>
      </c>
      <c r="E3476">
        <v>72</v>
      </c>
      <c r="F3476">
        <v>201</v>
      </c>
      <c r="G3476" t="s">
        <v>94</v>
      </c>
      <c r="H3476">
        <v>2020</v>
      </c>
      <c r="I3476" t="s">
        <v>33</v>
      </c>
      <c r="J3476">
        <v>16</v>
      </c>
      <c r="K3476">
        <v>7</v>
      </c>
      <c r="L3476">
        <v>1</v>
      </c>
      <c r="M3476">
        <v>1</v>
      </c>
      <c r="N3476">
        <v>2</v>
      </c>
      <c r="O3476">
        <v>0</v>
      </c>
      <c r="P3476">
        <v>0</v>
      </c>
      <c r="Q3476">
        <v>0</v>
      </c>
      <c r="R3476">
        <v>0</v>
      </c>
      <c r="S3476">
        <v>48</v>
      </c>
      <c r="T3476">
        <v>46</v>
      </c>
      <c r="U3476" s="5">
        <f>IF(Merge1[[#This Row],[team_defense_snaps]]=0, "", Merge1[[#This Row],[defense_snaps]] / Merge1[[#This Row],[team_defense_snaps]])</f>
        <v>0.66666666666666663</v>
      </c>
      <c r="V3476">
        <v>69</v>
      </c>
      <c r="W3476">
        <v>2</v>
      </c>
      <c r="X3476" s="5" t="s">
        <v>250</v>
      </c>
      <c r="Y3476">
        <v>0</v>
      </c>
      <c r="Z3476">
        <v>0</v>
      </c>
      <c r="AA3476" t="s">
        <v>25</v>
      </c>
      <c r="AB3476" t="s">
        <v>26</v>
      </c>
      <c r="AC3476" t="s">
        <v>27</v>
      </c>
      <c r="AD3476" t="s">
        <v>42</v>
      </c>
      <c r="AE3476" t="s">
        <v>25</v>
      </c>
      <c r="AF347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AG3476" t="s">
        <v>942</v>
      </c>
      <c r="AH3476">
        <v>49.5</v>
      </c>
      <c r="AI3476" t="s">
        <v>939</v>
      </c>
      <c r="AJ3476">
        <v>3</v>
      </c>
      <c r="AK347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MIN(AJ3476/8, 1) +
  Merge1[[#This Row],[index_defensive_effort]],
  2
)</f>
        <v>1.04</v>
      </c>
    </row>
    <row r="3477" spans="1:37" x14ac:dyDescent="0.25">
      <c r="A3477" t="s">
        <v>868</v>
      </c>
      <c r="B3477" t="s">
        <v>869</v>
      </c>
      <c r="C3477">
        <v>21</v>
      </c>
      <c r="D3477" t="s">
        <v>22</v>
      </c>
      <c r="E3477">
        <v>72</v>
      </c>
      <c r="F3477">
        <v>201</v>
      </c>
      <c r="G3477" t="s">
        <v>94</v>
      </c>
      <c r="H3477">
        <v>2020</v>
      </c>
      <c r="I3477" t="s">
        <v>33</v>
      </c>
      <c r="J3477">
        <v>17</v>
      </c>
      <c r="K3477">
        <v>5</v>
      </c>
      <c r="L3477">
        <v>4</v>
      </c>
      <c r="M3477">
        <v>1</v>
      </c>
      <c r="N3477">
        <v>5</v>
      </c>
      <c r="O3477">
        <v>0</v>
      </c>
      <c r="P3477">
        <v>2</v>
      </c>
      <c r="Q3477">
        <v>2</v>
      </c>
      <c r="R3477">
        <v>0</v>
      </c>
      <c r="S3477">
        <v>80</v>
      </c>
      <c r="T3477">
        <v>74</v>
      </c>
      <c r="U3477" s="5">
        <f>IF(Merge1[[#This Row],[team_defense_snaps]]=0, "", Merge1[[#This Row],[defense_snaps]] / Merge1[[#This Row],[team_defense_snaps]])</f>
        <v>0.89156626506024095</v>
      </c>
      <c r="V3477">
        <v>83</v>
      </c>
      <c r="W3477">
        <v>6</v>
      </c>
      <c r="X3477" s="5" t="s">
        <v>58</v>
      </c>
      <c r="Y3477">
        <v>0</v>
      </c>
      <c r="Z3477">
        <v>0</v>
      </c>
      <c r="AA3477" t="s">
        <v>25</v>
      </c>
      <c r="AB3477" t="s">
        <v>26</v>
      </c>
      <c r="AC3477" t="s">
        <v>27</v>
      </c>
      <c r="AD3477" t="s">
        <v>42</v>
      </c>
      <c r="AE3477" t="s">
        <v>25</v>
      </c>
      <c r="AF347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0.24374999999999999</v>
      </c>
      <c r="AG3477" t="s">
        <v>942</v>
      </c>
      <c r="AH3477">
        <v>48</v>
      </c>
      <c r="AI3477" t="s">
        <v>939</v>
      </c>
      <c r="AJ3477">
        <v>4</v>
      </c>
      <c r="AK347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MIN(AJ3477/8, 1) +
  Merge1[[#This Row],[index_defensive_effort]],
  2
)</f>
        <v>1.24</v>
      </c>
    </row>
    <row r="3478" spans="1:37" x14ac:dyDescent="0.25">
      <c r="A3478" t="s">
        <v>870</v>
      </c>
      <c r="B3478" t="s">
        <v>871</v>
      </c>
      <c r="C3478">
        <v>30</v>
      </c>
      <c r="D3478" t="s">
        <v>56</v>
      </c>
      <c r="E3478">
        <v>73</v>
      </c>
      <c r="F3478">
        <v>218</v>
      </c>
      <c r="G3478" t="s">
        <v>424</v>
      </c>
      <c r="H3478">
        <v>2020</v>
      </c>
      <c r="I3478" t="s">
        <v>33</v>
      </c>
      <c r="J3478">
        <v>1</v>
      </c>
      <c r="K3478">
        <v>2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43</v>
      </c>
      <c r="T3478">
        <v>43</v>
      </c>
      <c r="U3478" s="5">
        <f>IF(Merge1[[#This Row],[team_defense_snaps]]=0, "", Merge1[[#This Row],[defense_snaps]] / Merge1[[#This Row],[team_defense_snaps]])</f>
        <v>0.86</v>
      </c>
      <c r="V3478">
        <v>50</v>
      </c>
      <c r="W3478">
        <v>0</v>
      </c>
      <c r="X3478" s="5" t="s">
        <v>29</v>
      </c>
      <c r="Y3478">
        <v>7</v>
      </c>
      <c r="Z3478">
        <v>0</v>
      </c>
      <c r="AA3478" t="s">
        <v>25</v>
      </c>
      <c r="AB3478" t="s">
        <v>26</v>
      </c>
      <c r="AC3478" t="s">
        <v>27</v>
      </c>
      <c r="AD3478" t="s">
        <v>42</v>
      </c>
      <c r="AE3478" t="s">
        <v>25</v>
      </c>
      <c r="AF347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4.6511627906976744E-2</v>
      </c>
      <c r="AG3478" t="s">
        <v>942</v>
      </c>
      <c r="AH3478">
        <v>58.5</v>
      </c>
      <c r="AI3478" t="s">
        <v>939</v>
      </c>
      <c r="AJ3478">
        <v>1</v>
      </c>
      <c r="AK347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MIN(AJ3478/8, 1) +
  Merge1[[#This Row],[index_defensive_effort]],
  2
)</f>
        <v>0.77</v>
      </c>
    </row>
    <row r="3479" spans="1:37" x14ac:dyDescent="0.25">
      <c r="A3479" t="s">
        <v>870</v>
      </c>
      <c r="B3479" t="s">
        <v>871</v>
      </c>
      <c r="C3479">
        <v>30</v>
      </c>
      <c r="D3479" t="s">
        <v>56</v>
      </c>
      <c r="E3479">
        <v>73</v>
      </c>
      <c r="F3479">
        <v>218</v>
      </c>
      <c r="G3479" t="s">
        <v>424</v>
      </c>
      <c r="H3479">
        <v>2020</v>
      </c>
      <c r="I3479" t="s">
        <v>33</v>
      </c>
      <c r="J3479">
        <v>2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28</v>
      </c>
      <c r="T3479">
        <v>28</v>
      </c>
      <c r="U3479" s="5">
        <f>IF(Merge1[[#This Row],[team_defense_snaps]]=0, "", Merge1[[#This Row],[defense_snaps]] / Merge1[[#This Row],[team_defense_snaps]])</f>
        <v>0.50909090909090904</v>
      </c>
      <c r="V3479">
        <v>55</v>
      </c>
      <c r="W3479">
        <v>0</v>
      </c>
      <c r="X3479" s="5" t="s">
        <v>29</v>
      </c>
      <c r="Y3479">
        <v>7</v>
      </c>
      <c r="Z3479">
        <v>0</v>
      </c>
      <c r="AA3479" t="s">
        <v>25</v>
      </c>
      <c r="AB3479" t="s">
        <v>26</v>
      </c>
      <c r="AC3479" t="s">
        <v>27</v>
      </c>
      <c r="AD3479" t="s">
        <v>42</v>
      </c>
      <c r="AE3479" t="s">
        <v>25</v>
      </c>
      <c r="AF347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AG3479" t="s">
        <v>942</v>
      </c>
      <c r="AH3479">
        <v>48</v>
      </c>
      <c r="AI3479" t="s">
        <v>939</v>
      </c>
      <c r="AJ3479">
        <v>2</v>
      </c>
      <c r="AK347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MIN(AJ3479/8, 1) +
  Merge1[[#This Row],[index_defensive_effort]],
  2
)</f>
        <v>0.85</v>
      </c>
    </row>
    <row r="3480" spans="1:37" x14ac:dyDescent="0.25">
      <c r="A3480" t="s">
        <v>870</v>
      </c>
      <c r="B3480" t="s">
        <v>871</v>
      </c>
      <c r="C3480">
        <v>30</v>
      </c>
      <c r="D3480" t="s">
        <v>56</v>
      </c>
      <c r="E3480">
        <v>73</v>
      </c>
      <c r="F3480">
        <v>218</v>
      </c>
      <c r="G3480" t="s">
        <v>424</v>
      </c>
      <c r="H3480">
        <v>2020</v>
      </c>
      <c r="I3480" t="s">
        <v>33</v>
      </c>
      <c r="J3480">
        <v>3</v>
      </c>
      <c r="K3480">
        <v>1</v>
      </c>
      <c r="L3480">
        <v>0</v>
      </c>
      <c r="M3480">
        <v>0</v>
      </c>
      <c r="N3480">
        <v>0</v>
      </c>
      <c r="O3480">
        <v>0</v>
      </c>
      <c r="P3480">
        <v>2</v>
      </c>
      <c r="Q3480">
        <v>4</v>
      </c>
      <c r="R3480">
        <v>0</v>
      </c>
      <c r="S3480">
        <v>53</v>
      </c>
      <c r="T3480">
        <v>53</v>
      </c>
      <c r="U3480" s="5">
        <f>IF(Merge1[[#This Row],[team_defense_snaps]]=0, "", Merge1[[#This Row],[defense_snaps]] / Merge1[[#This Row],[team_defense_snaps]])</f>
        <v>0.81538461538461537</v>
      </c>
      <c r="V3480">
        <v>65</v>
      </c>
      <c r="W3480">
        <v>0</v>
      </c>
      <c r="X3480" s="5" t="s">
        <v>29</v>
      </c>
      <c r="Y3480">
        <v>7</v>
      </c>
      <c r="Z3480">
        <v>0</v>
      </c>
      <c r="AA3480" t="s">
        <v>25</v>
      </c>
      <c r="AB3480" t="s">
        <v>26</v>
      </c>
      <c r="AC3480" t="s">
        <v>27</v>
      </c>
      <c r="AD3480" t="s">
        <v>42</v>
      </c>
      <c r="AE3480" t="s">
        <v>25</v>
      </c>
      <c r="AF348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0.39622641509433965</v>
      </c>
      <c r="AG3480" t="s">
        <v>942</v>
      </c>
      <c r="AH3480">
        <v>61.5</v>
      </c>
      <c r="AI3480" t="s">
        <v>939</v>
      </c>
      <c r="AJ3480">
        <v>3</v>
      </c>
      <c r="AK348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MIN(AJ3480/8, 1) +
  Merge1[[#This Row],[index_defensive_effort]],
  2
)</f>
        <v>1.37</v>
      </c>
    </row>
    <row r="3481" spans="1:37" x14ac:dyDescent="0.25">
      <c r="A3481" t="s">
        <v>870</v>
      </c>
      <c r="B3481" t="s">
        <v>871</v>
      </c>
      <c r="C3481">
        <v>30</v>
      </c>
      <c r="D3481" t="s">
        <v>56</v>
      </c>
      <c r="E3481">
        <v>73</v>
      </c>
      <c r="F3481">
        <v>218</v>
      </c>
      <c r="G3481" t="s">
        <v>424</v>
      </c>
      <c r="H3481">
        <v>2020</v>
      </c>
      <c r="I3481" t="s">
        <v>33</v>
      </c>
      <c r="J3481">
        <v>4</v>
      </c>
      <c r="K3481">
        <v>3</v>
      </c>
      <c r="L3481">
        <v>0</v>
      </c>
      <c r="M3481">
        <v>0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62</v>
      </c>
      <c r="T3481">
        <v>62</v>
      </c>
      <c r="U3481" s="5">
        <f>IF(Merge1[[#This Row],[team_defense_snaps]]=0, "", Merge1[[#This Row],[defense_snaps]] / Merge1[[#This Row],[team_defense_snaps]])</f>
        <v>0.96875</v>
      </c>
      <c r="V3481">
        <v>64</v>
      </c>
      <c r="W3481">
        <v>0</v>
      </c>
      <c r="X3481" s="5" t="s">
        <v>29</v>
      </c>
      <c r="Y3481">
        <v>7</v>
      </c>
      <c r="Z3481">
        <v>0</v>
      </c>
      <c r="AA3481" t="s">
        <v>25</v>
      </c>
      <c r="AB3481" t="s">
        <v>26</v>
      </c>
      <c r="AC3481" t="s">
        <v>27</v>
      </c>
      <c r="AD3481" t="s">
        <v>42</v>
      </c>
      <c r="AE3481" t="s">
        <v>25</v>
      </c>
      <c r="AF348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8.0645161290322578E-2</v>
      </c>
      <c r="AG3481" t="s">
        <v>942</v>
      </c>
      <c r="AH3481">
        <v>67.5</v>
      </c>
      <c r="AI3481" t="s">
        <v>939</v>
      </c>
      <c r="AJ3481">
        <v>4</v>
      </c>
      <c r="AK348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MIN(AJ3481/8, 1) +
  Merge1[[#This Row],[index_defensive_effort]],
  2
)</f>
        <v>1.18</v>
      </c>
    </row>
    <row r="3482" spans="1:37" x14ac:dyDescent="0.25">
      <c r="A3482" t="s">
        <v>870</v>
      </c>
      <c r="B3482" t="s">
        <v>871</v>
      </c>
      <c r="C3482">
        <v>30</v>
      </c>
      <c r="D3482" t="s">
        <v>56</v>
      </c>
      <c r="E3482">
        <v>73</v>
      </c>
      <c r="F3482">
        <v>218</v>
      </c>
      <c r="G3482" t="s">
        <v>424</v>
      </c>
      <c r="H3482">
        <v>2020</v>
      </c>
      <c r="I3482" t="s">
        <v>33</v>
      </c>
      <c r="J3482">
        <v>5</v>
      </c>
      <c r="K3482">
        <v>1</v>
      </c>
      <c r="L3482">
        <v>2</v>
      </c>
      <c r="M3482">
        <v>0</v>
      </c>
      <c r="N3482">
        <v>2</v>
      </c>
      <c r="O3482">
        <v>0</v>
      </c>
      <c r="P3482">
        <v>0</v>
      </c>
      <c r="Q3482">
        <v>0</v>
      </c>
      <c r="R3482">
        <v>0</v>
      </c>
      <c r="S3482">
        <v>67</v>
      </c>
      <c r="T3482">
        <v>67</v>
      </c>
      <c r="U3482" s="5">
        <f>IF(Merge1[[#This Row],[team_defense_snaps]]=0, "", Merge1[[#This Row],[defense_snaps]] / Merge1[[#This Row],[team_defense_snaps]])</f>
        <v>0.89333333333333331</v>
      </c>
      <c r="V3482">
        <v>75</v>
      </c>
      <c r="W3482">
        <v>0</v>
      </c>
      <c r="X3482" s="5" t="s">
        <v>29</v>
      </c>
      <c r="Y3482">
        <v>7</v>
      </c>
      <c r="Z3482">
        <v>0</v>
      </c>
      <c r="AA3482" t="s">
        <v>25</v>
      </c>
      <c r="AB3482" t="s">
        <v>26</v>
      </c>
      <c r="AC3482" t="s">
        <v>27</v>
      </c>
      <c r="AD3482" t="s">
        <v>42</v>
      </c>
      <c r="AE3482" t="s">
        <v>25</v>
      </c>
      <c r="AF348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2.9850746268656716E-2</v>
      </c>
      <c r="AG3482" t="s">
        <v>942</v>
      </c>
      <c r="AH3482">
        <v>51</v>
      </c>
      <c r="AI3482" t="s">
        <v>939</v>
      </c>
      <c r="AJ3482">
        <v>5</v>
      </c>
      <c r="AK348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MIN(AJ3482/8, 1) +
  Merge1[[#This Row],[index_defensive_effort]],
  2
)</f>
        <v>1.25</v>
      </c>
    </row>
    <row r="3483" spans="1:37" x14ac:dyDescent="0.25">
      <c r="A3483" t="s">
        <v>870</v>
      </c>
      <c r="B3483" t="s">
        <v>871</v>
      </c>
      <c r="C3483">
        <v>30</v>
      </c>
      <c r="D3483" t="s">
        <v>56</v>
      </c>
      <c r="E3483">
        <v>73</v>
      </c>
      <c r="F3483">
        <v>218</v>
      </c>
      <c r="G3483" t="s">
        <v>424</v>
      </c>
      <c r="H3483">
        <v>2020</v>
      </c>
      <c r="I3483" t="s">
        <v>33</v>
      </c>
      <c r="J3483">
        <v>6</v>
      </c>
      <c r="K3483">
        <v>3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69</v>
      </c>
      <c r="T3483">
        <v>69</v>
      </c>
      <c r="U3483" s="5">
        <f>IF(Merge1[[#This Row],[team_defense_snaps]]=0, "", Merge1[[#This Row],[defense_snaps]] / Merge1[[#This Row],[team_defense_snaps]])</f>
        <v>0.86250000000000004</v>
      </c>
      <c r="V3483">
        <v>80</v>
      </c>
      <c r="W3483">
        <v>0</v>
      </c>
      <c r="X3483" s="5" t="s">
        <v>29</v>
      </c>
      <c r="Y3483">
        <v>7</v>
      </c>
      <c r="Z3483">
        <v>0</v>
      </c>
      <c r="AA3483" t="s">
        <v>25</v>
      </c>
      <c r="AB3483" t="s">
        <v>26</v>
      </c>
      <c r="AC3483" t="s">
        <v>27</v>
      </c>
      <c r="AD3483" t="s">
        <v>42</v>
      </c>
      <c r="AE3483" t="s">
        <v>25</v>
      </c>
      <c r="AF348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4.3478260869565216E-2</v>
      </c>
      <c r="AG3483" t="s">
        <v>942</v>
      </c>
      <c r="AH3483">
        <v>60</v>
      </c>
      <c r="AI3483" t="s">
        <v>939</v>
      </c>
      <c r="AJ3483">
        <v>6</v>
      </c>
      <c r="AK348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MIN(AJ3483/8, 1) +
  Merge1[[#This Row],[index_defensive_effort]],
  2
)</f>
        <v>1.39</v>
      </c>
    </row>
    <row r="3484" spans="1:37" x14ac:dyDescent="0.25">
      <c r="A3484" t="s">
        <v>870</v>
      </c>
      <c r="B3484" t="s">
        <v>871</v>
      </c>
      <c r="C3484">
        <v>30</v>
      </c>
      <c r="D3484" t="s">
        <v>56</v>
      </c>
      <c r="E3484">
        <v>73</v>
      </c>
      <c r="F3484">
        <v>218</v>
      </c>
      <c r="G3484" t="s">
        <v>424</v>
      </c>
      <c r="H3484">
        <v>2020</v>
      </c>
      <c r="I3484" t="s">
        <v>33</v>
      </c>
      <c r="J3484">
        <v>8</v>
      </c>
      <c r="K3484">
        <v>1</v>
      </c>
      <c r="L3484">
        <v>2</v>
      </c>
      <c r="M3484">
        <v>2</v>
      </c>
      <c r="N3484">
        <v>4</v>
      </c>
      <c r="O3484">
        <v>0</v>
      </c>
      <c r="P3484">
        <v>0</v>
      </c>
      <c r="Q3484">
        <v>0</v>
      </c>
      <c r="R3484">
        <v>0</v>
      </c>
      <c r="S3484">
        <v>49</v>
      </c>
      <c r="T3484">
        <v>49</v>
      </c>
      <c r="U3484" s="5">
        <f>IF(Merge1[[#This Row],[team_defense_snaps]]=0, "", Merge1[[#This Row],[defense_snaps]] / Merge1[[#This Row],[team_defense_snaps]])</f>
        <v>0.79032258064516125</v>
      </c>
      <c r="V3484">
        <v>62</v>
      </c>
      <c r="W3484">
        <v>0</v>
      </c>
      <c r="X3484" s="5" t="s">
        <v>29</v>
      </c>
      <c r="Y3484">
        <v>7</v>
      </c>
      <c r="Z3484">
        <v>0</v>
      </c>
      <c r="AA3484" t="s">
        <v>25</v>
      </c>
      <c r="AB3484" t="s">
        <v>26</v>
      </c>
      <c r="AC3484" t="s">
        <v>27</v>
      </c>
      <c r="AD3484" t="s">
        <v>42</v>
      </c>
      <c r="AE3484" t="s">
        <v>25</v>
      </c>
      <c r="AF348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6.1224489795918366E-2</v>
      </c>
      <c r="AG3484" t="s">
        <v>942</v>
      </c>
      <c r="AH3484">
        <v>54</v>
      </c>
      <c r="AI3484" t="s">
        <v>939</v>
      </c>
      <c r="AJ3484">
        <v>1</v>
      </c>
      <c r="AK348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MIN(AJ3484/8, 1) +
  Merge1[[#This Row],[index_defensive_effort]],
  2
)</f>
        <v>0.79</v>
      </c>
    </row>
    <row r="3485" spans="1:37" x14ac:dyDescent="0.25">
      <c r="A3485" t="s">
        <v>870</v>
      </c>
      <c r="B3485" t="s">
        <v>871</v>
      </c>
      <c r="C3485">
        <v>30</v>
      </c>
      <c r="D3485" t="s">
        <v>56</v>
      </c>
      <c r="E3485">
        <v>73</v>
      </c>
      <c r="F3485">
        <v>218</v>
      </c>
      <c r="G3485" t="s">
        <v>424</v>
      </c>
      <c r="H3485">
        <v>2020</v>
      </c>
      <c r="I3485" t="s">
        <v>33</v>
      </c>
      <c r="J3485">
        <v>9</v>
      </c>
      <c r="K3485">
        <v>1</v>
      </c>
      <c r="L3485">
        <v>2</v>
      </c>
      <c r="M3485">
        <v>2</v>
      </c>
      <c r="N3485">
        <v>4</v>
      </c>
      <c r="O3485">
        <v>0</v>
      </c>
      <c r="P3485">
        <v>0</v>
      </c>
      <c r="Q3485">
        <v>0</v>
      </c>
      <c r="R3485">
        <v>0</v>
      </c>
      <c r="S3485">
        <v>60</v>
      </c>
      <c r="T3485">
        <v>60</v>
      </c>
      <c r="U3485" s="5">
        <f>IF(Merge1[[#This Row],[team_defense_snaps]]=0, "", Merge1[[#This Row],[defense_snaps]] / Merge1[[#This Row],[team_defense_snaps]])</f>
        <v>0.89552238805970152</v>
      </c>
      <c r="V3485">
        <v>67</v>
      </c>
      <c r="W3485">
        <v>0</v>
      </c>
      <c r="X3485" s="5" t="s">
        <v>29</v>
      </c>
      <c r="Y3485">
        <v>7</v>
      </c>
      <c r="Z3485">
        <v>0</v>
      </c>
      <c r="AA3485" t="s">
        <v>25</v>
      </c>
      <c r="AB3485" t="s">
        <v>26</v>
      </c>
      <c r="AC3485" t="s">
        <v>27</v>
      </c>
      <c r="AD3485" t="s">
        <v>42</v>
      </c>
      <c r="AE3485" t="s">
        <v>25</v>
      </c>
      <c r="AF348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AG3485" t="s">
        <v>942</v>
      </c>
      <c r="AH3485">
        <v>55.5</v>
      </c>
      <c r="AI3485" t="s">
        <v>939</v>
      </c>
      <c r="AJ3485">
        <v>2</v>
      </c>
      <c r="AK348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MIN(AJ3485/8, 1) +
  Merge1[[#This Row],[index_defensive_effort]],
  2
)</f>
        <v>0.9</v>
      </c>
    </row>
    <row r="3486" spans="1:37" x14ac:dyDescent="0.25">
      <c r="A3486" t="s">
        <v>870</v>
      </c>
      <c r="B3486" t="s">
        <v>871</v>
      </c>
      <c r="C3486">
        <v>30</v>
      </c>
      <c r="D3486" t="s">
        <v>56</v>
      </c>
      <c r="E3486">
        <v>73</v>
      </c>
      <c r="F3486">
        <v>218</v>
      </c>
      <c r="G3486" t="s">
        <v>424</v>
      </c>
      <c r="H3486">
        <v>2020</v>
      </c>
      <c r="I3486" t="s">
        <v>33</v>
      </c>
      <c r="J3486">
        <v>10</v>
      </c>
      <c r="K3486">
        <v>1</v>
      </c>
      <c r="L3486">
        <v>2</v>
      </c>
      <c r="M3486">
        <v>1</v>
      </c>
      <c r="N3486">
        <v>3</v>
      </c>
      <c r="O3486">
        <v>0</v>
      </c>
      <c r="P3486">
        <v>0</v>
      </c>
      <c r="Q3486">
        <v>0</v>
      </c>
      <c r="R3486">
        <v>0</v>
      </c>
      <c r="S3486">
        <v>55</v>
      </c>
      <c r="T3486">
        <v>55</v>
      </c>
      <c r="U3486" s="5">
        <f>IF(Merge1[[#This Row],[team_defense_snaps]]=0, "", Merge1[[#This Row],[defense_snaps]] / Merge1[[#This Row],[team_defense_snaps]])</f>
        <v>0.82089552238805974</v>
      </c>
      <c r="V3486">
        <v>67</v>
      </c>
      <c r="W3486">
        <v>0</v>
      </c>
      <c r="X3486" s="5" t="s">
        <v>29</v>
      </c>
      <c r="Y3486">
        <v>7</v>
      </c>
      <c r="Z3486">
        <v>0</v>
      </c>
      <c r="AA3486" t="s">
        <v>25</v>
      </c>
      <c r="AB3486" t="s">
        <v>26</v>
      </c>
      <c r="AC3486" t="s">
        <v>27</v>
      </c>
      <c r="AD3486" t="s">
        <v>42</v>
      </c>
      <c r="AE3486" t="s">
        <v>25</v>
      </c>
      <c r="AF348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AG3486" t="s">
        <v>942</v>
      </c>
      <c r="AH3486">
        <v>52.5</v>
      </c>
      <c r="AI3486" t="s">
        <v>939</v>
      </c>
      <c r="AJ3486">
        <v>3</v>
      </c>
      <c r="AK348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MIN(AJ3486/8, 1) +
  Merge1[[#This Row],[index_defensive_effort]],
  2
)</f>
        <v>1.02</v>
      </c>
    </row>
    <row r="3487" spans="1:37" x14ac:dyDescent="0.25">
      <c r="A3487" t="s">
        <v>870</v>
      </c>
      <c r="B3487" t="s">
        <v>871</v>
      </c>
      <c r="C3487">
        <v>30</v>
      </c>
      <c r="D3487" t="s">
        <v>56</v>
      </c>
      <c r="E3487">
        <v>73</v>
      </c>
      <c r="F3487">
        <v>218</v>
      </c>
      <c r="G3487" t="s">
        <v>424</v>
      </c>
      <c r="H3487">
        <v>2020</v>
      </c>
      <c r="I3487" t="s">
        <v>33</v>
      </c>
      <c r="J3487">
        <v>11</v>
      </c>
      <c r="K3487">
        <v>1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60</v>
      </c>
      <c r="T3487">
        <v>60</v>
      </c>
      <c r="U3487" s="5">
        <f>IF(Merge1[[#This Row],[team_defense_snaps]]=0, "", Merge1[[#This Row],[defense_snaps]] / Merge1[[#This Row],[team_defense_snaps]])</f>
        <v>1</v>
      </c>
      <c r="V3487">
        <v>60</v>
      </c>
      <c r="W3487">
        <v>0</v>
      </c>
      <c r="X3487" s="5" t="s">
        <v>29</v>
      </c>
      <c r="Y3487">
        <v>7</v>
      </c>
      <c r="Z3487">
        <v>0</v>
      </c>
      <c r="AA3487" t="s">
        <v>25</v>
      </c>
      <c r="AB3487" t="s">
        <v>26</v>
      </c>
      <c r="AC3487" t="s">
        <v>27</v>
      </c>
      <c r="AD3487" t="s">
        <v>42</v>
      </c>
      <c r="AE3487" t="s">
        <v>25</v>
      </c>
      <c r="AF348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1.6666666666666666E-2</v>
      </c>
      <c r="AG3487" t="s">
        <v>942</v>
      </c>
      <c r="AH3487">
        <v>72</v>
      </c>
      <c r="AI3487" t="s">
        <v>939</v>
      </c>
      <c r="AJ3487">
        <v>4</v>
      </c>
      <c r="AK348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MIN(AJ3487/8, 1) +
  Merge1[[#This Row],[index_defensive_effort]],
  2
)</f>
        <v>1.1200000000000001</v>
      </c>
    </row>
    <row r="3488" spans="1:37" x14ac:dyDescent="0.25">
      <c r="A3488" t="s">
        <v>870</v>
      </c>
      <c r="B3488" t="s">
        <v>871</v>
      </c>
      <c r="C3488">
        <v>30</v>
      </c>
      <c r="D3488" t="s">
        <v>56</v>
      </c>
      <c r="E3488">
        <v>73</v>
      </c>
      <c r="F3488">
        <v>218</v>
      </c>
      <c r="G3488" t="s">
        <v>424</v>
      </c>
      <c r="H3488">
        <v>2020</v>
      </c>
      <c r="I3488" t="s">
        <v>33</v>
      </c>
      <c r="J3488">
        <v>12</v>
      </c>
      <c r="K3488">
        <v>1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58</v>
      </c>
      <c r="T3488">
        <v>58</v>
      </c>
      <c r="U3488" s="5">
        <f>IF(Merge1[[#This Row],[team_defense_snaps]]=0, "", Merge1[[#This Row],[defense_snaps]] / Merge1[[#This Row],[team_defense_snaps]])</f>
        <v>0.80555555555555558</v>
      </c>
      <c r="V3488">
        <v>72</v>
      </c>
      <c r="W3488">
        <v>0</v>
      </c>
      <c r="X3488" s="5" t="s">
        <v>29</v>
      </c>
      <c r="Y3488">
        <v>7</v>
      </c>
      <c r="Z3488">
        <v>0</v>
      </c>
      <c r="AA3488" t="s">
        <v>25</v>
      </c>
      <c r="AB3488" t="s">
        <v>26</v>
      </c>
      <c r="AC3488" t="s">
        <v>27</v>
      </c>
      <c r="AD3488" t="s">
        <v>42</v>
      </c>
      <c r="AE3488" t="s">
        <v>25</v>
      </c>
      <c r="AF348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1.7241379310344827E-2</v>
      </c>
      <c r="AG3488" t="s">
        <v>942</v>
      </c>
      <c r="AH3488">
        <v>64.5</v>
      </c>
      <c r="AI3488" t="s">
        <v>939</v>
      </c>
      <c r="AJ3488">
        <v>5</v>
      </c>
      <c r="AK348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MIN(AJ3488/8, 1) +
  Merge1[[#This Row],[index_defensive_effort]],
  2
)</f>
        <v>1.24</v>
      </c>
    </row>
    <row r="3489" spans="1:37" x14ac:dyDescent="0.25">
      <c r="A3489" t="s">
        <v>870</v>
      </c>
      <c r="B3489" t="s">
        <v>871</v>
      </c>
      <c r="C3489">
        <v>30</v>
      </c>
      <c r="D3489" t="s">
        <v>56</v>
      </c>
      <c r="E3489">
        <v>73</v>
      </c>
      <c r="F3489">
        <v>218</v>
      </c>
      <c r="G3489" t="s">
        <v>424</v>
      </c>
      <c r="H3489">
        <v>2020</v>
      </c>
      <c r="I3489" t="s">
        <v>33</v>
      </c>
      <c r="J3489">
        <v>13</v>
      </c>
      <c r="K3489">
        <v>2</v>
      </c>
      <c r="L3489">
        <v>1</v>
      </c>
      <c r="M3489">
        <v>0</v>
      </c>
      <c r="N3489">
        <v>1</v>
      </c>
      <c r="O3489">
        <v>0</v>
      </c>
      <c r="P3489">
        <v>1</v>
      </c>
      <c r="Q3489">
        <v>0</v>
      </c>
      <c r="R3489">
        <v>0</v>
      </c>
      <c r="S3489">
        <v>61</v>
      </c>
      <c r="T3489">
        <v>61</v>
      </c>
      <c r="U3489" s="5">
        <f>IF(Merge1[[#This Row],[team_defense_snaps]]=0, "", Merge1[[#This Row],[defense_snaps]] / Merge1[[#This Row],[team_defense_snaps]])</f>
        <v>0.953125</v>
      </c>
      <c r="V3489">
        <v>64</v>
      </c>
      <c r="W3489">
        <v>0</v>
      </c>
      <c r="X3489" s="5" t="s">
        <v>29</v>
      </c>
      <c r="Y3489">
        <v>7</v>
      </c>
      <c r="Z3489">
        <v>0</v>
      </c>
      <c r="AA3489" t="s">
        <v>25</v>
      </c>
      <c r="AB3489" t="s">
        <v>26</v>
      </c>
      <c r="AC3489" t="s">
        <v>27</v>
      </c>
      <c r="AD3489" t="s">
        <v>42</v>
      </c>
      <c r="AE3489" t="s">
        <v>25</v>
      </c>
      <c r="AF348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7.3770491803278687E-2</v>
      </c>
      <c r="AG3489" t="s">
        <v>942</v>
      </c>
      <c r="AH3489">
        <v>49.5</v>
      </c>
      <c r="AI3489" t="s">
        <v>939</v>
      </c>
      <c r="AJ3489">
        <v>6</v>
      </c>
      <c r="AK348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MIN(AJ3489/8, 1) +
  Merge1[[#This Row],[index_defensive_effort]],
  2
)</f>
        <v>1.42</v>
      </c>
    </row>
    <row r="3490" spans="1:37" x14ac:dyDescent="0.25">
      <c r="A3490" t="s">
        <v>870</v>
      </c>
      <c r="B3490" t="s">
        <v>871</v>
      </c>
      <c r="C3490">
        <v>30</v>
      </c>
      <c r="D3490" t="s">
        <v>56</v>
      </c>
      <c r="E3490">
        <v>73</v>
      </c>
      <c r="F3490">
        <v>218</v>
      </c>
      <c r="G3490" t="s">
        <v>424</v>
      </c>
      <c r="H3490">
        <v>2020</v>
      </c>
      <c r="I3490" t="s">
        <v>33</v>
      </c>
      <c r="J3490">
        <v>14</v>
      </c>
      <c r="K3490">
        <v>0</v>
      </c>
      <c r="L3490">
        <v>1</v>
      </c>
      <c r="M3490">
        <v>1</v>
      </c>
      <c r="N3490">
        <v>2</v>
      </c>
      <c r="O3490">
        <v>0</v>
      </c>
      <c r="P3490">
        <v>0</v>
      </c>
      <c r="Q3490">
        <v>0</v>
      </c>
      <c r="R3490">
        <v>0</v>
      </c>
      <c r="S3490">
        <v>35</v>
      </c>
      <c r="T3490">
        <v>35</v>
      </c>
      <c r="U3490" s="5">
        <f>IF(Merge1[[#This Row],[team_defense_snaps]]=0, "", Merge1[[#This Row],[defense_snaps]] / Merge1[[#This Row],[team_defense_snaps]])</f>
        <v>0.50724637681159424</v>
      </c>
      <c r="V3490">
        <v>69</v>
      </c>
      <c r="W3490">
        <v>0</v>
      </c>
      <c r="X3490" s="5" t="s">
        <v>29</v>
      </c>
      <c r="Y3490">
        <v>7</v>
      </c>
      <c r="Z3490">
        <v>0</v>
      </c>
      <c r="AA3490" t="s">
        <v>25</v>
      </c>
      <c r="AB3490" t="s">
        <v>26</v>
      </c>
      <c r="AC3490" t="s">
        <v>27</v>
      </c>
      <c r="AD3490" t="s">
        <v>42</v>
      </c>
      <c r="AE3490" t="s">
        <v>25</v>
      </c>
      <c r="AF349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2.8571428571428571E-2</v>
      </c>
      <c r="AG3490" t="s">
        <v>942</v>
      </c>
      <c r="AH3490">
        <v>57</v>
      </c>
      <c r="AI3490" t="s">
        <v>939</v>
      </c>
      <c r="AJ3490">
        <v>7</v>
      </c>
      <c r="AK349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MIN(AJ3490/8, 1) +
  Merge1[[#This Row],[index_defensive_effort]],
  2
)</f>
        <v>1.5</v>
      </c>
    </row>
    <row r="3491" spans="1:37" x14ac:dyDescent="0.25">
      <c r="A3491" t="s">
        <v>870</v>
      </c>
      <c r="B3491" t="s">
        <v>871</v>
      </c>
      <c r="C3491">
        <v>30</v>
      </c>
      <c r="D3491" t="s">
        <v>56</v>
      </c>
      <c r="E3491">
        <v>73</v>
      </c>
      <c r="F3491">
        <v>218</v>
      </c>
      <c r="G3491" t="s">
        <v>424</v>
      </c>
      <c r="H3491">
        <v>2020</v>
      </c>
      <c r="I3491" t="s">
        <v>33</v>
      </c>
      <c r="J3491">
        <v>15</v>
      </c>
      <c r="K3491">
        <v>6</v>
      </c>
      <c r="L3491">
        <v>1</v>
      </c>
      <c r="M3491">
        <v>1</v>
      </c>
      <c r="N3491">
        <v>2</v>
      </c>
      <c r="O3491">
        <v>0</v>
      </c>
      <c r="P3491">
        <v>0</v>
      </c>
      <c r="Q3491">
        <v>0</v>
      </c>
      <c r="R3491">
        <v>0</v>
      </c>
      <c r="S3491">
        <v>69</v>
      </c>
      <c r="T3491">
        <v>69</v>
      </c>
      <c r="U3491" s="5">
        <f>IF(Merge1[[#This Row],[team_defense_snaps]]=0, "", Merge1[[#This Row],[defense_snaps]] / Merge1[[#This Row],[team_defense_snaps]])</f>
        <v>1</v>
      </c>
      <c r="V3491">
        <v>69</v>
      </c>
      <c r="W3491">
        <v>0</v>
      </c>
      <c r="X3491" s="5" t="s">
        <v>29</v>
      </c>
      <c r="Y3491">
        <v>7</v>
      </c>
      <c r="Z3491">
        <v>0</v>
      </c>
      <c r="AA3491" t="s">
        <v>25</v>
      </c>
      <c r="AB3491" t="s">
        <v>26</v>
      </c>
      <c r="AC3491" t="s">
        <v>27</v>
      </c>
      <c r="AD3491" t="s">
        <v>42</v>
      </c>
      <c r="AE3491" t="s">
        <v>25</v>
      </c>
      <c r="AF349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0.10144927536231885</v>
      </c>
      <c r="AG3491" t="s">
        <v>942</v>
      </c>
      <c r="AH3491">
        <v>52</v>
      </c>
      <c r="AI3491" t="s">
        <v>939</v>
      </c>
      <c r="AJ3491">
        <v>8</v>
      </c>
      <c r="AK349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MIN(AJ3491/8, 1) +
  Merge1[[#This Row],[index_defensive_effort]],
  2
)</f>
        <v>1.7</v>
      </c>
    </row>
    <row r="3492" spans="1:37" x14ac:dyDescent="0.25">
      <c r="A3492" t="s">
        <v>870</v>
      </c>
      <c r="B3492" t="s">
        <v>871</v>
      </c>
      <c r="C3492">
        <v>30</v>
      </c>
      <c r="D3492" t="s">
        <v>56</v>
      </c>
      <c r="E3492">
        <v>73</v>
      </c>
      <c r="F3492">
        <v>218</v>
      </c>
      <c r="G3492" t="s">
        <v>424</v>
      </c>
      <c r="H3492">
        <v>2020</v>
      </c>
      <c r="I3492" t="s">
        <v>33</v>
      </c>
      <c r="J3492">
        <v>16</v>
      </c>
      <c r="K3492">
        <v>3</v>
      </c>
      <c r="L3492">
        <v>2</v>
      </c>
      <c r="M3492">
        <v>0</v>
      </c>
      <c r="N3492">
        <v>2</v>
      </c>
      <c r="O3492">
        <v>0</v>
      </c>
      <c r="P3492">
        <v>0</v>
      </c>
      <c r="Q3492">
        <v>0</v>
      </c>
      <c r="R3492">
        <v>0</v>
      </c>
      <c r="S3492">
        <v>68</v>
      </c>
      <c r="T3492">
        <v>68</v>
      </c>
      <c r="U3492" s="5">
        <f>IF(Merge1[[#This Row],[team_defense_snaps]]=0, "", Merge1[[#This Row],[defense_snaps]] / Merge1[[#This Row],[team_defense_snaps]])</f>
        <v>1</v>
      </c>
      <c r="V3492">
        <v>68</v>
      </c>
      <c r="W3492">
        <v>0</v>
      </c>
      <c r="X3492" s="5" t="s">
        <v>29</v>
      </c>
      <c r="Y3492">
        <v>7</v>
      </c>
      <c r="Z3492">
        <v>0</v>
      </c>
      <c r="AA3492" t="s">
        <v>25</v>
      </c>
      <c r="AB3492" t="s">
        <v>26</v>
      </c>
      <c r="AC3492" t="s">
        <v>27</v>
      </c>
      <c r="AD3492" t="s">
        <v>42</v>
      </c>
      <c r="AE3492" t="s">
        <v>25</v>
      </c>
      <c r="AF349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AG3492" t="s">
        <v>942</v>
      </c>
      <c r="AH3492">
        <v>66</v>
      </c>
      <c r="AI3492" t="s">
        <v>939</v>
      </c>
      <c r="AJ3492">
        <v>9</v>
      </c>
      <c r="AK349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MIN(AJ3492/8, 1) +
  Merge1[[#This Row],[index_defensive_effort]],
  2
)</f>
        <v>1.66</v>
      </c>
    </row>
    <row r="3493" spans="1:37" x14ac:dyDescent="0.25">
      <c r="A3493" t="s">
        <v>870</v>
      </c>
      <c r="B3493" t="s">
        <v>871</v>
      </c>
      <c r="C3493">
        <v>30</v>
      </c>
      <c r="D3493" t="s">
        <v>56</v>
      </c>
      <c r="E3493">
        <v>73</v>
      </c>
      <c r="F3493">
        <v>218</v>
      </c>
      <c r="G3493" t="s">
        <v>424</v>
      </c>
      <c r="H3493">
        <v>2020</v>
      </c>
      <c r="I3493" t="s">
        <v>33</v>
      </c>
      <c r="J3493">
        <v>17</v>
      </c>
      <c r="K3493">
        <v>2</v>
      </c>
      <c r="L3493">
        <v>1</v>
      </c>
      <c r="M3493">
        <v>1</v>
      </c>
      <c r="N3493">
        <v>2</v>
      </c>
      <c r="O3493">
        <v>0</v>
      </c>
      <c r="P3493">
        <v>0</v>
      </c>
      <c r="Q3493">
        <v>0</v>
      </c>
      <c r="R3493">
        <v>0</v>
      </c>
      <c r="S3493">
        <v>65</v>
      </c>
      <c r="T3493">
        <v>65</v>
      </c>
      <c r="U3493" s="5">
        <f>IF(Merge1[[#This Row],[team_defense_snaps]]=0, "", Merge1[[#This Row],[defense_snaps]] / Merge1[[#This Row],[team_defense_snaps]])</f>
        <v>1</v>
      </c>
      <c r="V3493">
        <v>65</v>
      </c>
      <c r="W3493">
        <v>0</v>
      </c>
      <c r="X3493" s="5" t="s">
        <v>29</v>
      </c>
      <c r="Y3493">
        <v>7</v>
      </c>
      <c r="Z3493">
        <v>0</v>
      </c>
      <c r="AA3493" t="s">
        <v>25</v>
      </c>
      <c r="AB3493" t="s">
        <v>26</v>
      </c>
      <c r="AC3493" t="s">
        <v>27</v>
      </c>
      <c r="AD3493" t="s">
        <v>42</v>
      </c>
      <c r="AE3493" t="s">
        <v>25</v>
      </c>
      <c r="AF349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4.6153846153846156E-2</v>
      </c>
      <c r="AG3493" t="s">
        <v>942</v>
      </c>
      <c r="AH3493">
        <v>69</v>
      </c>
      <c r="AI3493" t="s">
        <v>939</v>
      </c>
      <c r="AJ3493">
        <v>10</v>
      </c>
      <c r="AK349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MIN(AJ3493/8, 1) +
  Merge1[[#This Row],[index_defensive_effort]],
  2
)</f>
        <v>1.65</v>
      </c>
    </row>
    <row r="3494" spans="1:37" x14ac:dyDescent="0.25">
      <c r="A3494" t="s">
        <v>870</v>
      </c>
      <c r="B3494" t="s">
        <v>871</v>
      </c>
      <c r="C3494">
        <v>30</v>
      </c>
      <c r="D3494" t="s">
        <v>56</v>
      </c>
      <c r="E3494">
        <v>73</v>
      </c>
      <c r="F3494">
        <v>218</v>
      </c>
      <c r="G3494" t="s">
        <v>424</v>
      </c>
      <c r="H3494">
        <v>2020</v>
      </c>
      <c r="I3494" t="s">
        <v>24</v>
      </c>
      <c r="J3494">
        <v>18</v>
      </c>
      <c r="K3494">
        <v>2</v>
      </c>
      <c r="L3494">
        <v>1</v>
      </c>
      <c r="M3494">
        <v>1</v>
      </c>
      <c r="N3494">
        <v>2</v>
      </c>
      <c r="O3494">
        <v>0</v>
      </c>
      <c r="P3494">
        <v>0</v>
      </c>
      <c r="Q3494">
        <v>0</v>
      </c>
      <c r="R3494">
        <v>0</v>
      </c>
      <c r="S3494">
        <v>55</v>
      </c>
      <c r="T3494">
        <v>55</v>
      </c>
      <c r="U3494" s="5">
        <f>IF(Merge1[[#This Row],[team_defense_snaps]]=0, "", Merge1[[#This Row],[defense_snaps]] / Merge1[[#This Row],[team_defense_snaps]])</f>
        <v>0.88709677419354838</v>
      </c>
      <c r="V3494">
        <v>62</v>
      </c>
      <c r="W3494">
        <v>0</v>
      </c>
      <c r="X3494" s="5" t="s">
        <v>29</v>
      </c>
      <c r="Y3494">
        <v>7</v>
      </c>
      <c r="Z3494">
        <v>0</v>
      </c>
      <c r="AA3494" t="s">
        <v>25</v>
      </c>
      <c r="AB3494" t="s">
        <v>26</v>
      </c>
      <c r="AC3494" t="s">
        <v>27</v>
      </c>
      <c r="AD3494" t="s">
        <v>42</v>
      </c>
      <c r="AE3494" t="s">
        <v>25</v>
      </c>
      <c r="AF349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5.4545454545454543E-2</v>
      </c>
      <c r="AG3494" t="s">
        <v>942</v>
      </c>
      <c r="AH3494">
        <v>70.5</v>
      </c>
      <c r="AI3494" t="s">
        <v>939</v>
      </c>
      <c r="AJ3494">
        <v>11</v>
      </c>
      <c r="AK349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MIN(AJ3494/8, 1) +
  Merge1[[#This Row],[index_defensive_effort]],
  2
)</f>
        <v>1.85</v>
      </c>
    </row>
    <row r="3495" spans="1:37" x14ac:dyDescent="0.25">
      <c r="A3495" t="s">
        <v>872</v>
      </c>
      <c r="B3495" t="s">
        <v>873</v>
      </c>
      <c r="C3495">
        <v>25</v>
      </c>
      <c r="D3495" t="s">
        <v>22</v>
      </c>
      <c r="E3495">
        <v>71</v>
      </c>
      <c r="F3495">
        <v>200</v>
      </c>
      <c r="G3495" t="s">
        <v>78</v>
      </c>
      <c r="H3495">
        <v>2020</v>
      </c>
      <c r="I3495" t="s">
        <v>33</v>
      </c>
      <c r="J3495">
        <v>1</v>
      </c>
      <c r="K3495">
        <v>4</v>
      </c>
      <c r="L3495">
        <v>5</v>
      </c>
      <c r="M3495">
        <v>2</v>
      </c>
      <c r="N3495">
        <v>7</v>
      </c>
      <c r="O3495">
        <v>0</v>
      </c>
      <c r="P3495">
        <v>0</v>
      </c>
      <c r="Q3495">
        <v>0</v>
      </c>
      <c r="R3495">
        <v>0</v>
      </c>
      <c r="S3495">
        <v>80</v>
      </c>
      <c r="T3495">
        <v>73</v>
      </c>
      <c r="U3495" s="5">
        <f>IF(Merge1[[#This Row],[team_defense_snaps]]=0, "", Merge1[[#This Row],[defense_snaps]] / Merge1[[#This Row],[team_defense_snaps]])</f>
        <v>1</v>
      </c>
      <c r="V3495">
        <v>73</v>
      </c>
      <c r="W3495">
        <v>7</v>
      </c>
      <c r="X3495" s="5" t="s">
        <v>261</v>
      </c>
      <c r="Y3495">
        <v>3</v>
      </c>
      <c r="Z3495">
        <v>0</v>
      </c>
      <c r="AA3495" t="s">
        <v>25</v>
      </c>
      <c r="AB3495" t="s">
        <v>26</v>
      </c>
      <c r="AC3495" t="s">
        <v>27</v>
      </c>
      <c r="AD3495" t="s">
        <v>42</v>
      </c>
      <c r="AE3495" t="s">
        <v>25</v>
      </c>
      <c r="AF349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9.375E-2</v>
      </c>
      <c r="AG3495" t="s">
        <v>942</v>
      </c>
      <c r="AH3495">
        <v>68.5</v>
      </c>
      <c r="AI3495" t="s">
        <v>939</v>
      </c>
      <c r="AJ3495">
        <v>1</v>
      </c>
      <c r="AK349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MIN(AJ3495/8, 1) +
  Merge1[[#This Row],[index_defensive_effort]],
  2
)</f>
        <v>0.72</v>
      </c>
    </row>
    <row r="3496" spans="1:37" x14ac:dyDescent="0.25">
      <c r="A3496" t="s">
        <v>872</v>
      </c>
      <c r="B3496" t="s">
        <v>873</v>
      </c>
      <c r="C3496">
        <v>25</v>
      </c>
      <c r="D3496" t="s">
        <v>22</v>
      </c>
      <c r="E3496">
        <v>71</v>
      </c>
      <c r="F3496">
        <v>200</v>
      </c>
      <c r="G3496" t="s">
        <v>78</v>
      </c>
      <c r="H3496">
        <v>2020</v>
      </c>
      <c r="I3496" t="s">
        <v>33</v>
      </c>
      <c r="J3496">
        <v>2</v>
      </c>
      <c r="K3496">
        <v>3</v>
      </c>
      <c r="L3496">
        <v>4</v>
      </c>
      <c r="M3496">
        <v>2</v>
      </c>
      <c r="N3496">
        <v>6</v>
      </c>
      <c r="O3496">
        <v>0</v>
      </c>
      <c r="P3496">
        <v>0</v>
      </c>
      <c r="Q3496">
        <v>0</v>
      </c>
      <c r="R3496">
        <v>0</v>
      </c>
      <c r="S3496">
        <v>83</v>
      </c>
      <c r="T3496">
        <v>75</v>
      </c>
      <c r="U3496" s="5">
        <f>IF(Merge1[[#This Row],[team_defense_snaps]]=0, "", Merge1[[#This Row],[defense_snaps]] / Merge1[[#This Row],[team_defense_snaps]])</f>
        <v>0.98684210526315785</v>
      </c>
      <c r="V3496">
        <v>76</v>
      </c>
      <c r="W3496">
        <v>8</v>
      </c>
      <c r="X3496" s="5" t="s">
        <v>139</v>
      </c>
      <c r="Y3496">
        <v>3</v>
      </c>
      <c r="Z3496">
        <v>0</v>
      </c>
      <c r="AA3496" t="s">
        <v>25</v>
      </c>
      <c r="AB3496" t="s">
        <v>26</v>
      </c>
      <c r="AC3496" t="s">
        <v>27</v>
      </c>
      <c r="AD3496" t="s">
        <v>42</v>
      </c>
      <c r="AE3496" t="s">
        <v>25</v>
      </c>
      <c r="AF349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7.2289156626506021E-2</v>
      </c>
      <c r="AG3496" t="s">
        <v>942</v>
      </c>
      <c r="AH3496">
        <v>79</v>
      </c>
      <c r="AI3496" t="s">
        <v>939</v>
      </c>
      <c r="AJ3496">
        <v>2</v>
      </c>
      <c r="AK349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MIN(AJ3496/8, 1) +
  Merge1[[#This Row],[index_defensive_effort]],
  2
)</f>
        <v>0.82</v>
      </c>
    </row>
    <row r="3497" spans="1:37" x14ac:dyDescent="0.25">
      <c r="A3497" t="s">
        <v>872</v>
      </c>
      <c r="B3497" t="s">
        <v>873</v>
      </c>
      <c r="C3497">
        <v>25</v>
      </c>
      <c r="D3497" t="s">
        <v>22</v>
      </c>
      <c r="E3497">
        <v>71</v>
      </c>
      <c r="F3497">
        <v>200</v>
      </c>
      <c r="G3497" t="s">
        <v>78</v>
      </c>
      <c r="H3497">
        <v>2020</v>
      </c>
      <c r="I3497" t="s">
        <v>33</v>
      </c>
      <c r="J3497">
        <v>3</v>
      </c>
      <c r="K3497">
        <v>3</v>
      </c>
      <c r="L3497">
        <v>2</v>
      </c>
      <c r="M3497">
        <v>0</v>
      </c>
      <c r="N3497">
        <v>2</v>
      </c>
      <c r="O3497">
        <v>0</v>
      </c>
      <c r="P3497">
        <v>0</v>
      </c>
      <c r="Q3497">
        <v>0</v>
      </c>
      <c r="R3497">
        <v>0</v>
      </c>
      <c r="S3497">
        <v>78</v>
      </c>
      <c r="T3497">
        <v>76</v>
      </c>
      <c r="U3497" s="5">
        <f>IF(Merge1[[#This Row],[team_defense_snaps]]=0, "", Merge1[[#This Row],[defense_snaps]] / Merge1[[#This Row],[team_defense_snaps]])</f>
        <v>1</v>
      </c>
      <c r="V3497">
        <v>76</v>
      </c>
      <c r="W3497">
        <v>2</v>
      </c>
      <c r="X3497" s="5" t="s">
        <v>114</v>
      </c>
      <c r="Y3497">
        <v>3</v>
      </c>
      <c r="Z3497">
        <v>0</v>
      </c>
      <c r="AA3497" t="s">
        <v>25</v>
      </c>
      <c r="AB3497" t="s">
        <v>26</v>
      </c>
      <c r="AC3497" t="s">
        <v>27</v>
      </c>
      <c r="AD3497" t="s">
        <v>42</v>
      </c>
      <c r="AE3497" t="s">
        <v>25</v>
      </c>
      <c r="AF349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5.128205128205128E-2</v>
      </c>
      <c r="AG3497" t="s">
        <v>942</v>
      </c>
      <c r="AH3497">
        <v>85</v>
      </c>
      <c r="AI3497" t="s">
        <v>939</v>
      </c>
      <c r="AJ3497">
        <v>3</v>
      </c>
      <c r="AK349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MIN(AJ3497/8, 1) +
  Merge1[[#This Row],[index_defensive_effort]],
  2
)</f>
        <v>0.93</v>
      </c>
    </row>
    <row r="3498" spans="1:37" x14ac:dyDescent="0.25">
      <c r="A3498" t="s">
        <v>872</v>
      </c>
      <c r="B3498" t="s">
        <v>873</v>
      </c>
      <c r="C3498">
        <v>25</v>
      </c>
      <c r="D3498" t="s">
        <v>22</v>
      </c>
      <c r="E3498">
        <v>71</v>
      </c>
      <c r="F3498">
        <v>200</v>
      </c>
      <c r="G3498" t="s">
        <v>78</v>
      </c>
      <c r="H3498">
        <v>2020</v>
      </c>
      <c r="I3498" t="s">
        <v>33</v>
      </c>
      <c r="J3498">
        <v>4</v>
      </c>
      <c r="K3498">
        <v>3</v>
      </c>
      <c r="L3498">
        <v>4</v>
      </c>
      <c r="M3498">
        <v>0</v>
      </c>
      <c r="N3498">
        <v>4</v>
      </c>
      <c r="O3498">
        <v>0</v>
      </c>
      <c r="P3498">
        <v>1</v>
      </c>
      <c r="Q3498">
        <v>0</v>
      </c>
      <c r="R3498">
        <v>0</v>
      </c>
      <c r="S3498">
        <v>77</v>
      </c>
      <c r="T3498">
        <v>75</v>
      </c>
      <c r="U3498" s="5">
        <f>IF(Merge1[[#This Row],[team_defense_snaps]]=0, "", Merge1[[#This Row],[defense_snaps]] / Merge1[[#This Row],[team_defense_snaps]])</f>
        <v>0.98684210526315785</v>
      </c>
      <c r="V3498">
        <v>76</v>
      </c>
      <c r="W3498">
        <v>2</v>
      </c>
      <c r="X3498" s="5" t="s">
        <v>114</v>
      </c>
      <c r="Y3498">
        <v>3</v>
      </c>
      <c r="Z3498">
        <v>0</v>
      </c>
      <c r="AA3498" t="s">
        <v>25</v>
      </c>
      <c r="AB3498" t="s">
        <v>26</v>
      </c>
      <c r="AC3498" t="s">
        <v>27</v>
      </c>
      <c r="AD3498" t="s">
        <v>42</v>
      </c>
      <c r="AE3498" t="s">
        <v>25</v>
      </c>
      <c r="AF349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9.0909090909090912E-2</v>
      </c>
      <c r="AG3498" t="s">
        <v>942</v>
      </c>
      <c r="AH3498">
        <v>61</v>
      </c>
      <c r="AI3498" t="s">
        <v>939</v>
      </c>
      <c r="AJ3498">
        <v>4</v>
      </c>
      <c r="AK349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MIN(AJ3498/8, 1) +
  Merge1[[#This Row],[index_defensive_effort]],
  2
)</f>
        <v>1.0900000000000001</v>
      </c>
    </row>
    <row r="3499" spans="1:37" x14ac:dyDescent="0.25">
      <c r="A3499" t="s">
        <v>872</v>
      </c>
      <c r="B3499" t="s">
        <v>873</v>
      </c>
      <c r="C3499">
        <v>25</v>
      </c>
      <c r="D3499" t="s">
        <v>22</v>
      </c>
      <c r="E3499">
        <v>71</v>
      </c>
      <c r="F3499">
        <v>200</v>
      </c>
      <c r="G3499" t="s">
        <v>78</v>
      </c>
      <c r="H3499">
        <v>2020</v>
      </c>
      <c r="I3499" t="s">
        <v>33</v>
      </c>
      <c r="J3499">
        <v>5</v>
      </c>
      <c r="K3499">
        <v>5</v>
      </c>
      <c r="L3499">
        <v>0</v>
      </c>
      <c r="M3499">
        <v>0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69</v>
      </c>
      <c r="T3499">
        <v>68</v>
      </c>
      <c r="U3499" s="5">
        <f>IF(Merge1[[#This Row],[team_defense_snaps]]=0, "", Merge1[[#This Row],[defense_snaps]] / Merge1[[#This Row],[team_defense_snaps]])</f>
        <v>0.98550724637681164</v>
      </c>
      <c r="V3499">
        <v>69</v>
      </c>
      <c r="W3499">
        <v>1</v>
      </c>
      <c r="X3499" s="5" t="s">
        <v>303</v>
      </c>
      <c r="Y3499">
        <v>3</v>
      </c>
      <c r="Z3499">
        <v>0</v>
      </c>
      <c r="AA3499" t="s">
        <v>25</v>
      </c>
      <c r="AB3499" t="s">
        <v>26</v>
      </c>
      <c r="AC3499" t="s">
        <v>27</v>
      </c>
      <c r="AD3499" t="s">
        <v>42</v>
      </c>
      <c r="AE3499" t="s">
        <v>25</v>
      </c>
      <c r="AF349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0.10144927536231885</v>
      </c>
      <c r="AG3499" t="s">
        <v>942</v>
      </c>
      <c r="AH3499">
        <v>73</v>
      </c>
      <c r="AI3499" t="s">
        <v>939</v>
      </c>
      <c r="AJ3499">
        <v>5</v>
      </c>
      <c r="AK349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MIN(AJ3499/8, 1) +
  Merge1[[#This Row],[index_defensive_effort]],
  2
)</f>
        <v>1.23</v>
      </c>
    </row>
    <row r="3500" spans="1:37" x14ac:dyDescent="0.25">
      <c r="A3500" t="s">
        <v>872</v>
      </c>
      <c r="B3500" t="s">
        <v>873</v>
      </c>
      <c r="C3500">
        <v>25</v>
      </c>
      <c r="D3500" t="s">
        <v>22</v>
      </c>
      <c r="E3500">
        <v>71</v>
      </c>
      <c r="F3500">
        <v>200</v>
      </c>
      <c r="G3500" t="s">
        <v>78</v>
      </c>
      <c r="H3500">
        <v>2020</v>
      </c>
      <c r="I3500" t="s">
        <v>33</v>
      </c>
      <c r="J3500">
        <v>6</v>
      </c>
      <c r="K3500">
        <v>3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62</v>
      </c>
      <c r="T3500">
        <v>62</v>
      </c>
      <c r="U3500" s="5">
        <f>IF(Merge1[[#This Row],[team_defense_snaps]]=0, "", Merge1[[#This Row],[defense_snaps]] / Merge1[[#This Row],[team_defense_snaps]])</f>
        <v>1</v>
      </c>
      <c r="V3500">
        <v>62</v>
      </c>
      <c r="W3500">
        <v>0</v>
      </c>
      <c r="X3500" s="5" t="s">
        <v>29</v>
      </c>
      <c r="Y3500">
        <v>3</v>
      </c>
      <c r="Z3500">
        <v>0</v>
      </c>
      <c r="AA3500" t="s">
        <v>25</v>
      </c>
      <c r="AB3500" t="s">
        <v>26</v>
      </c>
      <c r="AC3500" t="s">
        <v>27</v>
      </c>
      <c r="AD3500" t="s">
        <v>42</v>
      </c>
      <c r="AE3500" t="s">
        <v>25</v>
      </c>
      <c r="AF3500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4.8387096774193547E-2</v>
      </c>
      <c r="AG3500" t="s">
        <v>942</v>
      </c>
      <c r="AH3500">
        <v>76</v>
      </c>
      <c r="AI3500" t="s">
        <v>939</v>
      </c>
      <c r="AJ3500">
        <v>6</v>
      </c>
      <c r="AK3500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MIN(AJ3500/8, 1) +
  Merge1[[#This Row],[index_defensive_effort]],
  2
)</f>
        <v>1.3</v>
      </c>
    </row>
    <row r="3501" spans="1:37" x14ac:dyDescent="0.25">
      <c r="A3501" t="s">
        <v>872</v>
      </c>
      <c r="B3501" t="s">
        <v>873</v>
      </c>
      <c r="C3501">
        <v>25</v>
      </c>
      <c r="D3501" t="s">
        <v>22</v>
      </c>
      <c r="E3501">
        <v>71</v>
      </c>
      <c r="F3501">
        <v>200</v>
      </c>
      <c r="G3501" t="s">
        <v>78</v>
      </c>
      <c r="H3501">
        <v>2020</v>
      </c>
      <c r="I3501" t="s">
        <v>33</v>
      </c>
      <c r="J3501">
        <v>7</v>
      </c>
      <c r="K3501">
        <v>1</v>
      </c>
      <c r="L3501">
        <v>1</v>
      </c>
      <c r="M3501">
        <v>0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69</v>
      </c>
      <c r="T3501">
        <v>69</v>
      </c>
      <c r="U3501" s="5">
        <f>IF(Merge1[[#This Row],[team_defense_snaps]]=0, "", Merge1[[#This Row],[defense_snaps]] / Merge1[[#This Row],[team_defense_snaps]])</f>
        <v>1</v>
      </c>
      <c r="V3501">
        <v>69</v>
      </c>
      <c r="W3501">
        <v>0</v>
      </c>
      <c r="X3501" s="5" t="s">
        <v>29</v>
      </c>
      <c r="Y3501">
        <v>3</v>
      </c>
      <c r="Z3501">
        <v>0</v>
      </c>
      <c r="AA3501" t="s">
        <v>25</v>
      </c>
      <c r="AB3501" t="s">
        <v>26</v>
      </c>
      <c r="AC3501" t="s">
        <v>27</v>
      </c>
      <c r="AD3501" t="s">
        <v>42</v>
      </c>
      <c r="AE3501" t="s">
        <v>25</v>
      </c>
      <c r="AF3501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2.1739130434782608E-2</v>
      </c>
      <c r="AG3501" t="s">
        <v>942</v>
      </c>
      <c r="AH3501">
        <v>80.5</v>
      </c>
      <c r="AI3501" t="s">
        <v>939</v>
      </c>
      <c r="AJ3501">
        <v>7</v>
      </c>
      <c r="AK3501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MIN(AJ3501/8, 1) +
  Merge1[[#This Row],[index_defensive_effort]],
  2
)</f>
        <v>1.4</v>
      </c>
    </row>
    <row r="3502" spans="1:37" x14ac:dyDescent="0.25">
      <c r="A3502" t="s">
        <v>872</v>
      </c>
      <c r="B3502" t="s">
        <v>873</v>
      </c>
      <c r="C3502">
        <v>25</v>
      </c>
      <c r="D3502" t="s">
        <v>22</v>
      </c>
      <c r="E3502">
        <v>71</v>
      </c>
      <c r="F3502">
        <v>200</v>
      </c>
      <c r="G3502" t="s">
        <v>78</v>
      </c>
      <c r="H3502">
        <v>2020</v>
      </c>
      <c r="I3502" t="s">
        <v>33</v>
      </c>
      <c r="J3502">
        <v>8</v>
      </c>
      <c r="K3502">
        <v>1</v>
      </c>
      <c r="L3502">
        <v>2</v>
      </c>
      <c r="M3502">
        <v>0</v>
      </c>
      <c r="N3502">
        <v>2</v>
      </c>
      <c r="O3502">
        <v>0</v>
      </c>
      <c r="P3502">
        <v>0</v>
      </c>
      <c r="Q3502">
        <v>0</v>
      </c>
      <c r="R3502">
        <v>0</v>
      </c>
      <c r="S3502">
        <v>64</v>
      </c>
      <c r="T3502">
        <v>64</v>
      </c>
      <c r="U3502" s="5">
        <f>IF(Merge1[[#This Row],[team_defense_snaps]]=0, "", Merge1[[#This Row],[defense_snaps]] / Merge1[[#This Row],[team_defense_snaps]])</f>
        <v>1</v>
      </c>
      <c r="V3502">
        <v>64</v>
      </c>
      <c r="W3502">
        <v>0</v>
      </c>
      <c r="X3502" s="5" t="s">
        <v>29</v>
      </c>
      <c r="Y3502">
        <v>3</v>
      </c>
      <c r="Z3502">
        <v>0</v>
      </c>
      <c r="AA3502" t="s">
        <v>25</v>
      </c>
      <c r="AB3502" t="s">
        <v>26</v>
      </c>
      <c r="AC3502" t="s">
        <v>27</v>
      </c>
      <c r="AD3502" t="s">
        <v>42</v>
      </c>
      <c r="AE3502" t="s">
        <v>25</v>
      </c>
      <c r="AF3502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3.125E-2</v>
      </c>
      <c r="AG3502" t="s">
        <v>942</v>
      </c>
      <c r="AH3502">
        <v>83.5</v>
      </c>
      <c r="AI3502" t="s">
        <v>939</v>
      </c>
      <c r="AJ3502">
        <v>8</v>
      </c>
      <c r="AK3502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MIN(AJ3502/8, 1) +
  Merge1[[#This Row],[index_defensive_effort]],
  2
)</f>
        <v>1.53</v>
      </c>
    </row>
    <row r="3503" spans="1:37" x14ac:dyDescent="0.25">
      <c r="A3503" t="s">
        <v>872</v>
      </c>
      <c r="B3503" t="s">
        <v>873</v>
      </c>
      <c r="C3503">
        <v>25</v>
      </c>
      <c r="D3503" t="s">
        <v>22</v>
      </c>
      <c r="E3503">
        <v>71</v>
      </c>
      <c r="F3503">
        <v>200</v>
      </c>
      <c r="G3503" t="s">
        <v>78</v>
      </c>
      <c r="H3503">
        <v>2020</v>
      </c>
      <c r="I3503" t="s">
        <v>33</v>
      </c>
      <c r="J3503">
        <v>9</v>
      </c>
      <c r="K3503">
        <v>4</v>
      </c>
      <c r="L3503">
        <v>2</v>
      </c>
      <c r="M3503">
        <v>0</v>
      </c>
      <c r="N3503">
        <v>2</v>
      </c>
      <c r="O3503">
        <v>0</v>
      </c>
      <c r="P3503">
        <v>0</v>
      </c>
      <c r="Q3503">
        <v>0</v>
      </c>
      <c r="R3503">
        <v>0</v>
      </c>
      <c r="S3503">
        <v>69</v>
      </c>
      <c r="T3503">
        <v>69</v>
      </c>
      <c r="U3503" s="5">
        <f>IF(Merge1[[#This Row],[team_defense_snaps]]=0, "", Merge1[[#This Row],[defense_snaps]] / Merge1[[#This Row],[team_defense_snaps]])</f>
        <v>1</v>
      </c>
      <c r="V3503">
        <v>69</v>
      </c>
      <c r="W3503">
        <v>0</v>
      </c>
      <c r="X3503" s="5" t="s">
        <v>29</v>
      </c>
      <c r="Y3503">
        <v>3</v>
      </c>
      <c r="Z3503">
        <v>0</v>
      </c>
      <c r="AA3503" t="s">
        <v>25</v>
      </c>
      <c r="AB3503" t="s">
        <v>26</v>
      </c>
      <c r="AC3503" t="s">
        <v>27</v>
      </c>
      <c r="AD3503" t="s">
        <v>42</v>
      </c>
      <c r="AE3503" t="s">
        <v>25</v>
      </c>
      <c r="AF3503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7.2463768115942032E-2</v>
      </c>
      <c r="AG3503" t="s">
        <v>942</v>
      </c>
      <c r="AH3503">
        <v>65.5</v>
      </c>
      <c r="AI3503" t="s">
        <v>939</v>
      </c>
      <c r="AJ3503">
        <v>9</v>
      </c>
      <c r="AK3503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MIN(AJ3503/8, 1) +
  Merge1[[#This Row],[index_defensive_effort]],
  2
)</f>
        <v>1.57</v>
      </c>
    </row>
    <row r="3504" spans="1:37" x14ac:dyDescent="0.25">
      <c r="A3504" t="s">
        <v>872</v>
      </c>
      <c r="B3504" t="s">
        <v>873</v>
      </c>
      <c r="C3504">
        <v>25</v>
      </c>
      <c r="D3504" t="s">
        <v>22</v>
      </c>
      <c r="E3504">
        <v>71</v>
      </c>
      <c r="F3504">
        <v>200</v>
      </c>
      <c r="G3504" t="s">
        <v>78</v>
      </c>
      <c r="H3504">
        <v>2020</v>
      </c>
      <c r="I3504" t="s">
        <v>33</v>
      </c>
      <c r="J3504">
        <v>11</v>
      </c>
      <c r="K3504">
        <v>1</v>
      </c>
      <c r="L3504">
        <v>0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64</v>
      </c>
      <c r="T3504">
        <v>64</v>
      </c>
      <c r="U3504" s="5">
        <f>IF(Merge1[[#This Row],[team_defense_snaps]]=0, "", Merge1[[#This Row],[defense_snaps]] / Merge1[[#This Row],[team_defense_snaps]])</f>
        <v>0.96969696969696972</v>
      </c>
      <c r="V3504">
        <v>66</v>
      </c>
      <c r="W3504">
        <v>0</v>
      </c>
      <c r="X3504" s="5" t="s">
        <v>29</v>
      </c>
      <c r="Y3504">
        <v>3</v>
      </c>
      <c r="Z3504">
        <v>0</v>
      </c>
      <c r="AA3504" t="s">
        <v>25</v>
      </c>
      <c r="AB3504" t="s">
        <v>26</v>
      </c>
      <c r="AC3504" t="s">
        <v>27</v>
      </c>
      <c r="AD3504" t="s">
        <v>42</v>
      </c>
      <c r="AE3504" t="s">
        <v>25</v>
      </c>
      <c r="AF3504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4.6875E-2</v>
      </c>
      <c r="AG3504" t="s">
        <v>942</v>
      </c>
      <c r="AH3504">
        <v>74.5</v>
      </c>
      <c r="AI3504" t="s">
        <v>939</v>
      </c>
      <c r="AJ3504">
        <v>1</v>
      </c>
      <c r="AK3504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MIN(AJ3504/8, 1) +
  Merge1[[#This Row],[index_defensive_effort]],
  2
)</f>
        <v>0.67</v>
      </c>
    </row>
    <row r="3505" spans="1:37" x14ac:dyDescent="0.25">
      <c r="A3505" t="s">
        <v>872</v>
      </c>
      <c r="B3505" t="s">
        <v>873</v>
      </c>
      <c r="C3505">
        <v>25</v>
      </c>
      <c r="D3505" t="s">
        <v>22</v>
      </c>
      <c r="E3505">
        <v>71</v>
      </c>
      <c r="F3505">
        <v>200</v>
      </c>
      <c r="G3505" t="s">
        <v>78</v>
      </c>
      <c r="H3505">
        <v>2020</v>
      </c>
      <c r="I3505" t="s">
        <v>33</v>
      </c>
      <c r="J3505">
        <v>12</v>
      </c>
      <c r="K3505">
        <v>6</v>
      </c>
      <c r="L3505">
        <v>4</v>
      </c>
      <c r="M3505">
        <v>0</v>
      </c>
      <c r="N3505">
        <v>4</v>
      </c>
      <c r="O3505">
        <v>0</v>
      </c>
      <c r="P3505">
        <v>0</v>
      </c>
      <c r="Q3505">
        <v>0</v>
      </c>
      <c r="R3505">
        <v>0</v>
      </c>
      <c r="S3505">
        <v>69</v>
      </c>
      <c r="T3505">
        <v>69</v>
      </c>
      <c r="U3505" s="5">
        <f>IF(Merge1[[#This Row],[team_defense_snaps]]=0, "", Merge1[[#This Row],[defense_snaps]] / Merge1[[#This Row],[team_defense_snaps]])</f>
        <v>1</v>
      </c>
      <c r="V3505">
        <v>69</v>
      </c>
      <c r="W3505">
        <v>0</v>
      </c>
      <c r="X3505" s="5" t="s">
        <v>29</v>
      </c>
      <c r="Y3505">
        <v>3</v>
      </c>
      <c r="Z3505">
        <v>0</v>
      </c>
      <c r="AA3505" t="s">
        <v>25</v>
      </c>
      <c r="AB3505" t="s">
        <v>26</v>
      </c>
      <c r="AC3505" t="s">
        <v>27</v>
      </c>
      <c r="AD3505" t="s">
        <v>42</v>
      </c>
      <c r="AE3505" t="s">
        <v>25</v>
      </c>
      <c r="AF3505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0.11594202898550725</v>
      </c>
      <c r="AG3505" t="s">
        <v>942</v>
      </c>
      <c r="AH3505">
        <v>77.5</v>
      </c>
      <c r="AI3505" t="s">
        <v>939</v>
      </c>
      <c r="AJ3505">
        <v>2</v>
      </c>
      <c r="AK3505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MIN(AJ3505/8, 1) +
  Merge1[[#This Row],[index_defensive_effort]],
  2
)</f>
        <v>0.87</v>
      </c>
    </row>
    <row r="3506" spans="1:37" x14ac:dyDescent="0.25">
      <c r="A3506" t="s">
        <v>872</v>
      </c>
      <c r="B3506" t="s">
        <v>873</v>
      </c>
      <c r="C3506">
        <v>25</v>
      </c>
      <c r="D3506" t="s">
        <v>22</v>
      </c>
      <c r="E3506">
        <v>71</v>
      </c>
      <c r="F3506">
        <v>200</v>
      </c>
      <c r="G3506" t="s">
        <v>78</v>
      </c>
      <c r="H3506">
        <v>2020</v>
      </c>
      <c r="I3506" t="s">
        <v>33</v>
      </c>
      <c r="J3506">
        <v>13</v>
      </c>
      <c r="K3506">
        <v>2</v>
      </c>
      <c r="L3506">
        <v>2</v>
      </c>
      <c r="M3506">
        <v>1</v>
      </c>
      <c r="N3506">
        <v>3</v>
      </c>
      <c r="O3506">
        <v>0</v>
      </c>
      <c r="P3506">
        <v>0</v>
      </c>
      <c r="Q3506">
        <v>0</v>
      </c>
      <c r="R3506">
        <v>0</v>
      </c>
      <c r="S3506">
        <v>58</v>
      </c>
      <c r="T3506">
        <v>55</v>
      </c>
      <c r="U3506" s="5">
        <f>IF(Merge1[[#This Row],[team_defense_snaps]]=0, "", Merge1[[#This Row],[defense_snaps]] / Merge1[[#This Row],[team_defense_snaps]])</f>
        <v>1</v>
      </c>
      <c r="V3506">
        <v>55</v>
      </c>
      <c r="W3506">
        <v>3</v>
      </c>
      <c r="X3506" s="5" t="s">
        <v>251</v>
      </c>
      <c r="Y3506">
        <v>3</v>
      </c>
      <c r="Z3506">
        <v>0</v>
      </c>
      <c r="AA3506" t="s">
        <v>25</v>
      </c>
      <c r="AB3506" t="s">
        <v>26</v>
      </c>
      <c r="AC3506" t="s">
        <v>27</v>
      </c>
      <c r="AD3506" t="s">
        <v>42</v>
      </c>
      <c r="AE3506" t="s">
        <v>25</v>
      </c>
      <c r="AF3506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6.0344827586206899E-2</v>
      </c>
      <c r="AG3506" t="s">
        <v>942</v>
      </c>
      <c r="AH3506">
        <v>64</v>
      </c>
      <c r="AI3506" t="s">
        <v>939</v>
      </c>
      <c r="AJ3506">
        <v>3</v>
      </c>
      <c r="AK3506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MIN(AJ3506/8, 1) +
  Merge1[[#This Row],[index_defensive_effort]],
  2
)</f>
        <v>0.94</v>
      </c>
    </row>
    <row r="3507" spans="1:37" x14ac:dyDescent="0.25">
      <c r="A3507" t="s">
        <v>872</v>
      </c>
      <c r="B3507" t="s">
        <v>873</v>
      </c>
      <c r="C3507">
        <v>25</v>
      </c>
      <c r="D3507" t="s">
        <v>22</v>
      </c>
      <c r="E3507">
        <v>71</v>
      </c>
      <c r="F3507">
        <v>200</v>
      </c>
      <c r="G3507" t="s">
        <v>78</v>
      </c>
      <c r="H3507">
        <v>2020</v>
      </c>
      <c r="I3507" t="s">
        <v>33</v>
      </c>
      <c r="J3507">
        <v>14</v>
      </c>
      <c r="K3507">
        <v>4</v>
      </c>
      <c r="L3507">
        <v>2</v>
      </c>
      <c r="M3507">
        <v>0</v>
      </c>
      <c r="N3507">
        <v>2</v>
      </c>
      <c r="O3507">
        <v>0</v>
      </c>
      <c r="P3507">
        <v>0</v>
      </c>
      <c r="Q3507">
        <v>0</v>
      </c>
      <c r="R3507">
        <v>0</v>
      </c>
      <c r="S3507">
        <v>78</v>
      </c>
      <c r="T3507">
        <v>72</v>
      </c>
      <c r="U3507" s="5">
        <f>IF(Merge1[[#This Row],[team_defense_snaps]]=0, "", Merge1[[#This Row],[defense_snaps]] / Merge1[[#This Row],[team_defense_snaps]])</f>
        <v>0.97297297297297303</v>
      </c>
      <c r="V3507">
        <v>74</v>
      </c>
      <c r="W3507">
        <v>6</v>
      </c>
      <c r="X3507" s="5" t="s">
        <v>113</v>
      </c>
      <c r="Y3507">
        <v>3</v>
      </c>
      <c r="Z3507">
        <v>0</v>
      </c>
      <c r="AA3507" t="s">
        <v>25</v>
      </c>
      <c r="AB3507" t="s">
        <v>26</v>
      </c>
      <c r="AC3507" t="s">
        <v>27</v>
      </c>
      <c r="AD3507" t="s">
        <v>42</v>
      </c>
      <c r="AE3507" t="s">
        <v>25</v>
      </c>
      <c r="AF3507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6.4102564102564097E-2</v>
      </c>
      <c r="AG3507" t="s">
        <v>942</v>
      </c>
      <c r="AH3507">
        <v>67</v>
      </c>
      <c r="AI3507" t="s">
        <v>939</v>
      </c>
      <c r="AJ3507">
        <v>4</v>
      </c>
      <c r="AK3507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MIN(AJ3507/8, 1) +
  Merge1[[#This Row],[index_defensive_effort]],
  2
)</f>
        <v>1.06</v>
      </c>
    </row>
    <row r="3508" spans="1:37" x14ac:dyDescent="0.25">
      <c r="A3508" t="s">
        <v>872</v>
      </c>
      <c r="B3508" t="s">
        <v>873</v>
      </c>
      <c r="C3508">
        <v>25</v>
      </c>
      <c r="D3508" t="s">
        <v>22</v>
      </c>
      <c r="E3508">
        <v>71</v>
      </c>
      <c r="F3508">
        <v>200</v>
      </c>
      <c r="G3508" t="s">
        <v>78</v>
      </c>
      <c r="H3508">
        <v>2020</v>
      </c>
      <c r="I3508" t="s">
        <v>33</v>
      </c>
      <c r="J3508">
        <v>15</v>
      </c>
      <c r="K3508">
        <v>1</v>
      </c>
      <c r="L3508">
        <v>1</v>
      </c>
      <c r="M3508">
        <v>0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41</v>
      </c>
      <c r="T3508">
        <v>41</v>
      </c>
      <c r="U3508" s="5">
        <f>IF(Merge1[[#This Row],[team_defense_snaps]]=0, "", Merge1[[#This Row],[defense_snaps]] / Merge1[[#This Row],[team_defense_snaps]])</f>
        <v>0.48809523809523808</v>
      </c>
      <c r="V3508">
        <v>84</v>
      </c>
      <c r="W3508">
        <v>0</v>
      </c>
      <c r="X3508" s="5" t="s">
        <v>29</v>
      </c>
      <c r="Y3508">
        <v>3</v>
      </c>
      <c r="Z3508">
        <v>0</v>
      </c>
      <c r="AA3508" t="s">
        <v>25</v>
      </c>
      <c r="AB3508" t="s">
        <v>36</v>
      </c>
      <c r="AC3508" t="s">
        <v>50</v>
      </c>
      <c r="AD3508" t="s">
        <v>42</v>
      </c>
      <c r="AE3508" t="s">
        <v>25</v>
      </c>
      <c r="AF3508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3.6585365853658534E-2</v>
      </c>
      <c r="AG3508" t="s">
        <v>942</v>
      </c>
      <c r="AH3508">
        <v>82</v>
      </c>
      <c r="AI3508" t="s">
        <v>939</v>
      </c>
      <c r="AJ3508">
        <v>5</v>
      </c>
      <c r="AK3508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MIN(AJ3508/8, 1) +
  Merge1[[#This Row],[index_defensive_effort]],
  2
)</f>
        <v>1.1599999999999999</v>
      </c>
    </row>
    <row r="3509" spans="1:37" x14ac:dyDescent="0.25">
      <c r="A3509" t="s">
        <v>872</v>
      </c>
      <c r="B3509" t="s">
        <v>873</v>
      </c>
      <c r="C3509">
        <v>25</v>
      </c>
      <c r="D3509" t="s">
        <v>22</v>
      </c>
      <c r="E3509">
        <v>71</v>
      </c>
      <c r="F3509">
        <v>200</v>
      </c>
      <c r="G3509" t="s">
        <v>78</v>
      </c>
      <c r="H3509">
        <v>2020</v>
      </c>
      <c r="I3509" t="s">
        <v>33</v>
      </c>
      <c r="J3509">
        <v>17</v>
      </c>
      <c r="K3509">
        <v>2</v>
      </c>
      <c r="L3509">
        <v>2</v>
      </c>
      <c r="M3509">
        <v>2</v>
      </c>
      <c r="N3509">
        <v>4</v>
      </c>
      <c r="O3509">
        <v>0</v>
      </c>
      <c r="P3509">
        <v>1</v>
      </c>
      <c r="Q3509">
        <v>0</v>
      </c>
      <c r="R3509">
        <v>0</v>
      </c>
      <c r="S3509">
        <v>58</v>
      </c>
      <c r="T3509">
        <v>58</v>
      </c>
      <c r="U3509" s="5">
        <f>IF(Merge1[[#This Row],[team_defense_snaps]]=0, "", Merge1[[#This Row],[defense_snaps]] / Merge1[[#This Row],[team_defense_snaps]])</f>
        <v>0.98305084745762716</v>
      </c>
      <c r="V3509">
        <v>59</v>
      </c>
      <c r="W3509">
        <v>0</v>
      </c>
      <c r="X3509" s="5" t="s">
        <v>29</v>
      </c>
      <c r="Y3509">
        <v>3</v>
      </c>
      <c r="Z3509">
        <v>0</v>
      </c>
      <c r="AA3509" t="s">
        <v>25</v>
      </c>
      <c r="AB3509" t="s">
        <v>36</v>
      </c>
      <c r="AC3509" t="s">
        <v>622</v>
      </c>
      <c r="AD3509" t="s">
        <v>42</v>
      </c>
      <c r="AE3509" t="s">
        <v>25</v>
      </c>
      <c r="AF3509" s="5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0.10344827586206896</v>
      </c>
      <c r="AG3509" t="s">
        <v>942</v>
      </c>
      <c r="AH3509">
        <v>70</v>
      </c>
      <c r="AI3509" t="s">
        <v>939</v>
      </c>
      <c r="AJ3509">
        <v>1</v>
      </c>
      <c r="AK3509">
        <f>ROUND(
  IF(Merge1[[#This Row],[age]]&lt;=25, 0.1, IF(Merge1[[#This Row],[age]]&lt;=30, 0.2, 0.3)) +
  IF(((Merge1[[#This Row],[weight]] / (Merge1[[#This Row],[height]]^2)) * 703)&lt;23, 0.1, IF(((Merge1[[#This Row],[weight]] / (Merge1[[#This Row],[height]]^2)) * 703)&lt;=27, 0.2, 0.3)) +
  IF(Merge1[[#This Row],[season_type]]="POST", 0.3, 0.1) +
  MIN(AJ3509/8, 1) +
  Merge1[[#This Row],[index_defensive_effort]],
  2
)</f>
        <v>0.73</v>
      </c>
    </row>
  </sheetData>
  <autoFilter ref="AG1:AL3509" xr:uid="{3DEE6606-ED79-4EFA-AA8D-A15D1F23D242}"/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6DEA6E-4E7A-43E0-AE5D-2033E8D0CEB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DBs Dataset 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Godinho, Diogo Domingues</dc:creator>
  <cp:lastModifiedBy>Godinho, Diogo Domingues</cp:lastModifiedBy>
  <dcterms:created xsi:type="dcterms:W3CDTF">2025-07-02T15:22:03Z</dcterms:created>
  <dcterms:modified xsi:type="dcterms:W3CDTF">2025-08-12T10:25:11Z</dcterms:modified>
</cp:coreProperties>
</file>